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xr:revisionPtr revIDLastSave="0" documentId="8_{1390459D-03F3-4C82-9F23-4700FAA45ED6}" xr6:coauthVersionLast="47" xr6:coauthVersionMax="47" xr10:uidLastSave="{00000000-0000-0000-0000-000000000000}"/>
  <bookViews>
    <workbookView xWindow="380" yWindow="380" windowWidth="17910" windowHeight="13420" firstSheet="3" activeTab="3" xr2:uid="{00000000-000D-0000-FFFF-FFFF00000000}"/>
  </bookViews>
  <sheets>
    <sheet name="DOE (2)" sheetId="14" state="hidden" r:id="rId1"/>
    <sheet name="IPLV_sheet (2)" sheetId="18" state="hidden" r:id="rId2"/>
    <sheet name="IPLV_sheet_2 (2)" sheetId="17" state="hidden" r:id="rId3"/>
    <sheet name="IPLV_sheet" sheetId="16" r:id="rId4"/>
    <sheet name="DOE" sheetId="13" r:id="rId5"/>
  </sheets>
  <functionGroups builtInGroupCount="19"/>
  <definedNames>
    <definedName name="_xlnm._FilterDatabase" localSheetId="4" hidden="1">DOE!$A$4:$M$2866</definedName>
    <definedName name="_xlnm._FilterDatabase" localSheetId="0" hidden="1">'DOE (2)'!$A$4:$M$2866</definedName>
    <definedName name="_xlnm._FilterDatabase" localSheetId="3" hidden="1">IPLV_sheet!$A$4:$M$2866</definedName>
    <definedName name="_xlnm._FilterDatabase" localSheetId="1" hidden="1">'IPLV_sheet (2)'!$A$4:$M$2866</definedName>
    <definedName name="_xlnm._FilterDatabase" localSheetId="2" hidden="1">'IPLV_sheet_2 (2)'!$A$4:$M$2866</definedName>
    <definedName name="status_columns" localSheetId="4">DOE!$N$4:INDEX(DOE!$4:$4,3+COUNTA(DOE!$4:$4))</definedName>
    <definedName name="status_columns" localSheetId="0">'DOE (2)'!$N$4:INDEX('DOE (2)'!$4:$4,3+COUNTA('DOE (2)'!$4:$4))</definedName>
    <definedName name="status_columns" localSheetId="3">IPLV_sheet!$N$4:INDEX(IPLV_sheet!$4:$4,3+COUNTA(IPLV_sheet!$4:$4))</definedName>
    <definedName name="status_columns" localSheetId="1">'IPLV_sheet (2)'!$N$4:INDEX('IPLV_sheet (2)'!$4:$4,3+COUNTA('IPLV_sheet (2)'!$4:$4))</definedName>
    <definedName name="status_columns" localSheetId="2">'IPLV_sheet_2 (2)'!$N$4:INDEX('IPLV_sheet_2 (2)'!$4:$4,3+COUNTA('IPLV_sheet_2 (2)'!$4:$4))</definedName>
    <definedName name="version" localSheetId="4">DOE!$B$2</definedName>
    <definedName name="version" localSheetId="0">'DOE (2)'!$B$2</definedName>
    <definedName name="version" localSheetId="3">IPLV_sheet!$B$2</definedName>
    <definedName name="version" localSheetId="1">'IPLV_sheet (2)'!$B$2</definedName>
    <definedName name="version" localSheetId="2">'IPLV_sheet_2 (2)'!$B$2</definedName>
  </definedNames>
  <calcPr calcId="191029" iterate="1" iterateCount="200" iterateDelta="5.0000000000000001E-3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3" l="1"/>
  <c r="M3" i="13" s="1"/>
  <c r="M1" i="13"/>
  <c r="R747" i="16"/>
  <c r="Q747" i="16"/>
  <c r="P747" i="16"/>
  <c r="R723" i="16"/>
  <c r="Q723" i="16"/>
  <c r="P723" i="16"/>
  <c r="R665" i="16"/>
  <c r="Q665" i="16"/>
  <c r="P665" i="16"/>
  <c r="M2" i="16"/>
  <c r="M3" i="16" s="1"/>
  <c r="M1" i="16"/>
  <c r="R747" i="17"/>
  <c r="Q747" i="17"/>
  <c r="P747" i="17"/>
  <c r="R723" i="17"/>
  <c r="Q723" i="17"/>
  <c r="P723" i="17"/>
  <c r="R665" i="17"/>
  <c r="Q665" i="17"/>
  <c r="P665" i="17"/>
  <c r="M2" i="17"/>
  <c r="M3" i="17" s="1"/>
  <c r="M1" i="17"/>
  <c r="R747" i="18"/>
  <c r="Q747" i="18"/>
  <c r="P747" i="18"/>
  <c r="R723" i="18"/>
  <c r="Q723" i="18"/>
  <c r="P723" i="18"/>
  <c r="R665" i="18"/>
  <c r="Q665" i="18"/>
  <c r="P665" i="18"/>
  <c r="M2" i="18"/>
  <c r="M3" i="18" s="1"/>
  <c r="M1" i="18"/>
  <c r="M2" i="14"/>
  <c r="M3" i="14" s="1"/>
  <c r="M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Jia Li</author>
  </authors>
  <commentList>
    <comment ref="M775" authorId="0" shapeId="0" xr:uid="{E5FB647A-5CD7-49B1-AF50-034D016E2035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834" authorId="0" shapeId="0" xr:uid="{0031BD9B-54ED-4291-AE12-1A20C86BF29B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31" authorId="0" shapeId="0" xr:uid="{BE03EFB1-E72F-4F68-AD36-F2F8997C5844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91" authorId="0" shapeId="0" xr:uid="{D57604BD-49B8-412E-AA93-E5F7D8EB70DD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51" authorId="0" shapeId="0" xr:uid="{B4E6EFE7-CD47-4D21-BC44-65ADB2AE3DDE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73" authorId="0" shapeId="0" xr:uid="{B4CBD682-59B0-4C3C-AC87-31E26A6B20AA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837" authorId="0" shapeId="0" xr:uid="{1F97A65E-22DC-45C3-9829-113BE056D895}">
      <text>
        <r>
          <rPr>
            <b/>
            <sz val="9"/>
            <color indexed="81"/>
            <rFont val="Tahoma"/>
            <family val="2"/>
          </rPr>
          <t>['Cen2Stage_19DV', 'Cen2Stage_19MV']</t>
        </r>
      </text>
    </comment>
    <comment ref="M1871" authorId="0" shapeId="0" xr:uid="{26037A57-CFA3-466F-9CA1-EA7AAAB941E7}">
      <text>
        <r>
          <rPr>
            <b/>
            <sz val="9"/>
            <color indexed="81"/>
            <rFont val="Tahoma"/>
            <family val="2"/>
          </rPr>
          <t>['FakeData', 'Map19DV3_3_4', 'Map19DV3_4_4', 'Map19DV3_5_4', 'Map19DV3_6_4', 'Map19DV4_3_2', 'Map19DV4_4_2', 'Map19DV4_5_2', 'Map19DV4_6_2', 'Map19DV4_3_4', 'Map19DV4_4_4', 'Map19DV4_5_4', 'Map19DV4_6_4', 'Map19DV5_4_4', 'Map19DV5_6_4', 'Map19DV5_8_4', 'Map19DV5_D_4', 'Map19DV5_F_4', 'userDefined']</t>
        </r>
      </text>
    </comment>
    <comment ref="M1872" authorId="0" shapeId="0" xr:uid="{4A7A70E9-063B-41AC-BFF6-49BD4561E48E}">
      <text>
        <r>
          <rPr>
            <b/>
            <sz val="9"/>
            <color indexed="81"/>
            <rFont val="Tahoma"/>
            <family val="2"/>
          </rPr>
          <t>['FakeData', 'Map19MV3_3_9', 'Map19MV3_4_9', 'Map19MV3_5_9', 'Map19MV3_6_9', 'Map19MV3_7_9', 'Map19MV3_8_9', 'userDefined']</t>
        </r>
      </text>
    </comment>
    <comment ref="M2000" authorId="0" shapeId="0" xr:uid="{069D47C8-5611-4E1D-8115-CBBE16024207}">
      <text>
        <r>
          <rPr>
            <b/>
            <sz val="9"/>
            <color indexed="81"/>
            <rFont val="Tahoma"/>
            <family val="2"/>
          </rPr>
          <t>['userDefined', 'Chiller19DV_ECS', 'Chiller19DV_G23', 'Chiller19DV_M42', 'Chiller19DV_M43', 'Chiller19DV_M44', 'Chiller19DV_M4C', 'Chiller19DV_M4D', 'Chiller19DV_M4E', 'Chiller19DV_M62', 'Chiller19DV_M63', 'Chiller19DV_M64', 'Chiller19DV_M6C', 'Chiller19DV_M6D', 'Chiller19DV_M6E', 'Chiller19PV_LWTTurbo', 'Chiller19PV_TE', 'Chiller19XR_C85', 'Chiller23XR_31', 'Chiller23XR_46', 'Chiller23XR_59', 'Chiller23XR_B2', 'Chiller23XR_B3', 'Chiller23XR_B5', 'Chiller23XR_B6', 'Chiller30DW_RC', 'Chiller30DW_RD', 'Chiller30DW_RG', 'Chiller30DW_RH', 'Chiller30DW_T6', 'Chiller30DW_T8', 'Chiller30DW_V7', 'Chiller30DW_V8', 'Chiller30XW_KIWIZA', 'Chiller19MV_31B', 'Chiller19MV_31C', 'Chiller19MV_31D', 'Chiller19MV_31F', 'Chiller19MV_31G', 'Chiller19MV_31J', 'Chiller19MV_31K', 'Chiller19MV_31L', 'Chiller19MV_31M', 'Chiller19MV_31N', 'Chiller19MV_33B', 'Chiller19MV_33C', 'Chiller19MV_33D', 'Chiller19MV_33F', 'Chiller19MV_33G', 'Chiller19MV_33J', 'Chiller19MV_33K', 'Chiller19MV_33L', 'Chiller19MV_33M', 'Chiller19MV_33N', 'Chiller19MV_41B', 'Chiller19MV_41C', 'Chiller19MV_41D', 'Chiller19MV_41F', 'Chiller19MV_41G', 'Chiller19MV_41J', 'Chiller19MV_41K', 'Chiller19MV_41L', 'Chiller19MV_41M', 'Chiller19MV_41N', 'Chiller19MV_43B', 'Chiller19MV_43C', 'Chiller19MV_43D', 'Chiller19MV_43F', 'Chiller19MV_43G', 'Chiller19MV_43J', 'Chiller19MV_43K', 'Chiller19MV_43L', 'Chiller19MV_43M', 'Chiller19MV_43N', 'Chiller19MV_51B', 'Chiller19MV_51C', 'Chiller19MV_51D', 'Chiller19MV_51F', 'Chiller19MV_51G', 'Chiller19MV_51J', 'Chiller19MV_51K', 'Chiller19MV_51L', 'Chiller19MV_51M', 'Chiller19MV_51N', 'Chiller19MV_53B', 'Chiller19MV_53C', 'Chiller19MV_53D', 'Chiller19MV_53F', 'Chiller19MV_53G', 'Chiller19MV_53J', 'Chiller19MV_53K', 'Chiller19MV_53L', 'Chiller19MV_53M', 'Chiller19MV_53N']</t>
        </r>
      </text>
    </comment>
    <comment ref="M2001" authorId="0" shapeId="0" xr:uid="{B5DD865D-FE75-4FEE-AF16-07EFC8726C24}">
      <text>
        <r>
          <rPr>
            <b/>
            <sz val="9"/>
            <color indexed="81"/>
            <rFont val="Tahoma"/>
            <family val="2"/>
          </rPr>
          <t>['userDefined', 'FV_19DV3_4', 'FV_19DV5']</t>
        </r>
      </text>
    </comment>
    <comment ref="M2002" authorId="0" shapeId="0" xr:uid="{57CED10C-1735-4CF1-8026-E6E23ABEB09C}">
      <text>
        <r>
          <rPr>
            <b/>
            <sz val="9"/>
            <color indexed="81"/>
            <rFont val="Tahoma"/>
            <family val="2"/>
          </rPr>
          <t>['userDefined', 'C5_075_025_R1233zd', 'C5_075_025_R1233zd_FrameM', 'C5_075_025_R134a', 'C5_075_025_R134a_Frame8', 'C5_075_025_R134a_FrameA', 'C5_075_025_R134a_FrameB', 'C5_075_025_R134a_FrameC', 'C5_075_025_R134a_FrameD', 'C5_075_025_R134a_FrameAtoB_flasc', 'C5_075_025_R134a_FrameC_flasc', 'C5_075_025_R134a_FrameD_flasc', 'C5_075_028_R1233zd', 'C5_075_028_R1233zd_FrameM', 'C5_100_025_R1233zd', 'C5_100_025_R1233zd_FrameM', 'C5_100_025_R134a_FrameA', 'C5_100_025_R134a_FrameB', 'C5_100_025_R134a_FrameC', 'C5_100_025_R134a_FrameD', 'C5_100_025_R134a_FrameAtoB_flasc', 'C5_100_025_R134a_FrameC_flasc', 'C5_100_025_R134a_FrameD_flasc', 'C5_100_028_R1233zd', 'C5_100_028_R1233zd_FrameM', 'CSL_075_028_R134a', 'CSL_100_028_R134a', 'C_SL_075_025_R134a', 'C_SL_075_028_R134a', 'C_075_035_R134a', 'SPKIII_075_025_R1233zd', 'SPKIII_075_025_R1233zd_FrameM', 'SPKIII_075_025_R134a_Frame8', 'SPKIII_075_025_R134a_FrameAtoB', 'SPKIII_075_025_R134a_FrameAtoD_flasc', 'SPKIII_075_025_R134a_FrameCtoD', 'SPKIII_075_025_R134a_HX1to6', 'SPKIII_075_025_R134a_HX7to8', 'SPKIII_075_028_R1233zd', 'SPKIII_075_028_R1233zd_FrameM', 'SPKIII_075_028_R134a_HX1to6', 'SPKIII_075_035_R1233zd', 'SPKIII_075_035_R1233zd_FrameM', 'SPKIII_075_035_R134a_HX1to6', 'SPKIII_100_025_R1233zd', 'SPKIII_100_025_R1233zd_FrameM', 'SPKIII_100_025_R134a_FrameAtoB', 'SPKIII_100_025_R134a_FrameAtoD_flasc', 'SPKIII_100_025_R134a_FrameCtoD', 'SPKIII_100_028_R1233zd', 'SPKIII_100_028_R1233zd_FrameM', 'SPKIII_100_035_R1233zd', 'SPKIII_100_035_R1233zd_FrameM', 'C5_075_028_R134a']</t>
        </r>
      </text>
    </comment>
    <comment ref="M2306" authorId="0" shapeId="0" xr:uid="{2E99B716-1FFC-4EC3-AE63-1038933DC75C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311" authorId="0" shapeId="0" xr:uid="{B1E7F6BA-067E-4103-AAC0-21A44C30DBC5}">
      <text>
        <r>
          <rPr>
            <b/>
            <sz val="9"/>
            <color indexed="81"/>
            <rFont val="Tahoma"/>
            <family val="2"/>
          </rPr>
          <t>['EDR', 'Surrogate']</t>
        </r>
      </text>
    </comment>
    <comment ref="M2361" authorId="0" shapeId="0" xr:uid="{8DBB3F56-FE1E-40D6-97CA-03F1F4E0BAF5}">
      <text>
        <r>
          <rPr>
            <b/>
            <sz val="9"/>
            <color indexed="81"/>
            <rFont val="Tahoma"/>
            <family val="2"/>
          </rPr>
          <t>['square', 'triangle']</t>
        </r>
      </text>
    </comment>
    <comment ref="M2380" authorId="0" shapeId="0" xr:uid="{4E210BC7-FDB5-4EEB-B8A4-07581141D588}">
      <text>
        <r>
          <rPr>
            <b/>
            <sz val="9"/>
            <color indexed="81"/>
            <rFont val="Tahoma"/>
            <family val="2"/>
          </rPr>
          <t>['userDefined', 'Chiller19PV_H2', 'Chiller19PV_L2', 'Chiller19PV_OE', 'Chiller19XR_10', 'Chiller19XR_11', 'Chiller19XR_12', 'Chiller19XR_15', 'Chiller19XR_16', 'Chiller19XR_17', 'Chiller19XR_20', 'Chiller19XR_21', 'Chiller19XR_22', 'Chiller19XR_30', 'Chiller19XR_31', 'Chiller19XR_32', 'Chiller19XR_33', 'Chiller19XR_34', 'Chiller19XR_35', 'Chiller19XR_36', 'Chiller19XR_37', 'Chiller19XR_38', 'Chiller19XR_39', 'Chiller19XR_3K', 'Chiller19XR_3L', 'Chiller19XR_3M', 'Chiller19XR_3P', 'Chiller19XR_3Q', 'Chiller19XR_3R', 'Chiller19XR_3T', 'Chiller19XR_3U', 'Chiller19XR_3V', 'Chiller19XR_3X', 'Chiller19XR_3Y', 'Chiller19XR_3Z', 'Chiller19XR_40', 'Chiller19XR_41', 'Chiller19XR_42', 'Chiller19XR_43', 'Chiller19XR_44', 'Chiller19XR_45', 'Chiller19XR_46', 'Chiller19XR_47', 'Chiller19XR_48', 'Chiller19XR_49', 'Chiller19XR_4K', 'Chiller19XR_4L', 'Chiller19XR_4M', 'Chiller19XR_4P', 'Chiller19XR_4Q', 'Chiller19XR_4R', 'Chiller19XR_4T', 'Chiller19XR_4U', 'Chiller19XR_4V', 'Chiller19XR_4X', 'Chiller19XR_4Y', 'Chiller19XR_4Z', 'Chiller19XR_50', 'Chiller19XR_51', 'Chiller19XR_52', 'Chiller19XR_53', 'Chiller19XR_54', 'Chiller19XR_55', 'Chiller19XR_56', 'Chiller19XR_57', 'Chiller19XR_58', 'Chiller19XR_59', 'Chiller19XR_5A', 'Chiller19XR_5B', 'Chiller19XR_5C', 'Chiller19XR_5F', 'Chiller19XR_5G', 'Chiller19XR_5H', 'Chiller19XR_5K', 'Chiller19XR_5L', 'Chiller19XR_5M', 'Chiller19XR_5P', 'Chiller19XR_5Q', 'Chiller19XR_5R', 'Chiller19XR_5T', 'Chiller19XR_5U', 'Chiller19XR_5V', 'Chiller19XR_5X', 'Chiller19XR_5Y', 'Chiller19XR_5Z', 'Chiller19XR_60', 'Chiller19XR_61', 'Chiller19XR_62', 'Chiller19XR_63', 'Chiller19XR_64', 'Chiller19XR_65', 'Chiller19XR_66', 'Chiller19XR_67', 'Chiller19XR_68', 'Chiller19XR_69', 'Chiller19XR_6K', 'Chiller19XR_6L', 'Chiller19XR_6M', 'Chiller19XR_6P', 'Chiller19XR_6Q', 'Chiller19XR_6R', 'Chiller19XR_6T', 'Chiller19XR_6U', 'Chiller19XR_6V', 'Chiller19XR_6X', 'Chiller19XR_6Y', 'Chiller19XR_6Z', 'Chiller19XR_70', 'Chiller19XR_71', 'Chiller19XR_72', 'Chiller19XR_73', 'Chiller19XR_74', 'Chiller19XR_75', 'Chiller19XR_76', 'Chiller19XR_77', 'Chiller19XR_78', 'Chiller19XR_79', 'Chiller19XR_7K', 'Chiller19XR_7L', 'Chiller19XR_7M', 'Chiller19XR_7P', 'Chiller19XR_7Q', 'Chiller19XR_7R', 'Chiller19XR_7T', 'Chiller19XR_7U', 'Chiller19XR_7V', 'Chiller19XR_7X', 'Chiller19XR_7Y', 'Chiller19XR_7Z', 'Chiller19XR_80', 'Chiller19XR_81', 'Chiller19XR_82', 'Chiller19XR_83', 'Chiller19XR_84', 'Chiller19XR_85', 'Chiller19XR_86', 'Chiller19XR_87', 'Chiller19XR_88', 'Chiller19XR_89', 'Chiller19XR_8K', 'Chiller19XR_8L', 'Chiller19XR_8M', 'Chiller19XR_8P', 'Chiller19XR_8Q', 'Chiller19XR_8R', 'Chiller19XR_8T', 'Chiller19XR_8U', 'Chiller19XR_8V', 'Chiller19XR_8X', 'Chiller19XR_8Y', 'Chiller19XR_8Z', 'Chiller19XR_A45', 'Chiller19XR_A4F', 'Chiller19XR_B67', 'Chiller19XR_B85', 'Chiller19XR_B8F', 'Chiller19XR_C66', 'Chiller19XR_C87', 'Chiller19XR_C8H', 'Chiller30DW_MC', 'Chiller30DW_MD', 'Chiller30DW_ME', 'Chiller30DW_MG', 'Chiller30DW_O3', 'Chiller30DW_O5', 'Chiller30DW_P5', 'Chiller30DW_P6', 'Chiller30DW_PJ', 'Chiller30KAV', 'Chiller30KAV_Pluged', 'Chiller19MV_31B', 'Chiller19MV_31C', 'Chiller19MV_31D', 'Chiller19MV_31E', 'Chiller19MV_31F', 'Chiller19MV_31G', 'Chiller19MV_31H', 'Chiller19MV_31J', 'Chiller19MV_31K', 'Chiller19MV_31L', 'Chiller19MV_31M', 'Chiller19MV_31N', 'Chiller19MV_31O', 'Chiller19MV_31P', 'Chiller19MV_31Q', 'Chiller19MV_31R', 'Chiller19MV_31S', 'Chiller19MV_31T', 'Chiller19MV_31U', 'Chiller19MV_31V', 'Chiller19MV_31W', 'Chiller19MV_31X', 'Chiller19MV_31Y', 'Chiller19MV_31Z', 'Chiller19MV_33B', 'Chiller19MV_33C', 'Chiller19MV_33D', 'Chiller19MV_33E', 'Chiller19MV_33F', 'Chiller19MV_33G', 'Chiller19MV_33H', 'Chiller19MV_33J', 'Chiller19MV_33K', 'Chiller19MV_33L', 'Chiller19MV_33M', 'Chiller19MV_33N', 'Chiller19MV_33O', 'Chiller19MV_33P', 'Chiller19MV_33Q', 'Chiller19MV_33R', 'Chiller19MV_33S', 'Chiller19MV_33T', 'Chiller19MV_33U', 'Chiller19MV_33V', 'Chiller19MV_33W', 'Chiller19MV_33X', 'Chiller19MV_33Y', 'Chiller19MV_33Z', 'Chiller19MV_41B', 'Chiller19MV_41C', 'Chiller19MV_41D', 'Chiller19MV_41E', 'Chiller19MV_41F', 'Chiller19MV_41G', 'Chiller19MV_41H', 'Chiller19MV_41J', 'Chiller19MV_41K', 'Chiller19MV_41L', 'Chiller19MV_41M', 'Chiller19MV_41N', 'Chiller19MV_41O', 'Chiller19MV_41P', 'Chiller19MV_41Q', 'Chiller19MV_41R', 'Chiller19MV_41S', 'Chiller19MV_41T', 'Chiller19MV_41U', 'Chiller19MV_41V', 'Chiller19MV_41W', 'Chiller19MV_41X', 'Chiller19MV_41Y', 'Chiller19MV_41Z', 'Chiller19MV_43B', 'Chiller19MV_43C', 'Chiller19MV_43D', 'Chiller19MV_43E', 'Chiller19MV_43F', 'Chiller19MV_43G', 'Chiller19MV_43H', 'Chiller19MV_43J', 'Chiller19MV_43K', 'Chiller19MV_43L', 'Chiller19MV_43M', 'Chiller19MV_43N', 'Chiller19MV_43O', 'Chiller19MV_43P', 'Chiller19MV_43Q', 'Chiller19MV_43R', 'Chiller19MV_43S', 'Chiller19MV_43T', 'Chiller19MV_43U', 'Chiller19MV_43V', 'Chiller19MV_43W', 'Chiller19MV_43X', 'Chiller19MV_43Y', 'Chiller19MV_43Z', 'Chiller19MV_51B', 'Chiller19MV_51C', 'Chiller19MV_51D', 'Chiller19MV_51E', 'Chiller19MV_51F', 'Chiller19MV_51G', 'Chiller19MV_51H', 'Chiller19MV_51J', 'Chiller19MV_51K', 'Chiller19MV_51L', 'Chiller19MV_51M', 'Chiller19MV_51N', 'Chiller19MV_51O', 'Chiller19MV_51P', 'Chiller19MV_51Q', 'Chiller19MV_51R', 'Chiller19MV_51S', 'Chiller19MV_51T', 'Chiller19MV_51U', 'Chiller19MV_51V', 'Chiller19MV_51W', 'Chiller19MV_51X', 'Chiller19MV_51Y', 'Chiller19MV_51Z', 'Chiller19MV_53B', 'Chiller19MV_53C', 'Chiller19MV_53D', 'Chiller19MV_53E', 'Chiller19MV_53F', 'Chiller19MV_53G', 'Chiller19MV_53H', 'Chiller19MV_53J', 'Chiller19MV_53K', 'Chiller19MV_53L', 'Chiller19MV_53M', 'Chiller19MV_53N', 'Chiller19MV_53O', 'Chiller19MV_53P', 'Chiller19MV_53Q', 'Chiller19MV_53R', 'Chiller19MV_53S', 'Chiller19MV_53T', 'Chiller19MV_53U', 'Chiller19MV_53V', 'Chiller19MV_53W', 'Chiller19MV_53X', 'Chiller19MV_53Y', 'Chiller19MV_53Z']</t>
        </r>
      </text>
    </comment>
    <comment ref="M2381" authorId="0" shapeId="0" xr:uid="{7FC55C81-70B6-4995-A49B-F0D0A5481BF2}">
      <text>
        <r>
          <rPr>
            <b/>
            <sz val="9"/>
            <color indexed="81"/>
            <rFont val="Tahoma"/>
            <family val="2"/>
          </rPr>
          <t>['userDefined', 'B4HSL_075_025_R134a', 'B4HSL_075_025_R134a_turbulator_L', 'B4HSL_075_025_R134a_turbulator_R', 'B4HSL_075_028_R134a', 'B4HSL_100_025_R134a', 'B4H_075_035_R134a', 'B5_075_025_R1233zd', 'B5_075_025_R134a', 'B5_100_025_R1233zd', 'B5_100_025_R134a', 'EDE2_075_025_R134a', 'EDE2_075_028_R134a', 'EDE2_075_035_R134a', 'ELP2_075_025_R1233zd', 'ELP2_075_028_R1233zd', 'ELP2_100_025_R1233zd', 'ELP2_100_028_R1233zd', 'ESP_075_025_R134a', 'ESP_075_028_R134a', 'ESP_075_035_R134a', 'ESP_100_025_R134a', 'ESP_100_028_R134a', 'ESP_100_035_R134a', 'B5_075_028_R134a', 'B5_100_028_R134a']</t>
        </r>
      </text>
    </comment>
    <comment ref="M2432" authorId="0" shapeId="0" xr:uid="{475E5BEE-6261-4784-969B-CD91BE8117E7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477" authorId="0" shapeId="0" xr:uid="{E23F3772-C5D7-4CEF-A39E-B108841B4B49}">
      <text>
        <r>
          <rPr>
            <b/>
            <sz val="9"/>
            <color indexed="81"/>
            <rFont val="Tahoma"/>
            <family val="2"/>
          </rPr>
          <t>['Parameterization', 'SystemBalancing']</t>
        </r>
      </text>
    </comment>
    <comment ref="M2478" authorId="0" shapeId="0" xr:uid="{5080AFCD-BC46-4AC5-9246-5EC7FA844C51}">
      <text>
        <r>
          <rPr>
            <b/>
            <sz val="9"/>
            <color indexed="81"/>
            <rFont val="Tahoma"/>
            <family val="2"/>
          </rPr>
          <t>['Basic', 'Advanced']</t>
        </r>
      </text>
    </comment>
    <comment ref="M2522" authorId="0" shapeId="0" xr:uid="{10664D9B-A6EA-44B5-9126-2A96D36FE404}">
      <text>
        <r>
          <rPr>
            <b/>
            <sz val="9"/>
            <color indexed="81"/>
            <rFont val="Tahoma"/>
            <family val="2"/>
          </rPr>
          <t>['Motor_LBH_460', 'Motor_LBH_380', 'Motor_LDH_460', 'Motor_LDH_380', 'Motor_LFH_460', 'Motor_LFH_380', 'Motor_LHH_460', 'Motor_LHH_380', 'Motor_NBH_460', 'Motor_NBH_380', 'Motor_NDH_460', 'Motor_NDH_380', 'Motor_NFH_460', 'Motor_NFH_380', 'Motor_NHH_460', 'Motor_NHH_380', 'Motor_QBH_380', 'Motor_QDH_380', 'Motor_QFH_380', 'Motor_QHH_380', 'Motor_QBH_460', 'Motor_QDH_460', 'Motor_QFH_460', 'Motor_QHH_460', 'userDefined', 'FakeData']</t>
        </r>
      </text>
    </comment>
    <comment ref="M2523" authorId="0" shapeId="0" xr:uid="{46AAD230-C7F7-4D7A-A0AD-8BB7C845A28D}">
      <text>
        <r>
          <rPr>
            <b/>
            <sz val="9"/>
            <color indexed="81"/>
            <rFont val="Tahoma"/>
            <family val="2"/>
          </rPr>
          <t>['FakeData', 'Motor_BCH_380', 'Motor_BCH_460', 'Motor_BGH_380', 'Motor_BGH_460', 'Motor_BLH_380', 'Motor_BLH_460', 'Motor_K3H_380', 'Motor_K3H_460', 'Motor_K5H_380', 'Motor_K5H_460', 'Motor_K7H_380', 'Motor_K7H_460', 'userDefined']</t>
        </r>
      </text>
    </comment>
    <comment ref="M2524" authorId="0" shapeId="0" xr:uid="{BD8C8B2F-A9F9-4975-9024-7D3D90949D8E}">
      <text>
        <r>
          <rPr>
            <b/>
            <sz val="9"/>
            <color indexed="81"/>
            <rFont val="Tahoma"/>
            <family val="2"/>
          </rPr>
          <t>['BDH50', 'BEH50', 'BFH50', 'BGH50', 'BHH50', 'CDH50', 'CEH50', 'CLH50', 'CMH50', 'CNH50', 'CPH50', 'CQH50', 'CRH50', 'DBH50', 'DCH50', 'DDH50', 'DEH50', 'DFH50', 'DGH50', 'KBH50', 'KCH50', 'KDH50', 'KEH50', 'KFH50', 'KGH50', 'JBH50', 'JCH50', 'JDH50', 'JEH50', 'BDH51', 'BEH51', 'BFH51', 'BGH51', 'BHH51', 'CDH51', 'CEH51', 'CLH51', 'CMH51', 'CNH51', 'CPH51', 'CQH51', 'CRH51', 'DBH51', 'DCH51', 'DDH51', 'DEH51', 'DFH51', 'DGH51', 'DHH51', 'DJH51', 'BDH52', 'BEH52', 'BFH52', 'BGH52', 'BHH52', 'CDH52', 'CEH52', 'CLH52', 'CMH52', 'CNH52', 'CPH52', 'CQH52', 'LBH52', 'LCH52', 'LDH52', 'LEH52', 'LFH52', 'LGH52', 'LHH52', 'EHH52', 'EJH52', 'EKH52', 'ELH52', 'EMH52', 'ENH52', 'EPH52', 'KBH52', 'KCH52', 'KDH52', 'KEH52', 'KFH52', 'KGH52', 'DBH52', 'DCH52', 'DDH52', 'DEH52', 'DFH52', 'DGH52', 'DHH52', 'DJH52', 'JBH52', 'JCH52', 'JDH52', 'JEH52', 'MBH52', 'MCH52', 'MDH52', 'MEH52', 'MFH52', 'CDH53', 'CEH53', 'CLH53', 'CMH53', 'CNH53', 'CPH53', 'CQH53', 'DBH53', 'DCH53', 'DDH53', 'DEH53', 'DFH53', 'DGH53', 'DHH53', 'DJH53', 'EHH53', 'EJH53', 'EKH53', 'ELH53', 'EMH53', 'ENH53', 'EPH53', 'CDH54', 'CEH54', 'CLH54', 'CMH54', 'CNH54', 'CPH54', 'CQH54', 'DBH54', 'DCH54', 'DDH54', 'DEH54', 'DFH54', 'DGH54', 'DHH54', 'DJH54', 'EHH54', 'EJH54', 'EKH54', 'ELH54', 'EMH54', 'ENH54', 'EPH54', 'DDH55', 'DEH55', 'DFH55', 'DGH55', 'DHH55', 'DJH55', 'EHH55', 'EJH55', 'EKH55', 'ELH55', 'EMH55', 'ENH55', 'EPH55', 'MDH56', 'MFH56', 'MDH57', 'MFH57', 'BDS50', 'BES50', 'BFS50', 'BGS50', 'BHS50', 'CDS50', 'CES50', 'CLS50', 'CMS50', 'CNS50', 'CPS50', 'CQS50', 'CRS50', 'DBS50', 'DCS50', 'DDS50', 'DES50', 'DFS50', 'DGS50', 'DHS50', 'BDS51', 'BES51', 'BFS51', 'BGS51', 'BHS51', 'CDS51', 'CES51', 'CLS51', 'CMS51', 'CNS51', 'CPS51', 'CQS51', 'CRS51', 'DBS51', 'DCS51', 'DDS51', 'DES51', 'DFS51', 'DGS51', 'DHS51', 'DJS51', 'BDS52', 'BES52', 'BFS52', 'BGS52', 'BHS52', 'CDS52', 'CES52', 'CLS52', 'CMS52', 'CNS52', 'CPS52', 'CQS52', 'CRS52', 'DBS52', 'DCS52', 'DDS52', 'DES52', 'DFS52', 'DGS52', 'DHS52', 'DJS52', 'EHS52', 'EJS52', 'EKS52', 'ELS52', 'EMS52', 'ENS52', 'EPS52', 'CDS53', 'CES53', 'CLS53', 'CMS53', 'CNS53', 'CPS53', 'CQS53', 'CRS53', 'DBS53', 'DCS53', 'DDS53', 'DES53', 'DFS53', 'DGS53', 'DHS53', 'DJS53', 'EHS53', 'EJS53', 'EKS53', 'ELS53', 'EMS53', 'ENS53', 'EPS53', 'CDS54', 'CES54', 'CLS54', 'CMS54', 'CNS54', 'CPS54', 'CQS54', 'CRS54', 'DBS54', 'DCS54', 'DDS54', 'DES54', 'DFS54', 'DGS54', 'DHS54', 'DJS54', 'EHS54', 'EJS54', 'EKS54', 'ELS54', 'EMS54', 'ENS54', 'EPS54', 'DDS55', 'DES55', 'DFS55', 'DGS55', 'DHS55', 'DJS55', 'EHS55', 'EJS55', 'EKS55', 'ELS55', 'EMS55', 'ENS55', 'EPS55', 'EMS56', 'EMS57', 'BDH60', 'BEH60', 'BFH60', 'BGH60', 'BHH60', 'CDH60', 'CEH60', 'CLH60', 'CMH60', 'CNH60', 'CPH60', 'CQH60', 'CRH60', 'DBH60', 'DCH60', 'DDH60', 'DEH60', 'DFH60', 'KBH60', 'KCH60', 'KDH60', 'KEH60', 'KFH60', 'KGH60', 'KHH60', 'JBH60', 'JCH60', 'JDH60', 'JEH60', 'BDH61', 'BEH61', 'BFH61', 'BGH61', 'BHH61', 'CDH61', 'CEH61', 'CLH61', 'CMH61', 'CNH61', 'CPH61', 'CQH61', 'CRH61', 'DBH61', 'DCH61', 'DDH61', 'DEH61', 'DFH61', 'KBH61', 'KCH61', 'KDH61', 'KEH61', 'KFH61', 'KGH61', 'KHH61', 'JBH61', 'JCH61', 'JDH61', 'JEH61', 'BDH62', 'BEH62', 'BFH62', 'BGH62', 'BHH62', 'BJH62', 'CDH62', 'CEH62', 'CLH62', 'CMH62', 'CNH62', 'CPH62', 'CQH62', 'CRH62', 'DBH62', 'DCH62', 'DDH62', 'DEH62', 'DFH62', 'DGH62', 'DHH62', 'DKH62', 'EHH62', 'EJH62', 'EKH62', 'ELH62', 'EMH62', 'ENH62', 'EPH62', 'KBH62', 'KCH62', 'KDH62', 'KEH62', 'KFH62', 'KGH62', 'KHH62', 'JBH62', 'JCH62', 'JDH62', 'JEH62', 'JFH62', 'MBH62', 'MCH62', 'MDH62', 'MEH62', 'MFH62', 'MGH62', 'BDH63', 'BEH63', 'BFH63', 'BGH63', 'BHH63', 'BJH63', 'CDH63', 'CEH63', 'CLH63', 'CMH63', 'CNH63', 'CPH63', 'CQH63', 'CRH63', 'DBH63', 'DCH63', 'DDH63', 'DEH63', 'DFH63', 'DGH63', 'DHH63', 'DKH63', 'EHH63', 'EJH63', 'EKH63', 'ELH63', 'EMH63', 'ENH63', 'EPH63', 'KBH63', 'KCH63', 'KDH63', 'KEH63', 'KFH63', 'KGH63', 'KHH63', 'JBH63', 'JCH63', 'JDH63', 'JEH63', 'JFH63', 'MBH63', 'MCH63', 'MDH63', 'MEH63', 'MFH63', 'MGH63', 'BDH64', 'BEH64', 'BFH64', 'BGH64', 'BHH64', 'BJH64', 'CDH64', 'CEH64', 'CLH64', 'CMH64', 'CNH64', 'CPH64', 'CQH64', 'CRH64', 'LBH64', 'LCH64', 'LDH64', 'LEH64', 'LFH64', 'LGH64', 'LHH64', 'DJH64', 'DKH64', 'EHH64', 'EJH64', 'EKH64', 'ELH64', 'EMH64', 'ENH64', 'EPH64', 'EQH64', 'KBH64', 'KCH64', 'KDH64', 'KEH64', 'KFH64', 'KGH64', 'KHH64', 'JBH64', 'JCH64', 'JDH64', 'JEH64', 'JFH64', 'MBH64', 'MCH64', 'MDH64', 'MEH64', 'MFH64', 'MGH64', 'BDH65', 'BEH65', 'BFH65', 'BGH65', 'BHH65', 'BJH65', 'CDH65', 'CEH65', 'CLH65', 'CMH65', 'CNH65', 'CPH65', 'CQH65', 'CRH65', 'DBH65', 'DCH65', 'DDH65', 'DEH65', 'DFH65', 'DGH65', 'DHH65', 'DKH65', 'EHH65', 'EJH65', 'EKH65', 'ELH65', 'EMH65', 'ENH65', 'EPH65', 'EQH65', 'KBH65', 'KCH65', 'KDH65', 'KEH65', 'KFH65', 'KGH65', 'KHH65', 'JBH65', 'JCH65', 'JDH65', 'JEH65', 'JFH65', 'CDH66', 'CEH66', 'CLH66', 'CMH66', 'CNH66', 'CPH66', 'CQH66', 'CRH66', 'DBH66', 'DCH66', 'DDH66', 'DEH66', 'DFH66', 'DGH66', 'DHH66', 'DJH66', 'DKH66', 'EHH66', 'EJH66', 'EKH66', 'ELH66', 'EMH66', 'ENH66', 'EPH66', 'EQH66', 'CDH67', 'CEH67', 'CLH67', 'CMH67', 'CNH67', 'CPH67', 'CQH67', 'CRH67', 'DBH67', 'DCH67', 'DDH67', 'DEH67', 'DFH67', 'DGH67', 'DHH67', 'DJH67', 'DKH67', 'EHH67', 'EJH67', 'EKH67', 'ELH67', 'EMH67', 'ENH67', 'EPH67', 'EQH67', 'CDH68', 'CEH68', 'CLH68', 'CMH68', 'CNH68', 'CPH68', 'CQH68', 'CRH68', 'DBH68', 'DCH68', 'DDH68', 'DEH68', 'DFH68', 'DGH68', 'DHH68', 'DJH68', 'DKH68', 'EHH68', 'EJH68', 'EKH68', 'ELH68', 'EMH68', 'ENH68', 'EPH68', 'EQH68', 'DDH69', 'DEH69', 'DFH69', 'DGH69', 'DHH69', 'DJH69', 'DKH69', 'EHH69', 'EJH69', 'EKH69', 'ELH69', 'EMH69', 'ENH69', 'EPH69', 'EQH69', 'EPH6A', 'MHH6A', 'EPH6B', 'BDS60', 'BES60', 'BFS60', 'BGS60', 'BHS60', 'CDS60', 'CES60', 'CLS60', 'CMS60', 'CNS60', 'CPS60', 'CQS60', 'CRS60', 'DBS60', 'DCS60', 'DDS60', 'DES60', 'DFS60', 'BDS61', 'BES61', 'BFS61', 'BGS61', 'BHS61', 'CDS61', 'CES61', 'CLS61', 'CMS61', 'CNS61', 'CPS61', 'CQS61', 'CRS61', 'DBS61', 'DCS61', 'DDS61', 'DES61', 'DFS61', 'BDS62', 'BES62', 'BFS62', 'BGS62', 'BHS62', 'BJS62', 'CDS62', 'CES62', 'CLS62', 'CMS62', 'CNS62', 'CPS62', 'CQS62', 'CRS62', 'DBS62', 'DCS62', 'DDS62', 'DES62', 'DFS62', 'DGS62', 'DHS62', 'DKS62', 'EHS62', 'EJS62', 'EKS62', 'ELS62', 'EMS62', 'ENS62', 'EPS62', 'BDS63', 'BES63', 'BFS63', 'BGS63', 'BHS63', 'BJS63', 'CDS63', 'CES63', 'CLS63', 'CMS63', 'CNS63', 'CPS63', 'CQS63', 'CRS63', 'DBS63', 'DCS63', 'DDS63', 'DES63', 'DFS63', 'DGS63', 'DHS63', 'DKS63', 'EHS63', 'EJS63', 'EKS63', 'ELS63', 'EMS63', 'ENS63', 'EPS63', 'BDS64', 'BES64', 'BFS64', 'BGS64', 'BHS64', 'BJS64', 'CDS64', 'CES64', 'CLS64', 'CMS64', 'CNS64', 'CPS64', 'CQS64', 'CRS64', 'DBS64', 'DCS64', 'DDS64', 'DES64', 'DFS64', 'DGS64', 'DHS64', 'DJS64', 'DKS64', 'EHS64', 'EJS64', 'EKS64', 'ELS64', 'EMS64', 'ENS64', 'EPS64', 'EQS64', 'BDS65', 'BES65', 'BFS65', 'BGS65', 'BHS65', 'BJS65', 'CDS65', 'CES65', 'CLS65', 'CMS65', 'CNS65', 'CPS65', 'CQS65', 'CRS65', 'DBS65', 'DCS65', 'DDS65', 'DES65', 'DFS65', 'DGS65', 'DHS65', 'DJS65', 'DKS65', 'EHS65', 'EJS65', 'EKS65', 'ELS65', 'EMS65', 'ENS65', 'EPS65', 'EQS65', 'CDS66', 'CES66', 'CLS66', 'CMS66', 'CNS66', 'CPS66', 'CQS66', 'CRS66', 'DBS66', 'DCS66', 'DDS66', 'DES66', 'DFS66', 'DGS66', 'DHS66', 'DJS66', 'DKS66', 'EHS66', 'EJS66', 'EKS66', 'ELS66', 'EMS66', 'ENS66', 'EPS66', 'EQS66', 'CDS67', 'CES67', 'CLS67', 'CMS67', 'CNS67', 'CPS67', 'CQS67', 'CRS67', 'DBS67', 'DCS67', 'DDS67', 'DES67', 'DFS67', 'DGS67', 'DHS67', 'DJS67', 'DKS67', 'EHS67', 'EJS67', 'EKS67', 'ELS67', 'EMS67', 'ENS67', 'EPS67', 'EQS67', 'CDS68', 'CES68', 'CLS68', 'CMS68', 'CNS68', 'CPS68', 'CQS68', 'CRS68', 'DBS68', 'DCS68', 'DDS68', 'DES68', 'DFS68', 'DGS68', 'DHS68', 'DJS68', 'DKS68', 'EHS68', 'EJS68', 'EKS68', 'ELS68', 'EMS68', 'ENS68', 'EPS68', 'EQS68', 'DDS69', 'DES69', 'DFS69', 'DGS69', 'DHS69', 'DJS69', 'DKS69', 'EHS69', 'EJS69', 'EKS69', 'ELS69', 'EMS69', 'ENS69', 'EPS69', 'EQS69', 'userDefined', 'FakeData']</t>
        </r>
      </text>
    </comment>
    <comment ref="M2704" authorId="0" shapeId="0" xr:uid="{DBC4A704-130A-4832-9378-FA46E0BB3C41}">
      <text>
        <r>
          <rPr>
            <b/>
            <sz val="9"/>
            <color indexed="81"/>
            <rFont val="Tahoma"/>
            <family val="2"/>
          </rPr>
          <t>['VFD4010006PA', 'VFD4012506PA', 'VFD4015006PA', 'VFD4020006PA', 'VFD4025006PA', 'VFD4030006PA', 'VFD4040006PA', 'VFD4050006PA', 'VFD4060006PA', 'VFD4070006PA', 'FakeData']</t>
        </r>
      </text>
    </comment>
    <comment ref="M2709" authorId="0" shapeId="0" xr:uid="{EA861D2B-7F8D-460C-833F-87D4E99D093C}">
      <text>
        <r>
          <rPr>
            <b/>
            <sz val="9"/>
            <color indexed="81"/>
            <rFont val="Tahoma"/>
            <family val="2"/>
          </rPr>
          <t>['FakeData', 'DD480', 'DD588', 'DE658', 'DE745', 'DE800', 'DE880', 'DE990', 'DP1120', 'DP1260', 'DP1460', 'DP1670', 'FrameR0230', 'FrameE0485', 'FrameE0765', 'FrameE1275', 'VFD_19MVDD0395', 'VFD_19MVDD0480', 'VFD_19MVDD0588', 'VFD_19MVDE0658', 'VFD_19MVDE0745', 'VFD_19MVDE0800', 'VFD_19MVDE0880', 'VFD_19MVDE0990']</t>
        </r>
      </text>
    </comment>
    <comment ref="M2710" authorId="0" shapeId="0" xr:uid="{57AE0765-5D7B-41C2-AF31-E14C734E32AB}">
      <text>
        <r>
          <rPr>
            <b/>
            <sz val="9"/>
            <color indexed="81"/>
            <rFont val="Tahoma"/>
            <family val="2"/>
          </rPr>
          <t>['Frame0414', 'Frame0500', 'Frame0643', 'FakeData']</t>
        </r>
      </text>
    </comment>
    <comment ref="M2711" authorId="0" shapeId="0" xr:uid="{048FEB66-B391-4446-A0EA-6842F2F9F3AB}">
      <text>
        <r>
          <rPr>
            <b/>
            <sz val="9"/>
            <color indexed="81"/>
            <rFont val="Tahoma"/>
            <family val="2"/>
          </rPr>
          <t>['VFD_19DV', 'VFD_19MV', 'VFD_19XRV', 'VFD_23XR']</t>
        </r>
      </text>
    </comment>
    <comment ref="M2712" authorId="0" shapeId="0" xr:uid="{DCF7B900-BDC2-42A3-A228-628C2066CEE6}">
      <text>
        <r>
          <rPr>
            <b/>
            <sz val="9"/>
            <color indexed="81"/>
            <rFont val="Tahoma"/>
            <family val="2"/>
          </rPr>
          <t>['VFD_32VSS0600', 'VFD_32VSS0540', 'VFD_32VSS0680', 'VFD_32VSS0850', 'VFD_32VSS0900', 'VFD_32VSS1060', 'VFD_32VSS1200', 'VFD_32VSC0540', 'VFD_32VSC0680', 'VFD_32VSC0850', 'VFD_32VSC0900', 'VFD_32VSC1060', 'VFD_32VSC1200', 'VFD_19DV2AA', 'VFD_19DV2CC', 'VFD_19DV4AA', 'VFD_19DV4CC', 'Frame_403_VFPS1_4220KPC', 'Frame_454_VFPS1_4250KPC', 'Frame_519_VFPS1_4280KPC', 'Frame_581_VFPS1_4315KPC', 'Frame_716_VFPS1_4400KPC', 'Frame_906_VFPS1_4500KPC', 'Frame_1121_VFPS1_4630KPC', 'FakeData']</t>
        </r>
      </text>
    </comment>
    <comment ref="M2713" authorId="0" shapeId="0" xr:uid="{5F291B98-911B-47F1-AB26-B03C7D75F5EE}">
      <text>
        <r>
          <rPr>
            <b/>
            <sz val="9"/>
            <color indexed="81"/>
            <rFont val="Tahoma"/>
            <family val="2"/>
          </rPr>
          <t>['FC_102N450T4', 'FakeData']</t>
        </r>
      </text>
    </comment>
    <comment ref="M2714" authorId="0" shapeId="0" xr:uid="{584B08B5-B6F6-417F-8733-1D3E85C471FE}">
      <text>
        <r>
          <rPr>
            <b/>
            <sz val="9"/>
            <color indexed="81"/>
            <rFont val="Tahoma"/>
            <family val="2"/>
          </rPr>
          <t>['Freestanding', 'UnitMounted', 'StandardTier']</t>
        </r>
      </text>
    </comment>
    <comment ref="M2715" authorId="0" shapeId="0" xr:uid="{9E6BFD3B-78E9-4DFD-A3EF-5977510489B5}">
      <text>
        <r>
          <rPr>
            <b/>
            <sz val="9"/>
            <color indexed="81"/>
            <rFont val="Tahoma"/>
            <family val="2"/>
          </rPr>
          <t>['VFD_23XVR0269007', 'VFD_23XVR0230003', 'VFD_23XVR0230003_P', 'VFD_23XVR0335005', 'VFD_23XVR0335005_P', 'VFD_23XVR0445005', 'VFD_23XVR0445005_P', 'VFD_23XRA2AA5', 'VFD_23XRA2BA5', 'VFD_23XRA2BB5', 'VFD_23XRA2CC5']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Jia Li</author>
  </authors>
  <commentList>
    <comment ref="M775" authorId="0" shapeId="0" xr:uid="{706EA07C-E349-4944-830A-FD2ED087941C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834" authorId="0" shapeId="0" xr:uid="{55134AE7-FFBF-47A6-B3F6-27DA0AFB340B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31" authorId="0" shapeId="0" xr:uid="{AF8177B2-3D46-44CD-A6D0-46B5F499842C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91" authorId="0" shapeId="0" xr:uid="{FC1D0E35-C7E7-41A3-B55D-6DE8371FEE0B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51" authorId="0" shapeId="0" xr:uid="{3F185F64-6E42-4225-AD9A-2C56378B496A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73" authorId="0" shapeId="0" xr:uid="{737AF50A-4E01-4B42-ABDF-862A33CE3E15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837" authorId="0" shapeId="0" xr:uid="{212DA65D-9A4D-4108-AC49-92B3A7D5D821}">
      <text>
        <r>
          <rPr>
            <b/>
            <sz val="9"/>
            <color indexed="81"/>
            <rFont val="Tahoma"/>
            <family val="2"/>
          </rPr>
          <t>['Cen2Stage_19DV', 'Cen2Stage_19MV']</t>
        </r>
      </text>
    </comment>
    <comment ref="M1871" authorId="0" shapeId="0" xr:uid="{40737F94-2B8B-47C8-9E64-63E7B0F29442}">
      <text>
        <r>
          <rPr>
            <b/>
            <sz val="9"/>
            <color indexed="81"/>
            <rFont val="Tahoma"/>
            <family val="2"/>
          </rPr>
          <t>['FakeData', 'Map19DV3_3_4', 'Map19DV3_4_4', 'Map19DV3_5_4', 'Map19DV3_6_4', 'Map19DV4_3_2', 'Map19DV4_4_2', 'Map19DV4_5_2', 'Map19DV4_6_2', 'Map19DV4_3_4', 'Map19DV4_4_4', 'Map19DV4_5_4', 'Map19DV4_6_4', 'Map19DV5_4_4', 'Map19DV5_6_4', 'Map19DV5_8_4', 'Map19DV5_D_4', 'Map19DV5_F_4', 'userDefined']</t>
        </r>
      </text>
    </comment>
    <comment ref="M1872" authorId="0" shapeId="0" xr:uid="{3C2ADC83-E64F-400B-9BAD-F83D39B150D0}">
      <text>
        <r>
          <rPr>
            <b/>
            <sz val="9"/>
            <color indexed="81"/>
            <rFont val="Tahoma"/>
            <family val="2"/>
          </rPr>
          <t>['FakeData', 'Map19MV3_3_9', 'Map19MV3_4_9', 'Map19MV3_5_9', 'Map19MV3_6_9', 'Map19MV3_7_9', 'Map19MV3_8_9', 'userDefined']</t>
        </r>
      </text>
    </comment>
    <comment ref="M2000" authorId="0" shapeId="0" xr:uid="{EED07E27-412C-439D-AEB4-DC0692BC87B2}">
      <text>
        <r>
          <rPr>
            <b/>
            <sz val="9"/>
            <color indexed="81"/>
            <rFont val="Tahoma"/>
            <family val="2"/>
          </rPr>
          <t>['userDefined', 'Chiller19DV_ECS', 'Chiller19DV_G23', 'Chiller19DV_M42', 'Chiller19DV_M43', 'Chiller19DV_M44', 'Chiller19DV_M4C', 'Chiller19DV_M4D', 'Chiller19DV_M4E', 'Chiller19DV_M62', 'Chiller19DV_M63', 'Chiller19DV_M64', 'Chiller19DV_M6C', 'Chiller19DV_M6D', 'Chiller19DV_M6E', 'Chiller19PV_LWTTurbo', 'Chiller19PV_TE', 'Chiller19XR_C85', 'Chiller23XR_31', 'Chiller23XR_46', 'Chiller23XR_59', 'Chiller23XR_B2', 'Chiller23XR_B3', 'Chiller23XR_B5', 'Chiller23XR_B6', 'Chiller30DW_RC', 'Chiller30DW_RD', 'Chiller30DW_RG', 'Chiller30DW_RH', 'Chiller30DW_T6', 'Chiller30DW_T8', 'Chiller30DW_V7', 'Chiller30DW_V8', 'Chiller30XW_KIWIZA', 'Chiller19MV_31B', 'Chiller19MV_31C', 'Chiller19MV_31D', 'Chiller19MV_31F', 'Chiller19MV_31G', 'Chiller19MV_31J', 'Chiller19MV_31K', 'Chiller19MV_31L', 'Chiller19MV_31M', 'Chiller19MV_31N', 'Chiller19MV_33B', 'Chiller19MV_33C', 'Chiller19MV_33D', 'Chiller19MV_33F', 'Chiller19MV_33G', 'Chiller19MV_33J', 'Chiller19MV_33K', 'Chiller19MV_33L', 'Chiller19MV_33M', 'Chiller19MV_33N', 'Chiller19MV_41B', 'Chiller19MV_41C', 'Chiller19MV_41D', 'Chiller19MV_41F', 'Chiller19MV_41G', 'Chiller19MV_41J', 'Chiller19MV_41K', 'Chiller19MV_41L', 'Chiller19MV_41M', 'Chiller19MV_41N', 'Chiller19MV_43B', 'Chiller19MV_43C', 'Chiller19MV_43D', 'Chiller19MV_43F', 'Chiller19MV_43G', 'Chiller19MV_43J', 'Chiller19MV_43K', 'Chiller19MV_43L', 'Chiller19MV_43M', 'Chiller19MV_43N', 'Chiller19MV_51B', 'Chiller19MV_51C', 'Chiller19MV_51D', 'Chiller19MV_51F', 'Chiller19MV_51G', 'Chiller19MV_51J', 'Chiller19MV_51K', 'Chiller19MV_51L', 'Chiller19MV_51M', 'Chiller19MV_51N', 'Chiller19MV_53B', 'Chiller19MV_53C', 'Chiller19MV_53D', 'Chiller19MV_53F', 'Chiller19MV_53G', 'Chiller19MV_53J', 'Chiller19MV_53K', 'Chiller19MV_53L', 'Chiller19MV_53M', 'Chiller19MV_53N']</t>
        </r>
      </text>
    </comment>
    <comment ref="M2001" authorId="0" shapeId="0" xr:uid="{9D88F78A-3B98-493C-B7A2-7BC59A13DA5E}">
      <text>
        <r>
          <rPr>
            <b/>
            <sz val="9"/>
            <color indexed="81"/>
            <rFont val="Tahoma"/>
            <family val="2"/>
          </rPr>
          <t>['userDefined', 'FV_19DV3_4', 'FV_19DV5']</t>
        </r>
      </text>
    </comment>
    <comment ref="M2002" authorId="0" shapeId="0" xr:uid="{8D0368A2-6FE2-4797-A575-EF9D0A8F7E2F}">
      <text>
        <r>
          <rPr>
            <b/>
            <sz val="9"/>
            <color indexed="81"/>
            <rFont val="Tahoma"/>
            <family val="2"/>
          </rPr>
          <t>['userDefined', 'C5_075_025_R1233zd', 'C5_075_025_R1233zd_FrameM', 'C5_075_025_R134a', 'C5_075_025_R134a_Frame8', 'C5_075_025_R134a_FrameA', 'C5_075_025_R134a_FrameB', 'C5_075_025_R134a_FrameC', 'C5_075_025_R134a_FrameD', 'C5_075_025_R134a_FrameAtoB_flasc', 'C5_075_025_R134a_FrameC_flasc', 'C5_075_025_R134a_FrameD_flasc', 'C5_075_028_R1233zd', 'C5_075_028_R1233zd_FrameM', 'C5_100_025_R1233zd', 'C5_100_025_R1233zd_FrameM', 'C5_100_025_R134a_FrameA', 'C5_100_025_R134a_FrameB', 'C5_100_025_R134a_FrameC', 'C5_100_025_R134a_FrameD', 'C5_100_025_R134a_FrameAtoB_flasc', 'C5_100_025_R134a_FrameC_flasc', 'C5_100_025_R134a_FrameD_flasc', 'C5_100_028_R1233zd', 'C5_100_028_R1233zd_FrameM', 'CSL_075_028_R134a', 'CSL_100_028_R134a', 'C_SL_075_025_R134a', 'C_SL_075_028_R134a', 'C_075_035_R134a', 'SPKIII_075_025_R1233zd', 'SPKIII_075_025_R1233zd_FrameM', 'SPKIII_075_025_R134a_Frame8', 'SPKIII_075_025_R134a_FrameAtoB', 'SPKIII_075_025_R134a_FrameAtoD_flasc', 'SPKIII_075_025_R134a_FrameCtoD', 'SPKIII_075_025_R134a_HX1to6', 'SPKIII_075_025_R134a_HX7to8', 'SPKIII_075_028_R1233zd', 'SPKIII_075_028_R1233zd_FrameM', 'SPKIII_075_028_R134a_HX1to6', 'SPKIII_075_035_R1233zd', 'SPKIII_075_035_R1233zd_FrameM', 'SPKIII_075_035_R134a_HX1to6', 'SPKIII_100_025_R1233zd', 'SPKIII_100_025_R1233zd_FrameM', 'SPKIII_100_025_R134a_FrameAtoB', 'SPKIII_100_025_R134a_FrameAtoD_flasc', 'SPKIII_100_025_R134a_FrameCtoD', 'SPKIII_100_028_R1233zd', 'SPKIII_100_028_R1233zd_FrameM', 'SPKIII_100_035_R1233zd', 'SPKIII_100_035_R1233zd_FrameM', 'C5_075_028_R134a']</t>
        </r>
      </text>
    </comment>
    <comment ref="M2306" authorId="0" shapeId="0" xr:uid="{BFD8CCBF-63B0-41F6-93FF-D8F8023668FB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311" authorId="0" shapeId="0" xr:uid="{BDC1270F-3E49-4173-8F45-46C3068121B5}">
      <text>
        <r>
          <rPr>
            <b/>
            <sz val="9"/>
            <color indexed="81"/>
            <rFont val="Tahoma"/>
            <family val="2"/>
          </rPr>
          <t>['EDR', 'Surrogate']</t>
        </r>
      </text>
    </comment>
    <comment ref="M2361" authorId="0" shapeId="0" xr:uid="{02AF4EFF-121C-441D-9338-B3DC6E93A36D}">
      <text>
        <r>
          <rPr>
            <b/>
            <sz val="9"/>
            <color indexed="81"/>
            <rFont val="Tahoma"/>
            <family val="2"/>
          </rPr>
          <t>['square', 'triangle']</t>
        </r>
      </text>
    </comment>
    <comment ref="M2380" authorId="0" shapeId="0" xr:uid="{439EE068-257F-4E17-8E27-6C5A8BDF9837}">
      <text>
        <r>
          <rPr>
            <b/>
            <sz val="9"/>
            <color indexed="81"/>
            <rFont val="Tahoma"/>
            <family val="2"/>
          </rPr>
          <t>['userDefined', 'Chiller19PV_H2', 'Chiller19PV_L2', 'Chiller19PV_OE', 'Chiller19XR_10', 'Chiller19XR_11', 'Chiller19XR_12', 'Chiller19XR_15', 'Chiller19XR_16', 'Chiller19XR_17', 'Chiller19XR_20', 'Chiller19XR_21', 'Chiller19XR_22', 'Chiller19XR_30', 'Chiller19XR_31', 'Chiller19XR_32', 'Chiller19XR_33', 'Chiller19XR_34', 'Chiller19XR_35', 'Chiller19XR_36', 'Chiller19XR_37', 'Chiller19XR_38', 'Chiller19XR_39', 'Chiller19XR_3K', 'Chiller19XR_3L', 'Chiller19XR_3M', 'Chiller19XR_3P', 'Chiller19XR_3Q', 'Chiller19XR_3R', 'Chiller19XR_3T', 'Chiller19XR_3U', 'Chiller19XR_3V', 'Chiller19XR_3X', 'Chiller19XR_3Y', 'Chiller19XR_3Z', 'Chiller19XR_40', 'Chiller19XR_41', 'Chiller19XR_42', 'Chiller19XR_43', 'Chiller19XR_44', 'Chiller19XR_45', 'Chiller19XR_46', 'Chiller19XR_47', 'Chiller19XR_48', 'Chiller19XR_49', 'Chiller19XR_4K', 'Chiller19XR_4L', 'Chiller19XR_4M', 'Chiller19XR_4P', 'Chiller19XR_4Q', 'Chiller19XR_4R', 'Chiller19XR_4T', 'Chiller19XR_4U', 'Chiller19XR_4V', 'Chiller19XR_4X', 'Chiller19XR_4Y', 'Chiller19XR_4Z', 'Chiller19XR_50', 'Chiller19XR_51', 'Chiller19XR_52', 'Chiller19XR_53', 'Chiller19XR_54', 'Chiller19XR_55', 'Chiller19XR_56', 'Chiller19XR_57', 'Chiller19XR_58', 'Chiller19XR_59', 'Chiller19XR_5A', 'Chiller19XR_5B', 'Chiller19XR_5C', 'Chiller19XR_5F', 'Chiller19XR_5G', 'Chiller19XR_5H', 'Chiller19XR_5K', 'Chiller19XR_5L', 'Chiller19XR_5M', 'Chiller19XR_5P', 'Chiller19XR_5Q', 'Chiller19XR_5R', 'Chiller19XR_5T', 'Chiller19XR_5U', 'Chiller19XR_5V', 'Chiller19XR_5X', 'Chiller19XR_5Y', 'Chiller19XR_5Z', 'Chiller19XR_60', 'Chiller19XR_61', 'Chiller19XR_62', 'Chiller19XR_63', 'Chiller19XR_64', 'Chiller19XR_65', 'Chiller19XR_66', 'Chiller19XR_67', 'Chiller19XR_68', 'Chiller19XR_69', 'Chiller19XR_6K', 'Chiller19XR_6L', 'Chiller19XR_6M', 'Chiller19XR_6P', 'Chiller19XR_6Q', 'Chiller19XR_6R', 'Chiller19XR_6T', 'Chiller19XR_6U', 'Chiller19XR_6V', 'Chiller19XR_6X', 'Chiller19XR_6Y', 'Chiller19XR_6Z', 'Chiller19XR_70', 'Chiller19XR_71', 'Chiller19XR_72', 'Chiller19XR_73', 'Chiller19XR_74', 'Chiller19XR_75', 'Chiller19XR_76', 'Chiller19XR_77', 'Chiller19XR_78', 'Chiller19XR_79', 'Chiller19XR_7K', 'Chiller19XR_7L', 'Chiller19XR_7M', 'Chiller19XR_7P', 'Chiller19XR_7Q', 'Chiller19XR_7R', 'Chiller19XR_7T', 'Chiller19XR_7U', 'Chiller19XR_7V', 'Chiller19XR_7X', 'Chiller19XR_7Y', 'Chiller19XR_7Z', 'Chiller19XR_80', 'Chiller19XR_81', 'Chiller19XR_82', 'Chiller19XR_83', 'Chiller19XR_84', 'Chiller19XR_85', 'Chiller19XR_86', 'Chiller19XR_87', 'Chiller19XR_88', 'Chiller19XR_89', 'Chiller19XR_8K', 'Chiller19XR_8L', 'Chiller19XR_8M', 'Chiller19XR_8P', 'Chiller19XR_8Q', 'Chiller19XR_8R', 'Chiller19XR_8T', 'Chiller19XR_8U', 'Chiller19XR_8V', 'Chiller19XR_8X', 'Chiller19XR_8Y', 'Chiller19XR_8Z', 'Chiller19XR_A45', 'Chiller19XR_A4F', 'Chiller19XR_B67', 'Chiller19XR_B85', 'Chiller19XR_B8F', 'Chiller19XR_C66', 'Chiller19XR_C87', 'Chiller19XR_C8H', 'Chiller30DW_MC', 'Chiller30DW_MD', 'Chiller30DW_ME', 'Chiller30DW_MG', 'Chiller30DW_O3', 'Chiller30DW_O5', 'Chiller30DW_P5', 'Chiller30DW_P6', 'Chiller30DW_PJ', 'Chiller30KAV', 'Chiller30KAV_Pluged', 'Chiller19MV_31B', 'Chiller19MV_31C', 'Chiller19MV_31D', 'Chiller19MV_31E', 'Chiller19MV_31F', 'Chiller19MV_31G', 'Chiller19MV_31H', 'Chiller19MV_31J', 'Chiller19MV_31K', 'Chiller19MV_31L', 'Chiller19MV_31M', 'Chiller19MV_31N', 'Chiller19MV_31O', 'Chiller19MV_31P', 'Chiller19MV_31Q', 'Chiller19MV_31R', 'Chiller19MV_31S', 'Chiller19MV_31T', 'Chiller19MV_31U', 'Chiller19MV_31V', 'Chiller19MV_31W', 'Chiller19MV_31X', 'Chiller19MV_31Y', 'Chiller19MV_31Z', 'Chiller19MV_33B', 'Chiller19MV_33C', 'Chiller19MV_33D', 'Chiller19MV_33E', 'Chiller19MV_33F', 'Chiller19MV_33G', 'Chiller19MV_33H', 'Chiller19MV_33J', 'Chiller19MV_33K', 'Chiller19MV_33L', 'Chiller19MV_33M', 'Chiller19MV_33N', 'Chiller19MV_33O', 'Chiller19MV_33P', 'Chiller19MV_33Q', 'Chiller19MV_33R', 'Chiller19MV_33S', 'Chiller19MV_33T', 'Chiller19MV_33U', 'Chiller19MV_33V', 'Chiller19MV_33W', 'Chiller19MV_33X', 'Chiller19MV_33Y', 'Chiller19MV_33Z', 'Chiller19MV_41B', 'Chiller19MV_41C', 'Chiller19MV_41D', 'Chiller19MV_41E', 'Chiller19MV_41F', 'Chiller19MV_41G', 'Chiller19MV_41H', 'Chiller19MV_41J', 'Chiller19MV_41K', 'Chiller19MV_41L', 'Chiller19MV_41M', 'Chiller19MV_41N', 'Chiller19MV_41O', 'Chiller19MV_41P', 'Chiller19MV_41Q', 'Chiller19MV_41R', 'Chiller19MV_41S', 'Chiller19MV_41T', 'Chiller19MV_41U', 'Chiller19MV_41V', 'Chiller19MV_41W', 'Chiller19MV_41X', 'Chiller19MV_41Y', 'Chiller19MV_41Z', 'Chiller19MV_43B', 'Chiller19MV_43C', 'Chiller19MV_43D', 'Chiller19MV_43E', 'Chiller19MV_43F', 'Chiller19MV_43G', 'Chiller19MV_43H', 'Chiller19MV_43J', 'Chiller19MV_43K', 'Chiller19MV_43L', 'Chiller19MV_43M', 'Chiller19MV_43N', 'Chiller19MV_43O', 'Chiller19MV_43P', 'Chiller19MV_43Q', 'Chiller19MV_43R', 'Chiller19MV_43S', 'Chiller19MV_43T', 'Chiller19MV_43U', 'Chiller19MV_43V', 'Chiller19MV_43W', 'Chiller19MV_43X', 'Chiller19MV_43Y', 'Chiller19MV_43Z', 'Chiller19MV_51B', 'Chiller19MV_51C', 'Chiller19MV_51D', 'Chiller19MV_51E', 'Chiller19MV_51F', 'Chiller19MV_51G', 'Chiller19MV_51H', 'Chiller19MV_51J', 'Chiller19MV_51K', 'Chiller19MV_51L', 'Chiller19MV_51M', 'Chiller19MV_51N', 'Chiller19MV_51O', 'Chiller19MV_51P', 'Chiller19MV_51Q', 'Chiller19MV_51R', 'Chiller19MV_51S', 'Chiller19MV_51T', 'Chiller19MV_51U', 'Chiller19MV_51V', 'Chiller19MV_51W', 'Chiller19MV_51X', 'Chiller19MV_51Y', 'Chiller19MV_51Z', 'Chiller19MV_53B', 'Chiller19MV_53C', 'Chiller19MV_53D', 'Chiller19MV_53E', 'Chiller19MV_53F', 'Chiller19MV_53G', 'Chiller19MV_53H', 'Chiller19MV_53J', 'Chiller19MV_53K', 'Chiller19MV_53L', 'Chiller19MV_53M', 'Chiller19MV_53N', 'Chiller19MV_53O', 'Chiller19MV_53P', 'Chiller19MV_53Q', 'Chiller19MV_53R', 'Chiller19MV_53S', 'Chiller19MV_53T', 'Chiller19MV_53U', 'Chiller19MV_53V', 'Chiller19MV_53W', 'Chiller19MV_53X', 'Chiller19MV_53Y', 'Chiller19MV_53Z']</t>
        </r>
      </text>
    </comment>
    <comment ref="M2381" authorId="0" shapeId="0" xr:uid="{C598DF6A-B9BC-4AD2-A8C1-C777DD964543}">
      <text>
        <r>
          <rPr>
            <b/>
            <sz val="9"/>
            <color indexed="81"/>
            <rFont val="Tahoma"/>
            <family val="2"/>
          </rPr>
          <t>['userDefined', 'B4HSL_075_025_R134a', 'B4HSL_075_025_R134a_turbulator_L', 'B4HSL_075_025_R134a_turbulator_R', 'B4HSL_075_028_R134a', 'B4HSL_100_025_R134a', 'B4H_075_035_R134a', 'B5_075_025_R1233zd', 'B5_075_025_R134a', 'B5_100_025_R1233zd', 'B5_100_025_R134a', 'EDE2_075_025_R134a', 'EDE2_075_028_R134a', 'EDE2_075_035_R134a', 'ELP2_075_025_R1233zd', 'ELP2_075_028_R1233zd', 'ELP2_100_025_R1233zd', 'ELP2_100_028_R1233zd', 'ESP_075_025_R134a', 'ESP_075_028_R134a', 'ESP_075_035_R134a', 'ESP_100_025_R134a', 'ESP_100_028_R134a', 'ESP_100_035_R134a', 'B5_075_028_R134a', 'B5_100_028_R134a']</t>
        </r>
      </text>
    </comment>
    <comment ref="M2432" authorId="0" shapeId="0" xr:uid="{35A88BD7-6CC5-4549-B874-45234F7C23A9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477" authorId="0" shapeId="0" xr:uid="{FE87F56E-A52C-4673-8384-ADC5BA7F1EB7}">
      <text>
        <r>
          <rPr>
            <b/>
            <sz val="9"/>
            <color indexed="81"/>
            <rFont val="Tahoma"/>
            <family val="2"/>
          </rPr>
          <t>['Parameterization', 'SystemBalancing']</t>
        </r>
      </text>
    </comment>
    <comment ref="M2478" authorId="0" shapeId="0" xr:uid="{5CA61141-6106-49C7-99B6-CF6F14BDA009}">
      <text>
        <r>
          <rPr>
            <b/>
            <sz val="9"/>
            <color indexed="81"/>
            <rFont val="Tahoma"/>
            <family val="2"/>
          </rPr>
          <t>['Basic', 'Advanced']</t>
        </r>
      </text>
    </comment>
    <comment ref="M2522" authorId="0" shapeId="0" xr:uid="{C02AF093-9638-408E-94BF-C467EB47B7BB}">
      <text>
        <r>
          <rPr>
            <b/>
            <sz val="9"/>
            <color indexed="81"/>
            <rFont val="Tahoma"/>
            <family val="2"/>
          </rPr>
          <t>['Motor_LBH_460', 'Motor_LBH_380', 'Motor_LDH_460', 'Motor_LDH_380', 'Motor_LFH_460', 'Motor_LFH_380', 'Motor_LHH_460', 'Motor_LHH_380', 'Motor_NBH_460', 'Motor_NBH_380', 'Motor_NDH_460', 'Motor_NDH_380', 'Motor_NFH_460', 'Motor_NFH_380', 'Motor_NHH_460', 'Motor_NHH_380', 'Motor_QBH_380', 'Motor_QDH_380', 'Motor_QFH_380', 'Motor_QHH_380', 'Motor_QBH_460', 'Motor_QDH_460', 'Motor_QFH_460', 'Motor_QHH_460', 'userDefined', 'FakeData']</t>
        </r>
      </text>
    </comment>
    <comment ref="M2523" authorId="0" shapeId="0" xr:uid="{A2FC77C8-72C4-46A7-9180-A63B36CD3D2C}">
      <text>
        <r>
          <rPr>
            <b/>
            <sz val="9"/>
            <color indexed="81"/>
            <rFont val="Tahoma"/>
            <family val="2"/>
          </rPr>
          <t>['FakeData', 'Motor_BCH_380', 'Motor_BCH_460', 'Motor_BGH_380', 'Motor_BGH_460', 'Motor_BLH_380', 'Motor_BLH_460', 'Motor_K3H_380', 'Motor_K3H_460', 'Motor_K5H_380', 'Motor_K5H_460', 'Motor_K7H_380', 'Motor_K7H_460', 'userDefined']</t>
        </r>
      </text>
    </comment>
    <comment ref="M2524" authorId="0" shapeId="0" xr:uid="{B9CB2237-B938-40DB-B640-7B5CE56C7C03}">
      <text>
        <r>
          <rPr>
            <b/>
            <sz val="9"/>
            <color indexed="81"/>
            <rFont val="Tahoma"/>
            <family val="2"/>
          </rPr>
          <t>['BDH50', 'BEH50', 'BFH50', 'BGH50', 'BHH50', 'CDH50', 'CEH50', 'CLH50', 'CMH50', 'CNH50', 'CPH50', 'CQH50', 'CRH50', 'DBH50', 'DCH50', 'DDH50', 'DEH50', 'DFH50', 'DGH50', 'KBH50', 'KCH50', 'KDH50', 'KEH50', 'KFH50', 'KGH50', 'JBH50', 'JCH50', 'JDH50', 'JEH50', 'BDH51', 'BEH51', 'BFH51', 'BGH51', 'BHH51', 'CDH51', 'CEH51', 'CLH51', 'CMH51', 'CNH51', 'CPH51', 'CQH51', 'CRH51', 'DBH51', 'DCH51', 'DDH51', 'DEH51', 'DFH51', 'DGH51', 'DHH51', 'DJH51', 'BDH52', 'BEH52', 'BFH52', 'BGH52', 'BHH52', 'CDH52', 'CEH52', 'CLH52', 'CMH52', 'CNH52', 'CPH52', 'CQH52', 'LBH52', 'LCH52', 'LDH52', 'LEH52', 'LFH52', 'LGH52', 'LHH52', 'EHH52', 'EJH52', 'EKH52', 'ELH52', 'EMH52', 'ENH52', 'EPH52', 'KBH52', 'KCH52', 'KDH52', 'KEH52', 'KFH52', 'KGH52', 'DBH52', 'DCH52', 'DDH52', 'DEH52', 'DFH52', 'DGH52', 'DHH52', 'DJH52', 'JBH52', 'JCH52', 'JDH52', 'JEH52', 'MBH52', 'MCH52', 'MDH52', 'MEH52', 'MFH52', 'CDH53', 'CEH53', 'CLH53', 'CMH53', 'CNH53', 'CPH53', 'CQH53', 'DBH53', 'DCH53', 'DDH53', 'DEH53', 'DFH53', 'DGH53', 'DHH53', 'DJH53', 'EHH53', 'EJH53', 'EKH53', 'ELH53', 'EMH53', 'ENH53', 'EPH53', 'CDH54', 'CEH54', 'CLH54', 'CMH54', 'CNH54', 'CPH54', 'CQH54', 'DBH54', 'DCH54', 'DDH54', 'DEH54', 'DFH54', 'DGH54', 'DHH54', 'DJH54', 'EHH54', 'EJH54', 'EKH54', 'ELH54', 'EMH54', 'ENH54', 'EPH54', 'DDH55', 'DEH55', 'DFH55', 'DGH55', 'DHH55', 'DJH55', 'EHH55', 'EJH55', 'EKH55', 'ELH55', 'EMH55', 'ENH55', 'EPH55', 'MDH56', 'MFH56', 'MDH57', 'MFH57', 'BDS50', 'BES50', 'BFS50', 'BGS50', 'BHS50', 'CDS50', 'CES50', 'CLS50', 'CMS50', 'CNS50', 'CPS50', 'CQS50', 'CRS50', 'DBS50', 'DCS50', 'DDS50', 'DES50', 'DFS50', 'DGS50', 'DHS50', 'BDS51', 'BES51', 'BFS51', 'BGS51', 'BHS51', 'CDS51', 'CES51', 'CLS51', 'CMS51', 'CNS51', 'CPS51', 'CQS51', 'CRS51', 'DBS51', 'DCS51', 'DDS51', 'DES51', 'DFS51', 'DGS51', 'DHS51', 'DJS51', 'BDS52', 'BES52', 'BFS52', 'BGS52', 'BHS52', 'CDS52', 'CES52', 'CLS52', 'CMS52', 'CNS52', 'CPS52', 'CQS52', 'CRS52', 'DBS52', 'DCS52', 'DDS52', 'DES52', 'DFS52', 'DGS52', 'DHS52', 'DJS52', 'EHS52', 'EJS52', 'EKS52', 'ELS52', 'EMS52', 'ENS52', 'EPS52', 'CDS53', 'CES53', 'CLS53', 'CMS53', 'CNS53', 'CPS53', 'CQS53', 'CRS53', 'DBS53', 'DCS53', 'DDS53', 'DES53', 'DFS53', 'DGS53', 'DHS53', 'DJS53', 'EHS53', 'EJS53', 'EKS53', 'ELS53', 'EMS53', 'ENS53', 'EPS53', 'CDS54', 'CES54', 'CLS54', 'CMS54', 'CNS54', 'CPS54', 'CQS54', 'CRS54', 'DBS54', 'DCS54', 'DDS54', 'DES54', 'DFS54', 'DGS54', 'DHS54', 'DJS54', 'EHS54', 'EJS54', 'EKS54', 'ELS54', 'EMS54', 'ENS54', 'EPS54', 'DDS55', 'DES55', 'DFS55', 'DGS55', 'DHS55', 'DJS55', 'EHS55', 'EJS55', 'EKS55', 'ELS55', 'EMS55', 'ENS55', 'EPS55', 'EMS56', 'EMS57', 'BDH60', 'BEH60', 'BFH60', 'BGH60', 'BHH60', 'CDH60', 'CEH60', 'CLH60', 'CMH60', 'CNH60', 'CPH60', 'CQH60', 'CRH60', 'DBH60', 'DCH60', 'DDH60', 'DEH60', 'DFH60', 'KBH60', 'KCH60', 'KDH60', 'KEH60', 'KFH60', 'KGH60', 'KHH60', 'JBH60', 'JCH60', 'JDH60', 'JEH60', 'BDH61', 'BEH61', 'BFH61', 'BGH61', 'BHH61', 'CDH61', 'CEH61', 'CLH61', 'CMH61', 'CNH61', 'CPH61', 'CQH61', 'CRH61', 'DBH61', 'DCH61', 'DDH61', 'DEH61', 'DFH61', 'KBH61', 'KCH61', 'KDH61', 'KEH61', 'KFH61', 'KGH61', 'KHH61', 'JBH61', 'JCH61', 'JDH61', 'JEH61', 'BDH62', 'BEH62', 'BFH62', 'BGH62', 'BHH62', 'BJH62', 'CDH62', 'CEH62', 'CLH62', 'CMH62', 'CNH62', 'CPH62', 'CQH62', 'CRH62', 'DBH62', 'DCH62', 'DDH62', 'DEH62', 'DFH62', 'DGH62', 'DHH62', 'DKH62', 'EHH62', 'EJH62', 'EKH62', 'ELH62', 'EMH62', 'ENH62', 'EPH62', 'KBH62', 'KCH62', 'KDH62', 'KEH62', 'KFH62', 'KGH62', 'KHH62', 'JBH62', 'JCH62', 'JDH62', 'JEH62', 'JFH62', 'MBH62', 'MCH62', 'MDH62', 'MEH62', 'MFH62', 'MGH62', 'BDH63', 'BEH63', 'BFH63', 'BGH63', 'BHH63', 'BJH63', 'CDH63', 'CEH63', 'CLH63', 'CMH63', 'CNH63', 'CPH63', 'CQH63', 'CRH63', 'DBH63', 'DCH63', 'DDH63', 'DEH63', 'DFH63', 'DGH63', 'DHH63', 'DKH63', 'EHH63', 'EJH63', 'EKH63', 'ELH63', 'EMH63', 'ENH63', 'EPH63', 'KBH63', 'KCH63', 'KDH63', 'KEH63', 'KFH63', 'KGH63', 'KHH63', 'JBH63', 'JCH63', 'JDH63', 'JEH63', 'JFH63', 'MBH63', 'MCH63', 'MDH63', 'MEH63', 'MFH63', 'MGH63', 'BDH64', 'BEH64', 'BFH64', 'BGH64', 'BHH64', 'BJH64', 'CDH64', 'CEH64', 'CLH64', 'CMH64', 'CNH64', 'CPH64', 'CQH64', 'CRH64', 'LBH64', 'LCH64', 'LDH64', 'LEH64', 'LFH64', 'LGH64', 'LHH64', 'DJH64', 'DKH64', 'EHH64', 'EJH64', 'EKH64', 'ELH64', 'EMH64', 'ENH64', 'EPH64', 'EQH64', 'KBH64', 'KCH64', 'KDH64', 'KEH64', 'KFH64', 'KGH64', 'KHH64', 'JBH64', 'JCH64', 'JDH64', 'JEH64', 'JFH64', 'MBH64', 'MCH64', 'MDH64', 'MEH64', 'MFH64', 'MGH64', 'BDH65', 'BEH65', 'BFH65', 'BGH65', 'BHH65', 'BJH65', 'CDH65', 'CEH65', 'CLH65', 'CMH65', 'CNH65', 'CPH65', 'CQH65', 'CRH65', 'DBH65', 'DCH65', 'DDH65', 'DEH65', 'DFH65', 'DGH65', 'DHH65', 'DKH65', 'EHH65', 'EJH65', 'EKH65', 'ELH65', 'EMH65', 'ENH65', 'EPH65', 'EQH65', 'KBH65', 'KCH65', 'KDH65', 'KEH65', 'KFH65', 'KGH65', 'KHH65', 'JBH65', 'JCH65', 'JDH65', 'JEH65', 'JFH65', 'CDH66', 'CEH66', 'CLH66', 'CMH66', 'CNH66', 'CPH66', 'CQH66', 'CRH66', 'DBH66', 'DCH66', 'DDH66', 'DEH66', 'DFH66', 'DGH66', 'DHH66', 'DJH66', 'DKH66', 'EHH66', 'EJH66', 'EKH66', 'ELH66', 'EMH66', 'ENH66', 'EPH66', 'EQH66', 'CDH67', 'CEH67', 'CLH67', 'CMH67', 'CNH67', 'CPH67', 'CQH67', 'CRH67', 'DBH67', 'DCH67', 'DDH67', 'DEH67', 'DFH67', 'DGH67', 'DHH67', 'DJH67', 'DKH67', 'EHH67', 'EJH67', 'EKH67', 'ELH67', 'EMH67', 'ENH67', 'EPH67', 'EQH67', 'CDH68', 'CEH68', 'CLH68', 'CMH68', 'CNH68', 'CPH68', 'CQH68', 'CRH68', 'DBH68', 'DCH68', 'DDH68', 'DEH68', 'DFH68', 'DGH68', 'DHH68', 'DJH68', 'DKH68', 'EHH68', 'EJH68', 'EKH68', 'ELH68', 'EMH68', 'ENH68', 'EPH68', 'EQH68', 'DDH69', 'DEH69', 'DFH69', 'DGH69', 'DHH69', 'DJH69', 'DKH69', 'EHH69', 'EJH69', 'EKH69', 'ELH69', 'EMH69', 'ENH69', 'EPH69', 'EQH69', 'EPH6A', 'MHH6A', 'EPH6B', 'BDS60', 'BES60', 'BFS60', 'BGS60', 'BHS60', 'CDS60', 'CES60', 'CLS60', 'CMS60', 'CNS60', 'CPS60', 'CQS60', 'CRS60', 'DBS60', 'DCS60', 'DDS60', 'DES60', 'DFS60', 'BDS61', 'BES61', 'BFS61', 'BGS61', 'BHS61', 'CDS61', 'CES61', 'CLS61', 'CMS61', 'CNS61', 'CPS61', 'CQS61', 'CRS61', 'DBS61', 'DCS61', 'DDS61', 'DES61', 'DFS61', 'BDS62', 'BES62', 'BFS62', 'BGS62', 'BHS62', 'BJS62', 'CDS62', 'CES62', 'CLS62', 'CMS62', 'CNS62', 'CPS62', 'CQS62', 'CRS62', 'DBS62', 'DCS62', 'DDS62', 'DES62', 'DFS62', 'DGS62', 'DHS62', 'DKS62', 'EHS62', 'EJS62', 'EKS62', 'ELS62', 'EMS62', 'ENS62', 'EPS62', 'BDS63', 'BES63', 'BFS63', 'BGS63', 'BHS63', 'BJS63', 'CDS63', 'CES63', 'CLS63', 'CMS63', 'CNS63', 'CPS63', 'CQS63', 'CRS63', 'DBS63', 'DCS63', 'DDS63', 'DES63', 'DFS63', 'DGS63', 'DHS63', 'DKS63', 'EHS63', 'EJS63', 'EKS63', 'ELS63', 'EMS63', 'ENS63', 'EPS63', 'BDS64', 'BES64', 'BFS64', 'BGS64', 'BHS64', 'BJS64', 'CDS64', 'CES64', 'CLS64', 'CMS64', 'CNS64', 'CPS64', 'CQS64', 'CRS64', 'DBS64', 'DCS64', 'DDS64', 'DES64', 'DFS64', 'DGS64', 'DHS64', 'DJS64', 'DKS64', 'EHS64', 'EJS64', 'EKS64', 'ELS64', 'EMS64', 'ENS64', 'EPS64', 'EQS64', 'BDS65', 'BES65', 'BFS65', 'BGS65', 'BHS65', 'BJS65', 'CDS65', 'CES65', 'CLS65', 'CMS65', 'CNS65', 'CPS65', 'CQS65', 'CRS65', 'DBS65', 'DCS65', 'DDS65', 'DES65', 'DFS65', 'DGS65', 'DHS65', 'DJS65', 'DKS65', 'EHS65', 'EJS65', 'EKS65', 'ELS65', 'EMS65', 'ENS65', 'EPS65', 'EQS65', 'CDS66', 'CES66', 'CLS66', 'CMS66', 'CNS66', 'CPS66', 'CQS66', 'CRS66', 'DBS66', 'DCS66', 'DDS66', 'DES66', 'DFS66', 'DGS66', 'DHS66', 'DJS66', 'DKS66', 'EHS66', 'EJS66', 'EKS66', 'ELS66', 'EMS66', 'ENS66', 'EPS66', 'EQS66', 'CDS67', 'CES67', 'CLS67', 'CMS67', 'CNS67', 'CPS67', 'CQS67', 'CRS67', 'DBS67', 'DCS67', 'DDS67', 'DES67', 'DFS67', 'DGS67', 'DHS67', 'DJS67', 'DKS67', 'EHS67', 'EJS67', 'EKS67', 'ELS67', 'EMS67', 'ENS67', 'EPS67', 'EQS67', 'CDS68', 'CES68', 'CLS68', 'CMS68', 'CNS68', 'CPS68', 'CQS68', 'CRS68', 'DBS68', 'DCS68', 'DDS68', 'DES68', 'DFS68', 'DGS68', 'DHS68', 'DJS68', 'DKS68', 'EHS68', 'EJS68', 'EKS68', 'ELS68', 'EMS68', 'ENS68', 'EPS68', 'EQS68', 'DDS69', 'DES69', 'DFS69', 'DGS69', 'DHS69', 'DJS69', 'DKS69', 'EHS69', 'EJS69', 'EKS69', 'ELS69', 'EMS69', 'ENS69', 'EPS69', 'EQS69', 'userDefined', 'FakeData']</t>
        </r>
      </text>
    </comment>
    <comment ref="M2704" authorId="0" shapeId="0" xr:uid="{AD2C5D73-3C52-4820-BE19-4C2BAC702A90}">
      <text>
        <r>
          <rPr>
            <b/>
            <sz val="9"/>
            <color indexed="81"/>
            <rFont val="Tahoma"/>
            <family val="2"/>
          </rPr>
          <t>['VFD4010006PA', 'VFD4012506PA', 'VFD4015006PA', 'VFD4020006PA', 'VFD4025006PA', 'VFD4030006PA', 'VFD4040006PA', 'VFD4050006PA', 'VFD4060006PA', 'VFD4070006PA', 'FakeData']</t>
        </r>
      </text>
    </comment>
    <comment ref="M2709" authorId="0" shapeId="0" xr:uid="{DD4E71D5-FDB7-4B40-A254-3BED4DF423CB}">
      <text>
        <r>
          <rPr>
            <b/>
            <sz val="9"/>
            <color indexed="81"/>
            <rFont val="Tahoma"/>
            <family val="2"/>
          </rPr>
          <t>['FakeData', 'DD480', 'DD588', 'DE658', 'DE745', 'DE800', 'DE880', 'DE990', 'DP1120', 'DP1260', 'DP1460', 'DP1670', 'FrameR0230', 'FrameE0485', 'FrameE0765', 'FrameE1275', 'VFD_19MVDD0395', 'VFD_19MVDD0480', 'VFD_19MVDD0588', 'VFD_19MVDE0658', 'VFD_19MVDE0745', 'VFD_19MVDE0800', 'VFD_19MVDE0880', 'VFD_19MVDE0990']</t>
        </r>
      </text>
    </comment>
    <comment ref="M2710" authorId="0" shapeId="0" xr:uid="{61E9440E-95E8-4B7C-9E9F-62A0A7060890}">
      <text>
        <r>
          <rPr>
            <b/>
            <sz val="9"/>
            <color indexed="81"/>
            <rFont val="Tahoma"/>
            <family val="2"/>
          </rPr>
          <t>['Frame0414', 'Frame0500', 'Frame0643', 'FakeData']</t>
        </r>
      </text>
    </comment>
    <comment ref="M2711" authorId="0" shapeId="0" xr:uid="{CC6C93EF-DA6E-450B-A13F-9B3E841F5B1E}">
      <text>
        <r>
          <rPr>
            <b/>
            <sz val="9"/>
            <color indexed="81"/>
            <rFont val="Tahoma"/>
            <family val="2"/>
          </rPr>
          <t>['VFD_19DV', 'VFD_19MV', 'VFD_19XRV', 'VFD_23XR']</t>
        </r>
      </text>
    </comment>
    <comment ref="M2712" authorId="0" shapeId="0" xr:uid="{3E63CEBF-7156-4265-8262-A3B7DCC55960}">
      <text>
        <r>
          <rPr>
            <b/>
            <sz val="9"/>
            <color indexed="81"/>
            <rFont val="Tahoma"/>
            <family val="2"/>
          </rPr>
          <t>['VFD_32VSS0600', 'VFD_32VSS0540', 'VFD_32VSS0680', 'VFD_32VSS0850', 'VFD_32VSS0900', 'VFD_32VSS1060', 'VFD_32VSS1200', 'VFD_32VSC0540', 'VFD_32VSC0680', 'VFD_32VSC0850', 'VFD_32VSC0900', 'VFD_32VSC1060', 'VFD_32VSC1200', 'VFD_19DV2AA', 'VFD_19DV2CC', 'VFD_19DV4AA', 'VFD_19DV4CC', 'Frame_403_VFPS1_4220KPC', 'Frame_454_VFPS1_4250KPC', 'Frame_519_VFPS1_4280KPC', 'Frame_581_VFPS1_4315KPC', 'Frame_716_VFPS1_4400KPC', 'Frame_906_VFPS1_4500KPC', 'Frame_1121_VFPS1_4630KPC', 'FakeData']</t>
        </r>
      </text>
    </comment>
    <comment ref="M2713" authorId="0" shapeId="0" xr:uid="{6F0FCE77-653F-4BB4-909A-10D7BF585DB8}">
      <text>
        <r>
          <rPr>
            <b/>
            <sz val="9"/>
            <color indexed="81"/>
            <rFont val="Tahoma"/>
            <family val="2"/>
          </rPr>
          <t>['FC_102N450T4', 'FakeData']</t>
        </r>
      </text>
    </comment>
    <comment ref="M2714" authorId="0" shapeId="0" xr:uid="{94D66395-CB30-4C3C-8C87-B8F01ED48D21}">
      <text>
        <r>
          <rPr>
            <b/>
            <sz val="9"/>
            <color indexed="81"/>
            <rFont val="Tahoma"/>
            <family val="2"/>
          </rPr>
          <t>['Freestanding', 'UnitMounted', 'StandardTier']</t>
        </r>
      </text>
    </comment>
    <comment ref="M2715" authorId="0" shapeId="0" xr:uid="{4F1550EB-89D4-462A-9B34-64684DDE1257}">
      <text>
        <r>
          <rPr>
            <b/>
            <sz val="9"/>
            <color indexed="81"/>
            <rFont val="Tahoma"/>
            <family val="2"/>
          </rPr>
          <t>['VFD_23XVR0269007', 'VFD_23XVR0230003', 'VFD_23XVR0230003_P', 'VFD_23XVR0335005', 'VFD_23XVR0335005_P', 'VFD_23XVR0445005', 'VFD_23XVR0445005_P', 'VFD_23XRA2AA5', 'VFD_23XRA2BA5', 'VFD_23XRA2BB5', 'VFD_23XRA2CC5']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Jia Li</author>
  </authors>
  <commentList>
    <comment ref="M775" authorId="0" shapeId="0" xr:uid="{BB2634B3-40CD-4723-B472-49E3760E67B7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834" authorId="0" shapeId="0" xr:uid="{EA0AF45B-D783-4E74-A40F-56DE3BCF4167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31" authorId="0" shapeId="0" xr:uid="{79CF6574-B617-47AF-8B57-58B01DB997A0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91" authorId="0" shapeId="0" xr:uid="{82F6D5B6-9536-4C02-B93F-80C0E826A979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51" authorId="0" shapeId="0" xr:uid="{55BB7DC3-1020-4A22-A689-D78FD7BA1A78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73" authorId="0" shapeId="0" xr:uid="{56A3DC29-C154-43A1-83A1-96FC7B217BD8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837" authorId="0" shapeId="0" xr:uid="{6C8A415E-D76A-4253-9961-06E18938E91B}">
      <text>
        <r>
          <rPr>
            <b/>
            <sz val="9"/>
            <color indexed="81"/>
            <rFont val="Tahoma"/>
            <family val="2"/>
          </rPr>
          <t>['Cen2Stage_19DV', 'Cen2Stage_19MV']</t>
        </r>
      </text>
    </comment>
    <comment ref="M1871" authorId="0" shapeId="0" xr:uid="{9082FE20-3DC0-43F4-B881-10488AFFD3E0}">
      <text>
        <r>
          <rPr>
            <b/>
            <sz val="9"/>
            <color indexed="81"/>
            <rFont val="Tahoma"/>
            <family val="2"/>
          </rPr>
          <t>['FakeData', 'Map19DV3_3_4', 'Map19DV3_4_4', 'Map19DV3_5_4', 'Map19DV3_6_4', 'Map19DV4_3_2', 'Map19DV4_4_2', 'Map19DV4_5_2', 'Map19DV4_6_2', 'Map19DV4_3_4', 'Map19DV4_4_4', 'Map19DV4_5_4', 'Map19DV4_6_4', 'Map19DV5_4_4', 'Map19DV5_6_4', 'Map19DV5_8_4', 'Map19DV5_D_4', 'Map19DV5_F_4', 'userDefined']</t>
        </r>
      </text>
    </comment>
    <comment ref="M1872" authorId="0" shapeId="0" xr:uid="{F38A03BA-F697-4681-9A18-26664EE0F7CF}">
      <text>
        <r>
          <rPr>
            <b/>
            <sz val="9"/>
            <color indexed="81"/>
            <rFont val="Tahoma"/>
            <family val="2"/>
          </rPr>
          <t>['FakeData', 'Map19MV3_3_9', 'Map19MV3_4_9', 'Map19MV3_5_9', 'Map19MV3_6_9', 'Map19MV3_7_9', 'Map19MV3_8_9', 'userDefined']</t>
        </r>
      </text>
    </comment>
    <comment ref="M2000" authorId="0" shapeId="0" xr:uid="{11D57C59-9D54-4612-BA31-61048ED4D8F9}">
      <text>
        <r>
          <rPr>
            <b/>
            <sz val="9"/>
            <color indexed="81"/>
            <rFont val="Tahoma"/>
            <family val="2"/>
          </rPr>
          <t>['userDefined', 'Chiller19DV_ECS', 'Chiller19DV_G23', 'Chiller19DV_M42', 'Chiller19DV_M43', 'Chiller19DV_M44', 'Chiller19DV_M4C', 'Chiller19DV_M4D', 'Chiller19DV_M4E', 'Chiller19DV_M62', 'Chiller19DV_M63', 'Chiller19DV_M64', 'Chiller19DV_M6C', 'Chiller19DV_M6D', 'Chiller19DV_M6E', 'Chiller19PV_LWTTurbo', 'Chiller19PV_TE', 'Chiller19XR_C85', 'Chiller23XR_31', 'Chiller23XR_46', 'Chiller23XR_59', 'Chiller23XR_B2', 'Chiller23XR_B3', 'Chiller23XR_B5', 'Chiller23XR_B6', 'Chiller30DW_RC', 'Chiller30DW_RD', 'Chiller30DW_RG', 'Chiller30DW_RH', 'Chiller30DW_T6', 'Chiller30DW_T8', 'Chiller30DW_V7', 'Chiller30DW_V8', 'Chiller30XW_KIWIZA', 'Chiller19MV_31B', 'Chiller19MV_31C', 'Chiller19MV_31D', 'Chiller19MV_31F', 'Chiller19MV_31G', 'Chiller19MV_31J', 'Chiller19MV_31K', 'Chiller19MV_31L', 'Chiller19MV_31M', 'Chiller19MV_31N', 'Chiller19MV_33B', 'Chiller19MV_33C', 'Chiller19MV_33D', 'Chiller19MV_33F', 'Chiller19MV_33G', 'Chiller19MV_33J', 'Chiller19MV_33K', 'Chiller19MV_33L', 'Chiller19MV_33M', 'Chiller19MV_33N', 'Chiller19MV_41B', 'Chiller19MV_41C', 'Chiller19MV_41D', 'Chiller19MV_41F', 'Chiller19MV_41G', 'Chiller19MV_41J', 'Chiller19MV_41K', 'Chiller19MV_41L', 'Chiller19MV_41M', 'Chiller19MV_41N', 'Chiller19MV_43B', 'Chiller19MV_43C', 'Chiller19MV_43D', 'Chiller19MV_43F', 'Chiller19MV_43G', 'Chiller19MV_43J', 'Chiller19MV_43K', 'Chiller19MV_43L', 'Chiller19MV_43M', 'Chiller19MV_43N', 'Chiller19MV_51B', 'Chiller19MV_51C', 'Chiller19MV_51D', 'Chiller19MV_51F', 'Chiller19MV_51G', 'Chiller19MV_51J', 'Chiller19MV_51K', 'Chiller19MV_51L', 'Chiller19MV_51M', 'Chiller19MV_51N', 'Chiller19MV_53B', 'Chiller19MV_53C', 'Chiller19MV_53D', 'Chiller19MV_53F', 'Chiller19MV_53G', 'Chiller19MV_53J', 'Chiller19MV_53K', 'Chiller19MV_53L', 'Chiller19MV_53M', 'Chiller19MV_53N']</t>
        </r>
      </text>
    </comment>
    <comment ref="M2001" authorId="0" shapeId="0" xr:uid="{3076A691-D221-4BA4-843F-8268C5A6AF2E}">
      <text>
        <r>
          <rPr>
            <b/>
            <sz val="9"/>
            <color indexed="81"/>
            <rFont val="Tahoma"/>
            <family val="2"/>
          </rPr>
          <t>['userDefined', 'FV_19DV3_4', 'FV_19DV5']</t>
        </r>
      </text>
    </comment>
    <comment ref="M2002" authorId="0" shapeId="0" xr:uid="{C1CDA95A-99D7-4710-BDC3-72CB341165BD}">
      <text>
        <r>
          <rPr>
            <b/>
            <sz val="9"/>
            <color indexed="81"/>
            <rFont val="Tahoma"/>
            <family val="2"/>
          </rPr>
          <t>['userDefined', 'C5_075_025_R1233zd', 'C5_075_025_R1233zd_FrameM', 'C5_075_025_R134a', 'C5_075_025_R134a_Frame8', 'C5_075_025_R134a_FrameA', 'C5_075_025_R134a_FrameB', 'C5_075_025_R134a_FrameC', 'C5_075_025_R134a_FrameD', 'C5_075_025_R134a_FrameAtoB_flasc', 'C5_075_025_R134a_FrameC_flasc', 'C5_075_025_R134a_FrameD_flasc', 'C5_075_028_R1233zd', 'C5_075_028_R1233zd_FrameM', 'C5_100_025_R1233zd', 'C5_100_025_R1233zd_FrameM', 'C5_100_025_R134a_FrameA', 'C5_100_025_R134a_FrameB', 'C5_100_025_R134a_FrameC', 'C5_100_025_R134a_FrameD', 'C5_100_025_R134a_FrameAtoB_flasc', 'C5_100_025_R134a_FrameC_flasc', 'C5_100_025_R134a_FrameD_flasc', 'C5_100_028_R1233zd', 'C5_100_028_R1233zd_FrameM', 'CSL_075_028_R134a', 'CSL_100_028_R134a', 'C_SL_075_025_R134a', 'C_SL_075_028_R134a', 'C_075_035_R134a', 'SPKIII_075_025_R1233zd', 'SPKIII_075_025_R1233zd_FrameM', 'SPKIII_075_025_R134a_Frame8', 'SPKIII_075_025_R134a_FrameAtoB', 'SPKIII_075_025_R134a_FrameAtoD_flasc', 'SPKIII_075_025_R134a_FrameCtoD', 'SPKIII_075_025_R134a_HX1to6', 'SPKIII_075_025_R134a_HX7to8', 'SPKIII_075_028_R1233zd', 'SPKIII_075_028_R1233zd_FrameM', 'SPKIII_075_028_R134a_HX1to6', 'SPKIII_075_035_R1233zd', 'SPKIII_075_035_R1233zd_FrameM', 'SPKIII_075_035_R134a_HX1to6', 'SPKIII_100_025_R1233zd', 'SPKIII_100_025_R1233zd_FrameM', 'SPKIII_100_025_R134a_FrameAtoB', 'SPKIII_100_025_R134a_FrameAtoD_flasc', 'SPKIII_100_025_R134a_FrameCtoD', 'SPKIII_100_028_R1233zd', 'SPKIII_100_028_R1233zd_FrameM', 'SPKIII_100_035_R1233zd', 'SPKIII_100_035_R1233zd_FrameM', 'C5_075_028_R134a']</t>
        </r>
      </text>
    </comment>
    <comment ref="M2306" authorId="0" shapeId="0" xr:uid="{324C446A-8A42-4B4C-87EF-8DF727709A5B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311" authorId="0" shapeId="0" xr:uid="{72E43CC8-8A32-4FCA-B90D-22665E9387DF}">
      <text>
        <r>
          <rPr>
            <b/>
            <sz val="9"/>
            <color indexed="81"/>
            <rFont val="Tahoma"/>
            <family val="2"/>
          </rPr>
          <t>['EDR', 'Surrogate']</t>
        </r>
      </text>
    </comment>
    <comment ref="M2361" authorId="0" shapeId="0" xr:uid="{FBBA4223-24F9-4AA2-A1A4-D08631555713}">
      <text>
        <r>
          <rPr>
            <b/>
            <sz val="9"/>
            <color indexed="81"/>
            <rFont val="Tahoma"/>
            <family val="2"/>
          </rPr>
          <t>['square', 'triangle']</t>
        </r>
      </text>
    </comment>
    <comment ref="M2380" authorId="0" shapeId="0" xr:uid="{D3D39552-5549-4200-AA38-20CF5E6D3E92}">
      <text>
        <r>
          <rPr>
            <b/>
            <sz val="9"/>
            <color indexed="81"/>
            <rFont val="Tahoma"/>
            <family val="2"/>
          </rPr>
          <t>['userDefined', 'Chiller19PV_H2', 'Chiller19PV_L2', 'Chiller19PV_OE', 'Chiller19XR_10', 'Chiller19XR_11', 'Chiller19XR_12', 'Chiller19XR_15', 'Chiller19XR_16', 'Chiller19XR_17', 'Chiller19XR_20', 'Chiller19XR_21', 'Chiller19XR_22', 'Chiller19XR_30', 'Chiller19XR_31', 'Chiller19XR_32', 'Chiller19XR_33', 'Chiller19XR_34', 'Chiller19XR_35', 'Chiller19XR_36', 'Chiller19XR_37', 'Chiller19XR_38', 'Chiller19XR_39', 'Chiller19XR_3K', 'Chiller19XR_3L', 'Chiller19XR_3M', 'Chiller19XR_3P', 'Chiller19XR_3Q', 'Chiller19XR_3R', 'Chiller19XR_3T', 'Chiller19XR_3U', 'Chiller19XR_3V', 'Chiller19XR_3X', 'Chiller19XR_3Y', 'Chiller19XR_3Z', 'Chiller19XR_40', 'Chiller19XR_41', 'Chiller19XR_42', 'Chiller19XR_43', 'Chiller19XR_44', 'Chiller19XR_45', 'Chiller19XR_46', 'Chiller19XR_47', 'Chiller19XR_48', 'Chiller19XR_49', 'Chiller19XR_4K', 'Chiller19XR_4L', 'Chiller19XR_4M', 'Chiller19XR_4P', 'Chiller19XR_4Q', 'Chiller19XR_4R', 'Chiller19XR_4T', 'Chiller19XR_4U', 'Chiller19XR_4V', 'Chiller19XR_4X', 'Chiller19XR_4Y', 'Chiller19XR_4Z', 'Chiller19XR_50', 'Chiller19XR_51', 'Chiller19XR_52', 'Chiller19XR_53', 'Chiller19XR_54', 'Chiller19XR_55', 'Chiller19XR_56', 'Chiller19XR_57', 'Chiller19XR_58', 'Chiller19XR_59', 'Chiller19XR_5A', 'Chiller19XR_5B', 'Chiller19XR_5C', 'Chiller19XR_5F', 'Chiller19XR_5G', 'Chiller19XR_5H', 'Chiller19XR_5K', 'Chiller19XR_5L', 'Chiller19XR_5M', 'Chiller19XR_5P', 'Chiller19XR_5Q', 'Chiller19XR_5R', 'Chiller19XR_5T', 'Chiller19XR_5U', 'Chiller19XR_5V', 'Chiller19XR_5X', 'Chiller19XR_5Y', 'Chiller19XR_5Z', 'Chiller19XR_60', 'Chiller19XR_61', 'Chiller19XR_62', 'Chiller19XR_63', 'Chiller19XR_64', 'Chiller19XR_65', 'Chiller19XR_66', 'Chiller19XR_67', 'Chiller19XR_68', 'Chiller19XR_69', 'Chiller19XR_6K', 'Chiller19XR_6L', 'Chiller19XR_6M', 'Chiller19XR_6P', 'Chiller19XR_6Q', 'Chiller19XR_6R', 'Chiller19XR_6T', 'Chiller19XR_6U', 'Chiller19XR_6V', 'Chiller19XR_6X', 'Chiller19XR_6Y', 'Chiller19XR_6Z', 'Chiller19XR_70', 'Chiller19XR_71', 'Chiller19XR_72', 'Chiller19XR_73', 'Chiller19XR_74', 'Chiller19XR_75', 'Chiller19XR_76', 'Chiller19XR_77', 'Chiller19XR_78', 'Chiller19XR_79', 'Chiller19XR_7K', 'Chiller19XR_7L', 'Chiller19XR_7M', 'Chiller19XR_7P', 'Chiller19XR_7Q', 'Chiller19XR_7R', 'Chiller19XR_7T', 'Chiller19XR_7U', 'Chiller19XR_7V', 'Chiller19XR_7X', 'Chiller19XR_7Y', 'Chiller19XR_7Z', 'Chiller19XR_80', 'Chiller19XR_81', 'Chiller19XR_82', 'Chiller19XR_83', 'Chiller19XR_84', 'Chiller19XR_85', 'Chiller19XR_86', 'Chiller19XR_87', 'Chiller19XR_88', 'Chiller19XR_89', 'Chiller19XR_8K', 'Chiller19XR_8L', 'Chiller19XR_8M', 'Chiller19XR_8P', 'Chiller19XR_8Q', 'Chiller19XR_8R', 'Chiller19XR_8T', 'Chiller19XR_8U', 'Chiller19XR_8V', 'Chiller19XR_8X', 'Chiller19XR_8Y', 'Chiller19XR_8Z', 'Chiller19XR_A45', 'Chiller19XR_A4F', 'Chiller19XR_B67', 'Chiller19XR_B85', 'Chiller19XR_B8F', 'Chiller19XR_C66', 'Chiller19XR_C87', 'Chiller19XR_C8H', 'Chiller30DW_MC', 'Chiller30DW_MD', 'Chiller30DW_ME', 'Chiller30DW_MG', 'Chiller30DW_O3', 'Chiller30DW_O5', 'Chiller30DW_P5', 'Chiller30DW_P6', 'Chiller30DW_PJ', 'Chiller30KAV', 'Chiller30KAV_Pluged', 'Chiller19MV_31B', 'Chiller19MV_31C', 'Chiller19MV_31D', 'Chiller19MV_31E', 'Chiller19MV_31F', 'Chiller19MV_31G', 'Chiller19MV_31H', 'Chiller19MV_31J', 'Chiller19MV_31K', 'Chiller19MV_31L', 'Chiller19MV_31M', 'Chiller19MV_31N', 'Chiller19MV_31O', 'Chiller19MV_31P', 'Chiller19MV_31Q', 'Chiller19MV_31R', 'Chiller19MV_31S', 'Chiller19MV_31T', 'Chiller19MV_31U', 'Chiller19MV_31V', 'Chiller19MV_31W', 'Chiller19MV_31X', 'Chiller19MV_31Y', 'Chiller19MV_31Z', 'Chiller19MV_33B', 'Chiller19MV_33C', 'Chiller19MV_33D', 'Chiller19MV_33E', 'Chiller19MV_33F', 'Chiller19MV_33G', 'Chiller19MV_33H', 'Chiller19MV_33J', 'Chiller19MV_33K', 'Chiller19MV_33L', 'Chiller19MV_33M', 'Chiller19MV_33N', 'Chiller19MV_33O', 'Chiller19MV_33P', 'Chiller19MV_33Q', 'Chiller19MV_33R', 'Chiller19MV_33S', 'Chiller19MV_33T', 'Chiller19MV_33U', 'Chiller19MV_33V', 'Chiller19MV_33W', 'Chiller19MV_33X', 'Chiller19MV_33Y', 'Chiller19MV_33Z', 'Chiller19MV_41B', 'Chiller19MV_41C', 'Chiller19MV_41D', 'Chiller19MV_41E', 'Chiller19MV_41F', 'Chiller19MV_41G', 'Chiller19MV_41H', 'Chiller19MV_41J', 'Chiller19MV_41K', 'Chiller19MV_41L', 'Chiller19MV_41M', 'Chiller19MV_41N', 'Chiller19MV_41O', 'Chiller19MV_41P', 'Chiller19MV_41Q', 'Chiller19MV_41R', 'Chiller19MV_41S', 'Chiller19MV_41T', 'Chiller19MV_41U', 'Chiller19MV_41V', 'Chiller19MV_41W', 'Chiller19MV_41X', 'Chiller19MV_41Y', 'Chiller19MV_41Z', 'Chiller19MV_43B', 'Chiller19MV_43C', 'Chiller19MV_43D', 'Chiller19MV_43E', 'Chiller19MV_43F', 'Chiller19MV_43G', 'Chiller19MV_43H', 'Chiller19MV_43J', 'Chiller19MV_43K', 'Chiller19MV_43L', 'Chiller19MV_43M', 'Chiller19MV_43N', 'Chiller19MV_43O', 'Chiller19MV_43P', 'Chiller19MV_43Q', 'Chiller19MV_43R', 'Chiller19MV_43S', 'Chiller19MV_43T', 'Chiller19MV_43U', 'Chiller19MV_43V', 'Chiller19MV_43W', 'Chiller19MV_43X', 'Chiller19MV_43Y', 'Chiller19MV_43Z', 'Chiller19MV_51B', 'Chiller19MV_51C', 'Chiller19MV_51D', 'Chiller19MV_51E', 'Chiller19MV_51F', 'Chiller19MV_51G', 'Chiller19MV_51H', 'Chiller19MV_51J', 'Chiller19MV_51K', 'Chiller19MV_51L', 'Chiller19MV_51M', 'Chiller19MV_51N', 'Chiller19MV_51O', 'Chiller19MV_51P', 'Chiller19MV_51Q', 'Chiller19MV_51R', 'Chiller19MV_51S', 'Chiller19MV_51T', 'Chiller19MV_51U', 'Chiller19MV_51V', 'Chiller19MV_51W', 'Chiller19MV_51X', 'Chiller19MV_51Y', 'Chiller19MV_51Z', 'Chiller19MV_53B', 'Chiller19MV_53C', 'Chiller19MV_53D', 'Chiller19MV_53E', 'Chiller19MV_53F', 'Chiller19MV_53G', 'Chiller19MV_53H', 'Chiller19MV_53J', 'Chiller19MV_53K', 'Chiller19MV_53L', 'Chiller19MV_53M', 'Chiller19MV_53N', 'Chiller19MV_53O', 'Chiller19MV_53P', 'Chiller19MV_53Q', 'Chiller19MV_53R', 'Chiller19MV_53S', 'Chiller19MV_53T', 'Chiller19MV_53U', 'Chiller19MV_53V', 'Chiller19MV_53W', 'Chiller19MV_53X', 'Chiller19MV_53Y', 'Chiller19MV_53Z']</t>
        </r>
      </text>
    </comment>
    <comment ref="M2381" authorId="0" shapeId="0" xr:uid="{59E10359-3B42-47F1-908B-DED21B7EC4EF}">
      <text>
        <r>
          <rPr>
            <b/>
            <sz val="9"/>
            <color indexed="81"/>
            <rFont val="Tahoma"/>
            <family val="2"/>
          </rPr>
          <t>['userDefined', 'B4HSL_075_025_R134a', 'B4HSL_075_025_R134a_turbulator_L', 'B4HSL_075_025_R134a_turbulator_R', 'B4HSL_075_028_R134a', 'B4HSL_100_025_R134a', 'B4H_075_035_R134a', 'B5_075_025_R1233zd', 'B5_075_025_R134a', 'B5_100_025_R1233zd', 'B5_100_025_R134a', 'EDE2_075_025_R134a', 'EDE2_075_028_R134a', 'EDE2_075_035_R134a', 'ELP2_075_025_R1233zd', 'ELP2_075_028_R1233zd', 'ELP2_100_025_R1233zd', 'ELP2_100_028_R1233zd', 'ESP_075_025_R134a', 'ESP_075_028_R134a', 'ESP_075_035_R134a', 'ESP_100_025_R134a', 'ESP_100_028_R134a', 'ESP_100_035_R134a', 'B5_075_028_R134a', 'B5_100_028_R134a']</t>
        </r>
      </text>
    </comment>
    <comment ref="M2432" authorId="0" shapeId="0" xr:uid="{ACF4BE0B-1CED-4F1F-B28A-56CCE7F97E61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477" authorId="0" shapeId="0" xr:uid="{7DCD9B1E-D23A-499B-AF15-E848BA2E3F1A}">
      <text>
        <r>
          <rPr>
            <b/>
            <sz val="9"/>
            <color indexed="81"/>
            <rFont val="Tahoma"/>
            <family val="2"/>
          </rPr>
          <t>['Parameterization', 'SystemBalancing']</t>
        </r>
      </text>
    </comment>
    <comment ref="M2478" authorId="0" shapeId="0" xr:uid="{909AB40A-4BB9-4EC8-91C7-AE166F8511A4}">
      <text>
        <r>
          <rPr>
            <b/>
            <sz val="9"/>
            <color indexed="81"/>
            <rFont val="Tahoma"/>
            <family val="2"/>
          </rPr>
          <t>['Basic', 'Advanced']</t>
        </r>
      </text>
    </comment>
    <comment ref="M2522" authorId="0" shapeId="0" xr:uid="{8962AC29-63CF-46C5-8DEE-A4922C482533}">
      <text>
        <r>
          <rPr>
            <b/>
            <sz val="9"/>
            <color indexed="81"/>
            <rFont val="Tahoma"/>
            <family val="2"/>
          </rPr>
          <t>['Motor_LBH_460', 'Motor_LBH_380', 'Motor_LDH_460', 'Motor_LDH_380', 'Motor_LFH_460', 'Motor_LFH_380', 'Motor_LHH_460', 'Motor_LHH_380', 'Motor_NBH_460', 'Motor_NBH_380', 'Motor_NDH_460', 'Motor_NDH_380', 'Motor_NFH_460', 'Motor_NFH_380', 'Motor_NHH_460', 'Motor_NHH_380', 'Motor_QBH_380', 'Motor_QDH_380', 'Motor_QFH_380', 'Motor_QHH_380', 'Motor_QBH_460', 'Motor_QDH_460', 'Motor_QFH_460', 'Motor_QHH_460', 'userDefined', 'FakeData']</t>
        </r>
      </text>
    </comment>
    <comment ref="M2523" authorId="0" shapeId="0" xr:uid="{479D5EAB-2F58-4810-B38A-20DE28A0AA9B}">
      <text>
        <r>
          <rPr>
            <b/>
            <sz val="9"/>
            <color indexed="81"/>
            <rFont val="Tahoma"/>
            <family val="2"/>
          </rPr>
          <t>['FakeData', 'Motor_BCH_380', 'Motor_BCH_460', 'Motor_BGH_380', 'Motor_BGH_460', 'Motor_BLH_380', 'Motor_BLH_460', 'Motor_K3H_380', 'Motor_K3H_460', 'Motor_K5H_380', 'Motor_K5H_460', 'Motor_K7H_380', 'Motor_K7H_460', 'userDefined']</t>
        </r>
      </text>
    </comment>
    <comment ref="M2524" authorId="0" shapeId="0" xr:uid="{42875ACF-7753-4E5E-B5E7-B84871ADBF4B}">
      <text>
        <r>
          <rPr>
            <b/>
            <sz val="9"/>
            <color indexed="81"/>
            <rFont val="Tahoma"/>
            <family val="2"/>
          </rPr>
          <t>['BDH50', 'BEH50', 'BFH50', 'BGH50', 'BHH50', 'CDH50', 'CEH50', 'CLH50', 'CMH50', 'CNH50', 'CPH50', 'CQH50', 'CRH50', 'DBH50', 'DCH50', 'DDH50', 'DEH50', 'DFH50', 'DGH50', 'KBH50', 'KCH50', 'KDH50', 'KEH50', 'KFH50', 'KGH50', 'JBH50', 'JCH50', 'JDH50', 'JEH50', 'BDH51', 'BEH51', 'BFH51', 'BGH51', 'BHH51', 'CDH51', 'CEH51', 'CLH51', 'CMH51', 'CNH51', 'CPH51', 'CQH51', 'CRH51', 'DBH51', 'DCH51', 'DDH51', 'DEH51', 'DFH51', 'DGH51', 'DHH51', 'DJH51', 'BDH52', 'BEH52', 'BFH52', 'BGH52', 'BHH52', 'CDH52', 'CEH52', 'CLH52', 'CMH52', 'CNH52', 'CPH52', 'CQH52', 'LBH52', 'LCH52', 'LDH52', 'LEH52', 'LFH52', 'LGH52', 'LHH52', 'EHH52', 'EJH52', 'EKH52', 'ELH52', 'EMH52', 'ENH52', 'EPH52', 'KBH52', 'KCH52', 'KDH52', 'KEH52', 'KFH52', 'KGH52', 'DBH52', 'DCH52', 'DDH52', 'DEH52', 'DFH52', 'DGH52', 'DHH52', 'DJH52', 'JBH52', 'JCH52', 'JDH52', 'JEH52', 'MBH52', 'MCH52', 'MDH52', 'MEH52', 'MFH52', 'CDH53', 'CEH53', 'CLH53', 'CMH53', 'CNH53', 'CPH53', 'CQH53', 'DBH53', 'DCH53', 'DDH53', 'DEH53', 'DFH53', 'DGH53', 'DHH53', 'DJH53', 'EHH53', 'EJH53', 'EKH53', 'ELH53', 'EMH53', 'ENH53', 'EPH53', 'CDH54', 'CEH54', 'CLH54', 'CMH54', 'CNH54', 'CPH54', 'CQH54', 'DBH54', 'DCH54', 'DDH54', 'DEH54', 'DFH54', 'DGH54', 'DHH54', 'DJH54', 'EHH54', 'EJH54', 'EKH54', 'ELH54', 'EMH54', 'ENH54', 'EPH54', 'DDH55', 'DEH55', 'DFH55', 'DGH55', 'DHH55', 'DJH55', 'EHH55', 'EJH55', 'EKH55', 'ELH55', 'EMH55', 'ENH55', 'EPH55', 'MDH56', 'MFH56', 'MDH57', 'MFH57', 'BDS50', 'BES50', 'BFS50', 'BGS50', 'BHS50', 'CDS50', 'CES50', 'CLS50', 'CMS50', 'CNS50', 'CPS50', 'CQS50', 'CRS50', 'DBS50', 'DCS50', 'DDS50', 'DES50', 'DFS50', 'DGS50', 'DHS50', 'BDS51', 'BES51', 'BFS51', 'BGS51', 'BHS51', 'CDS51', 'CES51', 'CLS51', 'CMS51', 'CNS51', 'CPS51', 'CQS51', 'CRS51', 'DBS51', 'DCS51', 'DDS51', 'DES51', 'DFS51', 'DGS51', 'DHS51', 'DJS51', 'BDS52', 'BES52', 'BFS52', 'BGS52', 'BHS52', 'CDS52', 'CES52', 'CLS52', 'CMS52', 'CNS52', 'CPS52', 'CQS52', 'CRS52', 'DBS52', 'DCS52', 'DDS52', 'DES52', 'DFS52', 'DGS52', 'DHS52', 'DJS52', 'EHS52', 'EJS52', 'EKS52', 'ELS52', 'EMS52', 'ENS52', 'EPS52', 'CDS53', 'CES53', 'CLS53', 'CMS53', 'CNS53', 'CPS53', 'CQS53', 'CRS53', 'DBS53', 'DCS53', 'DDS53', 'DES53', 'DFS53', 'DGS53', 'DHS53', 'DJS53', 'EHS53', 'EJS53', 'EKS53', 'ELS53', 'EMS53', 'ENS53', 'EPS53', 'CDS54', 'CES54', 'CLS54', 'CMS54', 'CNS54', 'CPS54', 'CQS54', 'CRS54', 'DBS54', 'DCS54', 'DDS54', 'DES54', 'DFS54', 'DGS54', 'DHS54', 'DJS54', 'EHS54', 'EJS54', 'EKS54', 'ELS54', 'EMS54', 'ENS54', 'EPS54', 'DDS55', 'DES55', 'DFS55', 'DGS55', 'DHS55', 'DJS55', 'EHS55', 'EJS55', 'EKS55', 'ELS55', 'EMS55', 'ENS55', 'EPS55', 'EMS56', 'EMS57', 'BDH60', 'BEH60', 'BFH60', 'BGH60', 'BHH60', 'CDH60', 'CEH60', 'CLH60', 'CMH60', 'CNH60', 'CPH60', 'CQH60', 'CRH60', 'DBH60', 'DCH60', 'DDH60', 'DEH60', 'DFH60', 'KBH60', 'KCH60', 'KDH60', 'KEH60', 'KFH60', 'KGH60', 'KHH60', 'JBH60', 'JCH60', 'JDH60', 'JEH60', 'BDH61', 'BEH61', 'BFH61', 'BGH61', 'BHH61', 'CDH61', 'CEH61', 'CLH61', 'CMH61', 'CNH61', 'CPH61', 'CQH61', 'CRH61', 'DBH61', 'DCH61', 'DDH61', 'DEH61', 'DFH61', 'KBH61', 'KCH61', 'KDH61', 'KEH61', 'KFH61', 'KGH61', 'KHH61', 'JBH61', 'JCH61', 'JDH61', 'JEH61', 'BDH62', 'BEH62', 'BFH62', 'BGH62', 'BHH62', 'BJH62', 'CDH62', 'CEH62', 'CLH62', 'CMH62', 'CNH62', 'CPH62', 'CQH62', 'CRH62', 'DBH62', 'DCH62', 'DDH62', 'DEH62', 'DFH62', 'DGH62', 'DHH62', 'DKH62', 'EHH62', 'EJH62', 'EKH62', 'ELH62', 'EMH62', 'ENH62', 'EPH62', 'KBH62', 'KCH62', 'KDH62', 'KEH62', 'KFH62', 'KGH62', 'KHH62', 'JBH62', 'JCH62', 'JDH62', 'JEH62', 'JFH62', 'MBH62', 'MCH62', 'MDH62', 'MEH62', 'MFH62', 'MGH62', 'BDH63', 'BEH63', 'BFH63', 'BGH63', 'BHH63', 'BJH63', 'CDH63', 'CEH63', 'CLH63', 'CMH63', 'CNH63', 'CPH63', 'CQH63', 'CRH63', 'DBH63', 'DCH63', 'DDH63', 'DEH63', 'DFH63', 'DGH63', 'DHH63', 'DKH63', 'EHH63', 'EJH63', 'EKH63', 'ELH63', 'EMH63', 'ENH63', 'EPH63', 'KBH63', 'KCH63', 'KDH63', 'KEH63', 'KFH63', 'KGH63', 'KHH63', 'JBH63', 'JCH63', 'JDH63', 'JEH63', 'JFH63', 'MBH63', 'MCH63', 'MDH63', 'MEH63', 'MFH63', 'MGH63', 'BDH64', 'BEH64', 'BFH64', 'BGH64', 'BHH64', 'BJH64', 'CDH64', 'CEH64', 'CLH64', 'CMH64', 'CNH64', 'CPH64', 'CQH64', 'CRH64', 'LBH64', 'LCH64', 'LDH64', 'LEH64', 'LFH64', 'LGH64', 'LHH64', 'DJH64', 'DKH64', 'EHH64', 'EJH64', 'EKH64', 'ELH64', 'EMH64', 'ENH64', 'EPH64', 'EQH64', 'KBH64', 'KCH64', 'KDH64', 'KEH64', 'KFH64', 'KGH64', 'KHH64', 'JBH64', 'JCH64', 'JDH64', 'JEH64', 'JFH64', 'MBH64', 'MCH64', 'MDH64', 'MEH64', 'MFH64', 'MGH64', 'BDH65', 'BEH65', 'BFH65', 'BGH65', 'BHH65', 'BJH65', 'CDH65', 'CEH65', 'CLH65', 'CMH65', 'CNH65', 'CPH65', 'CQH65', 'CRH65', 'DBH65', 'DCH65', 'DDH65', 'DEH65', 'DFH65', 'DGH65', 'DHH65', 'DKH65', 'EHH65', 'EJH65', 'EKH65', 'ELH65', 'EMH65', 'ENH65', 'EPH65', 'EQH65', 'KBH65', 'KCH65', 'KDH65', 'KEH65', 'KFH65', 'KGH65', 'KHH65', 'JBH65', 'JCH65', 'JDH65', 'JEH65', 'JFH65', 'CDH66', 'CEH66', 'CLH66', 'CMH66', 'CNH66', 'CPH66', 'CQH66', 'CRH66', 'DBH66', 'DCH66', 'DDH66', 'DEH66', 'DFH66', 'DGH66', 'DHH66', 'DJH66', 'DKH66', 'EHH66', 'EJH66', 'EKH66', 'ELH66', 'EMH66', 'ENH66', 'EPH66', 'EQH66', 'CDH67', 'CEH67', 'CLH67', 'CMH67', 'CNH67', 'CPH67', 'CQH67', 'CRH67', 'DBH67', 'DCH67', 'DDH67', 'DEH67', 'DFH67', 'DGH67', 'DHH67', 'DJH67', 'DKH67', 'EHH67', 'EJH67', 'EKH67', 'ELH67', 'EMH67', 'ENH67', 'EPH67', 'EQH67', 'CDH68', 'CEH68', 'CLH68', 'CMH68', 'CNH68', 'CPH68', 'CQH68', 'CRH68', 'DBH68', 'DCH68', 'DDH68', 'DEH68', 'DFH68', 'DGH68', 'DHH68', 'DJH68', 'DKH68', 'EHH68', 'EJH68', 'EKH68', 'ELH68', 'EMH68', 'ENH68', 'EPH68', 'EQH68', 'DDH69', 'DEH69', 'DFH69', 'DGH69', 'DHH69', 'DJH69', 'DKH69', 'EHH69', 'EJH69', 'EKH69', 'ELH69', 'EMH69', 'ENH69', 'EPH69', 'EQH69', 'EPH6A', 'MHH6A', 'EPH6B', 'BDS60', 'BES60', 'BFS60', 'BGS60', 'BHS60', 'CDS60', 'CES60', 'CLS60', 'CMS60', 'CNS60', 'CPS60', 'CQS60', 'CRS60', 'DBS60', 'DCS60', 'DDS60', 'DES60', 'DFS60', 'BDS61', 'BES61', 'BFS61', 'BGS61', 'BHS61', 'CDS61', 'CES61', 'CLS61', 'CMS61', 'CNS61', 'CPS61', 'CQS61', 'CRS61', 'DBS61', 'DCS61', 'DDS61', 'DES61', 'DFS61', 'BDS62', 'BES62', 'BFS62', 'BGS62', 'BHS62', 'BJS62', 'CDS62', 'CES62', 'CLS62', 'CMS62', 'CNS62', 'CPS62', 'CQS62', 'CRS62', 'DBS62', 'DCS62', 'DDS62', 'DES62', 'DFS62', 'DGS62', 'DHS62', 'DKS62', 'EHS62', 'EJS62', 'EKS62', 'ELS62', 'EMS62', 'ENS62', 'EPS62', 'BDS63', 'BES63', 'BFS63', 'BGS63', 'BHS63', 'BJS63', 'CDS63', 'CES63', 'CLS63', 'CMS63', 'CNS63', 'CPS63', 'CQS63', 'CRS63', 'DBS63', 'DCS63', 'DDS63', 'DES63', 'DFS63', 'DGS63', 'DHS63', 'DKS63', 'EHS63', 'EJS63', 'EKS63', 'ELS63', 'EMS63', 'ENS63', 'EPS63', 'BDS64', 'BES64', 'BFS64', 'BGS64', 'BHS64', 'BJS64', 'CDS64', 'CES64', 'CLS64', 'CMS64', 'CNS64', 'CPS64', 'CQS64', 'CRS64', 'DBS64', 'DCS64', 'DDS64', 'DES64', 'DFS64', 'DGS64', 'DHS64', 'DJS64', 'DKS64', 'EHS64', 'EJS64', 'EKS64', 'ELS64', 'EMS64', 'ENS64', 'EPS64', 'EQS64', 'BDS65', 'BES65', 'BFS65', 'BGS65', 'BHS65', 'BJS65', 'CDS65', 'CES65', 'CLS65', 'CMS65', 'CNS65', 'CPS65', 'CQS65', 'CRS65', 'DBS65', 'DCS65', 'DDS65', 'DES65', 'DFS65', 'DGS65', 'DHS65', 'DJS65', 'DKS65', 'EHS65', 'EJS65', 'EKS65', 'ELS65', 'EMS65', 'ENS65', 'EPS65', 'EQS65', 'CDS66', 'CES66', 'CLS66', 'CMS66', 'CNS66', 'CPS66', 'CQS66', 'CRS66', 'DBS66', 'DCS66', 'DDS66', 'DES66', 'DFS66', 'DGS66', 'DHS66', 'DJS66', 'DKS66', 'EHS66', 'EJS66', 'EKS66', 'ELS66', 'EMS66', 'ENS66', 'EPS66', 'EQS66', 'CDS67', 'CES67', 'CLS67', 'CMS67', 'CNS67', 'CPS67', 'CQS67', 'CRS67', 'DBS67', 'DCS67', 'DDS67', 'DES67', 'DFS67', 'DGS67', 'DHS67', 'DJS67', 'DKS67', 'EHS67', 'EJS67', 'EKS67', 'ELS67', 'EMS67', 'ENS67', 'EPS67', 'EQS67', 'CDS68', 'CES68', 'CLS68', 'CMS68', 'CNS68', 'CPS68', 'CQS68', 'CRS68', 'DBS68', 'DCS68', 'DDS68', 'DES68', 'DFS68', 'DGS68', 'DHS68', 'DJS68', 'DKS68', 'EHS68', 'EJS68', 'EKS68', 'ELS68', 'EMS68', 'ENS68', 'EPS68', 'EQS68', 'DDS69', 'DES69', 'DFS69', 'DGS69', 'DHS69', 'DJS69', 'DKS69', 'EHS69', 'EJS69', 'EKS69', 'ELS69', 'EMS69', 'ENS69', 'EPS69', 'EQS69', 'userDefined', 'FakeData']</t>
        </r>
      </text>
    </comment>
    <comment ref="M2704" authorId="0" shapeId="0" xr:uid="{E479D121-B561-46D1-AA85-264F474D7B2C}">
      <text>
        <r>
          <rPr>
            <b/>
            <sz val="9"/>
            <color indexed="81"/>
            <rFont val="Tahoma"/>
            <family val="2"/>
          </rPr>
          <t>['VFD4010006PA', 'VFD4012506PA', 'VFD4015006PA', 'VFD4020006PA', 'VFD4025006PA', 'VFD4030006PA', 'VFD4040006PA', 'VFD4050006PA', 'VFD4060006PA', 'VFD4070006PA', 'FakeData']</t>
        </r>
      </text>
    </comment>
    <comment ref="M2709" authorId="0" shapeId="0" xr:uid="{62F31DE7-30D1-42E8-8E4A-C72D5C926B2C}">
      <text>
        <r>
          <rPr>
            <b/>
            <sz val="9"/>
            <color indexed="81"/>
            <rFont val="Tahoma"/>
            <family val="2"/>
          </rPr>
          <t>['FakeData', 'DD480', 'DD588', 'DE658', 'DE745', 'DE800', 'DE880', 'DE990', 'DP1120', 'DP1260', 'DP1460', 'DP1670', 'FrameR0230', 'FrameE0485', 'FrameE0765', 'FrameE1275', 'VFD_19MVDD0395', 'VFD_19MVDD0480', 'VFD_19MVDD0588', 'VFD_19MVDE0658', 'VFD_19MVDE0745', 'VFD_19MVDE0800', 'VFD_19MVDE0880', 'VFD_19MVDE0990']</t>
        </r>
      </text>
    </comment>
    <comment ref="M2710" authorId="0" shapeId="0" xr:uid="{182A39EC-D1A0-446B-8082-24FEFAA14D98}">
      <text>
        <r>
          <rPr>
            <b/>
            <sz val="9"/>
            <color indexed="81"/>
            <rFont val="Tahoma"/>
            <family val="2"/>
          </rPr>
          <t>['Frame0414', 'Frame0500', 'Frame0643', 'FakeData']</t>
        </r>
      </text>
    </comment>
    <comment ref="M2711" authorId="0" shapeId="0" xr:uid="{FF1F4EEA-4AFF-49F6-A734-1EB148A252EA}">
      <text>
        <r>
          <rPr>
            <b/>
            <sz val="9"/>
            <color indexed="81"/>
            <rFont val="Tahoma"/>
            <family val="2"/>
          </rPr>
          <t>['VFD_19DV', 'VFD_19MV', 'VFD_19XRV', 'VFD_23XR']</t>
        </r>
      </text>
    </comment>
    <comment ref="M2712" authorId="0" shapeId="0" xr:uid="{397901C5-CC69-4F8C-A43B-878B059C9095}">
      <text>
        <r>
          <rPr>
            <b/>
            <sz val="9"/>
            <color indexed="81"/>
            <rFont val="Tahoma"/>
            <family val="2"/>
          </rPr>
          <t>['VFD_32VSS0600', 'VFD_32VSS0540', 'VFD_32VSS0680', 'VFD_32VSS0850', 'VFD_32VSS0900', 'VFD_32VSS1060', 'VFD_32VSS1200', 'VFD_32VSC0540', 'VFD_32VSC0680', 'VFD_32VSC0850', 'VFD_32VSC0900', 'VFD_32VSC1060', 'VFD_32VSC1200', 'VFD_19DV2AA', 'VFD_19DV2CC', 'VFD_19DV4AA', 'VFD_19DV4CC', 'Frame_403_VFPS1_4220KPC', 'Frame_454_VFPS1_4250KPC', 'Frame_519_VFPS1_4280KPC', 'Frame_581_VFPS1_4315KPC', 'Frame_716_VFPS1_4400KPC', 'Frame_906_VFPS1_4500KPC', 'Frame_1121_VFPS1_4630KPC', 'FakeData']</t>
        </r>
      </text>
    </comment>
    <comment ref="M2713" authorId="0" shapeId="0" xr:uid="{D9295407-FB91-493C-B1FC-DC714F3BBF1E}">
      <text>
        <r>
          <rPr>
            <b/>
            <sz val="9"/>
            <color indexed="81"/>
            <rFont val="Tahoma"/>
            <family val="2"/>
          </rPr>
          <t>['FC_102N450T4', 'FakeData']</t>
        </r>
      </text>
    </comment>
    <comment ref="M2714" authorId="0" shapeId="0" xr:uid="{C2E95F89-104B-4758-AA6C-C6FBF3E5D214}">
      <text>
        <r>
          <rPr>
            <b/>
            <sz val="9"/>
            <color indexed="81"/>
            <rFont val="Tahoma"/>
            <family val="2"/>
          </rPr>
          <t>['Freestanding', 'UnitMounted', 'StandardTier']</t>
        </r>
      </text>
    </comment>
    <comment ref="M2715" authorId="0" shapeId="0" xr:uid="{DE4CD35A-7DD1-4CA3-B2BC-5DD8515DDDB7}">
      <text>
        <r>
          <rPr>
            <b/>
            <sz val="9"/>
            <color indexed="81"/>
            <rFont val="Tahoma"/>
            <family val="2"/>
          </rPr>
          <t>['VFD_23XVR0269007', 'VFD_23XVR0230003', 'VFD_23XVR0230003_P', 'VFD_23XVR0335005', 'VFD_23XVR0335005_P', 'VFD_23XVR0445005', 'VFD_23XVR0445005_P', 'VFD_23XRA2AA5', 'VFD_23XRA2BA5', 'VFD_23XRA2BB5', 'VFD_23XRA2CC5']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Jia Li</author>
  </authors>
  <commentList>
    <comment ref="M775" authorId="0" shapeId="0" xr:uid="{7B6EF4BE-011F-44DB-996C-BAFE0EA118E0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834" authorId="0" shapeId="0" xr:uid="{041D9CF6-F0C9-4DDE-B5A6-A45672956BBE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31" authorId="0" shapeId="0" xr:uid="{9A7B169C-ED2C-41F0-B060-0BDD59E0D566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91" authorId="0" shapeId="0" xr:uid="{BEA63841-4BFD-43E7-AFF4-F7729BCD1720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51" authorId="0" shapeId="0" xr:uid="{8A049BF9-0DF2-4CF6-9065-556D5C13F59C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73" authorId="0" shapeId="0" xr:uid="{3980FFFA-5D77-4872-AE6A-934541B12066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837" authorId="0" shapeId="0" xr:uid="{454C39BB-2C26-480D-A744-963CDD211069}">
      <text>
        <r>
          <rPr>
            <b/>
            <sz val="9"/>
            <color indexed="81"/>
            <rFont val="Tahoma"/>
            <family val="2"/>
          </rPr>
          <t>['Cen2Stage_19DV', 'Cen2Stage_19MV']</t>
        </r>
      </text>
    </comment>
    <comment ref="M1871" authorId="0" shapeId="0" xr:uid="{3A546C96-3E87-47E4-8A61-7B44CB646264}">
      <text>
        <r>
          <rPr>
            <b/>
            <sz val="9"/>
            <color indexed="81"/>
            <rFont val="Tahoma"/>
            <family val="2"/>
          </rPr>
          <t>['FakeData', 'Map19DV3_3_4', 'Map19DV3_4_4', 'Map19DV3_5_4', 'Map19DV3_6_4', 'Map19DV4_3_2', 'Map19DV4_4_2', 'Map19DV4_5_2', 'Map19DV4_6_2', 'Map19DV4_3_4', 'Map19DV4_4_4', 'Map19DV4_5_4', 'Map19DV4_6_4', 'Map19DV5_4_4', 'Map19DV5_6_4', 'Map19DV5_8_4', 'Map19DV5_D_4', 'Map19DV5_F_4', 'userDefined']</t>
        </r>
      </text>
    </comment>
    <comment ref="M1872" authorId="0" shapeId="0" xr:uid="{47AAD4D9-1589-4A34-A108-EFA4D93EC549}">
      <text>
        <r>
          <rPr>
            <b/>
            <sz val="9"/>
            <color indexed="81"/>
            <rFont val="Tahoma"/>
            <family val="2"/>
          </rPr>
          <t>['FakeData', 'Map19MV3_3_9', 'Map19MV3_4_9', 'Map19MV3_5_9', 'Map19MV3_6_9', 'Map19MV3_7_9', 'Map19MV3_8_9', 'userDefined']</t>
        </r>
      </text>
    </comment>
    <comment ref="M2000" authorId="0" shapeId="0" xr:uid="{225FCF40-22BE-4334-A11A-42E4493E7F85}">
      <text>
        <r>
          <rPr>
            <b/>
            <sz val="9"/>
            <color indexed="81"/>
            <rFont val="Tahoma"/>
            <family val="2"/>
          </rPr>
          <t>['userDefined', 'Chiller19DV_ECS', 'Chiller19DV_G23', 'Chiller19DV_M42', 'Chiller19DV_M43', 'Chiller19DV_M44', 'Chiller19DV_M4C', 'Chiller19DV_M4D', 'Chiller19DV_M4E', 'Chiller19DV_M62', 'Chiller19DV_M63', 'Chiller19DV_M64', 'Chiller19DV_M6C', 'Chiller19DV_M6D', 'Chiller19DV_M6E', 'Chiller19PV_LWTTurbo', 'Chiller19PV_TE', 'Chiller19XR_C85', 'Chiller23XR_31', 'Chiller23XR_46', 'Chiller23XR_59', 'Chiller23XR_B2', 'Chiller23XR_B3', 'Chiller23XR_B5', 'Chiller23XR_B6', 'Chiller30DW_RC', 'Chiller30DW_RD', 'Chiller30DW_RG', 'Chiller30DW_RH', 'Chiller30DW_T6', 'Chiller30DW_T8', 'Chiller30DW_V7', 'Chiller30DW_V8', 'Chiller30XW_KIWIZA', 'Chiller19MV_31B', 'Chiller19MV_31C', 'Chiller19MV_31D', 'Chiller19MV_31F', 'Chiller19MV_31G', 'Chiller19MV_31J', 'Chiller19MV_31K', 'Chiller19MV_31L', 'Chiller19MV_31M', 'Chiller19MV_31N', 'Chiller19MV_33B', 'Chiller19MV_33C', 'Chiller19MV_33D', 'Chiller19MV_33F', 'Chiller19MV_33G', 'Chiller19MV_33J', 'Chiller19MV_33K', 'Chiller19MV_33L', 'Chiller19MV_33M', 'Chiller19MV_33N', 'Chiller19MV_41B', 'Chiller19MV_41C', 'Chiller19MV_41D', 'Chiller19MV_41F', 'Chiller19MV_41G', 'Chiller19MV_41J', 'Chiller19MV_41K', 'Chiller19MV_41L', 'Chiller19MV_41M', 'Chiller19MV_41N', 'Chiller19MV_43B', 'Chiller19MV_43C', 'Chiller19MV_43D', 'Chiller19MV_43F', 'Chiller19MV_43G', 'Chiller19MV_43J', 'Chiller19MV_43K', 'Chiller19MV_43L', 'Chiller19MV_43M', 'Chiller19MV_43N', 'Chiller19MV_51B', 'Chiller19MV_51C', 'Chiller19MV_51D', 'Chiller19MV_51F', 'Chiller19MV_51G', 'Chiller19MV_51J', 'Chiller19MV_51K', 'Chiller19MV_51L', 'Chiller19MV_51M', 'Chiller19MV_51N', 'Chiller19MV_53B', 'Chiller19MV_53C', 'Chiller19MV_53D', 'Chiller19MV_53F', 'Chiller19MV_53G', 'Chiller19MV_53J', 'Chiller19MV_53K', 'Chiller19MV_53L', 'Chiller19MV_53M', 'Chiller19MV_53N']</t>
        </r>
      </text>
    </comment>
    <comment ref="M2001" authorId="0" shapeId="0" xr:uid="{18B36812-504D-47A3-8260-03704C2AD4D2}">
      <text>
        <r>
          <rPr>
            <b/>
            <sz val="9"/>
            <color indexed="81"/>
            <rFont val="Tahoma"/>
            <family val="2"/>
          </rPr>
          <t>['userDefined', 'FV_19DV3_4', 'FV_19DV5']</t>
        </r>
      </text>
    </comment>
    <comment ref="M2002" authorId="0" shapeId="0" xr:uid="{2B2DE0F3-DF9E-4EA5-B27E-26FA4C8588B0}">
      <text>
        <r>
          <rPr>
            <b/>
            <sz val="9"/>
            <color indexed="81"/>
            <rFont val="Tahoma"/>
            <family val="2"/>
          </rPr>
          <t>['userDefined', 'C5_075_025_R1233zd', 'C5_075_025_R1233zd_FrameM', 'C5_075_025_R134a', 'C5_075_025_R134a_Frame8', 'C5_075_025_R134a_FrameA', 'C5_075_025_R134a_FrameB', 'C5_075_025_R134a_FrameC', 'C5_075_025_R134a_FrameD', 'C5_075_025_R134a_FrameAtoB_flasc', 'C5_075_025_R134a_FrameC_flasc', 'C5_075_025_R134a_FrameD_flasc', 'C5_075_028_R1233zd', 'C5_075_028_R1233zd_FrameM', 'C5_100_025_R1233zd', 'C5_100_025_R1233zd_FrameM', 'C5_100_025_R134a_FrameA', 'C5_100_025_R134a_FrameB', 'C5_100_025_R134a_FrameC', 'C5_100_025_R134a_FrameD', 'C5_100_025_R134a_FrameAtoB_flasc', 'C5_100_025_R134a_FrameC_flasc', 'C5_100_025_R134a_FrameD_flasc', 'C5_100_028_R1233zd', 'C5_100_028_R1233zd_FrameM', 'CSL_075_028_R134a', 'CSL_100_028_R134a', 'C_SL_075_025_R134a', 'C_SL_075_028_R134a', 'C_075_035_R134a', 'SPKIII_075_025_R1233zd', 'SPKIII_075_025_R1233zd_FrameM', 'SPKIII_075_025_R134a_Frame8', 'SPKIII_075_025_R134a_FrameAtoB', 'SPKIII_075_025_R134a_FrameAtoD_flasc', 'SPKIII_075_025_R134a_FrameCtoD', 'SPKIII_075_025_R134a_HX1to6', 'SPKIII_075_025_R134a_HX7to8', 'SPKIII_075_028_R1233zd', 'SPKIII_075_028_R1233zd_FrameM', 'SPKIII_075_028_R134a_HX1to6', 'SPKIII_075_035_R1233zd', 'SPKIII_075_035_R1233zd_FrameM', 'SPKIII_075_035_R134a_HX1to6', 'SPKIII_100_025_R1233zd', 'SPKIII_100_025_R1233zd_FrameM', 'SPKIII_100_025_R134a_FrameAtoB', 'SPKIII_100_025_R134a_FrameAtoD_flasc', 'SPKIII_100_025_R134a_FrameCtoD', 'SPKIII_100_028_R1233zd', 'SPKIII_100_028_R1233zd_FrameM', 'SPKIII_100_035_R1233zd', 'SPKIII_100_035_R1233zd_FrameM', 'C5_075_028_R134a']</t>
        </r>
      </text>
    </comment>
    <comment ref="M2306" authorId="0" shapeId="0" xr:uid="{BC414314-D500-46A9-95F2-D72879DF8FA3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311" authorId="0" shapeId="0" xr:uid="{0C1F744F-3969-45E2-9721-76829DB17BA4}">
      <text>
        <r>
          <rPr>
            <b/>
            <sz val="9"/>
            <color indexed="81"/>
            <rFont val="Tahoma"/>
            <family val="2"/>
          </rPr>
          <t>['EDR', 'Surrogate']</t>
        </r>
      </text>
    </comment>
    <comment ref="M2361" authorId="0" shapeId="0" xr:uid="{DCF0C95E-F8D3-46FA-AE76-B516CA7647AF}">
      <text>
        <r>
          <rPr>
            <b/>
            <sz val="9"/>
            <color indexed="81"/>
            <rFont val="Tahoma"/>
            <family val="2"/>
          </rPr>
          <t>['square', 'triangle']</t>
        </r>
      </text>
    </comment>
    <comment ref="M2380" authorId="0" shapeId="0" xr:uid="{1F078449-ED83-4964-87C2-B62AC7A6C774}">
      <text>
        <r>
          <rPr>
            <b/>
            <sz val="9"/>
            <color indexed="81"/>
            <rFont val="Tahoma"/>
            <family val="2"/>
          </rPr>
          <t>['userDefined', 'Chiller19PV_H2', 'Chiller19PV_L2', 'Chiller19PV_OE', 'Chiller19XR_10', 'Chiller19XR_11', 'Chiller19XR_12', 'Chiller19XR_15', 'Chiller19XR_16', 'Chiller19XR_17', 'Chiller19XR_20', 'Chiller19XR_21', 'Chiller19XR_22', 'Chiller19XR_30', 'Chiller19XR_31', 'Chiller19XR_32', 'Chiller19XR_33', 'Chiller19XR_34', 'Chiller19XR_35', 'Chiller19XR_36', 'Chiller19XR_37', 'Chiller19XR_38', 'Chiller19XR_39', 'Chiller19XR_3K', 'Chiller19XR_3L', 'Chiller19XR_3M', 'Chiller19XR_3P', 'Chiller19XR_3Q', 'Chiller19XR_3R', 'Chiller19XR_3T', 'Chiller19XR_3U', 'Chiller19XR_3V', 'Chiller19XR_3X', 'Chiller19XR_3Y', 'Chiller19XR_3Z', 'Chiller19XR_40', 'Chiller19XR_41', 'Chiller19XR_42', 'Chiller19XR_43', 'Chiller19XR_44', 'Chiller19XR_45', 'Chiller19XR_46', 'Chiller19XR_47', 'Chiller19XR_48', 'Chiller19XR_49', 'Chiller19XR_4K', 'Chiller19XR_4L', 'Chiller19XR_4M', 'Chiller19XR_4P', 'Chiller19XR_4Q', 'Chiller19XR_4R', 'Chiller19XR_4T', 'Chiller19XR_4U', 'Chiller19XR_4V', 'Chiller19XR_4X', 'Chiller19XR_4Y', 'Chiller19XR_4Z', 'Chiller19XR_50', 'Chiller19XR_51', 'Chiller19XR_52', 'Chiller19XR_53', 'Chiller19XR_54', 'Chiller19XR_55', 'Chiller19XR_56', 'Chiller19XR_57', 'Chiller19XR_58', 'Chiller19XR_59', 'Chiller19XR_5A', 'Chiller19XR_5B', 'Chiller19XR_5C', 'Chiller19XR_5F', 'Chiller19XR_5G', 'Chiller19XR_5H', 'Chiller19XR_5K', 'Chiller19XR_5L', 'Chiller19XR_5M', 'Chiller19XR_5P', 'Chiller19XR_5Q', 'Chiller19XR_5R', 'Chiller19XR_5T', 'Chiller19XR_5U', 'Chiller19XR_5V', 'Chiller19XR_5X', 'Chiller19XR_5Y', 'Chiller19XR_5Z', 'Chiller19XR_60', 'Chiller19XR_61', 'Chiller19XR_62', 'Chiller19XR_63', 'Chiller19XR_64', 'Chiller19XR_65', 'Chiller19XR_66', 'Chiller19XR_67', 'Chiller19XR_68', 'Chiller19XR_69', 'Chiller19XR_6K', 'Chiller19XR_6L', 'Chiller19XR_6M', 'Chiller19XR_6P', 'Chiller19XR_6Q', 'Chiller19XR_6R', 'Chiller19XR_6T', 'Chiller19XR_6U', 'Chiller19XR_6V', 'Chiller19XR_6X', 'Chiller19XR_6Y', 'Chiller19XR_6Z', 'Chiller19XR_70', 'Chiller19XR_71', 'Chiller19XR_72', 'Chiller19XR_73', 'Chiller19XR_74', 'Chiller19XR_75', 'Chiller19XR_76', 'Chiller19XR_77', 'Chiller19XR_78', 'Chiller19XR_79', 'Chiller19XR_7K', 'Chiller19XR_7L', 'Chiller19XR_7M', 'Chiller19XR_7P', 'Chiller19XR_7Q', 'Chiller19XR_7R', 'Chiller19XR_7T', 'Chiller19XR_7U', 'Chiller19XR_7V', 'Chiller19XR_7X', 'Chiller19XR_7Y', 'Chiller19XR_7Z', 'Chiller19XR_80', 'Chiller19XR_81', 'Chiller19XR_82', 'Chiller19XR_83', 'Chiller19XR_84', 'Chiller19XR_85', 'Chiller19XR_86', 'Chiller19XR_87', 'Chiller19XR_88', 'Chiller19XR_89', 'Chiller19XR_8K', 'Chiller19XR_8L', 'Chiller19XR_8M', 'Chiller19XR_8P', 'Chiller19XR_8Q', 'Chiller19XR_8R', 'Chiller19XR_8T', 'Chiller19XR_8U', 'Chiller19XR_8V', 'Chiller19XR_8X', 'Chiller19XR_8Y', 'Chiller19XR_8Z', 'Chiller19XR_A45', 'Chiller19XR_A4F', 'Chiller19XR_B67', 'Chiller19XR_B85', 'Chiller19XR_B8F', 'Chiller19XR_C66', 'Chiller19XR_C87', 'Chiller19XR_C8H', 'Chiller30DW_MC', 'Chiller30DW_MD', 'Chiller30DW_ME', 'Chiller30DW_MG', 'Chiller30DW_O3', 'Chiller30DW_O5', 'Chiller30DW_P5', 'Chiller30DW_P6', 'Chiller30DW_PJ', 'Chiller30KAV', 'Chiller30KAV_Pluged', 'Chiller19MV_31B', 'Chiller19MV_31C', 'Chiller19MV_31D', 'Chiller19MV_31E', 'Chiller19MV_31F', 'Chiller19MV_31G', 'Chiller19MV_31H', 'Chiller19MV_31J', 'Chiller19MV_31K', 'Chiller19MV_31L', 'Chiller19MV_31M', 'Chiller19MV_31N', 'Chiller19MV_31O', 'Chiller19MV_31P', 'Chiller19MV_31Q', 'Chiller19MV_31R', 'Chiller19MV_31S', 'Chiller19MV_31T', 'Chiller19MV_31U', 'Chiller19MV_31V', 'Chiller19MV_31W', 'Chiller19MV_31X', 'Chiller19MV_31Y', 'Chiller19MV_31Z', 'Chiller19MV_33B', 'Chiller19MV_33C', 'Chiller19MV_33D', 'Chiller19MV_33E', 'Chiller19MV_33F', 'Chiller19MV_33G', 'Chiller19MV_33H', 'Chiller19MV_33J', 'Chiller19MV_33K', 'Chiller19MV_33L', 'Chiller19MV_33M', 'Chiller19MV_33N', 'Chiller19MV_33O', 'Chiller19MV_33P', 'Chiller19MV_33Q', 'Chiller19MV_33R', 'Chiller19MV_33S', 'Chiller19MV_33T', 'Chiller19MV_33U', 'Chiller19MV_33V', 'Chiller19MV_33W', 'Chiller19MV_33X', 'Chiller19MV_33Y', 'Chiller19MV_33Z', 'Chiller19MV_41B', 'Chiller19MV_41C', 'Chiller19MV_41D', 'Chiller19MV_41E', 'Chiller19MV_41F', 'Chiller19MV_41G', 'Chiller19MV_41H', 'Chiller19MV_41J', 'Chiller19MV_41K', 'Chiller19MV_41L', 'Chiller19MV_41M', 'Chiller19MV_41N', 'Chiller19MV_41O', 'Chiller19MV_41P', 'Chiller19MV_41Q', 'Chiller19MV_41R', 'Chiller19MV_41S', 'Chiller19MV_41T', 'Chiller19MV_41U', 'Chiller19MV_41V', 'Chiller19MV_41W', 'Chiller19MV_41X', 'Chiller19MV_41Y', 'Chiller19MV_41Z', 'Chiller19MV_43B', 'Chiller19MV_43C', 'Chiller19MV_43D', 'Chiller19MV_43E', 'Chiller19MV_43F', 'Chiller19MV_43G', 'Chiller19MV_43H', 'Chiller19MV_43J', 'Chiller19MV_43K', 'Chiller19MV_43L', 'Chiller19MV_43M', 'Chiller19MV_43N', 'Chiller19MV_43O', 'Chiller19MV_43P', 'Chiller19MV_43Q', 'Chiller19MV_43R', 'Chiller19MV_43S', 'Chiller19MV_43T', 'Chiller19MV_43U', 'Chiller19MV_43V', 'Chiller19MV_43W', 'Chiller19MV_43X', 'Chiller19MV_43Y', 'Chiller19MV_43Z', 'Chiller19MV_51B', 'Chiller19MV_51C', 'Chiller19MV_51D', 'Chiller19MV_51E', 'Chiller19MV_51F', 'Chiller19MV_51G', 'Chiller19MV_51H', 'Chiller19MV_51J', 'Chiller19MV_51K', 'Chiller19MV_51L', 'Chiller19MV_51M', 'Chiller19MV_51N', 'Chiller19MV_51O', 'Chiller19MV_51P', 'Chiller19MV_51Q', 'Chiller19MV_51R', 'Chiller19MV_51S', 'Chiller19MV_51T', 'Chiller19MV_51U', 'Chiller19MV_51V', 'Chiller19MV_51W', 'Chiller19MV_51X', 'Chiller19MV_51Y', 'Chiller19MV_51Z', 'Chiller19MV_53B', 'Chiller19MV_53C', 'Chiller19MV_53D', 'Chiller19MV_53E', 'Chiller19MV_53F', 'Chiller19MV_53G', 'Chiller19MV_53H', 'Chiller19MV_53J', 'Chiller19MV_53K', 'Chiller19MV_53L', 'Chiller19MV_53M', 'Chiller19MV_53N', 'Chiller19MV_53O', 'Chiller19MV_53P', 'Chiller19MV_53Q', 'Chiller19MV_53R', 'Chiller19MV_53S', 'Chiller19MV_53T', 'Chiller19MV_53U', 'Chiller19MV_53V', 'Chiller19MV_53W', 'Chiller19MV_53X', 'Chiller19MV_53Y', 'Chiller19MV_53Z']</t>
        </r>
      </text>
    </comment>
    <comment ref="M2381" authorId="0" shapeId="0" xr:uid="{F5A8221B-6B4A-4811-9DC0-7D604CA4BB36}">
      <text>
        <r>
          <rPr>
            <b/>
            <sz val="9"/>
            <color indexed="81"/>
            <rFont val="Tahoma"/>
            <family val="2"/>
          </rPr>
          <t>['userDefined', 'B4HSL_075_025_R134a', 'B4HSL_075_025_R134a_turbulator_L', 'B4HSL_075_025_R134a_turbulator_R', 'B4HSL_075_028_R134a', 'B4HSL_100_025_R134a', 'B4H_075_035_R134a', 'B5_075_025_R1233zd', 'B5_075_025_R134a', 'B5_100_025_R1233zd', 'B5_100_025_R134a', 'EDE2_075_025_R134a', 'EDE2_075_028_R134a', 'EDE2_075_035_R134a', 'ELP2_075_025_R1233zd', 'ELP2_075_028_R1233zd', 'ELP2_100_025_R1233zd', 'ELP2_100_028_R1233zd', 'ESP_075_025_R134a', 'ESP_075_028_R134a', 'ESP_075_035_R134a', 'ESP_100_025_R134a', 'ESP_100_028_R134a', 'ESP_100_035_R134a', 'B5_075_028_R134a', 'B5_100_028_R134a']</t>
        </r>
      </text>
    </comment>
    <comment ref="M2432" authorId="0" shapeId="0" xr:uid="{FE711EB0-6D34-4D8A-9CD8-E106ACA191AA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477" authorId="0" shapeId="0" xr:uid="{393A4269-5EF7-4201-B168-D9B27A26193F}">
      <text>
        <r>
          <rPr>
            <b/>
            <sz val="9"/>
            <color indexed="81"/>
            <rFont val="Tahoma"/>
            <family val="2"/>
          </rPr>
          <t>['Parameterization', 'SystemBalancing']</t>
        </r>
      </text>
    </comment>
    <comment ref="M2478" authorId="0" shapeId="0" xr:uid="{4839FBEE-7CF6-47CD-94B0-7FF2E7473114}">
      <text>
        <r>
          <rPr>
            <b/>
            <sz val="9"/>
            <color indexed="81"/>
            <rFont val="Tahoma"/>
            <family val="2"/>
          </rPr>
          <t>['Basic', 'Advanced']</t>
        </r>
      </text>
    </comment>
    <comment ref="M2522" authorId="0" shapeId="0" xr:uid="{90B61B32-28DC-49C3-8C2B-871D8D862EB4}">
      <text>
        <r>
          <rPr>
            <b/>
            <sz val="9"/>
            <color indexed="81"/>
            <rFont val="Tahoma"/>
            <family val="2"/>
          </rPr>
          <t>['Motor_LBH_460', 'Motor_LBH_380', 'Motor_LDH_460', 'Motor_LDH_380', 'Motor_LFH_460', 'Motor_LFH_380', 'Motor_LHH_460', 'Motor_LHH_380', 'Motor_NBH_460', 'Motor_NBH_380', 'Motor_NDH_460', 'Motor_NDH_380', 'Motor_NFH_460', 'Motor_NFH_380', 'Motor_NHH_460', 'Motor_NHH_380', 'Motor_QBH_380', 'Motor_QDH_380', 'Motor_QFH_380', 'Motor_QHH_380', 'Motor_QBH_460', 'Motor_QDH_460', 'Motor_QFH_460', 'Motor_QHH_460', 'userDefined', 'FakeData']</t>
        </r>
      </text>
    </comment>
    <comment ref="M2523" authorId="0" shapeId="0" xr:uid="{BADA6825-A3C1-4D96-B57D-DB5668E665BB}">
      <text>
        <r>
          <rPr>
            <b/>
            <sz val="9"/>
            <color indexed="81"/>
            <rFont val="Tahoma"/>
            <family val="2"/>
          </rPr>
          <t>['FakeData', 'Motor_BCH_380', 'Motor_BCH_460', 'Motor_BGH_380', 'Motor_BGH_460', 'Motor_BLH_380', 'Motor_BLH_460', 'Motor_K3H_380', 'Motor_K3H_460', 'Motor_K5H_380', 'Motor_K5H_460', 'Motor_K7H_380', 'Motor_K7H_460', 'userDefined']</t>
        </r>
      </text>
    </comment>
    <comment ref="M2524" authorId="0" shapeId="0" xr:uid="{9D8267B8-EC9A-41C0-9069-7F627ADBE061}">
      <text>
        <r>
          <rPr>
            <b/>
            <sz val="9"/>
            <color indexed="81"/>
            <rFont val="Tahoma"/>
            <family val="2"/>
          </rPr>
          <t>['BDH50', 'BEH50', 'BFH50', 'BGH50', 'BHH50', 'CDH50', 'CEH50', 'CLH50', 'CMH50', 'CNH50', 'CPH50', 'CQH50', 'CRH50', 'DBH50', 'DCH50', 'DDH50', 'DEH50', 'DFH50', 'DGH50', 'KBH50', 'KCH50', 'KDH50', 'KEH50', 'KFH50', 'KGH50', 'JBH50', 'JCH50', 'JDH50', 'JEH50', 'BDH51', 'BEH51', 'BFH51', 'BGH51', 'BHH51', 'CDH51', 'CEH51', 'CLH51', 'CMH51', 'CNH51', 'CPH51', 'CQH51', 'CRH51', 'DBH51', 'DCH51', 'DDH51', 'DEH51', 'DFH51', 'DGH51', 'DHH51', 'DJH51', 'BDH52', 'BEH52', 'BFH52', 'BGH52', 'BHH52', 'CDH52', 'CEH52', 'CLH52', 'CMH52', 'CNH52', 'CPH52', 'CQH52', 'LBH52', 'LCH52', 'LDH52', 'LEH52', 'LFH52', 'LGH52', 'LHH52', 'EHH52', 'EJH52', 'EKH52', 'ELH52', 'EMH52', 'ENH52', 'EPH52', 'KBH52', 'KCH52', 'KDH52', 'KEH52', 'KFH52', 'KGH52', 'DBH52', 'DCH52', 'DDH52', 'DEH52', 'DFH52', 'DGH52', 'DHH52', 'DJH52', 'JBH52', 'JCH52', 'JDH52', 'JEH52', 'MBH52', 'MCH52', 'MDH52', 'MEH52', 'MFH52', 'CDH53', 'CEH53', 'CLH53', 'CMH53', 'CNH53', 'CPH53', 'CQH53', 'DBH53', 'DCH53', 'DDH53', 'DEH53', 'DFH53', 'DGH53', 'DHH53', 'DJH53', 'EHH53', 'EJH53', 'EKH53', 'ELH53', 'EMH53', 'ENH53', 'EPH53', 'CDH54', 'CEH54', 'CLH54', 'CMH54', 'CNH54', 'CPH54', 'CQH54', 'DBH54', 'DCH54', 'DDH54', 'DEH54', 'DFH54', 'DGH54', 'DHH54', 'DJH54', 'EHH54', 'EJH54', 'EKH54', 'ELH54', 'EMH54', 'ENH54', 'EPH54', 'DDH55', 'DEH55', 'DFH55', 'DGH55', 'DHH55', 'DJH55', 'EHH55', 'EJH55', 'EKH55', 'ELH55', 'EMH55', 'ENH55', 'EPH55', 'MDH56', 'MFH56', 'MDH57', 'MFH57', 'BDS50', 'BES50', 'BFS50', 'BGS50', 'BHS50', 'CDS50', 'CES50', 'CLS50', 'CMS50', 'CNS50', 'CPS50', 'CQS50', 'CRS50', 'DBS50', 'DCS50', 'DDS50', 'DES50', 'DFS50', 'DGS50', 'DHS50', 'BDS51', 'BES51', 'BFS51', 'BGS51', 'BHS51', 'CDS51', 'CES51', 'CLS51', 'CMS51', 'CNS51', 'CPS51', 'CQS51', 'CRS51', 'DBS51', 'DCS51', 'DDS51', 'DES51', 'DFS51', 'DGS51', 'DHS51', 'DJS51', 'BDS52', 'BES52', 'BFS52', 'BGS52', 'BHS52', 'CDS52', 'CES52', 'CLS52', 'CMS52', 'CNS52', 'CPS52', 'CQS52', 'CRS52', 'DBS52', 'DCS52', 'DDS52', 'DES52', 'DFS52', 'DGS52', 'DHS52', 'DJS52', 'EHS52', 'EJS52', 'EKS52', 'ELS52', 'EMS52', 'ENS52', 'EPS52', 'CDS53', 'CES53', 'CLS53', 'CMS53', 'CNS53', 'CPS53', 'CQS53', 'CRS53', 'DBS53', 'DCS53', 'DDS53', 'DES53', 'DFS53', 'DGS53', 'DHS53', 'DJS53', 'EHS53', 'EJS53', 'EKS53', 'ELS53', 'EMS53', 'ENS53', 'EPS53', 'CDS54', 'CES54', 'CLS54', 'CMS54', 'CNS54', 'CPS54', 'CQS54', 'CRS54', 'DBS54', 'DCS54', 'DDS54', 'DES54', 'DFS54', 'DGS54', 'DHS54', 'DJS54', 'EHS54', 'EJS54', 'EKS54', 'ELS54', 'EMS54', 'ENS54', 'EPS54', 'DDS55', 'DES55', 'DFS55', 'DGS55', 'DHS55', 'DJS55', 'EHS55', 'EJS55', 'EKS55', 'ELS55', 'EMS55', 'ENS55', 'EPS55', 'EMS56', 'EMS57', 'BDH60', 'BEH60', 'BFH60', 'BGH60', 'BHH60', 'CDH60', 'CEH60', 'CLH60', 'CMH60', 'CNH60', 'CPH60', 'CQH60', 'CRH60', 'DBH60', 'DCH60', 'DDH60', 'DEH60', 'DFH60', 'KBH60', 'KCH60', 'KDH60', 'KEH60', 'KFH60', 'KGH60', 'KHH60', 'JBH60', 'JCH60', 'JDH60', 'JEH60', 'BDH61', 'BEH61', 'BFH61', 'BGH61', 'BHH61', 'CDH61', 'CEH61', 'CLH61', 'CMH61', 'CNH61', 'CPH61', 'CQH61', 'CRH61', 'DBH61', 'DCH61', 'DDH61', 'DEH61', 'DFH61', 'KBH61', 'KCH61', 'KDH61', 'KEH61', 'KFH61', 'KGH61', 'KHH61', 'JBH61', 'JCH61', 'JDH61', 'JEH61', 'BDH62', 'BEH62', 'BFH62', 'BGH62', 'BHH62', 'BJH62', 'CDH62', 'CEH62', 'CLH62', 'CMH62', 'CNH62', 'CPH62', 'CQH62', 'CRH62', 'DBH62', 'DCH62', 'DDH62', 'DEH62', 'DFH62', 'DGH62', 'DHH62', 'DKH62', 'EHH62', 'EJH62', 'EKH62', 'ELH62', 'EMH62', 'ENH62', 'EPH62', 'KBH62', 'KCH62', 'KDH62', 'KEH62', 'KFH62', 'KGH62', 'KHH62', 'JBH62', 'JCH62', 'JDH62', 'JEH62', 'JFH62', 'MBH62', 'MCH62', 'MDH62', 'MEH62', 'MFH62', 'MGH62', 'BDH63', 'BEH63', 'BFH63', 'BGH63', 'BHH63', 'BJH63', 'CDH63', 'CEH63', 'CLH63', 'CMH63', 'CNH63', 'CPH63', 'CQH63', 'CRH63', 'DBH63', 'DCH63', 'DDH63', 'DEH63', 'DFH63', 'DGH63', 'DHH63', 'DKH63', 'EHH63', 'EJH63', 'EKH63', 'ELH63', 'EMH63', 'ENH63', 'EPH63', 'KBH63', 'KCH63', 'KDH63', 'KEH63', 'KFH63', 'KGH63', 'KHH63', 'JBH63', 'JCH63', 'JDH63', 'JEH63', 'JFH63', 'MBH63', 'MCH63', 'MDH63', 'MEH63', 'MFH63', 'MGH63', 'BDH64', 'BEH64', 'BFH64', 'BGH64', 'BHH64', 'BJH64', 'CDH64', 'CEH64', 'CLH64', 'CMH64', 'CNH64', 'CPH64', 'CQH64', 'CRH64', 'LBH64', 'LCH64', 'LDH64', 'LEH64', 'LFH64', 'LGH64', 'LHH64', 'DJH64', 'DKH64', 'EHH64', 'EJH64', 'EKH64', 'ELH64', 'EMH64', 'ENH64', 'EPH64', 'EQH64', 'KBH64', 'KCH64', 'KDH64', 'KEH64', 'KFH64', 'KGH64', 'KHH64', 'JBH64', 'JCH64', 'JDH64', 'JEH64', 'JFH64', 'MBH64', 'MCH64', 'MDH64', 'MEH64', 'MFH64', 'MGH64', 'BDH65', 'BEH65', 'BFH65', 'BGH65', 'BHH65', 'BJH65', 'CDH65', 'CEH65', 'CLH65', 'CMH65', 'CNH65', 'CPH65', 'CQH65', 'CRH65', 'DBH65', 'DCH65', 'DDH65', 'DEH65', 'DFH65', 'DGH65', 'DHH65', 'DKH65', 'EHH65', 'EJH65', 'EKH65', 'ELH65', 'EMH65', 'ENH65', 'EPH65', 'EQH65', 'KBH65', 'KCH65', 'KDH65', 'KEH65', 'KFH65', 'KGH65', 'KHH65', 'JBH65', 'JCH65', 'JDH65', 'JEH65', 'JFH65', 'CDH66', 'CEH66', 'CLH66', 'CMH66', 'CNH66', 'CPH66', 'CQH66', 'CRH66', 'DBH66', 'DCH66', 'DDH66', 'DEH66', 'DFH66', 'DGH66', 'DHH66', 'DJH66', 'DKH66', 'EHH66', 'EJH66', 'EKH66', 'ELH66', 'EMH66', 'ENH66', 'EPH66', 'EQH66', 'CDH67', 'CEH67', 'CLH67', 'CMH67', 'CNH67', 'CPH67', 'CQH67', 'CRH67', 'DBH67', 'DCH67', 'DDH67', 'DEH67', 'DFH67', 'DGH67', 'DHH67', 'DJH67', 'DKH67', 'EHH67', 'EJH67', 'EKH67', 'ELH67', 'EMH67', 'ENH67', 'EPH67', 'EQH67', 'CDH68', 'CEH68', 'CLH68', 'CMH68', 'CNH68', 'CPH68', 'CQH68', 'CRH68', 'DBH68', 'DCH68', 'DDH68', 'DEH68', 'DFH68', 'DGH68', 'DHH68', 'DJH68', 'DKH68', 'EHH68', 'EJH68', 'EKH68', 'ELH68', 'EMH68', 'ENH68', 'EPH68', 'EQH68', 'DDH69', 'DEH69', 'DFH69', 'DGH69', 'DHH69', 'DJH69', 'DKH69', 'EHH69', 'EJH69', 'EKH69', 'ELH69', 'EMH69', 'ENH69', 'EPH69', 'EQH69', 'EPH6A', 'MHH6A', 'EPH6B', 'BDS60', 'BES60', 'BFS60', 'BGS60', 'BHS60', 'CDS60', 'CES60', 'CLS60', 'CMS60', 'CNS60', 'CPS60', 'CQS60', 'CRS60', 'DBS60', 'DCS60', 'DDS60', 'DES60', 'DFS60', 'BDS61', 'BES61', 'BFS61', 'BGS61', 'BHS61', 'CDS61', 'CES61', 'CLS61', 'CMS61', 'CNS61', 'CPS61', 'CQS61', 'CRS61', 'DBS61', 'DCS61', 'DDS61', 'DES61', 'DFS61', 'BDS62', 'BES62', 'BFS62', 'BGS62', 'BHS62', 'BJS62', 'CDS62', 'CES62', 'CLS62', 'CMS62', 'CNS62', 'CPS62', 'CQS62', 'CRS62', 'DBS62', 'DCS62', 'DDS62', 'DES62', 'DFS62', 'DGS62', 'DHS62', 'DKS62', 'EHS62', 'EJS62', 'EKS62', 'ELS62', 'EMS62', 'ENS62', 'EPS62', 'BDS63', 'BES63', 'BFS63', 'BGS63', 'BHS63', 'BJS63', 'CDS63', 'CES63', 'CLS63', 'CMS63', 'CNS63', 'CPS63', 'CQS63', 'CRS63', 'DBS63', 'DCS63', 'DDS63', 'DES63', 'DFS63', 'DGS63', 'DHS63', 'DKS63', 'EHS63', 'EJS63', 'EKS63', 'ELS63', 'EMS63', 'ENS63', 'EPS63', 'BDS64', 'BES64', 'BFS64', 'BGS64', 'BHS64', 'BJS64', 'CDS64', 'CES64', 'CLS64', 'CMS64', 'CNS64', 'CPS64', 'CQS64', 'CRS64', 'DBS64', 'DCS64', 'DDS64', 'DES64', 'DFS64', 'DGS64', 'DHS64', 'DJS64', 'DKS64', 'EHS64', 'EJS64', 'EKS64', 'ELS64', 'EMS64', 'ENS64', 'EPS64', 'EQS64', 'BDS65', 'BES65', 'BFS65', 'BGS65', 'BHS65', 'BJS65', 'CDS65', 'CES65', 'CLS65', 'CMS65', 'CNS65', 'CPS65', 'CQS65', 'CRS65', 'DBS65', 'DCS65', 'DDS65', 'DES65', 'DFS65', 'DGS65', 'DHS65', 'DJS65', 'DKS65', 'EHS65', 'EJS65', 'EKS65', 'ELS65', 'EMS65', 'ENS65', 'EPS65', 'EQS65', 'CDS66', 'CES66', 'CLS66', 'CMS66', 'CNS66', 'CPS66', 'CQS66', 'CRS66', 'DBS66', 'DCS66', 'DDS66', 'DES66', 'DFS66', 'DGS66', 'DHS66', 'DJS66', 'DKS66', 'EHS66', 'EJS66', 'EKS66', 'ELS66', 'EMS66', 'ENS66', 'EPS66', 'EQS66', 'CDS67', 'CES67', 'CLS67', 'CMS67', 'CNS67', 'CPS67', 'CQS67', 'CRS67', 'DBS67', 'DCS67', 'DDS67', 'DES67', 'DFS67', 'DGS67', 'DHS67', 'DJS67', 'DKS67', 'EHS67', 'EJS67', 'EKS67', 'ELS67', 'EMS67', 'ENS67', 'EPS67', 'EQS67', 'CDS68', 'CES68', 'CLS68', 'CMS68', 'CNS68', 'CPS68', 'CQS68', 'CRS68', 'DBS68', 'DCS68', 'DDS68', 'DES68', 'DFS68', 'DGS68', 'DHS68', 'DJS68', 'DKS68', 'EHS68', 'EJS68', 'EKS68', 'ELS68', 'EMS68', 'ENS68', 'EPS68', 'EQS68', 'DDS69', 'DES69', 'DFS69', 'DGS69', 'DHS69', 'DJS69', 'DKS69', 'EHS69', 'EJS69', 'EKS69', 'ELS69', 'EMS69', 'ENS69', 'EPS69', 'EQS69', 'userDefined', 'FakeData']</t>
        </r>
      </text>
    </comment>
    <comment ref="M2704" authorId="0" shapeId="0" xr:uid="{B967A517-3501-417B-A379-91CC2A43DF53}">
      <text>
        <r>
          <rPr>
            <b/>
            <sz val="9"/>
            <color indexed="81"/>
            <rFont val="Tahoma"/>
            <family val="2"/>
          </rPr>
          <t>['VFD4010006PA', 'VFD4012506PA', 'VFD4015006PA', 'VFD4020006PA', 'VFD4025006PA', 'VFD4030006PA', 'VFD4040006PA', 'VFD4050006PA', 'VFD4060006PA', 'VFD4070006PA', 'FakeData']</t>
        </r>
      </text>
    </comment>
    <comment ref="M2709" authorId="0" shapeId="0" xr:uid="{223FD438-DA50-4FB2-AA5F-637FB660FF60}">
      <text>
        <r>
          <rPr>
            <b/>
            <sz val="9"/>
            <color indexed="81"/>
            <rFont val="Tahoma"/>
            <family val="2"/>
          </rPr>
          <t>['FakeData', 'DD480', 'DD588', 'DE658', 'DE745', 'DE800', 'DE880', 'DE990', 'DP1120', 'DP1260', 'DP1460', 'DP1670', 'FrameR0230', 'FrameE0485', 'FrameE0765', 'FrameE1275', 'VFD_19MVDD0395', 'VFD_19MVDD0480', 'VFD_19MVDD0588', 'VFD_19MVDE0658', 'VFD_19MVDE0745', 'VFD_19MVDE0800', 'VFD_19MVDE0880', 'VFD_19MVDE0990']</t>
        </r>
      </text>
    </comment>
    <comment ref="M2710" authorId="0" shapeId="0" xr:uid="{C98DB3F5-6F37-4711-A261-5EF6462E5112}">
      <text>
        <r>
          <rPr>
            <b/>
            <sz val="9"/>
            <color indexed="81"/>
            <rFont val="Tahoma"/>
            <family val="2"/>
          </rPr>
          <t>['Frame0414', 'Frame0500', 'Frame0643', 'FakeData']</t>
        </r>
      </text>
    </comment>
    <comment ref="M2711" authorId="0" shapeId="0" xr:uid="{96E583AF-42C3-4663-9039-59EA1BEA4A7D}">
      <text>
        <r>
          <rPr>
            <b/>
            <sz val="9"/>
            <color indexed="81"/>
            <rFont val="Tahoma"/>
            <family val="2"/>
          </rPr>
          <t>['VFD_19DV', 'VFD_19MV', 'VFD_19XRV', 'VFD_23XR']</t>
        </r>
      </text>
    </comment>
    <comment ref="M2712" authorId="0" shapeId="0" xr:uid="{FFBBF671-3AD0-44B7-928B-940886819FD7}">
      <text>
        <r>
          <rPr>
            <b/>
            <sz val="9"/>
            <color indexed="81"/>
            <rFont val="Tahoma"/>
            <family val="2"/>
          </rPr>
          <t>['VFD_32VSS0600', 'VFD_32VSS0540', 'VFD_32VSS0680', 'VFD_32VSS0850', 'VFD_32VSS0900', 'VFD_32VSS1060', 'VFD_32VSS1200', 'VFD_32VSC0540', 'VFD_32VSC0680', 'VFD_32VSC0850', 'VFD_32VSC0900', 'VFD_32VSC1060', 'VFD_32VSC1200', 'VFD_19DV2AA', 'VFD_19DV2CC', 'VFD_19DV4AA', 'VFD_19DV4CC', 'Frame_403_VFPS1_4220KPC', 'Frame_454_VFPS1_4250KPC', 'Frame_519_VFPS1_4280KPC', 'Frame_581_VFPS1_4315KPC', 'Frame_716_VFPS1_4400KPC', 'Frame_906_VFPS1_4500KPC', 'Frame_1121_VFPS1_4630KPC', 'FakeData']</t>
        </r>
      </text>
    </comment>
    <comment ref="M2713" authorId="0" shapeId="0" xr:uid="{4EDED6C2-9247-4B34-A06D-7E221DDCFD39}">
      <text>
        <r>
          <rPr>
            <b/>
            <sz val="9"/>
            <color indexed="81"/>
            <rFont val="Tahoma"/>
            <family val="2"/>
          </rPr>
          <t>['FC_102N450T4', 'FakeData']</t>
        </r>
      </text>
    </comment>
    <comment ref="M2714" authorId="0" shapeId="0" xr:uid="{048E5194-5B97-4D01-8F70-616335E93DAF}">
      <text>
        <r>
          <rPr>
            <b/>
            <sz val="9"/>
            <color indexed="81"/>
            <rFont val="Tahoma"/>
            <family val="2"/>
          </rPr>
          <t>['Freestanding', 'UnitMounted', 'StandardTier']</t>
        </r>
      </text>
    </comment>
    <comment ref="M2715" authorId="0" shapeId="0" xr:uid="{AB5486A4-4523-4151-8009-9E6D919AAFC6}">
      <text>
        <r>
          <rPr>
            <b/>
            <sz val="9"/>
            <color indexed="81"/>
            <rFont val="Tahoma"/>
            <family val="2"/>
          </rPr>
          <t>['VFD_23XVR0269007', 'VFD_23XVR0230003', 'VFD_23XVR0230003_P', 'VFD_23XVR0335005', 'VFD_23XVR0335005_P', 'VFD_23XVR0445005', 'VFD_23XVR0445005_P', 'VFD_23XRA2AA5', 'VFD_23XRA2BA5', 'VFD_23XRA2BB5', 'VFD_23XRA2CC5']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Jia Li</author>
  </authors>
  <commentList>
    <comment ref="M775" authorId="0" shapeId="0" xr:uid="{06A755E7-5F6D-4AFF-B4F1-EC225CB2287F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834" authorId="0" shapeId="0" xr:uid="{B9A16FB3-2A52-44AE-9999-999BD8C1EAE1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31" authorId="0" shapeId="0" xr:uid="{88D70E3B-4909-40A0-8F4C-2E0C097B438D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991" authorId="0" shapeId="0" xr:uid="{55E10EF8-FE32-4BDD-8D63-62FA626D4447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51" authorId="0" shapeId="0" xr:uid="{6F1E4633-1466-4FA0-8FD7-54A6BC27DEFD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073" authorId="0" shapeId="0" xr:uid="{B0D55BAE-6201-4443-9FD6-1EFF70FE1805}">
      <text>
        <r>
          <rPr>
            <b/>
            <sz val="9"/>
            <color indexed="81"/>
            <rFont val="Tahoma"/>
            <family val="2"/>
          </rPr>
          <t>['DV3', 'DV4', 'DV5']</t>
        </r>
      </text>
    </comment>
    <comment ref="M1837" authorId="0" shapeId="0" xr:uid="{F0C5E639-B3B7-40FD-B4DF-A15DC5558EA4}">
      <text>
        <r>
          <rPr>
            <b/>
            <sz val="9"/>
            <color indexed="81"/>
            <rFont val="Tahoma"/>
            <family val="2"/>
          </rPr>
          <t>['Cen2Stage_19DV', 'Cen2Stage_19MV']</t>
        </r>
      </text>
    </comment>
    <comment ref="M1871" authorId="0" shapeId="0" xr:uid="{1623B4E2-E19E-4CF9-B746-F69924BBB0CF}">
      <text>
        <r>
          <rPr>
            <b/>
            <sz val="9"/>
            <color indexed="81"/>
            <rFont val="Tahoma"/>
            <family val="2"/>
          </rPr>
          <t>['FakeData', 'Map19DV3_3_4', 'Map19DV3_4_4', 'Map19DV3_5_4', 'Map19DV3_6_4', 'Map19DV4_3_2', 'Map19DV4_4_2', 'Map19DV4_5_2', 'Map19DV4_6_2', 'Map19DV4_3_4', 'Map19DV4_4_4', 'Map19DV4_5_4', 'Map19DV4_6_4', 'Map19DV5_4_4', 'Map19DV5_6_4', 'Map19DV5_8_4', 'Map19DV5_D_4', 'Map19DV5_F_4', 'userDefined']</t>
        </r>
      </text>
    </comment>
    <comment ref="M1872" authorId="0" shapeId="0" xr:uid="{22687D6F-1E52-48CC-BC54-4CD32CEA2E03}">
      <text>
        <r>
          <rPr>
            <b/>
            <sz val="9"/>
            <color indexed="81"/>
            <rFont val="Tahoma"/>
            <family val="2"/>
          </rPr>
          <t>['FakeData', 'Map19MV3_3_9', 'Map19MV3_4_9', 'Map19MV3_5_9', 'Map19MV3_6_9', 'Map19MV3_7_9', 'Map19MV3_8_9', 'userDefined']</t>
        </r>
      </text>
    </comment>
    <comment ref="M2000" authorId="0" shapeId="0" xr:uid="{06CE798D-139C-4704-82B7-10C9DA500B67}">
      <text>
        <r>
          <rPr>
            <b/>
            <sz val="9"/>
            <color indexed="81"/>
            <rFont val="Tahoma"/>
            <family val="2"/>
          </rPr>
          <t>['userDefined', 'Chiller19DV_ECS', 'Chiller19DV_G23', 'Chiller19DV_M42', 'Chiller19DV_M43', 'Chiller19DV_M44', 'Chiller19DV_M4C', 'Chiller19DV_M4D', 'Chiller19DV_M4E', 'Chiller19DV_M62', 'Chiller19DV_M63', 'Chiller19DV_M64', 'Chiller19DV_M6C', 'Chiller19DV_M6D', 'Chiller19DV_M6E', 'Chiller19PV_LWTTurbo', 'Chiller19PV_TE', 'Chiller19XR_C85', 'Chiller23XR_31', 'Chiller23XR_46', 'Chiller23XR_59', 'Chiller23XR_B2', 'Chiller23XR_B3', 'Chiller23XR_B5', 'Chiller23XR_B6', 'Chiller30DW_RC', 'Chiller30DW_RD', 'Chiller30DW_RG', 'Chiller30DW_RH', 'Chiller30DW_T6', 'Chiller30DW_T8', 'Chiller30DW_V7', 'Chiller30DW_V8', 'Chiller30XW_KIWIZA', 'Chiller19MV_31B', 'Chiller19MV_31C', 'Chiller19MV_31D', 'Chiller19MV_31F', 'Chiller19MV_31G', 'Chiller19MV_31J', 'Chiller19MV_31K', 'Chiller19MV_31L', 'Chiller19MV_31M', 'Chiller19MV_31N', 'Chiller19MV_33B', 'Chiller19MV_33C', 'Chiller19MV_33D', 'Chiller19MV_33F', 'Chiller19MV_33G', 'Chiller19MV_33J', 'Chiller19MV_33K', 'Chiller19MV_33L', 'Chiller19MV_33M', 'Chiller19MV_33N', 'Chiller19MV_41B', 'Chiller19MV_41C', 'Chiller19MV_41D', 'Chiller19MV_41F', 'Chiller19MV_41G', 'Chiller19MV_41J', 'Chiller19MV_41K', 'Chiller19MV_41L', 'Chiller19MV_41M', 'Chiller19MV_41N', 'Chiller19MV_43B', 'Chiller19MV_43C', 'Chiller19MV_43D', 'Chiller19MV_43F', 'Chiller19MV_43G', 'Chiller19MV_43J', 'Chiller19MV_43K', 'Chiller19MV_43L', 'Chiller19MV_43M', 'Chiller19MV_43N', 'Chiller19MV_51B', 'Chiller19MV_51C', 'Chiller19MV_51D', 'Chiller19MV_51F', 'Chiller19MV_51G', 'Chiller19MV_51J', 'Chiller19MV_51K', 'Chiller19MV_51L', 'Chiller19MV_51M', 'Chiller19MV_51N', 'Chiller19MV_53B', 'Chiller19MV_53C', 'Chiller19MV_53D', 'Chiller19MV_53F', 'Chiller19MV_53G', 'Chiller19MV_53J', 'Chiller19MV_53K', 'Chiller19MV_53L', 'Chiller19MV_53M', 'Chiller19MV_53N']</t>
        </r>
      </text>
    </comment>
    <comment ref="M2001" authorId="0" shapeId="0" xr:uid="{AA73CC91-B2C9-4C61-ABD8-6FBD883F2173}">
      <text>
        <r>
          <rPr>
            <b/>
            <sz val="9"/>
            <color indexed="81"/>
            <rFont val="Tahoma"/>
            <family val="2"/>
          </rPr>
          <t>['userDefined', 'FV_19DV3_4', 'FV_19DV5']</t>
        </r>
      </text>
    </comment>
    <comment ref="M2002" authorId="0" shapeId="0" xr:uid="{A4886E55-F608-4791-9EA5-2FA25FBAC58E}">
      <text>
        <r>
          <rPr>
            <b/>
            <sz val="9"/>
            <color indexed="81"/>
            <rFont val="Tahoma"/>
            <family val="2"/>
          </rPr>
          <t>['userDefined', 'C5_075_025_R1233zd', 'C5_075_025_R1233zd_FrameM', 'C5_075_025_R134a', 'C5_075_025_R134a_Frame8', 'C5_075_025_R134a_FrameA', 'C5_075_025_R134a_FrameB', 'C5_075_025_R134a_FrameC', 'C5_075_025_R134a_FrameD', 'C5_075_025_R134a_FrameAtoB_flasc', 'C5_075_025_R134a_FrameC_flasc', 'C5_075_025_R134a_FrameD_flasc', 'C5_075_028_R1233zd', 'C5_075_028_R1233zd_FrameM', 'C5_100_025_R1233zd', 'C5_100_025_R1233zd_FrameM', 'C5_100_025_R134a_FrameA', 'C5_100_025_R134a_FrameB', 'C5_100_025_R134a_FrameC', 'C5_100_025_R134a_FrameD', 'C5_100_025_R134a_FrameAtoB_flasc', 'C5_100_025_R134a_FrameC_flasc', 'C5_100_025_R134a_FrameD_flasc', 'C5_100_028_R1233zd', 'C5_100_028_R1233zd_FrameM', 'CSL_075_028_R134a', 'CSL_100_028_R134a', 'C_SL_075_025_R134a', 'C_SL_075_028_R134a', 'C_075_035_R134a', 'SPKIII_075_025_R1233zd', 'SPKIII_075_025_R1233zd_FrameM', 'SPKIII_075_025_R134a_Frame8', 'SPKIII_075_025_R134a_FrameAtoB', 'SPKIII_075_025_R134a_FrameAtoD_flasc', 'SPKIII_075_025_R134a_FrameCtoD', 'SPKIII_075_025_R134a_HX1to6', 'SPKIII_075_025_R134a_HX7to8', 'SPKIII_075_028_R1233zd', 'SPKIII_075_028_R1233zd_FrameM', 'SPKIII_075_028_R134a_HX1to6', 'SPKIII_075_035_R1233zd', 'SPKIII_075_035_R1233zd_FrameM', 'SPKIII_075_035_R134a_HX1to6', 'SPKIII_100_025_R1233zd', 'SPKIII_100_025_R1233zd_FrameM', 'SPKIII_100_025_R134a_FrameAtoB', 'SPKIII_100_025_R134a_FrameAtoD_flasc', 'SPKIII_100_025_R134a_FrameCtoD', 'SPKIII_100_028_R1233zd', 'SPKIII_100_028_R1233zd_FrameM', 'SPKIII_100_035_R1233zd', 'SPKIII_100_035_R1233zd_FrameM', 'C5_075_028_R134a']</t>
        </r>
      </text>
    </comment>
    <comment ref="M2306" authorId="0" shapeId="0" xr:uid="{EC37AAF1-5E06-4BC3-8E03-20F94218C00C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311" authorId="0" shapeId="0" xr:uid="{333796A9-27B5-44EC-A4C9-D1D9BBE29D04}">
      <text>
        <r>
          <rPr>
            <b/>
            <sz val="9"/>
            <color indexed="81"/>
            <rFont val="Tahoma"/>
            <family val="2"/>
          </rPr>
          <t>['EDR', 'Surrogate']</t>
        </r>
      </text>
    </comment>
    <comment ref="M2361" authorId="0" shapeId="0" xr:uid="{9D7B3B73-358B-48AA-8FCF-DFFB99468F37}">
      <text>
        <r>
          <rPr>
            <b/>
            <sz val="9"/>
            <color indexed="81"/>
            <rFont val="Tahoma"/>
            <family val="2"/>
          </rPr>
          <t>['square', 'triangle']</t>
        </r>
      </text>
    </comment>
    <comment ref="M2380" authorId="0" shapeId="0" xr:uid="{68915C84-E7F4-4955-B9BD-39D6C8E20631}">
      <text>
        <r>
          <rPr>
            <b/>
            <sz val="9"/>
            <color indexed="81"/>
            <rFont val="Tahoma"/>
            <family val="2"/>
          </rPr>
          <t>['userDefined', 'Chiller19PV_H2', 'Chiller19PV_L2', 'Chiller19PV_OE', 'Chiller19XR_10', 'Chiller19XR_11', 'Chiller19XR_12', 'Chiller19XR_15', 'Chiller19XR_16', 'Chiller19XR_17', 'Chiller19XR_20', 'Chiller19XR_21', 'Chiller19XR_22', 'Chiller19XR_30', 'Chiller19XR_31', 'Chiller19XR_32', 'Chiller19XR_33', 'Chiller19XR_34', 'Chiller19XR_35', 'Chiller19XR_36', 'Chiller19XR_37', 'Chiller19XR_38', 'Chiller19XR_39', 'Chiller19XR_3K', 'Chiller19XR_3L', 'Chiller19XR_3M', 'Chiller19XR_3P', 'Chiller19XR_3Q', 'Chiller19XR_3R', 'Chiller19XR_3T', 'Chiller19XR_3U', 'Chiller19XR_3V', 'Chiller19XR_3X', 'Chiller19XR_3Y', 'Chiller19XR_3Z', 'Chiller19XR_40', 'Chiller19XR_41', 'Chiller19XR_42', 'Chiller19XR_43', 'Chiller19XR_44', 'Chiller19XR_45', 'Chiller19XR_46', 'Chiller19XR_47', 'Chiller19XR_48', 'Chiller19XR_49', 'Chiller19XR_4K', 'Chiller19XR_4L', 'Chiller19XR_4M', 'Chiller19XR_4P', 'Chiller19XR_4Q', 'Chiller19XR_4R', 'Chiller19XR_4T', 'Chiller19XR_4U', 'Chiller19XR_4V', 'Chiller19XR_4X', 'Chiller19XR_4Y', 'Chiller19XR_4Z', 'Chiller19XR_50', 'Chiller19XR_51', 'Chiller19XR_52', 'Chiller19XR_53', 'Chiller19XR_54', 'Chiller19XR_55', 'Chiller19XR_56', 'Chiller19XR_57', 'Chiller19XR_58', 'Chiller19XR_59', 'Chiller19XR_5A', 'Chiller19XR_5B', 'Chiller19XR_5C', 'Chiller19XR_5F', 'Chiller19XR_5G', 'Chiller19XR_5H', 'Chiller19XR_5K', 'Chiller19XR_5L', 'Chiller19XR_5M', 'Chiller19XR_5P', 'Chiller19XR_5Q', 'Chiller19XR_5R', 'Chiller19XR_5T', 'Chiller19XR_5U', 'Chiller19XR_5V', 'Chiller19XR_5X', 'Chiller19XR_5Y', 'Chiller19XR_5Z', 'Chiller19XR_60', 'Chiller19XR_61', 'Chiller19XR_62', 'Chiller19XR_63', 'Chiller19XR_64', 'Chiller19XR_65', 'Chiller19XR_66', 'Chiller19XR_67', 'Chiller19XR_68', 'Chiller19XR_69', 'Chiller19XR_6K', 'Chiller19XR_6L', 'Chiller19XR_6M', 'Chiller19XR_6P', 'Chiller19XR_6Q', 'Chiller19XR_6R', 'Chiller19XR_6T', 'Chiller19XR_6U', 'Chiller19XR_6V', 'Chiller19XR_6X', 'Chiller19XR_6Y', 'Chiller19XR_6Z', 'Chiller19XR_70', 'Chiller19XR_71', 'Chiller19XR_72', 'Chiller19XR_73', 'Chiller19XR_74', 'Chiller19XR_75', 'Chiller19XR_76', 'Chiller19XR_77', 'Chiller19XR_78', 'Chiller19XR_79', 'Chiller19XR_7K', 'Chiller19XR_7L', 'Chiller19XR_7M', 'Chiller19XR_7P', 'Chiller19XR_7Q', 'Chiller19XR_7R', 'Chiller19XR_7T', 'Chiller19XR_7U', 'Chiller19XR_7V', 'Chiller19XR_7X', 'Chiller19XR_7Y', 'Chiller19XR_7Z', 'Chiller19XR_80', 'Chiller19XR_81', 'Chiller19XR_82', 'Chiller19XR_83', 'Chiller19XR_84', 'Chiller19XR_85', 'Chiller19XR_86', 'Chiller19XR_87', 'Chiller19XR_88', 'Chiller19XR_89', 'Chiller19XR_8K', 'Chiller19XR_8L', 'Chiller19XR_8M', 'Chiller19XR_8P', 'Chiller19XR_8Q', 'Chiller19XR_8R', 'Chiller19XR_8T', 'Chiller19XR_8U', 'Chiller19XR_8V', 'Chiller19XR_8X', 'Chiller19XR_8Y', 'Chiller19XR_8Z', 'Chiller19XR_A45', 'Chiller19XR_A4F', 'Chiller19XR_B67', 'Chiller19XR_B85', 'Chiller19XR_B8F', 'Chiller19XR_C66', 'Chiller19XR_C87', 'Chiller19XR_C8H', 'Chiller30DW_MC', 'Chiller30DW_MD', 'Chiller30DW_ME', 'Chiller30DW_MG', 'Chiller30DW_O3', 'Chiller30DW_O5', 'Chiller30DW_P5', 'Chiller30DW_P6', 'Chiller30DW_PJ', 'Chiller30KAV', 'Chiller30KAV_Pluged', 'Chiller19MV_31B', 'Chiller19MV_31C', 'Chiller19MV_31D', 'Chiller19MV_31E', 'Chiller19MV_31F', 'Chiller19MV_31G', 'Chiller19MV_31H', 'Chiller19MV_31J', 'Chiller19MV_31K', 'Chiller19MV_31L', 'Chiller19MV_31M', 'Chiller19MV_31N', 'Chiller19MV_31O', 'Chiller19MV_31P', 'Chiller19MV_31Q', 'Chiller19MV_31R', 'Chiller19MV_31S', 'Chiller19MV_31T', 'Chiller19MV_31U', 'Chiller19MV_31V', 'Chiller19MV_31W', 'Chiller19MV_31X', 'Chiller19MV_31Y', 'Chiller19MV_31Z', 'Chiller19MV_33B', 'Chiller19MV_33C', 'Chiller19MV_33D', 'Chiller19MV_33E', 'Chiller19MV_33F', 'Chiller19MV_33G', 'Chiller19MV_33H', 'Chiller19MV_33J', 'Chiller19MV_33K', 'Chiller19MV_33L', 'Chiller19MV_33M', 'Chiller19MV_33N', 'Chiller19MV_33O', 'Chiller19MV_33P', 'Chiller19MV_33Q', 'Chiller19MV_33R', 'Chiller19MV_33S', 'Chiller19MV_33T', 'Chiller19MV_33U', 'Chiller19MV_33V', 'Chiller19MV_33W', 'Chiller19MV_33X', 'Chiller19MV_33Y', 'Chiller19MV_33Z', 'Chiller19MV_41B', 'Chiller19MV_41C', 'Chiller19MV_41D', 'Chiller19MV_41E', 'Chiller19MV_41F', 'Chiller19MV_41G', 'Chiller19MV_41H', 'Chiller19MV_41J', 'Chiller19MV_41K', 'Chiller19MV_41L', 'Chiller19MV_41M', 'Chiller19MV_41N', 'Chiller19MV_41O', 'Chiller19MV_41P', 'Chiller19MV_41Q', 'Chiller19MV_41R', 'Chiller19MV_41S', 'Chiller19MV_41T', 'Chiller19MV_41U', 'Chiller19MV_41V', 'Chiller19MV_41W', 'Chiller19MV_41X', 'Chiller19MV_41Y', 'Chiller19MV_41Z', 'Chiller19MV_43B', 'Chiller19MV_43C', 'Chiller19MV_43D', 'Chiller19MV_43E', 'Chiller19MV_43F', 'Chiller19MV_43G', 'Chiller19MV_43H', 'Chiller19MV_43J', 'Chiller19MV_43K', 'Chiller19MV_43L', 'Chiller19MV_43M', 'Chiller19MV_43N', 'Chiller19MV_43O', 'Chiller19MV_43P', 'Chiller19MV_43Q', 'Chiller19MV_43R', 'Chiller19MV_43S', 'Chiller19MV_43T', 'Chiller19MV_43U', 'Chiller19MV_43V', 'Chiller19MV_43W', 'Chiller19MV_43X', 'Chiller19MV_43Y', 'Chiller19MV_43Z', 'Chiller19MV_51B', 'Chiller19MV_51C', 'Chiller19MV_51D', 'Chiller19MV_51E', 'Chiller19MV_51F', 'Chiller19MV_51G', 'Chiller19MV_51H', 'Chiller19MV_51J', 'Chiller19MV_51K', 'Chiller19MV_51L', 'Chiller19MV_51M', 'Chiller19MV_51N', 'Chiller19MV_51O', 'Chiller19MV_51P', 'Chiller19MV_51Q', 'Chiller19MV_51R', 'Chiller19MV_51S', 'Chiller19MV_51T', 'Chiller19MV_51U', 'Chiller19MV_51V', 'Chiller19MV_51W', 'Chiller19MV_51X', 'Chiller19MV_51Y', 'Chiller19MV_51Z', 'Chiller19MV_53B', 'Chiller19MV_53C', 'Chiller19MV_53D', 'Chiller19MV_53E', 'Chiller19MV_53F', 'Chiller19MV_53G', 'Chiller19MV_53H', 'Chiller19MV_53J', 'Chiller19MV_53K', 'Chiller19MV_53L', 'Chiller19MV_53M', 'Chiller19MV_53N', 'Chiller19MV_53O', 'Chiller19MV_53P', 'Chiller19MV_53Q', 'Chiller19MV_53R', 'Chiller19MV_53S', 'Chiller19MV_53T', 'Chiller19MV_53U', 'Chiller19MV_53V', 'Chiller19MV_53W', 'Chiller19MV_53X', 'Chiller19MV_53Y', 'Chiller19MV_53Z']</t>
        </r>
      </text>
    </comment>
    <comment ref="M2381" authorId="0" shapeId="0" xr:uid="{C0E511B6-5BCE-4C58-8828-0232A36797D5}">
      <text>
        <r>
          <rPr>
            <b/>
            <sz val="9"/>
            <color indexed="81"/>
            <rFont val="Tahoma"/>
            <family val="2"/>
          </rPr>
          <t>['userDefined', 'B4HSL_075_025_R134a', 'B4HSL_075_025_R134a_turbulator_L', 'B4HSL_075_025_R134a_turbulator_R', 'B4HSL_075_028_R134a', 'B4HSL_100_025_R134a', 'B4H_075_035_R134a', 'B5_075_025_R1233zd', 'B5_075_025_R134a', 'B5_100_025_R1233zd', 'B5_100_025_R134a', 'EDE2_075_025_R134a', 'EDE2_075_028_R134a', 'EDE2_075_035_R134a', 'ELP2_075_025_R1233zd', 'ELP2_075_028_R1233zd', 'ELP2_100_025_R1233zd', 'ELP2_100_028_R1233zd', 'ESP_075_025_R134a', 'ESP_075_028_R134a', 'ESP_075_035_R134a', 'ESP_100_025_R134a', 'ESP_100_028_R134a', 'ESP_100_035_R134a', 'B5_075_028_R134a', 'B5_100_028_R134a']</t>
        </r>
      </text>
    </comment>
    <comment ref="M2432" authorId="0" shapeId="0" xr:uid="{E24A3DD2-20DB-4796-89C6-3095612A5EAA}">
      <text>
        <r>
          <rPr>
            <b/>
            <sz val="9"/>
            <color indexed="81"/>
            <rFont val="Tahoma"/>
            <family val="2"/>
          </rPr>
          <t>['NIH', 'Marine']</t>
        </r>
      </text>
    </comment>
    <comment ref="M2477" authorId="0" shapeId="0" xr:uid="{ECC9D527-93D6-4FAE-B7B4-33B493A79724}">
      <text>
        <r>
          <rPr>
            <b/>
            <sz val="9"/>
            <color indexed="81"/>
            <rFont val="Tahoma"/>
            <family val="2"/>
          </rPr>
          <t>['Parameterization', 'SystemBalancing']</t>
        </r>
      </text>
    </comment>
    <comment ref="M2478" authorId="0" shapeId="0" xr:uid="{855C1E1A-A5A7-4DBE-95B8-0DF852E3D041}">
      <text>
        <r>
          <rPr>
            <b/>
            <sz val="9"/>
            <color indexed="81"/>
            <rFont val="Tahoma"/>
            <family val="2"/>
          </rPr>
          <t>['Basic', 'Advanced']</t>
        </r>
      </text>
    </comment>
    <comment ref="M2522" authorId="0" shapeId="0" xr:uid="{4AB2A950-8F56-4648-B1B8-32F368B35288}">
      <text>
        <r>
          <rPr>
            <b/>
            <sz val="9"/>
            <color indexed="81"/>
            <rFont val="Tahoma"/>
            <family val="2"/>
          </rPr>
          <t>['Motor_LBH_460', 'Motor_LBH_380', 'Motor_LDH_460', 'Motor_LDH_380', 'Motor_LFH_460', 'Motor_LFH_380', 'Motor_LHH_460', 'Motor_LHH_380', 'Motor_NBH_460', 'Motor_NBH_380', 'Motor_NDH_460', 'Motor_NDH_380', 'Motor_NFH_460', 'Motor_NFH_380', 'Motor_NHH_460', 'Motor_NHH_380', 'Motor_QBH_380', 'Motor_QDH_380', 'Motor_QFH_380', 'Motor_QHH_380', 'Motor_QBH_460', 'Motor_QDH_460', 'Motor_QFH_460', 'Motor_QHH_460', 'userDefined', 'FakeData']</t>
        </r>
      </text>
    </comment>
    <comment ref="M2523" authorId="0" shapeId="0" xr:uid="{4F8F6DEB-EB39-4947-AD29-82ED5A92B91C}">
      <text>
        <r>
          <rPr>
            <b/>
            <sz val="9"/>
            <color indexed="81"/>
            <rFont val="Tahoma"/>
            <family val="2"/>
          </rPr>
          <t>['FakeData', 'Motor_BCH_380', 'Motor_BCH_460', 'Motor_BGH_380', 'Motor_BGH_460', 'Motor_BLH_380', 'Motor_BLH_460', 'Motor_K3H_380', 'Motor_K3H_460', 'Motor_K5H_380', 'Motor_K5H_460', 'Motor_K7H_380', 'Motor_K7H_460', 'userDefined']</t>
        </r>
      </text>
    </comment>
    <comment ref="M2524" authorId="0" shapeId="0" xr:uid="{7169D6BE-A696-4BE8-944B-A3E2238A2768}">
      <text>
        <r>
          <rPr>
            <b/>
            <sz val="9"/>
            <color indexed="81"/>
            <rFont val="Tahoma"/>
            <family val="2"/>
          </rPr>
          <t>['BDH50', 'BEH50', 'BFH50', 'BGH50', 'BHH50', 'CDH50', 'CEH50', 'CLH50', 'CMH50', 'CNH50', 'CPH50', 'CQH50', 'CRH50', 'DBH50', 'DCH50', 'DDH50', 'DEH50', 'DFH50', 'DGH50', 'KBH50', 'KCH50', 'KDH50', 'KEH50', 'KFH50', 'KGH50', 'JBH50', 'JCH50', 'JDH50', 'JEH50', 'BDH51', 'BEH51', 'BFH51', 'BGH51', 'BHH51', 'CDH51', 'CEH51', 'CLH51', 'CMH51', 'CNH51', 'CPH51', 'CQH51', 'CRH51', 'DBH51', 'DCH51', 'DDH51', 'DEH51', 'DFH51', 'DGH51', 'DHH51', 'DJH51', 'BDH52', 'BEH52', 'BFH52', 'BGH52', 'BHH52', 'CDH52', 'CEH52', 'CLH52', 'CMH52', 'CNH52', 'CPH52', 'CQH52', 'LBH52', 'LCH52', 'LDH52', 'LEH52', 'LFH52', 'LGH52', 'LHH52', 'EHH52', 'EJH52', 'EKH52', 'ELH52', 'EMH52', 'ENH52', 'EPH52', 'KBH52', 'KCH52', 'KDH52', 'KEH52', 'KFH52', 'KGH52', 'DBH52', 'DCH52', 'DDH52', 'DEH52', 'DFH52', 'DGH52', 'DHH52', 'DJH52', 'JBH52', 'JCH52', 'JDH52', 'JEH52', 'MBH52', 'MCH52', 'MDH52', 'MEH52', 'MFH52', 'CDH53', 'CEH53', 'CLH53', 'CMH53', 'CNH53', 'CPH53', 'CQH53', 'DBH53', 'DCH53', 'DDH53', 'DEH53', 'DFH53', 'DGH53', 'DHH53', 'DJH53', 'EHH53', 'EJH53', 'EKH53', 'ELH53', 'EMH53', 'ENH53', 'EPH53', 'CDH54', 'CEH54', 'CLH54', 'CMH54', 'CNH54', 'CPH54', 'CQH54', 'DBH54', 'DCH54', 'DDH54', 'DEH54', 'DFH54', 'DGH54', 'DHH54', 'DJH54', 'EHH54', 'EJH54', 'EKH54', 'ELH54', 'EMH54', 'ENH54', 'EPH54', 'DDH55', 'DEH55', 'DFH55', 'DGH55', 'DHH55', 'DJH55', 'EHH55', 'EJH55', 'EKH55', 'ELH55', 'EMH55', 'ENH55', 'EPH55', 'MDH56', 'MFH56', 'MDH57', 'MFH57', 'BDS50', 'BES50', 'BFS50', 'BGS50', 'BHS50', 'CDS50', 'CES50', 'CLS50', 'CMS50', 'CNS50', 'CPS50', 'CQS50', 'CRS50', 'DBS50', 'DCS50', 'DDS50', 'DES50', 'DFS50', 'DGS50', 'DHS50', 'BDS51', 'BES51', 'BFS51', 'BGS51', 'BHS51', 'CDS51', 'CES51', 'CLS51', 'CMS51', 'CNS51', 'CPS51', 'CQS51', 'CRS51', 'DBS51', 'DCS51', 'DDS51', 'DES51', 'DFS51', 'DGS51', 'DHS51', 'DJS51', 'BDS52', 'BES52', 'BFS52', 'BGS52', 'BHS52', 'CDS52', 'CES52', 'CLS52', 'CMS52', 'CNS52', 'CPS52', 'CQS52', 'CRS52', 'DBS52', 'DCS52', 'DDS52', 'DES52', 'DFS52', 'DGS52', 'DHS52', 'DJS52', 'EHS52', 'EJS52', 'EKS52', 'ELS52', 'EMS52', 'ENS52', 'EPS52', 'CDS53', 'CES53', 'CLS53', 'CMS53', 'CNS53', 'CPS53', 'CQS53', 'CRS53', 'DBS53', 'DCS53', 'DDS53', 'DES53', 'DFS53', 'DGS53', 'DHS53', 'DJS53', 'EHS53', 'EJS53', 'EKS53', 'ELS53', 'EMS53', 'ENS53', 'EPS53', 'CDS54', 'CES54', 'CLS54', 'CMS54', 'CNS54', 'CPS54', 'CQS54', 'CRS54', 'DBS54', 'DCS54', 'DDS54', 'DES54', 'DFS54', 'DGS54', 'DHS54', 'DJS54', 'EHS54', 'EJS54', 'EKS54', 'ELS54', 'EMS54', 'ENS54', 'EPS54', 'DDS55', 'DES55', 'DFS55', 'DGS55', 'DHS55', 'DJS55', 'EHS55', 'EJS55', 'EKS55', 'ELS55', 'EMS55', 'ENS55', 'EPS55', 'EMS56', 'EMS57', 'BDH60', 'BEH60', 'BFH60', 'BGH60', 'BHH60', 'CDH60', 'CEH60', 'CLH60', 'CMH60', 'CNH60', 'CPH60', 'CQH60', 'CRH60', 'DBH60', 'DCH60', 'DDH60', 'DEH60', 'DFH60', 'KBH60', 'KCH60', 'KDH60', 'KEH60', 'KFH60', 'KGH60', 'KHH60', 'JBH60', 'JCH60', 'JDH60', 'JEH60', 'BDH61', 'BEH61', 'BFH61', 'BGH61', 'BHH61', 'CDH61', 'CEH61', 'CLH61', 'CMH61', 'CNH61', 'CPH61', 'CQH61', 'CRH61', 'DBH61', 'DCH61', 'DDH61', 'DEH61', 'DFH61', 'KBH61', 'KCH61', 'KDH61', 'KEH61', 'KFH61', 'KGH61', 'KHH61', 'JBH61', 'JCH61', 'JDH61', 'JEH61', 'BDH62', 'BEH62', 'BFH62', 'BGH62', 'BHH62', 'BJH62', 'CDH62', 'CEH62', 'CLH62', 'CMH62', 'CNH62', 'CPH62', 'CQH62', 'CRH62', 'DBH62', 'DCH62', 'DDH62', 'DEH62', 'DFH62', 'DGH62', 'DHH62', 'DKH62', 'EHH62', 'EJH62', 'EKH62', 'ELH62', 'EMH62', 'ENH62', 'EPH62', 'KBH62', 'KCH62', 'KDH62', 'KEH62', 'KFH62', 'KGH62', 'KHH62', 'JBH62', 'JCH62', 'JDH62', 'JEH62', 'JFH62', 'MBH62', 'MCH62', 'MDH62', 'MEH62', 'MFH62', 'MGH62', 'BDH63', 'BEH63', 'BFH63', 'BGH63', 'BHH63', 'BJH63', 'CDH63', 'CEH63', 'CLH63', 'CMH63', 'CNH63', 'CPH63', 'CQH63', 'CRH63', 'DBH63', 'DCH63', 'DDH63', 'DEH63', 'DFH63', 'DGH63', 'DHH63', 'DKH63', 'EHH63', 'EJH63', 'EKH63', 'ELH63', 'EMH63', 'ENH63', 'EPH63', 'KBH63', 'KCH63', 'KDH63', 'KEH63', 'KFH63', 'KGH63', 'KHH63', 'JBH63', 'JCH63', 'JDH63', 'JEH63', 'JFH63', 'MBH63', 'MCH63', 'MDH63', 'MEH63', 'MFH63', 'MGH63', 'BDH64', 'BEH64', 'BFH64', 'BGH64', 'BHH64', 'BJH64', 'CDH64', 'CEH64', 'CLH64', 'CMH64', 'CNH64', 'CPH64', 'CQH64', 'CRH64', 'LBH64', 'LCH64', 'LDH64', 'LEH64', 'LFH64', 'LGH64', 'LHH64', 'DJH64', 'DKH64', 'EHH64', 'EJH64', 'EKH64', 'ELH64', 'EMH64', 'ENH64', 'EPH64', 'EQH64', 'KBH64', 'KCH64', 'KDH64', 'KEH64', 'KFH64', 'KGH64', 'KHH64', 'JBH64', 'JCH64', 'JDH64', 'JEH64', 'JFH64', 'MBH64', 'MCH64', 'MDH64', 'MEH64', 'MFH64', 'MGH64', 'BDH65', 'BEH65', 'BFH65', 'BGH65', 'BHH65', 'BJH65', 'CDH65', 'CEH65', 'CLH65', 'CMH65', 'CNH65', 'CPH65', 'CQH65', 'CRH65', 'DBH65', 'DCH65', 'DDH65', 'DEH65', 'DFH65', 'DGH65', 'DHH65', 'DKH65', 'EHH65', 'EJH65', 'EKH65', 'ELH65', 'EMH65', 'ENH65', 'EPH65', 'EQH65', 'KBH65', 'KCH65', 'KDH65', 'KEH65', 'KFH65', 'KGH65', 'KHH65', 'JBH65', 'JCH65', 'JDH65', 'JEH65', 'JFH65', 'CDH66', 'CEH66', 'CLH66', 'CMH66', 'CNH66', 'CPH66', 'CQH66', 'CRH66', 'DBH66', 'DCH66', 'DDH66', 'DEH66', 'DFH66', 'DGH66', 'DHH66', 'DJH66', 'DKH66', 'EHH66', 'EJH66', 'EKH66', 'ELH66', 'EMH66', 'ENH66', 'EPH66', 'EQH66', 'CDH67', 'CEH67', 'CLH67', 'CMH67', 'CNH67', 'CPH67', 'CQH67', 'CRH67', 'DBH67', 'DCH67', 'DDH67', 'DEH67', 'DFH67', 'DGH67', 'DHH67', 'DJH67', 'DKH67', 'EHH67', 'EJH67', 'EKH67', 'ELH67', 'EMH67', 'ENH67', 'EPH67', 'EQH67', 'CDH68', 'CEH68', 'CLH68', 'CMH68', 'CNH68', 'CPH68', 'CQH68', 'CRH68', 'DBH68', 'DCH68', 'DDH68', 'DEH68', 'DFH68', 'DGH68', 'DHH68', 'DJH68', 'DKH68', 'EHH68', 'EJH68', 'EKH68', 'ELH68', 'EMH68', 'ENH68', 'EPH68', 'EQH68', 'DDH69', 'DEH69', 'DFH69', 'DGH69', 'DHH69', 'DJH69', 'DKH69', 'EHH69', 'EJH69', 'EKH69', 'ELH69', 'EMH69', 'ENH69', 'EPH69', 'EQH69', 'EPH6A', 'MHH6A', 'EPH6B', 'BDS60', 'BES60', 'BFS60', 'BGS60', 'BHS60', 'CDS60', 'CES60', 'CLS60', 'CMS60', 'CNS60', 'CPS60', 'CQS60', 'CRS60', 'DBS60', 'DCS60', 'DDS60', 'DES60', 'DFS60', 'BDS61', 'BES61', 'BFS61', 'BGS61', 'BHS61', 'CDS61', 'CES61', 'CLS61', 'CMS61', 'CNS61', 'CPS61', 'CQS61', 'CRS61', 'DBS61', 'DCS61', 'DDS61', 'DES61', 'DFS61', 'BDS62', 'BES62', 'BFS62', 'BGS62', 'BHS62', 'BJS62', 'CDS62', 'CES62', 'CLS62', 'CMS62', 'CNS62', 'CPS62', 'CQS62', 'CRS62', 'DBS62', 'DCS62', 'DDS62', 'DES62', 'DFS62', 'DGS62', 'DHS62', 'DKS62', 'EHS62', 'EJS62', 'EKS62', 'ELS62', 'EMS62', 'ENS62', 'EPS62', 'BDS63', 'BES63', 'BFS63', 'BGS63', 'BHS63', 'BJS63', 'CDS63', 'CES63', 'CLS63', 'CMS63', 'CNS63', 'CPS63', 'CQS63', 'CRS63', 'DBS63', 'DCS63', 'DDS63', 'DES63', 'DFS63', 'DGS63', 'DHS63', 'DKS63', 'EHS63', 'EJS63', 'EKS63', 'ELS63', 'EMS63', 'ENS63', 'EPS63', 'BDS64', 'BES64', 'BFS64', 'BGS64', 'BHS64', 'BJS64', 'CDS64', 'CES64', 'CLS64', 'CMS64', 'CNS64', 'CPS64', 'CQS64', 'CRS64', 'DBS64', 'DCS64', 'DDS64', 'DES64', 'DFS64', 'DGS64', 'DHS64', 'DJS64', 'DKS64', 'EHS64', 'EJS64', 'EKS64', 'ELS64', 'EMS64', 'ENS64', 'EPS64', 'EQS64', 'BDS65', 'BES65', 'BFS65', 'BGS65', 'BHS65', 'BJS65', 'CDS65', 'CES65', 'CLS65', 'CMS65', 'CNS65', 'CPS65', 'CQS65', 'CRS65', 'DBS65', 'DCS65', 'DDS65', 'DES65', 'DFS65', 'DGS65', 'DHS65', 'DJS65', 'DKS65', 'EHS65', 'EJS65', 'EKS65', 'ELS65', 'EMS65', 'ENS65', 'EPS65', 'EQS65', 'CDS66', 'CES66', 'CLS66', 'CMS66', 'CNS66', 'CPS66', 'CQS66', 'CRS66', 'DBS66', 'DCS66', 'DDS66', 'DES66', 'DFS66', 'DGS66', 'DHS66', 'DJS66', 'DKS66', 'EHS66', 'EJS66', 'EKS66', 'ELS66', 'EMS66', 'ENS66', 'EPS66', 'EQS66', 'CDS67', 'CES67', 'CLS67', 'CMS67', 'CNS67', 'CPS67', 'CQS67', 'CRS67', 'DBS67', 'DCS67', 'DDS67', 'DES67', 'DFS67', 'DGS67', 'DHS67', 'DJS67', 'DKS67', 'EHS67', 'EJS67', 'EKS67', 'ELS67', 'EMS67', 'ENS67', 'EPS67', 'EQS67', 'CDS68', 'CES68', 'CLS68', 'CMS68', 'CNS68', 'CPS68', 'CQS68', 'CRS68', 'DBS68', 'DCS68', 'DDS68', 'DES68', 'DFS68', 'DGS68', 'DHS68', 'DJS68', 'DKS68', 'EHS68', 'EJS68', 'EKS68', 'ELS68', 'EMS68', 'ENS68', 'EPS68', 'EQS68', 'DDS69', 'DES69', 'DFS69', 'DGS69', 'DHS69', 'DJS69', 'DKS69', 'EHS69', 'EJS69', 'EKS69', 'ELS69', 'EMS69', 'ENS69', 'EPS69', 'EQS69', 'userDefined', 'FakeData']</t>
        </r>
      </text>
    </comment>
    <comment ref="M2704" authorId="0" shapeId="0" xr:uid="{FF02870A-1373-4A55-A64A-62C2EB2B1A68}">
      <text>
        <r>
          <rPr>
            <b/>
            <sz val="9"/>
            <color indexed="81"/>
            <rFont val="Tahoma"/>
            <family val="2"/>
          </rPr>
          <t>['VFD4010006PA', 'VFD4012506PA', 'VFD4015006PA', 'VFD4020006PA', 'VFD4025006PA', 'VFD4030006PA', 'VFD4040006PA', 'VFD4050006PA', 'VFD4060006PA', 'VFD4070006PA', 'FakeData']</t>
        </r>
      </text>
    </comment>
    <comment ref="M2709" authorId="0" shapeId="0" xr:uid="{E18D58B4-8594-4354-9ACD-B094569AEE14}">
      <text>
        <r>
          <rPr>
            <b/>
            <sz val="9"/>
            <color indexed="81"/>
            <rFont val="Tahoma"/>
            <family val="2"/>
          </rPr>
          <t>['FakeData', 'DD480', 'DD588', 'DE658', 'DE745', 'DE800', 'DE880', 'DE990', 'DP1120', 'DP1260', 'DP1460', 'DP1670', 'FrameR0230', 'FrameE0485', 'FrameE0765', 'FrameE1275', 'VFD_19MVDD0395', 'VFD_19MVDD0480', 'VFD_19MVDD0588', 'VFD_19MVDE0658', 'VFD_19MVDE0745', 'VFD_19MVDE0800', 'VFD_19MVDE0880', 'VFD_19MVDE0990']</t>
        </r>
      </text>
    </comment>
    <comment ref="M2710" authorId="0" shapeId="0" xr:uid="{E45F0135-7F14-4634-A980-4EECAD2C34BC}">
      <text>
        <r>
          <rPr>
            <b/>
            <sz val="9"/>
            <color indexed="81"/>
            <rFont val="Tahoma"/>
            <family val="2"/>
          </rPr>
          <t>['Frame0414', 'Frame0500', 'Frame0643', 'FakeData']</t>
        </r>
      </text>
    </comment>
    <comment ref="M2711" authorId="0" shapeId="0" xr:uid="{E0750710-3581-4DB7-9C9C-00CF1E21B88B}">
      <text>
        <r>
          <rPr>
            <b/>
            <sz val="9"/>
            <color indexed="81"/>
            <rFont val="Tahoma"/>
            <family val="2"/>
          </rPr>
          <t>['VFD_19DV', 'VFD_19MV', 'VFD_19XRV', 'VFD_23XR']</t>
        </r>
      </text>
    </comment>
    <comment ref="M2712" authorId="0" shapeId="0" xr:uid="{B712A996-977B-4161-8E88-FE2D28E04E57}">
      <text>
        <r>
          <rPr>
            <b/>
            <sz val="9"/>
            <color indexed="81"/>
            <rFont val="Tahoma"/>
            <family val="2"/>
          </rPr>
          <t>['VFD_32VSS0600', 'VFD_32VSS0540', 'VFD_32VSS0680', 'VFD_32VSS0850', 'VFD_32VSS0900', 'VFD_32VSS1060', 'VFD_32VSS1200', 'VFD_32VSC0540', 'VFD_32VSC0680', 'VFD_32VSC0850', 'VFD_32VSC0900', 'VFD_32VSC1060', 'VFD_32VSC1200', 'VFD_19DV2AA', 'VFD_19DV2CC', 'VFD_19DV4AA', 'VFD_19DV4CC', 'Frame_403_VFPS1_4220KPC', 'Frame_454_VFPS1_4250KPC', 'Frame_519_VFPS1_4280KPC', 'Frame_581_VFPS1_4315KPC', 'Frame_716_VFPS1_4400KPC', 'Frame_906_VFPS1_4500KPC', 'Frame_1121_VFPS1_4630KPC', 'FakeData']</t>
        </r>
      </text>
    </comment>
    <comment ref="M2713" authorId="0" shapeId="0" xr:uid="{5770FD46-6E94-4E16-8BC9-49AA9409229D}">
      <text>
        <r>
          <rPr>
            <b/>
            <sz val="9"/>
            <color indexed="81"/>
            <rFont val="Tahoma"/>
            <family val="2"/>
          </rPr>
          <t>['FC_102N450T4', 'FakeData']</t>
        </r>
      </text>
    </comment>
    <comment ref="M2714" authorId="0" shapeId="0" xr:uid="{3EB41C9E-6AB9-4CD9-992E-D91FF7A9060F}">
      <text>
        <r>
          <rPr>
            <b/>
            <sz val="9"/>
            <color indexed="81"/>
            <rFont val="Tahoma"/>
            <family val="2"/>
          </rPr>
          <t>['Freestanding', 'UnitMounted', 'StandardTier']</t>
        </r>
      </text>
    </comment>
    <comment ref="M2715" authorId="0" shapeId="0" xr:uid="{743B000C-D45E-49CA-9D4B-3387A1DD935F}">
      <text>
        <r>
          <rPr>
            <b/>
            <sz val="9"/>
            <color indexed="81"/>
            <rFont val="Tahoma"/>
            <family val="2"/>
          </rPr>
          <t>['VFD_23XVR0269007', 'VFD_23XVR0230003', 'VFD_23XVR0230003_P', 'VFD_23XVR0335005', 'VFD_23XVR0335005_P', 'VFD_23XVR0445005', 'VFD_23XVR0445005_P', 'VFD_23XRA2AA5', 'VFD_23XRA2BA5', 'VFD_23XRA2BB5', 'VFD_23XRA2CC5']</t>
        </r>
      </text>
    </comment>
  </commentList>
</comments>
</file>

<file path=xl/sharedStrings.xml><?xml version="1.0" encoding="utf-8"?>
<sst xmlns="http://schemas.openxmlformats.org/spreadsheetml/2006/main" count="68314" uniqueCount="1851">
  <si>
    <t>Name</t>
  </si>
  <si>
    <t>Variable</t>
  </si>
  <si>
    <t>Unit</t>
  </si>
  <si>
    <t>Display Unit</t>
  </si>
  <si>
    <t>Data Type</t>
  </si>
  <si>
    <t>Kind</t>
  </si>
  <si>
    <t>Min</t>
  </si>
  <si>
    <t>Max</t>
  </si>
  <si>
    <t>Nominal</t>
  </si>
  <si>
    <t>Default Value</t>
  </si>
  <si>
    <t>Unsolved</t>
  </si>
  <si>
    <t>Solved cases:</t>
  </si>
  <si>
    <t>Not converged cases:</t>
  </si>
  <si>
    <t>Other cases:</t>
  </si>
  <si>
    <t>v3.0</t>
  </si>
  <si>
    <t>Basic::</t>
  </si>
  <si>
    <t>.\..\..\..\model_executables\system19mv_lumped_mv4_dv_subclr_20220412_140855_d887999\model.fmu</t>
  </si>
  <si>
    <t>64bit</t>
  </si>
  <si>
    <t>System19MV.Lumped.MV4_DV_Subclr</t>
  </si>
  <si>
    <t>828fa6c8c1e57c63d0c257b1915bf1af</t>
  </si>
  <si>
    <t>IP</t>
  </si>
  <si>
    <t>AHRITol_Corr</t>
  </si>
  <si>
    <t>REAL</t>
  </si>
  <si>
    <t>PARAMETER</t>
  </si>
  <si>
    <t>AHRITol_Zero_nd</t>
  </si>
  <si>
    <t>BOOLEAN</t>
  </si>
  <si>
    <t>BF_Setting</t>
  </si>
  <si>
    <t>Comp_In</t>
  </si>
  <si>
    <t>Sub_sink.p_in_internal</t>
  </si>
  <si>
    <t>IV</t>
  </si>
  <si>
    <t>Sub_sink.x_in_internal</t>
  </si>
  <si>
    <t>Sub_source.m_flow_in_internal</t>
  </si>
  <si>
    <t>Sub_source.x_in_internal</t>
  </si>
  <si>
    <t>T_fixed</t>
  </si>
  <si>
    <t>T_set</t>
  </si>
  <si>
    <t>K</t>
  </si>
  <si>
    <t>degF</t>
  </si>
  <si>
    <t>Tsat_fixed</t>
  </si>
  <si>
    <t>Tsat_set</t>
  </si>
  <si>
    <t>dTsh_fixed</t>
  </si>
  <si>
    <t>dTsh_set</t>
  </si>
  <si>
    <t>K (rel)</t>
  </si>
  <si>
    <t>R</t>
  </si>
  <si>
    <t>h_fixed</t>
  </si>
  <si>
    <t>h_set</t>
  </si>
  <si>
    <t>J/kg</t>
  </si>
  <si>
    <t>BTU/lb</t>
  </si>
  <si>
    <t>isOff</t>
  </si>
  <si>
    <t>is_Sink</t>
  </si>
  <si>
    <t>is_Source</t>
  </si>
  <si>
    <t>m_flow_fixed</t>
  </si>
  <si>
    <t>m_flow_set</t>
  </si>
  <si>
    <t>kg/s</t>
  </si>
  <si>
    <t>lb/h</t>
  </si>
  <si>
    <t>p_fixed</t>
  </si>
  <si>
    <t>p_set</t>
  </si>
  <si>
    <t>Pa</t>
  </si>
  <si>
    <t>psi</t>
  </si>
  <si>
    <t>s_fixed</t>
  </si>
  <si>
    <t>s_set</t>
  </si>
  <si>
    <t>J/(kg.K)</t>
  </si>
  <si>
    <t>BTU/(lb.R)</t>
  </si>
  <si>
    <t>streamID</t>
  </si>
  <si>
    <t>INTEGER</t>
  </si>
  <si>
    <t>summary.T</t>
  </si>
  <si>
    <t>DV</t>
  </si>
  <si>
    <t>summary.Tsat</t>
  </si>
  <si>
    <t>summary.dTsh</t>
  </si>
  <si>
    <t>summary.h</t>
  </si>
  <si>
    <t>summary.isOff</t>
  </si>
  <si>
    <t>PARAMETER_DEP</t>
  </si>
  <si>
    <t>summary.m_flow</t>
  </si>
  <si>
    <t>summary.p</t>
  </si>
  <si>
    <t>summary.s</t>
  </si>
  <si>
    <t>summary.v</t>
  </si>
  <si>
    <t>m3/kg</t>
  </si>
  <si>
    <t>ft3/lb</t>
  </si>
  <si>
    <t>summary.x</t>
  </si>
  <si>
    <t>v_fixed</t>
  </si>
  <si>
    <t>v_set</t>
  </si>
  <si>
    <t>var_temp</t>
  </si>
  <si>
    <t>x_fixed</t>
  </si>
  <si>
    <t>x_set</t>
  </si>
  <si>
    <t>Comp_In_2nd</t>
  </si>
  <si>
    <t>Comp_Out_1st</t>
  </si>
  <si>
    <t>Comp_econ_In</t>
  </si>
  <si>
    <t>Comp_out</t>
  </si>
  <si>
    <t>Cond_Liq_Out</t>
  </si>
  <si>
    <t>Cond_Vapor_In</t>
  </si>
  <si>
    <t>Cooler_In</t>
  </si>
  <si>
    <t>Cooler_Out</t>
  </si>
  <si>
    <t>EEF_Setting</t>
  </si>
  <si>
    <t>EXV_cooler_Out</t>
  </si>
  <si>
    <t>EcoSH_SetPoint</t>
  </si>
  <si>
    <t>Econ_metering_error</t>
  </si>
  <si>
    <t>ID</t>
  </si>
  <si>
    <t>gain</t>
  </si>
  <si>
    <t>HGBP_CompIn</t>
  </si>
  <si>
    <t>HGBP_metering</t>
  </si>
  <si>
    <t>fixed</t>
  </si>
  <si>
    <t>maxBound</t>
  </si>
  <si>
    <t>minBound</t>
  </si>
  <si>
    <t>setPoint</t>
  </si>
  <si>
    <t>value</t>
  </si>
  <si>
    <t>HGBP_valve</t>
  </si>
  <si>
    <t>Cv_actuator.value</t>
  </si>
  <si>
    <t>Cv_fixed</t>
  </si>
  <si>
    <t>Cv_set</t>
  </si>
  <si>
    <t>Tsat_a_start</t>
  </si>
  <si>
    <t>Z_flow</t>
  </si>
  <si>
    <t>allowFlowReversal</t>
  </si>
  <si>
    <t>dp_limit</t>
  </si>
  <si>
    <t>port_a.p</t>
  </si>
  <si>
    <t>summary.Cv</t>
  </si>
  <si>
    <t>summary.Z_flow</t>
  </si>
  <si>
    <t>summary.dp</t>
  </si>
  <si>
    <t>summary.isChoked</t>
  </si>
  <si>
    <t>summary.mass</t>
  </si>
  <si>
    <t>kg</t>
  </si>
  <si>
    <t>lb</t>
  </si>
  <si>
    <t>CONSTANT</t>
  </si>
  <si>
    <t>summary.opening</t>
  </si>
  <si>
    <t>summary.p_out_chokelimit</t>
  </si>
  <si>
    <t>summary.volume</t>
  </si>
  <si>
    <t>m3</t>
  </si>
  <si>
    <t>ft3</t>
  </si>
  <si>
    <t>summary.x_out</t>
  </si>
  <si>
    <t>use_actuator_in</t>
  </si>
  <si>
    <t>use_legacy</t>
  </si>
  <si>
    <t>HGBP_valve_In</t>
  </si>
  <si>
    <t>HGBP_valve_Out</t>
  </si>
  <si>
    <t>LoadPercent</t>
  </si>
  <si>
    <t>MainExv</t>
  </si>
  <si>
    <t>small3</t>
  </si>
  <si>
    <t>small6</t>
  </si>
  <si>
    <t>small9</t>
  </si>
  <si>
    <t>MainExv_In</t>
  </si>
  <si>
    <t>MainExv_Out2</t>
  </si>
  <si>
    <t>MainExv_Out</t>
  </si>
  <si>
    <t>Main_metering</t>
  </si>
  <si>
    <t>MaxPerTon</t>
  </si>
  <si>
    <t>RatingAutomation</t>
  </si>
  <si>
    <t>R_foul_cond</t>
  </si>
  <si>
    <t>m2.K/W</t>
  </si>
  <si>
    <t>(h.ft2.degF)/BTU</t>
  </si>
  <si>
    <t>R_foul_evap</t>
  </si>
  <si>
    <t>capacityTarget</t>
  </si>
  <si>
    <t>W</t>
  </si>
  <si>
    <t>BTU/h</t>
  </si>
  <si>
    <t>sinkName_cond</t>
  </si>
  <si>
    <t>STRING</t>
  </si>
  <si>
    <t>SinkCond</t>
  </si>
  <si>
    <t>sinkName_evap</t>
  </si>
  <si>
    <t>SinkEvap</t>
  </si>
  <si>
    <t>sourceName_cond</t>
  </si>
  <si>
    <t>SourceCond</t>
  </si>
  <si>
    <t>sourceName_evap</t>
  </si>
  <si>
    <t>SourceEvap</t>
  </si>
  <si>
    <t>T_in_internal</t>
  </si>
  <si>
    <t>Vd_fixed</t>
  </si>
  <si>
    <t>Vd_set</t>
  </si>
  <si>
    <t>m3/s</t>
  </si>
  <si>
    <t>gal/min</t>
  </si>
  <si>
    <t>X</t>
  </si>
  <si>
    <t>brineState.state.T</t>
  </si>
  <si>
    <t>p_in_internal</t>
  </si>
  <si>
    <t>summary.Vd</t>
  </si>
  <si>
    <t>Vd_in_internal</t>
  </si>
  <si>
    <t>businessFactors_cooling</t>
  </si>
  <si>
    <t>use_business_factor</t>
  </si>
  <si>
    <t>carrierDp_CheckValve</t>
  </si>
  <si>
    <t>a</t>
  </si>
  <si>
    <t>calibration_diameter.value</t>
  </si>
  <si>
    <t>calibration_k.value</t>
  </si>
  <si>
    <t>diameter_fixed</t>
  </si>
  <si>
    <t>diameter_set</t>
  </si>
  <si>
    <t>m</t>
  </si>
  <si>
    <t>in</t>
  </si>
  <si>
    <t>dp_fixed</t>
  </si>
  <si>
    <t>dp_set</t>
  </si>
  <si>
    <t>frameSize</t>
  </si>
  <si>
    <t>ENUMERATION</t>
  </si>
  <si>
    <t>DV5</t>
  </si>
  <si>
    <t>k_fixed</t>
  </si>
  <si>
    <t>summary.Z_dp</t>
  </si>
  <si>
    <t>summary.diameter</t>
  </si>
  <si>
    <t>summary.k</t>
  </si>
  <si>
    <t>carrierDp_CheckValve_out</t>
  </si>
  <si>
    <t>carrierDp_Discharge</t>
  </si>
  <si>
    <t>k_set</t>
  </si>
  <si>
    <t>carrierDp_Discharge_In</t>
  </si>
  <si>
    <t>carrierDp_Discharge_out</t>
  </si>
  <si>
    <t>carrierDp_EconVapor</t>
  </si>
  <si>
    <t>carrierDp_EconVapor_Out</t>
  </si>
  <si>
    <t>carrierDp_InterStage</t>
  </si>
  <si>
    <t>carrierDp_InterStage_In</t>
  </si>
  <si>
    <t>carrierDp_IsolationValve</t>
  </si>
  <si>
    <t>carrierDp_Suction</t>
  </si>
  <si>
    <t>carrierDp_Suction_Out</t>
  </si>
  <si>
    <t>compressor</t>
  </si>
  <si>
    <t>A</t>
  </si>
  <si>
    <t>AF</t>
  </si>
  <si>
    <t>B</t>
  </si>
  <si>
    <t>B_1</t>
  </si>
  <si>
    <t>C_1[1]</t>
  </si>
  <si>
    <t>C_1[2]</t>
  </si>
  <si>
    <t>C_1[3]</t>
  </si>
  <si>
    <t>C_1[4]</t>
  </si>
  <si>
    <t>C_1[5]</t>
  </si>
  <si>
    <t>C_1[6]</t>
  </si>
  <si>
    <t>C_1[7]</t>
  </si>
  <si>
    <t>C_1[8]</t>
  </si>
  <si>
    <t>C_1[9]</t>
  </si>
  <si>
    <t>C_1[10]</t>
  </si>
  <si>
    <t>C_1[11]</t>
  </si>
  <si>
    <t>C_1[12]</t>
  </si>
  <si>
    <t>C_1[13]</t>
  </si>
  <si>
    <t>C_1[14]</t>
  </si>
  <si>
    <t>C_1[15]</t>
  </si>
  <si>
    <t>C_1[16]</t>
  </si>
  <si>
    <t>C_1[17]</t>
  </si>
  <si>
    <t>C_1[18]</t>
  </si>
  <si>
    <t>C_1[19]</t>
  </si>
  <si>
    <t>C_1[20]</t>
  </si>
  <si>
    <t>C_1[21]</t>
  </si>
  <si>
    <t>C_1[22]</t>
  </si>
  <si>
    <t>C_1[23]</t>
  </si>
  <si>
    <t>C_1[24]</t>
  </si>
  <si>
    <t>C_1[25]</t>
  </si>
  <si>
    <t>C_1[26]</t>
  </si>
  <si>
    <t>C_1[27]</t>
  </si>
  <si>
    <t>C_1[28]</t>
  </si>
  <si>
    <t>C_1[29]</t>
  </si>
  <si>
    <t>C_1[30]</t>
  </si>
  <si>
    <t>C_1[31]</t>
  </si>
  <si>
    <t>C_1[32]</t>
  </si>
  <si>
    <t>C_1[33]</t>
  </si>
  <si>
    <t>C_1[34]</t>
  </si>
  <si>
    <t>C_1[35]</t>
  </si>
  <si>
    <t>C_1[36]</t>
  </si>
  <si>
    <t>C_1[37]</t>
  </si>
  <si>
    <t>C_1[38]</t>
  </si>
  <si>
    <t>C_1[39]</t>
  </si>
  <si>
    <t>C_1[40]</t>
  </si>
  <si>
    <t>C_1[41]</t>
  </si>
  <si>
    <t>C_1[42]</t>
  </si>
  <si>
    <t>C_1[43]</t>
  </si>
  <si>
    <t>C_1[44]</t>
  </si>
  <si>
    <t>C_1[45]</t>
  </si>
  <si>
    <t>C_1[46]</t>
  </si>
  <si>
    <t>C_1[47]</t>
  </si>
  <si>
    <t>C_1[48]</t>
  </si>
  <si>
    <t>C_1[49]</t>
  </si>
  <si>
    <t>C_1[50]</t>
  </si>
  <si>
    <t>C_1[51]</t>
  </si>
  <si>
    <t>C_1[52]</t>
  </si>
  <si>
    <t>C_1[53]</t>
  </si>
  <si>
    <t>C_1[54]</t>
  </si>
  <si>
    <t>C_1[55]</t>
  </si>
  <si>
    <t>C_1[56]</t>
  </si>
  <si>
    <t>C_1[57]</t>
  </si>
  <si>
    <t>C_1[58]</t>
  </si>
  <si>
    <t>C_1[59]</t>
  </si>
  <si>
    <t>C_1[60]</t>
  </si>
  <si>
    <t>C_1[61]</t>
  </si>
  <si>
    <t>C_1[62]</t>
  </si>
  <si>
    <t>C_1[63]</t>
  </si>
  <si>
    <t>C_1[64]</t>
  </si>
  <si>
    <t>C_1[65]</t>
  </si>
  <si>
    <t>C_1[66]</t>
  </si>
  <si>
    <t>C_1[67]</t>
  </si>
  <si>
    <t>C_1[68]</t>
  </si>
  <si>
    <t>C_1[69]</t>
  </si>
  <si>
    <t>C_1[70]</t>
  </si>
  <si>
    <t>C_1[71]</t>
  </si>
  <si>
    <t>C_1[72]</t>
  </si>
  <si>
    <t>C_1[73]</t>
  </si>
  <si>
    <t>C_1[74]</t>
  </si>
  <si>
    <t>C_1[75]</t>
  </si>
  <si>
    <t>C_1[76]</t>
  </si>
  <si>
    <t>C_1[77]</t>
  </si>
  <si>
    <t>C_1[78]</t>
  </si>
  <si>
    <t>C_1[79]</t>
  </si>
  <si>
    <t>C_1[80]</t>
  </si>
  <si>
    <t>C_1[81]</t>
  </si>
  <si>
    <t>C_1[82]</t>
  </si>
  <si>
    <t>C_1[83]</t>
  </si>
  <si>
    <t>C_1[84]</t>
  </si>
  <si>
    <t>C_1[85]</t>
  </si>
  <si>
    <t>C_1[86]</t>
  </si>
  <si>
    <t>C_1[87]</t>
  </si>
  <si>
    <t>C_1[88]</t>
  </si>
  <si>
    <t>C_1[89]</t>
  </si>
  <si>
    <t>C_1[90]</t>
  </si>
  <si>
    <t>C_1[91]</t>
  </si>
  <si>
    <t>C_1[92]</t>
  </si>
  <si>
    <t>C_1[93]</t>
  </si>
  <si>
    <t>C_1[94]</t>
  </si>
  <si>
    <t>C_1[95]</t>
  </si>
  <si>
    <t>C_1[96]</t>
  </si>
  <si>
    <t>C_1[97]</t>
  </si>
  <si>
    <t>C_1[98]</t>
  </si>
  <si>
    <t>C_1[99]</t>
  </si>
  <si>
    <t>C_1[100]</t>
  </si>
  <si>
    <t>C_1[101]</t>
  </si>
  <si>
    <t>C_1[102]</t>
  </si>
  <si>
    <t>C_1[103]</t>
  </si>
  <si>
    <t>C_1[104]</t>
  </si>
  <si>
    <t>C_1[105]</t>
  </si>
  <si>
    <t>C_1[106]</t>
  </si>
  <si>
    <t>C_1[107]</t>
  </si>
  <si>
    <t>C_1[108]</t>
  </si>
  <si>
    <t>C_1[109]</t>
  </si>
  <si>
    <t>C_1[110]</t>
  </si>
  <si>
    <t>C_1[111]</t>
  </si>
  <si>
    <t>C_1[112]</t>
  </si>
  <si>
    <t>C_1[113]</t>
  </si>
  <si>
    <t>C_1[114]</t>
  </si>
  <si>
    <t>C_1[115]</t>
  </si>
  <si>
    <t>C_1[116]</t>
  </si>
  <si>
    <t>C_1[117]</t>
  </si>
  <si>
    <t>C_1[118]</t>
  </si>
  <si>
    <t>C_1[119]</t>
  </si>
  <si>
    <t>C_1[120]</t>
  </si>
  <si>
    <t>C_1[121]</t>
  </si>
  <si>
    <t>C_1[122]</t>
  </si>
  <si>
    <t>C_1[123]</t>
  </si>
  <si>
    <t>C_1[124]</t>
  </si>
  <si>
    <t>C_1[125]</t>
  </si>
  <si>
    <t>C_1[126]</t>
  </si>
  <si>
    <t>C_1[127]</t>
  </si>
  <si>
    <t>C_1[128]</t>
  </si>
  <si>
    <t>C_1[129]</t>
  </si>
  <si>
    <t>C_1[130]</t>
  </si>
  <si>
    <t>C_1[131]</t>
  </si>
  <si>
    <t>C_1[132]</t>
  </si>
  <si>
    <t>C_1[133]</t>
  </si>
  <si>
    <t>C_1[134]</t>
  </si>
  <si>
    <t>C_1[135]</t>
  </si>
  <si>
    <t>C_1[136]</t>
  </si>
  <si>
    <t>C_1[137]</t>
  </si>
  <si>
    <t>C_1[138]</t>
  </si>
  <si>
    <t>C_1[139]</t>
  </si>
  <si>
    <t>C_1[140]</t>
  </si>
  <si>
    <t>C_1[141]</t>
  </si>
  <si>
    <t>C_1[142]</t>
  </si>
  <si>
    <t>C_1[143]</t>
  </si>
  <si>
    <t>C_1[144]</t>
  </si>
  <si>
    <t>C_2[1]</t>
  </si>
  <si>
    <t>C_2[2]</t>
  </si>
  <si>
    <t>C_2[3]</t>
  </si>
  <si>
    <t>C_2[4]</t>
  </si>
  <si>
    <t>C_2[5]</t>
  </si>
  <si>
    <t>C_2[6]</t>
  </si>
  <si>
    <t>C_2[7]</t>
  </si>
  <si>
    <t>C_2[8]</t>
  </si>
  <si>
    <t>C_2[9]</t>
  </si>
  <si>
    <t>C_2[10]</t>
  </si>
  <si>
    <t>C_2[11]</t>
  </si>
  <si>
    <t>C_2[12]</t>
  </si>
  <si>
    <t>C_2[13]</t>
  </si>
  <si>
    <t>C_2[14]</t>
  </si>
  <si>
    <t>C_2[15]</t>
  </si>
  <si>
    <t>C_2[16]</t>
  </si>
  <si>
    <t>C_2[17]</t>
  </si>
  <si>
    <t>C_2[18]</t>
  </si>
  <si>
    <t>C_2[19]</t>
  </si>
  <si>
    <t>C_2[20]</t>
  </si>
  <si>
    <t>C_2[21]</t>
  </si>
  <si>
    <t>C_2[22]</t>
  </si>
  <si>
    <t>C_2[23]</t>
  </si>
  <si>
    <t>C_2[24]</t>
  </si>
  <si>
    <t>C_2[25]</t>
  </si>
  <si>
    <t>C_2[26]</t>
  </si>
  <si>
    <t>C_2[27]</t>
  </si>
  <si>
    <t>C_2[28]</t>
  </si>
  <si>
    <t>C_2[29]</t>
  </si>
  <si>
    <t>C_2[30]</t>
  </si>
  <si>
    <t>C_2[31]</t>
  </si>
  <si>
    <t>C_2[32]</t>
  </si>
  <si>
    <t>C_2[33]</t>
  </si>
  <si>
    <t>C_2[34]</t>
  </si>
  <si>
    <t>C_2[35]</t>
  </si>
  <si>
    <t>C_2[36]</t>
  </si>
  <si>
    <t>C_2[37]</t>
  </si>
  <si>
    <t>C_2[38]</t>
  </si>
  <si>
    <t>C_2[39]</t>
  </si>
  <si>
    <t>C_2[40]</t>
  </si>
  <si>
    <t>C_2[41]</t>
  </si>
  <si>
    <t>C_2[42]</t>
  </si>
  <si>
    <t>C_2[43]</t>
  </si>
  <si>
    <t>C_2[44]</t>
  </si>
  <si>
    <t>C_2[45]</t>
  </si>
  <si>
    <t>C_2[46]</t>
  </si>
  <si>
    <t>C_2[47]</t>
  </si>
  <si>
    <t>C_2[48]</t>
  </si>
  <si>
    <t>C_2[49]</t>
  </si>
  <si>
    <t>C_2[50]</t>
  </si>
  <si>
    <t>C_2[51]</t>
  </si>
  <si>
    <t>C_2[52]</t>
  </si>
  <si>
    <t>C_2[53]</t>
  </si>
  <si>
    <t>C_2[54]</t>
  </si>
  <si>
    <t>C_2[55]</t>
  </si>
  <si>
    <t>C_2[56]</t>
  </si>
  <si>
    <t>C_2[57]</t>
  </si>
  <si>
    <t>C_2[58]</t>
  </si>
  <si>
    <t>C_2[59]</t>
  </si>
  <si>
    <t>C_2[60]</t>
  </si>
  <si>
    <t>C_2[61]</t>
  </si>
  <si>
    <t>C_2[62]</t>
  </si>
  <si>
    <t>C_2[63]</t>
  </si>
  <si>
    <t>C_2[64]</t>
  </si>
  <si>
    <t>C_2[65]</t>
  </si>
  <si>
    <t>C_2[66]</t>
  </si>
  <si>
    <t>C_2[67]</t>
  </si>
  <si>
    <t>C_2[68]</t>
  </si>
  <si>
    <t>C_2[69]</t>
  </si>
  <si>
    <t>C_2[70]</t>
  </si>
  <si>
    <t>C_2[71]</t>
  </si>
  <si>
    <t>C_2[72]</t>
  </si>
  <si>
    <t>C_2[73]</t>
  </si>
  <si>
    <t>C_2[74]</t>
  </si>
  <si>
    <t>C_2[75]</t>
  </si>
  <si>
    <t>D</t>
  </si>
  <si>
    <t>D_1</t>
  </si>
  <si>
    <t>D_suct</t>
  </si>
  <si>
    <t>ETA_1_fixed</t>
  </si>
  <si>
    <t>ETA_1_set</t>
  </si>
  <si>
    <t>ETA_2_fixed</t>
  </si>
  <si>
    <t>ETA_2_set</t>
  </si>
  <si>
    <t>F_RBF_1[1]</t>
  </si>
  <si>
    <t>F_RBF_1[2]</t>
  </si>
  <si>
    <t>F_RBF_1[3]</t>
  </si>
  <si>
    <t>F_RBF_1[4]</t>
  </si>
  <si>
    <t>F_RBF_1[5]</t>
  </si>
  <si>
    <t>F_RBF_1[6]</t>
  </si>
  <si>
    <t>F_RBF_1[7]</t>
  </si>
  <si>
    <t>F_RBF_1[8]</t>
  </si>
  <si>
    <t>F_RBF_1[9]</t>
  </si>
  <si>
    <t>F_RBF_1[10]</t>
  </si>
  <si>
    <t>F_RBF_1[11]</t>
  </si>
  <si>
    <t>F_RBF_1[12]</t>
  </si>
  <si>
    <t>F_RBF_1[13]</t>
  </si>
  <si>
    <t>F_RBF_1[14]</t>
  </si>
  <si>
    <t>F_RBF_1[15]</t>
  </si>
  <si>
    <t>F_RBF_1[16]</t>
  </si>
  <si>
    <t>F_RBF_1[17]</t>
  </si>
  <si>
    <t>F_RBF_1[18]</t>
  </si>
  <si>
    <t>F_RBF_1[19]</t>
  </si>
  <si>
    <t>F_RBF_1[20]</t>
  </si>
  <si>
    <t>F_RBF_1[21]</t>
  </si>
  <si>
    <t>F_RBF_1[22]</t>
  </si>
  <si>
    <t>F_RBF_1[23]</t>
  </si>
  <si>
    <t>F_RBF_1[24]</t>
  </si>
  <si>
    <t>F_RBF_1[25]</t>
  </si>
  <si>
    <t>F_RBF_1[26]</t>
  </si>
  <si>
    <t>F_RBF_1[27]</t>
  </si>
  <si>
    <t>F_RBF_1[28]</t>
  </si>
  <si>
    <t>F_RBF_1[29]</t>
  </si>
  <si>
    <t>F_RBF_1[30]</t>
  </si>
  <si>
    <t>F_RBF_1[31]</t>
  </si>
  <si>
    <t>F_RBF_1[32]</t>
  </si>
  <si>
    <t>F_RBF_1[33]</t>
  </si>
  <si>
    <t>F_RBF_1[34]</t>
  </si>
  <si>
    <t>F_RBF_1[35]</t>
  </si>
  <si>
    <t>F_RBF_1[36]</t>
  </si>
  <si>
    <t>F_RBF_1[37]</t>
  </si>
  <si>
    <t>F_RBF_1[38]</t>
  </si>
  <si>
    <t>F_RBF_1[39]</t>
  </si>
  <si>
    <t>F_RBF_1[40]</t>
  </si>
  <si>
    <t>F_RBF_1[41]</t>
  </si>
  <si>
    <t>F_RBF_1[42]</t>
  </si>
  <si>
    <t>F_RBF_1[43]</t>
  </si>
  <si>
    <t>F_RBF_1[44]</t>
  </si>
  <si>
    <t>F_RBF_1[45]</t>
  </si>
  <si>
    <t>F_RBF_1[46]</t>
  </si>
  <si>
    <t>F_RBF_1[47]</t>
  </si>
  <si>
    <t>F_RBF_1[48]</t>
  </si>
  <si>
    <t>F_RBF_1[49]</t>
  </si>
  <si>
    <t>F_RBF_1[50]</t>
  </si>
  <si>
    <t>F_RBF_1[51]</t>
  </si>
  <si>
    <t>F_RBF_1[52]</t>
  </si>
  <si>
    <t>F_RBF_1[53]</t>
  </si>
  <si>
    <t>F_RBF_1[54]</t>
  </si>
  <si>
    <t>F_RBF_1[55]</t>
  </si>
  <si>
    <t>F_RBF_1[56]</t>
  </si>
  <si>
    <t>F_RBF_1[57]</t>
  </si>
  <si>
    <t>F_RBF_1[58]</t>
  </si>
  <si>
    <t>F_RBF_1[59]</t>
  </si>
  <si>
    <t>F_RBF_1[60]</t>
  </si>
  <si>
    <t>F_RBF_1[61]</t>
  </si>
  <si>
    <t>F_RBF_1[62]</t>
  </si>
  <si>
    <t>F_RBF_1[63]</t>
  </si>
  <si>
    <t>F_RBF_1[64]</t>
  </si>
  <si>
    <t>F_RBF_1[65]</t>
  </si>
  <si>
    <t>F_RBF_1[66]</t>
  </si>
  <si>
    <t>F_RBF_1[67]</t>
  </si>
  <si>
    <t>F_RBF_1[68]</t>
  </si>
  <si>
    <t>F_RBF_1[69]</t>
  </si>
  <si>
    <t>F_RBF_1[70]</t>
  </si>
  <si>
    <t>F_RBF_1[71]</t>
  </si>
  <si>
    <t>F_RBF_1[72]</t>
  </si>
  <si>
    <t>F_RBF_1[73]</t>
  </si>
  <si>
    <t>F_RBF_1[74]</t>
  </si>
  <si>
    <t>F_RBF_1[75]</t>
  </si>
  <si>
    <t>F_RBF_1[76]</t>
  </si>
  <si>
    <t>F_RBF_1[77]</t>
  </si>
  <si>
    <t>F_RBF_1[78]</t>
  </si>
  <si>
    <t>F_RBF_1[79]</t>
  </si>
  <si>
    <t>F_RBF_1[80]</t>
  </si>
  <si>
    <t>F_RBF_1[81]</t>
  </si>
  <si>
    <t>F_RBF_1[82]</t>
  </si>
  <si>
    <t>F_RBF_1[83]</t>
  </si>
  <si>
    <t>F_RBF_1[84]</t>
  </si>
  <si>
    <t>F_RBF_1[85]</t>
  </si>
  <si>
    <t>F_RBF_1[86]</t>
  </si>
  <si>
    <t>F_RBF_1[87]</t>
  </si>
  <si>
    <t>F_RBF_1[88]</t>
  </si>
  <si>
    <t>F_RBF_1[89]</t>
  </si>
  <si>
    <t>F_RBF_1[90]</t>
  </si>
  <si>
    <t>F_RBF_1[91]</t>
  </si>
  <si>
    <t>F_RBF_1[92]</t>
  </si>
  <si>
    <t>F_RBF_1[93]</t>
  </si>
  <si>
    <t>F_RBF_1[94]</t>
  </si>
  <si>
    <t>F_RBF_1[95]</t>
  </si>
  <si>
    <t>F_RBF_1[96]</t>
  </si>
  <si>
    <t>F_RBF_1[97]</t>
  </si>
  <si>
    <t>F_RBF_1[98]</t>
  </si>
  <si>
    <t>F_RBF_1[99]</t>
  </si>
  <si>
    <t>F_RBF_1[100]</t>
  </si>
  <si>
    <t>F_RBF_1[101]</t>
  </si>
  <si>
    <t>F_RBF_1[102]</t>
  </si>
  <si>
    <t>F_RBF_1[103]</t>
  </si>
  <si>
    <t>F_RBF_1[104]</t>
  </si>
  <si>
    <t>F_RBF_1[105]</t>
  </si>
  <si>
    <t>F_RBF_1[106]</t>
  </si>
  <si>
    <t>F_RBF_1[107]</t>
  </si>
  <si>
    <t>F_RBF_1[108]</t>
  </si>
  <si>
    <t>F_RBF_1[109]</t>
  </si>
  <si>
    <t>F_RBF_1[110]</t>
  </si>
  <si>
    <t>F_RBF_1[111]</t>
  </si>
  <si>
    <t>F_RBF_1[112]</t>
  </si>
  <si>
    <t>F_RBF_1[113]</t>
  </si>
  <si>
    <t>F_RBF_1[114]</t>
  </si>
  <si>
    <t>F_RBF_1[115]</t>
  </si>
  <si>
    <t>F_RBF_1[116]</t>
  </si>
  <si>
    <t>F_RBF_1[117]</t>
  </si>
  <si>
    <t>F_RBF_1[118]</t>
  </si>
  <si>
    <t>F_RBF_1[119]</t>
  </si>
  <si>
    <t>F_RBF_1[120]</t>
  </si>
  <si>
    <t>F_RBF_1[121]</t>
  </si>
  <si>
    <t>F_RBF_1[122]</t>
  </si>
  <si>
    <t>F_RBF_1[123]</t>
  </si>
  <si>
    <t>F_RBF_1[124]</t>
  </si>
  <si>
    <t>F_RBF_1[125]</t>
  </si>
  <si>
    <t>F_RBF_1[126]</t>
  </si>
  <si>
    <t>F_RBF_1[127]</t>
  </si>
  <si>
    <t>F_RBF_1[128]</t>
  </si>
  <si>
    <t>F_RBF_1[129]</t>
  </si>
  <si>
    <t>F_RBF_1[130]</t>
  </si>
  <si>
    <t>F_RBF_1[131]</t>
  </si>
  <si>
    <t>F_RBF_1[132]</t>
  </si>
  <si>
    <t>F_RBF_1[133]</t>
  </si>
  <si>
    <t>F_RBF_1[134]</t>
  </si>
  <si>
    <t>F_RBF_1[135]</t>
  </si>
  <si>
    <t>F_RBF_1[136]</t>
  </si>
  <si>
    <t>F_RBF_1[137]</t>
  </si>
  <si>
    <t>F_RBF_1[138]</t>
  </si>
  <si>
    <t>F_RBF_1[139]</t>
  </si>
  <si>
    <t>F_RBF_1[140]</t>
  </si>
  <si>
    <t>F_RBF_1[141]</t>
  </si>
  <si>
    <t>F_RBF_1[142]</t>
  </si>
  <si>
    <t>F_RBF_1[143]</t>
  </si>
  <si>
    <t>F_RBF_1[144]</t>
  </si>
  <si>
    <t>F_RBF_2[1]</t>
  </si>
  <si>
    <t>F_RBF_2[2]</t>
  </si>
  <si>
    <t>F_RBF_2[3]</t>
  </si>
  <si>
    <t>F_RBF_2[4]</t>
  </si>
  <si>
    <t>F_RBF_2[5]</t>
  </si>
  <si>
    <t>F_RBF_2[6]</t>
  </si>
  <si>
    <t>F_RBF_2[7]</t>
  </si>
  <si>
    <t>F_RBF_2[8]</t>
  </si>
  <si>
    <t>F_RBF_2[9]</t>
  </si>
  <si>
    <t>F_RBF_2[10]</t>
  </si>
  <si>
    <t>F_RBF_2[11]</t>
  </si>
  <si>
    <t>F_RBF_2[12]</t>
  </si>
  <si>
    <t>F_RBF_2[13]</t>
  </si>
  <si>
    <t>F_RBF_2[14]</t>
  </si>
  <si>
    <t>F_RBF_2[15]</t>
  </si>
  <si>
    <t>F_RBF_2[16]</t>
  </si>
  <si>
    <t>F_RBF_2[17]</t>
  </si>
  <si>
    <t>F_RBF_2[18]</t>
  </si>
  <si>
    <t>F_RBF_2[19]</t>
  </si>
  <si>
    <t>F_RBF_2[20]</t>
  </si>
  <si>
    <t>F_RBF_2[21]</t>
  </si>
  <si>
    <t>F_RBF_2[22]</t>
  </si>
  <si>
    <t>F_RBF_2[23]</t>
  </si>
  <si>
    <t>F_RBF_2[24]</t>
  </si>
  <si>
    <t>F_RBF_2[25]</t>
  </si>
  <si>
    <t>F_RBF_2[26]</t>
  </si>
  <si>
    <t>F_RBF_2[27]</t>
  </si>
  <si>
    <t>F_RBF_2[28]</t>
  </si>
  <si>
    <t>F_RBF_2[29]</t>
  </si>
  <si>
    <t>F_RBF_2[30]</t>
  </si>
  <si>
    <t>F_RBF_2[31]</t>
  </si>
  <si>
    <t>F_RBF_2[32]</t>
  </si>
  <si>
    <t>F_RBF_2[33]</t>
  </si>
  <si>
    <t>F_RBF_2[34]</t>
  </si>
  <si>
    <t>F_RBF_2[35]</t>
  </si>
  <si>
    <t>F_RBF_2[36]</t>
  </si>
  <si>
    <t>F_RBF_2[37]</t>
  </si>
  <si>
    <t>F_RBF_2[38]</t>
  </si>
  <si>
    <t>F_RBF_2[39]</t>
  </si>
  <si>
    <t>F_RBF_2[40]</t>
  </si>
  <si>
    <t>F_RBF_2[41]</t>
  </si>
  <si>
    <t>F_RBF_2[42]</t>
  </si>
  <si>
    <t>F_RBF_2[43]</t>
  </si>
  <si>
    <t>F_RBF_2[44]</t>
  </si>
  <si>
    <t>F_RBF_2[45]</t>
  </si>
  <si>
    <t>F_RBF_2[46]</t>
  </si>
  <si>
    <t>F_RBF_2[47]</t>
  </si>
  <si>
    <t>F_RBF_2[48]</t>
  </si>
  <si>
    <t>F_RBF_2[49]</t>
  </si>
  <si>
    <t>F_RBF_2[50]</t>
  </si>
  <si>
    <t>F_RBF_2[51]</t>
  </si>
  <si>
    <t>F_RBF_2[52]</t>
  </si>
  <si>
    <t>F_RBF_2[53]</t>
  </si>
  <si>
    <t>F_RBF_2[54]</t>
  </si>
  <si>
    <t>F_RBF_2[55]</t>
  </si>
  <si>
    <t>F_RBF_2[56]</t>
  </si>
  <si>
    <t>F_RBF_2[57]</t>
  </si>
  <si>
    <t>F_RBF_2[58]</t>
  </si>
  <si>
    <t>F_RBF_2[59]</t>
  </si>
  <si>
    <t>F_RBF_2[60]</t>
  </si>
  <si>
    <t>F_RBF_2[61]</t>
  </si>
  <si>
    <t>F_RBF_2[62]</t>
  </si>
  <si>
    <t>F_RBF_2[63]</t>
  </si>
  <si>
    <t>F_RBF_2[64]</t>
  </si>
  <si>
    <t>F_RBF_2[65]</t>
  </si>
  <si>
    <t>F_RBF_2[66]</t>
  </si>
  <si>
    <t>F_RBF_2[67]</t>
  </si>
  <si>
    <t>F_RBF_2[68]</t>
  </si>
  <si>
    <t>F_RBF_2[69]</t>
  </si>
  <si>
    <t>F_RBF_2[70]</t>
  </si>
  <si>
    <t>F_RBF_2[71]</t>
  </si>
  <si>
    <t>F_RBF_2[72]</t>
  </si>
  <si>
    <t>F_RBF_2[73]</t>
  </si>
  <si>
    <t>F_RBF_2[74]</t>
  </si>
  <si>
    <t>F_RBF_2[75]</t>
  </si>
  <si>
    <t>F_base_choke</t>
  </si>
  <si>
    <t>F_map1.value</t>
  </si>
  <si>
    <t>F_map2.value</t>
  </si>
  <si>
    <t>H_RBF_1[1]</t>
  </si>
  <si>
    <t>H_RBF_1[2]</t>
  </si>
  <si>
    <t>H_RBF_1[3]</t>
  </si>
  <si>
    <t>H_RBF_1[4]</t>
  </si>
  <si>
    <t>H_RBF_1[5]</t>
  </si>
  <si>
    <t>H_RBF_1[6]</t>
  </si>
  <si>
    <t>H_RBF_1[7]</t>
  </si>
  <si>
    <t>H_RBF_1[8]</t>
  </si>
  <si>
    <t>H_RBF_1[9]</t>
  </si>
  <si>
    <t>H_RBF_1[10]</t>
  </si>
  <si>
    <t>H_RBF_1[11]</t>
  </si>
  <si>
    <t>H_RBF_1[12]</t>
  </si>
  <si>
    <t>H_RBF_1[13]</t>
  </si>
  <si>
    <t>H_RBF_1[14]</t>
  </si>
  <si>
    <t>H_RBF_1[15]</t>
  </si>
  <si>
    <t>H_RBF_1[16]</t>
  </si>
  <si>
    <t>H_RBF_1[17]</t>
  </si>
  <si>
    <t>H_RBF_1[18]</t>
  </si>
  <si>
    <t>H_RBF_1[19]</t>
  </si>
  <si>
    <t>H_RBF_1[20]</t>
  </si>
  <si>
    <t>H_RBF_1[21]</t>
  </si>
  <si>
    <t>H_RBF_1[22]</t>
  </si>
  <si>
    <t>H_RBF_1[23]</t>
  </si>
  <si>
    <t>H_RBF_1[24]</t>
  </si>
  <si>
    <t>H_RBF_1[25]</t>
  </si>
  <si>
    <t>H_RBF_1[26]</t>
  </si>
  <si>
    <t>H_RBF_1[27]</t>
  </si>
  <si>
    <t>H_RBF_1[28]</t>
  </si>
  <si>
    <t>H_RBF_1[29]</t>
  </si>
  <si>
    <t>H_RBF_1[30]</t>
  </si>
  <si>
    <t>H_RBF_1[31]</t>
  </si>
  <si>
    <t>H_RBF_1[32]</t>
  </si>
  <si>
    <t>H_RBF_1[33]</t>
  </si>
  <si>
    <t>H_RBF_1[34]</t>
  </si>
  <si>
    <t>H_RBF_1[35]</t>
  </si>
  <si>
    <t>H_RBF_1[36]</t>
  </si>
  <si>
    <t>H_RBF_1[37]</t>
  </si>
  <si>
    <t>H_RBF_1[38]</t>
  </si>
  <si>
    <t>H_RBF_1[39]</t>
  </si>
  <si>
    <t>H_RBF_1[40]</t>
  </si>
  <si>
    <t>H_RBF_1[41]</t>
  </si>
  <si>
    <t>H_RBF_1[42]</t>
  </si>
  <si>
    <t>H_RBF_1[43]</t>
  </si>
  <si>
    <t>H_RBF_1[44]</t>
  </si>
  <si>
    <t>H_RBF_1[45]</t>
  </si>
  <si>
    <t>H_RBF_1[46]</t>
  </si>
  <si>
    <t>H_RBF_1[47]</t>
  </si>
  <si>
    <t>H_RBF_1[48]</t>
  </si>
  <si>
    <t>H_RBF_1[49]</t>
  </si>
  <si>
    <t>H_RBF_1[50]</t>
  </si>
  <si>
    <t>H_RBF_1[51]</t>
  </si>
  <si>
    <t>H_RBF_1[52]</t>
  </si>
  <si>
    <t>H_RBF_1[53]</t>
  </si>
  <si>
    <t>H_RBF_1[54]</t>
  </si>
  <si>
    <t>H_RBF_1[55]</t>
  </si>
  <si>
    <t>H_RBF_1[56]</t>
  </si>
  <si>
    <t>H_RBF_1[57]</t>
  </si>
  <si>
    <t>H_RBF_1[58]</t>
  </si>
  <si>
    <t>H_RBF_1[59]</t>
  </si>
  <si>
    <t>H_RBF_1[60]</t>
  </si>
  <si>
    <t>H_RBF_1[61]</t>
  </si>
  <si>
    <t>H_RBF_1[62]</t>
  </si>
  <si>
    <t>H_RBF_1[63]</t>
  </si>
  <si>
    <t>H_RBF_1[64]</t>
  </si>
  <si>
    <t>H_RBF_1[65]</t>
  </si>
  <si>
    <t>H_RBF_1[66]</t>
  </si>
  <si>
    <t>H_RBF_1[67]</t>
  </si>
  <si>
    <t>H_RBF_1[68]</t>
  </si>
  <si>
    <t>H_RBF_1[69]</t>
  </si>
  <si>
    <t>H_RBF_1[70]</t>
  </si>
  <si>
    <t>H_RBF_1[71]</t>
  </si>
  <si>
    <t>H_RBF_1[72]</t>
  </si>
  <si>
    <t>H_RBF_1[73]</t>
  </si>
  <si>
    <t>H_RBF_1[74]</t>
  </si>
  <si>
    <t>H_RBF_1[75]</t>
  </si>
  <si>
    <t>H_RBF_1[76]</t>
  </si>
  <si>
    <t>H_RBF_1[77]</t>
  </si>
  <si>
    <t>H_RBF_1[78]</t>
  </si>
  <si>
    <t>H_RBF_1[79]</t>
  </si>
  <si>
    <t>H_RBF_1[80]</t>
  </si>
  <si>
    <t>H_RBF_1[81]</t>
  </si>
  <si>
    <t>H_RBF_1[82]</t>
  </si>
  <si>
    <t>H_RBF_1[83]</t>
  </si>
  <si>
    <t>H_RBF_1[84]</t>
  </si>
  <si>
    <t>H_RBF_1[85]</t>
  </si>
  <si>
    <t>H_RBF_1[86]</t>
  </si>
  <si>
    <t>H_RBF_1[87]</t>
  </si>
  <si>
    <t>H_RBF_1[88]</t>
  </si>
  <si>
    <t>H_RBF_1[89]</t>
  </si>
  <si>
    <t>H_RBF_1[90]</t>
  </si>
  <si>
    <t>H_RBF_1[91]</t>
  </si>
  <si>
    <t>H_RBF_1[92]</t>
  </si>
  <si>
    <t>H_RBF_1[93]</t>
  </si>
  <si>
    <t>H_RBF_1[94]</t>
  </si>
  <si>
    <t>H_RBF_1[95]</t>
  </si>
  <si>
    <t>H_RBF_1[96]</t>
  </si>
  <si>
    <t>H_RBF_1[97]</t>
  </si>
  <si>
    <t>H_RBF_1[98]</t>
  </si>
  <si>
    <t>H_RBF_1[99]</t>
  </si>
  <si>
    <t>H_RBF_1[100]</t>
  </si>
  <si>
    <t>H_RBF_1[101]</t>
  </si>
  <si>
    <t>H_RBF_1[102]</t>
  </si>
  <si>
    <t>H_RBF_1[103]</t>
  </si>
  <si>
    <t>H_RBF_1[104]</t>
  </si>
  <si>
    <t>H_RBF_1[105]</t>
  </si>
  <si>
    <t>H_RBF_1[106]</t>
  </si>
  <si>
    <t>H_RBF_1[107]</t>
  </si>
  <si>
    <t>H_RBF_1[108]</t>
  </si>
  <si>
    <t>H_RBF_1[109]</t>
  </si>
  <si>
    <t>H_RBF_1[110]</t>
  </si>
  <si>
    <t>H_RBF_1[111]</t>
  </si>
  <si>
    <t>H_RBF_1[112]</t>
  </si>
  <si>
    <t>H_RBF_1[113]</t>
  </si>
  <si>
    <t>H_RBF_1[114]</t>
  </si>
  <si>
    <t>H_RBF_1[115]</t>
  </si>
  <si>
    <t>H_RBF_1[116]</t>
  </si>
  <si>
    <t>H_RBF_1[117]</t>
  </si>
  <si>
    <t>H_RBF_1[118]</t>
  </si>
  <si>
    <t>H_RBF_1[119]</t>
  </si>
  <si>
    <t>H_RBF_1[120]</t>
  </si>
  <si>
    <t>H_RBF_1[121]</t>
  </si>
  <si>
    <t>H_RBF_1[122]</t>
  </si>
  <si>
    <t>H_RBF_1[123]</t>
  </si>
  <si>
    <t>H_RBF_1[124]</t>
  </si>
  <si>
    <t>H_RBF_1[125]</t>
  </si>
  <si>
    <t>H_RBF_1[126]</t>
  </si>
  <si>
    <t>H_RBF_1[127]</t>
  </si>
  <si>
    <t>H_RBF_1[128]</t>
  </si>
  <si>
    <t>H_RBF_1[129]</t>
  </si>
  <si>
    <t>H_RBF_1[130]</t>
  </si>
  <si>
    <t>H_RBF_1[131]</t>
  </si>
  <si>
    <t>H_RBF_1[132]</t>
  </si>
  <si>
    <t>H_RBF_1[133]</t>
  </si>
  <si>
    <t>H_RBF_1[134]</t>
  </si>
  <si>
    <t>H_RBF_1[135]</t>
  </si>
  <si>
    <t>H_RBF_1[136]</t>
  </si>
  <si>
    <t>H_RBF_1[137]</t>
  </si>
  <si>
    <t>H_RBF_1[138]</t>
  </si>
  <si>
    <t>H_RBF_1[139]</t>
  </si>
  <si>
    <t>H_RBF_1[140]</t>
  </si>
  <si>
    <t>H_RBF_1[141]</t>
  </si>
  <si>
    <t>H_RBF_1[142]</t>
  </si>
  <si>
    <t>H_RBF_1[143]</t>
  </si>
  <si>
    <t>H_RBF_1[144]</t>
  </si>
  <si>
    <t>H_RBF_2[1]</t>
  </si>
  <si>
    <t>H_RBF_2[2]</t>
  </si>
  <si>
    <t>H_RBF_2[3]</t>
  </si>
  <si>
    <t>H_RBF_2[4]</t>
  </si>
  <si>
    <t>H_RBF_2[5]</t>
  </si>
  <si>
    <t>H_RBF_2[6]</t>
  </si>
  <si>
    <t>H_RBF_2[7]</t>
  </si>
  <si>
    <t>H_RBF_2[8]</t>
  </si>
  <si>
    <t>H_RBF_2[9]</t>
  </si>
  <si>
    <t>H_RBF_2[10]</t>
  </si>
  <si>
    <t>H_RBF_2[11]</t>
  </si>
  <si>
    <t>H_RBF_2[12]</t>
  </si>
  <si>
    <t>H_RBF_2[13]</t>
  </si>
  <si>
    <t>H_RBF_2[14]</t>
  </si>
  <si>
    <t>H_RBF_2[15]</t>
  </si>
  <si>
    <t>H_RBF_2[16]</t>
  </si>
  <si>
    <t>H_RBF_2[17]</t>
  </si>
  <si>
    <t>H_RBF_2[18]</t>
  </si>
  <si>
    <t>H_RBF_2[19]</t>
  </si>
  <si>
    <t>H_RBF_2[20]</t>
  </si>
  <si>
    <t>H_RBF_2[21]</t>
  </si>
  <si>
    <t>H_RBF_2[22]</t>
  </si>
  <si>
    <t>H_RBF_2[23]</t>
  </si>
  <si>
    <t>H_RBF_2[24]</t>
  </si>
  <si>
    <t>H_RBF_2[25]</t>
  </si>
  <si>
    <t>H_RBF_2[26]</t>
  </si>
  <si>
    <t>H_RBF_2[27]</t>
  </si>
  <si>
    <t>H_RBF_2[28]</t>
  </si>
  <si>
    <t>H_RBF_2[29]</t>
  </si>
  <si>
    <t>H_RBF_2[30]</t>
  </si>
  <si>
    <t>H_RBF_2[31]</t>
  </si>
  <si>
    <t>H_RBF_2[32]</t>
  </si>
  <si>
    <t>H_RBF_2[33]</t>
  </si>
  <si>
    <t>H_RBF_2[34]</t>
  </si>
  <si>
    <t>H_RBF_2[35]</t>
  </si>
  <si>
    <t>H_RBF_2[36]</t>
  </si>
  <si>
    <t>H_RBF_2[37]</t>
  </si>
  <si>
    <t>H_RBF_2[38]</t>
  </si>
  <si>
    <t>H_RBF_2[39]</t>
  </si>
  <si>
    <t>H_RBF_2[40]</t>
  </si>
  <si>
    <t>H_RBF_2[41]</t>
  </si>
  <si>
    <t>H_RBF_2[42]</t>
  </si>
  <si>
    <t>H_RBF_2[43]</t>
  </si>
  <si>
    <t>H_RBF_2[44]</t>
  </si>
  <si>
    <t>H_RBF_2[45]</t>
  </si>
  <si>
    <t>H_RBF_2[46]</t>
  </si>
  <si>
    <t>H_RBF_2[47]</t>
  </si>
  <si>
    <t>H_RBF_2[48]</t>
  </si>
  <si>
    <t>H_RBF_2[49]</t>
  </si>
  <si>
    <t>H_RBF_2[50]</t>
  </si>
  <si>
    <t>H_RBF_2[51]</t>
  </si>
  <si>
    <t>H_RBF_2[52]</t>
  </si>
  <si>
    <t>H_RBF_2[53]</t>
  </si>
  <si>
    <t>H_RBF_2[54]</t>
  </si>
  <si>
    <t>H_RBF_2[55]</t>
  </si>
  <si>
    <t>H_RBF_2[56]</t>
  </si>
  <si>
    <t>H_RBF_2[57]</t>
  </si>
  <si>
    <t>H_RBF_2[58]</t>
  </si>
  <si>
    <t>H_RBF_2[59]</t>
  </si>
  <si>
    <t>H_RBF_2[60]</t>
  </si>
  <si>
    <t>H_RBF_2[61]</t>
  </si>
  <si>
    <t>H_RBF_2[62]</t>
  </si>
  <si>
    <t>H_RBF_2[63]</t>
  </si>
  <si>
    <t>H_RBF_2[64]</t>
  </si>
  <si>
    <t>H_RBF_2[65]</t>
  </si>
  <si>
    <t>H_RBF_2[66]</t>
  </si>
  <si>
    <t>H_RBF_2[67]</t>
  </si>
  <si>
    <t>H_RBF_2[68]</t>
  </si>
  <si>
    <t>H_RBF_2[69]</t>
  </si>
  <si>
    <t>H_RBF_2[70]</t>
  </si>
  <si>
    <t>H_RBF_2[71]</t>
  </si>
  <si>
    <t>H_RBF_2[72]</t>
  </si>
  <si>
    <t>H_RBF_2[73]</t>
  </si>
  <si>
    <t>H_RBF_2[74]</t>
  </si>
  <si>
    <t>H_RBF_2[75]</t>
  </si>
  <si>
    <t>MechanicalLoss_fixed</t>
  </si>
  <si>
    <t>MechanicalLoss_set</t>
  </si>
  <si>
    <t>N_motor_max</t>
  </si>
  <si>
    <t>rev/min</t>
  </si>
  <si>
    <t>NationalFlag</t>
  </si>
  <si>
    <t>Nratio</t>
  </si>
  <si>
    <t>Nratio_start</t>
  </si>
  <si>
    <t>TwoStage.FF_1</t>
  </si>
  <si>
    <t>m2</t>
  </si>
  <si>
    <t>ft2</t>
  </si>
  <si>
    <t>TwoStage.FF_2</t>
  </si>
  <si>
    <t>TwoStage.S_aux_port11</t>
  </si>
  <si>
    <t>TwoStage.S_aux_port12</t>
  </si>
  <si>
    <t>TwoStage.S_aux_port21</t>
  </si>
  <si>
    <t>TwoStage.S_aux_port22</t>
  </si>
  <si>
    <t>TwoStage.h_11</t>
  </si>
  <si>
    <t>TwoStage.h_12</t>
  </si>
  <si>
    <t>TwoStage.h_22</t>
  </si>
  <si>
    <t>TwoStage.m_flow_22</t>
  </si>
  <si>
    <t>TwoStage.p_11</t>
  </si>
  <si>
    <t>TwoStage.p_21</t>
  </si>
  <si>
    <t>ZETA_1</t>
  </si>
  <si>
    <t>ZETA_1_fixed</t>
  </si>
  <si>
    <t>ZETA_2</t>
  </si>
  <si>
    <t>ZETA_2_fixed</t>
  </si>
  <si>
    <t>Z_H_1</t>
  </si>
  <si>
    <t>Z_H_1_fixed</t>
  </si>
  <si>
    <t>Z_ab</t>
  </si>
  <si>
    <t>Z_ab_1</t>
  </si>
  <si>
    <t>Z_ac</t>
  </si>
  <si>
    <t>Z_ac_1</t>
  </si>
  <si>
    <t>Z_ak</t>
  </si>
  <si>
    <t>Z_ak_1</t>
  </si>
  <si>
    <t>Z_al</t>
  </si>
  <si>
    <t>Z_al_1</t>
  </si>
  <si>
    <t>Z_power</t>
  </si>
  <si>
    <t>Z_power_fixed</t>
  </si>
  <si>
    <t>calibration_ETA.value</t>
  </si>
  <si>
    <t>calibration_ETA_1.value</t>
  </si>
  <si>
    <t>calibration_ETA_2.value</t>
  </si>
  <si>
    <t>calibration_Flow_1.value</t>
  </si>
  <si>
    <t>calibration_Flow_2.value</t>
  </si>
  <si>
    <t>calibration_H_1.value</t>
  </si>
  <si>
    <t>calibration_power.value</t>
  </si>
  <si>
    <t>compType</t>
  </si>
  <si>
    <t>Cen2Stage_19MV</t>
  </si>
  <si>
    <t>dF</t>
  </si>
  <si>
    <t>gamma_1</t>
  </si>
  <si>
    <t>gamma_2</t>
  </si>
  <si>
    <t>k_CoolCap</t>
  </si>
  <si>
    <t>k_HeatCap</t>
  </si>
  <si>
    <t>liftFH_Fullopen.p_dis</t>
  </si>
  <si>
    <t>liftFH_Fullopen.x_dis</t>
  </si>
  <si>
    <t>liftFH_min.p_dis</t>
  </si>
  <si>
    <t>liftFH_min.x_dis</t>
  </si>
  <si>
    <t>node1.Sub_sink.p_in_internal</t>
  </si>
  <si>
    <t>node1.Sub_sink.x_in_internal</t>
  </si>
  <si>
    <t>node1.Sub_source.m_flow_in_internal</t>
  </si>
  <si>
    <t>node1.Sub_source.x_in_internal</t>
  </si>
  <si>
    <t>node2.Sub_sink.p_in_internal</t>
  </si>
  <si>
    <t>node2.Sub_sink.x_in_internal</t>
  </si>
  <si>
    <t>node2.Sub_source.m_flow_in_internal</t>
  </si>
  <si>
    <t>node2.Sub_source.x_in_internal</t>
  </si>
  <si>
    <t>node3.Sub_sink.p_in_internal</t>
  </si>
  <si>
    <t>node3.Sub_sink.x_in_internal</t>
  </si>
  <si>
    <t>node3.Sub_source.m_flow_in_internal</t>
  </si>
  <si>
    <t>node3.Sub_source.x_in_internal</t>
  </si>
  <si>
    <t>node.Sub_sink.p_in_internal</t>
  </si>
  <si>
    <t>node.Sub_sink.x_in_internal</t>
  </si>
  <si>
    <t>node.Sub_source.m_flow_in_internal</t>
  </si>
  <si>
    <t>node.Sub_source.x_in_internal</t>
  </si>
  <si>
    <t>p_econ_fixed</t>
  </si>
  <si>
    <t>power_1_fixed</t>
  </si>
  <si>
    <t>power_1_set</t>
  </si>
  <si>
    <t>power_2_fixed</t>
  </si>
  <si>
    <t>power_2_set</t>
  </si>
  <si>
    <t>power_fixed</t>
  </si>
  <si>
    <t>power_set</t>
  </si>
  <si>
    <t>selector_19DV</t>
  </si>
  <si>
    <t>FakeData</t>
  </si>
  <si>
    <t>selector_19MV</t>
  </si>
  <si>
    <t>userDefined</t>
  </si>
  <si>
    <t>shaftInput.aux_N</t>
  </si>
  <si>
    <t>summary.ETA</t>
  </si>
  <si>
    <t>summary.ETA_1</t>
  </si>
  <si>
    <t>summary.ETA_2</t>
  </si>
  <si>
    <t>summary.F_1</t>
  </si>
  <si>
    <t>summary.F_2</t>
  </si>
  <si>
    <t>summary.F_wh</t>
  </si>
  <si>
    <t>summary.Fs_projection</t>
  </si>
  <si>
    <t>summary.H_1</t>
  </si>
  <si>
    <t>summary.H_2</t>
  </si>
  <si>
    <t>summary.H_wh</t>
  </si>
  <si>
    <t>summary.InsideCurve</t>
  </si>
  <si>
    <t>summary.Lift_Fullopen</t>
  </si>
  <si>
    <t>summary.Lift_min</t>
  </si>
  <si>
    <t>summary.MechanicalLoss</t>
  </si>
  <si>
    <t>summary.Ncomp</t>
  </si>
  <si>
    <t>summary.PR</t>
  </si>
  <si>
    <t>summary.PR_1</t>
  </si>
  <si>
    <t>summary.PR_2</t>
  </si>
  <si>
    <t>summary.Power</t>
  </si>
  <si>
    <t>summary.Power_1</t>
  </si>
  <si>
    <t>summary.Power_2</t>
  </si>
  <si>
    <t>summary.T_dis_1</t>
  </si>
  <si>
    <t>summary.T_dis_2</t>
  </si>
  <si>
    <t>summary.T_suc_1</t>
  </si>
  <si>
    <t>summary.T_suc_2</t>
  </si>
  <si>
    <t>summary.Tsat_dis_1</t>
  </si>
  <si>
    <t>summary.Tsat_dis_2</t>
  </si>
  <si>
    <t>summary.Tsat_suc_1</t>
  </si>
  <si>
    <t>summary.Tsat_suc_2</t>
  </si>
  <si>
    <t>summary.Tsh_dis_1</t>
  </si>
  <si>
    <t>summary.Tsh_dis_2</t>
  </si>
  <si>
    <t>summary.Tsh_suc_1</t>
  </si>
  <si>
    <t>summary.Tsh_suc_2</t>
  </si>
  <si>
    <t>summary.ZETA_1</t>
  </si>
  <si>
    <t>summary.ZETA_2</t>
  </si>
  <si>
    <t>summary.Z_H_1</t>
  </si>
  <si>
    <t>summary.Z_power</t>
  </si>
  <si>
    <t>summary.mass_ref</t>
  </si>
  <si>
    <t>summary.mdot_dis_1</t>
  </si>
  <si>
    <t>summary.mdot_dis_2</t>
  </si>
  <si>
    <t>summary.mdot_suc_1</t>
  </si>
  <si>
    <t>summary.mdot_suc_2</t>
  </si>
  <si>
    <t>summary.nZone</t>
  </si>
  <si>
    <t>summary.nflag</t>
  </si>
  <si>
    <t>summary.p_dis_1</t>
  </si>
  <si>
    <t>summary.p_dis_2</t>
  </si>
  <si>
    <t>summary.p_suc_1</t>
  </si>
  <si>
    <t>summary.p_suc_2</t>
  </si>
  <si>
    <t>summary.volume_ref</t>
  </si>
  <si>
    <t>summary.x_dis_1</t>
  </si>
  <si>
    <t>summary.x_dis_2</t>
  </si>
  <si>
    <t>summary.x_suc_1</t>
  </si>
  <si>
    <t>summary.x_suc_2</t>
  </si>
  <si>
    <t>useSurrogateEta</t>
  </si>
  <si>
    <t>useSurrogateSpeedline</t>
  </si>
  <si>
    <t>use_Dyn_Pressure</t>
  </si>
  <si>
    <t>use_ZETA_1_expression</t>
  </si>
  <si>
    <t>use_ZETA_2_expression</t>
  </si>
  <si>
    <t>use_z_power_expression</t>
  </si>
  <si>
    <t>validate_ZH</t>
  </si>
  <si>
    <t>condenser</t>
  </si>
  <si>
    <t>Clearance_bottom</t>
  </si>
  <si>
    <t>Clearance_left_right</t>
  </si>
  <si>
    <t>LTD</t>
  </si>
  <si>
    <t>LTD_fixed</t>
  </si>
  <si>
    <t>LTD_start</t>
  </si>
  <si>
    <t>Pitch_h</t>
  </si>
  <si>
    <t>Pitch_v</t>
  </si>
  <si>
    <t>R_foul</t>
  </si>
  <si>
    <t>T_a_start_coolant</t>
  </si>
  <si>
    <t>T_b_start_coolant</t>
  </si>
  <si>
    <t>T_sc_start</t>
  </si>
  <si>
    <t>Z_Ucd</t>
  </si>
  <si>
    <t>Z_Ucd_condensing</t>
  </si>
  <si>
    <t>Z_Ucd_condensing_fixed</t>
  </si>
  <si>
    <t>Z_Ucd_fixed</t>
  </si>
  <si>
    <t>Z_alpha_coolant</t>
  </si>
  <si>
    <t>Z_alpha_coolant_fixed</t>
  </si>
  <si>
    <t>Z_alpha_ref_condensing</t>
  </si>
  <si>
    <t>Z_alpha_ref_condensing_fixed</t>
  </si>
  <si>
    <t>Z_alpha_ref_subcooling</t>
  </si>
  <si>
    <t>Z_alpha_ref_subcooling_fixed</t>
  </si>
  <si>
    <t>Z_dpc</t>
  </si>
  <si>
    <t>Z_dpc_fixed</t>
  </si>
  <si>
    <t>Z_mass_ref</t>
  </si>
  <si>
    <t>Z_mass_ref_fixed</t>
  </si>
  <si>
    <t>alpha_ambient</t>
  </si>
  <si>
    <t>W/(m2.K)</t>
  </si>
  <si>
    <t>BTU/(ft2.h.degF)</t>
  </si>
  <si>
    <t>angle_OilSeparator</t>
  </si>
  <si>
    <t>rad</t>
  </si>
  <si>
    <t>deg</t>
  </si>
  <si>
    <t>angle_baffle</t>
  </si>
  <si>
    <t>calibration_Ucd.value</t>
  </si>
  <si>
    <t>calibration_Ucd_condensing.value</t>
  </si>
  <si>
    <t>calibration_alpha_coolant.value</t>
  </si>
  <si>
    <t>calibration_alpha_ref.value</t>
  </si>
  <si>
    <t>calibration_alpha_subcooling.value</t>
  </si>
  <si>
    <t>calibration_dpc.value</t>
  </si>
  <si>
    <t>calibration_mass.value</t>
  </si>
  <si>
    <t>capacity</t>
  </si>
  <si>
    <t>capacity_fixed</t>
  </si>
  <si>
    <t>dpc</t>
  </si>
  <si>
    <t>dpc_fixed</t>
  </si>
  <si>
    <t>floatValve.externalDP.port_a.p</t>
  </si>
  <si>
    <t>floatValve.floatChamber.medium.h</t>
  </si>
  <si>
    <t>floatValve.valve.port_a.p</t>
  </si>
  <si>
    <t>fvLevelController.u</t>
  </si>
  <si>
    <t>gap_baffle</t>
  </si>
  <si>
    <t>gap_sub_cond</t>
  </si>
  <si>
    <t>gasket</t>
  </si>
  <si>
    <t>gravityCondDP.port_a.p</t>
  </si>
  <si>
    <t>heatDissipation</t>
  </si>
  <si>
    <t>height_baffle</t>
  </si>
  <si>
    <t>height_subcooler</t>
  </si>
  <si>
    <t>isOff_ref</t>
  </si>
  <si>
    <t>lambda_insul</t>
  </si>
  <si>
    <t>W/(m.K)</t>
  </si>
  <si>
    <t>BTU/(ft.h.R)</t>
  </si>
  <si>
    <t>landedFactor</t>
  </si>
  <si>
    <t>level_fixed</t>
  </si>
  <si>
    <t>level_topBundle_fixed</t>
  </si>
  <si>
    <t>mass_ref</t>
  </si>
  <si>
    <t>mass_ref_fixed</t>
  </si>
  <si>
    <t>mesh_factor</t>
  </si>
  <si>
    <t>mixBundle</t>
  </si>
  <si>
    <t>relLevel</t>
  </si>
  <si>
    <t>relLevel_start</t>
  </si>
  <si>
    <t>relLevel_topBundle</t>
  </si>
  <si>
    <t>selector_geo</t>
  </si>
  <si>
    <t>selector_geo_FV</t>
  </si>
  <si>
    <t>FV_19DV5</t>
  </si>
  <si>
    <t>selector_tube</t>
  </si>
  <si>
    <t>SPKIII_075_025_R134a_HX7to8</t>
  </si>
  <si>
    <t>specificTubeArrange</t>
  </si>
  <si>
    <t>state_a_coolant.state.T</t>
  </si>
  <si>
    <t>state_a_coolant_wall.state.T</t>
  </si>
  <si>
    <t>state_b_coolant.state.T</t>
  </si>
  <si>
    <t>state_b_coolant_wall.state.T</t>
  </si>
  <si>
    <t>subCoolerCondenser.Liquid.mediums[1].h</t>
  </si>
  <si>
    <t>subCoolerCondenser.Liquid.mediums[2].h</t>
  </si>
  <si>
    <t>subCoolerCondenser.Liquid.mediums[3].h</t>
  </si>
  <si>
    <t>subCoolerCondenser.Liquid.mediums[4].h</t>
  </si>
  <si>
    <t>subCoolerCondenser.Liquid.mediums[5].h</t>
  </si>
  <si>
    <t>subCoolerCondenser.Liquid.mediums[6].h</t>
  </si>
  <si>
    <t>subCoolerCondenser.Liquid.mediums[7].h</t>
  </si>
  <si>
    <t>subCoolerCondenser.Liquid.mediums[8].h</t>
  </si>
  <si>
    <t>subCoolerCondenser.Liquid.mediums[9].h</t>
  </si>
  <si>
    <t>subCoolerCondenser.Liquid.mediums[10].h</t>
  </si>
  <si>
    <t>subCoolerCondenser.Vapor.x_outflow</t>
  </si>
  <si>
    <t>subCoolerCondenser.coolantFlow.Coolant_Liq_Layer[1,1].heatPorts[1].T</t>
  </si>
  <si>
    <t>subCoolerCondenser.coolantFlow.Coolant_Liq_Layer[1,1].heatPorts[2].T</t>
  </si>
  <si>
    <t>subCoolerCondenser.coolantFlow.Coolant_Liq_Layer[1,1].heatPorts[3].T</t>
  </si>
  <si>
    <t>subCoolerCondenser.coolantFlow.Coolant_Liq_Layer[1,1].heatPorts[4].T</t>
  </si>
  <si>
    <t>subCoolerCondenser.coolantFlow.Coolant_Liq_Layer[1,1].heatPorts[5].T</t>
  </si>
  <si>
    <t>subCoolerCondenser.coolantFlow.Coolant_Liq_Layer[1,1].heatPorts[6].T</t>
  </si>
  <si>
    <t>subCoolerCondenser.coolantFlow.Coolant_Liq_Layer[1,1].heatPorts[7].T</t>
  </si>
  <si>
    <t>subCoolerCondenser.coolantFlow.Coolant_Liq_Layer[1,1].heatPorts[8].T</t>
  </si>
  <si>
    <t>subCoolerCondenser.coolantFlow.Coolant_Liq_Layer[1,1].heatPorts[9].T</t>
  </si>
  <si>
    <t>subCoolerCondenser.coolantFlow.Coolant_Liq_Layer[1,1].heatPorts[10].T</t>
  </si>
  <si>
    <t>subCoolerCondenser.coolantFlow.Coolant_Liq_Layer[1,1].mediums[1].T</t>
  </si>
  <si>
    <t>subCoolerCondenser.coolantFlow.Coolant_Liq_Layer[1,1].mediums[2].T</t>
  </si>
  <si>
    <t>subCoolerCondenser.coolantFlow.Coolant_Liq_Layer[1,1].mediums[3].T</t>
  </si>
  <si>
    <t>subCoolerCondenser.coolantFlow.Coolant_Liq_Layer[1,1].mediums[4].T</t>
  </si>
  <si>
    <t>subCoolerCondenser.coolantFlow.Coolant_Liq_Layer[1,1].mediums[5].T</t>
  </si>
  <si>
    <t>subCoolerCondenser.coolantFlow.Coolant_Liq_Layer[1,1].mediums[6].T</t>
  </si>
  <si>
    <t>subCoolerCondenser.coolantFlow.Coolant_Liq_Layer[1,1].mediums[7].T</t>
  </si>
  <si>
    <t>subCoolerCondenser.coolantFlow.Coolant_Liq_Layer[1,1].mediums[8].T</t>
  </si>
  <si>
    <t>subCoolerCondenser.coolantFlow.Coolant_Liq_Layer[1,1].mediums[9].T</t>
  </si>
  <si>
    <t>subCoolerCondenser.coolantFlow.Coolant_Liq_Layer[1,1].mediums[10].T</t>
  </si>
  <si>
    <t>subCoolerCondenser.coolantFlow.Coolant_Liq_Layer[1,1].state_a.state.T</t>
  </si>
  <si>
    <t>subCoolerCondenser.coolantFlow.Coolant_Liq_Layer[1,1].state_b.state.T</t>
  </si>
  <si>
    <t>subCoolerCondenser.coolantFlow.Coolant_Liq_Layer[2,1].heatPorts[1].T</t>
  </si>
  <si>
    <t>subCoolerCondenser.coolantFlow.Coolant_Liq_Layer[2,1].heatPorts[2].T</t>
  </si>
  <si>
    <t>subCoolerCondenser.coolantFlow.Coolant_Liq_Layer[2,1].heatPorts[3].T</t>
  </si>
  <si>
    <t>subCoolerCondenser.coolantFlow.Coolant_Liq_Layer[2,1].heatPorts[4].T</t>
  </si>
  <si>
    <t>subCoolerCondenser.coolantFlow.Coolant_Liq_Layer[2,1].heatPorts[5].T</t>
  </si>
  <si>
    <t>subCoolerCondenser.coolantFlow.Coolant_Liq_Layer[2,1].heatPorts[6].T</t>
  </si>
  <si>
    <t>subCoolerCondenser.coolantFlow.Coolant_Liq_Layer[2,1].heatPorts[7].T</t>
  </si>
  <si>
    <t>subCoolerCondenser.coolantFlow.Coolant_Liq_Layer[2,1].heatPorts[8].T</t>
  </si>
  <si>
    <t>subCoolerCondenser.coolantFlow.Coolant_Liq_Layer[2,1].heatPorts[9].T</t>
  </si>
  <si>
    <t>subCoolerCondenser.coolantFlow.Coolant_Liq_Layer[2,1].heatPorts[10].T</t>
  </si>
  <si>
    <t>subCoolerCondenser.coolantFlow.Coolant_Liq_Layer[2,1].mediums[1].T</t>
  </si>
  <si>
    <t>subCoolerCondenser.coolantFlow.Coolant_Liq_Layer[2,1].mediums[2].T</t>
  </si>
  <si>
    <t>subCoolerCondenser.coolantFlow.Coolant_Liq_Layer[2,1].mediums[3].T</t>
  </si>
  <si>
    <t>subCoolerCondenser.coolantFlow.Coolant_Liq_Layer[2,1].mediums[4].T</t>
  </si>
  <si>
    <t>subCoolerCondenser.coolantFlow.Coolant_Liq_Layer[2,1].mediums[5].T</t>
  </si>
  <si>
    <t>subCoolerCondenser.coolantFlow.Coolant_Liq_Layer[2,1].mediums[6].T</t>
  </si>
  <si>
    <t>subCoolerCondenser.coolantFlow.Coolant_Liq_Layer[2,1].mediums[7].T</t>
  </si>
  <si>
    <t>subCoolerCondenser.coolantFlow.Coolant_Liq_Layer[2,1].mediums[8].T</t>
  </si>
  <si>
    <t>subCoolerCondenser.coolantFlow.Coolant_Liq_Layer[2,1].mediums[9].T</t>
  </si>
  <si>
    <t>subCoolerCondenser.coolantFlow.Coolant_Liq_Layer[2,1].mediums[10].T</t>
  </si>
  <si>
    <t>subCoolerCondenser.coolantFlow.Coolant_Liq_Layer[2,1].state_a.state.T</t>
  </si>
  <si>
    <t>subCoolerCondenser.coolantFlow.Coolant_Liq_Layer[2,1].state_b.state.T</t>
  </si>
  <si>
    <t>subCoolerCondenser.coolantFlow.Coolant_Vap[1].heatPorts[1].T</t>
  </si>
  <si>
    <t>subCoolerCondenser.coolantFlow.Coolant_Vap[1].heatPorts[2].T</t>
  </si>
  <si>
    <t>subCoolerCondenser.coolantFlow.Coolant_Vap[1].heatPorts[3].T</t>
  </si>
  <si>
    <t>subCoolerCondenser.coolantFlow.Coolant_Vap[1].heatPorts[4].T</t>
  </si>
  <si>
    <t>subCoolerCondenser.coolantFlow.Coolant_Vap[1].heatPorts[5].T</t>
  </si>
  <si>
    <t>subCoolerCondenser.coolantFlow.Coolant_Vap[1].heatPorts[6].T</t>
  </si>
  <si>
    <t>subCoolerCondenser.coolantFlow.Coolant_Vap[1].heatPorts[7].T</t>
  </si>
  <si>
    <t>subCoolerCondenser.coolantFlow.Coolant_Vap[1].heatPorts[8].T</t>
  </si>
  <si>
    <t>subCoolerCondenser.coolantFlow.Coolant_Vap[1].heatPorts[9].T</t>
  </si>
  <si>
    <t>subCoolerCondenser.coolantFlow.Coolant_Vap[1].heatPorts[10].T</t>
  </si>
  <si>
    <t>subCoolerCondenser.coolantFlow.Coolant_Vap[1].heatPorts[11].T</t>
  </si>
  <si>
    <t>subCoolerCondenser.coolantFlow.Coolant_Vap[1].heatPorts[12].T</t>
  </si>
  <si>
    <t>subCoolerCondenser.coolantFlow.Coolant_Vap[1].heatPorts[13].T</t>
  </si>
  <si>
    <t>subCoolerCondenser.coolantFlow.Coolant_Vap[1].heatPorts[14].T</t>
  </si>
  <si>
    <t>subCoolerCondenser.coolantFlow.Coolant_Vap[1].heatPorts[15].T</t>
  </si>
  <si>
    <t>subCoolerCondenser.coolantFlow.Coolant_Vap[1].heatPorts[16].T</t>
  </si>
  <si>
    <t>subCoolerCondenser.coolantFlow.Coolant_Vap[1].heatPorts[17].T</t>
  </si>
  <si>
    <t>subCoolerCondenser.coolantFlow.Coolant_Vap[1].heatPorts[18].T</t>
  </si>
  <si>
    <t>subCoolerCondenser.coolantFlow.Coolant_Vap[1].heatPorts[19].T</t>
  </si>
  <si>
    <t>subCoolerCondenser.coolantFlow.Coolant_Vap[1].heatPorts[20].T</t>
  </si>
  <si>
    <t>subCoolerCondenser.coolantFlow.Coolant_Vap[1].mediums[1].T</t>
  </si>
  <si>
    <t>subCoolerCondenser.coolantFlow.Coolant_Vap[1].mediums[2].T</t>
  </si>
  <si>
    <t>subCoolerCondenser.coolantFlow.Coolant_Vap[1].mediums[3].T</t>
  </si>
  <si>
    <t>subCoolerCondenser.coolantFlow.Coolant_Vap[1].mediums[4].T</t>
  </si>
  <si>
    <t>subCoolerCondenser.coolantFlow.Coolant_Vap[1].mediums[5].T</t>
  </si>
  <si>
    <t>subCoolerCondenser.coolantFlow.Coolant_Vap[1].mediums[6].T</t>
  </si>
  <si>
    <t>subCoolerCondenser.coolantFlow.Coolant_Vap[1].mediums[7].T</t>
  </si>
  <si>
    <t>subCoolerCondenser.coolantFlow.Coolant_Vap[1].mediums[8].T</t>
  </si>
  <si>
    <t>subCoolerCondenser.coolantFlow.Coolant_Vap[1].mediums[9].T</t>
  </si>
  <si>
    <t>subCoolerCondenser.coolantFlow.Coolant_Vap[1].mediums[10].T</t>
  </si>
  <si>
    <t>subCoolerCondenser.coolantFlow.Coolant_Vap[1].mediums[11].T</t>
  </si>
  <si>
    <t>subCoolerCondenser.coolantFlow.Coolant_Vap[1].mediums[12].T</t>
  </si>
  <si>
    <t>subCoolerCondenser.coolantFlow.Coolant_Vap[1].mediums[13].T</t>
  </si>
  <si>
    <t>subCoolerCondenser.coolantFlow.Coolant_Vap[1].mediums[14].T</t>
  </si>
  <si>
    <t>subCoolerCondenser.coolantFlow.Coolant_Vap[1].mediums[15].T</t>
  </si>
  <si>
    <t>subCoolerCondenser.coolantFlow.Coolant_Vap[1].mediums[16].T</t>
  </si>
  <si>
    <t>subCoolerCondenser.coolantFlow.Coolant_Vap[1].mediums[17].T</t>
  </si>
  <si>
    <t>subCoolerCondenser.coolantFlow.Coolant_Vap[1].mediums[18].T</t>
  </si>
  <si>
    <t>subCoolerCondenser.coolantFlow.Coolant_Vap[1].mediums[19].T</t>
  </si>
  <si>
    <t>subCoolerCondenser.coolantFlow.Coolant_Vap[1].mediums[20].T</t>
  </si>
  <si>
    <t>subCoolerCondenser.coolantFlow.Coolant_Vap[1].state_a.state.T</t>
  </si>
  <si>
    <t>subCoolerCondenser.coolantFlow.Coolant_Vap[1].state_b.state.T</t>
  </si>
  <si>
    <t>subCoolerCondenser.coolantFlow.Coolant_Vap[2].heatPorts[1].T</t>
  </si>
  <si>
    <t>subCoolerCondenser.coolantFlow.Coolant_Vap[2].heatPorts[2].T</t>
  </si>
  <si>
    <t>subCoolerCondenser.coolantFlow.Coolant_Vap[2].heatPorts[3].T</t>
  </si>
  <si>
    <t>subCoolerCondenser.coolantFlow.Coolant_Vap[2].heatPorts[4].T</t>
  </si>
  <si>
    <t>subCoolerCondenser.coolantFlow.Coolant_Vap[2].heatPorts[5].T</t>
  </si>
  <si>
    <t>subCoolerCondenser.coolantFlow.Coolant_Vap[2].heatPorts[6].T</t>
  </si>
  <si>
    <t>subCoolerCondenser.coolantFlow.Coolant_Vap[2].heatPorts[7].T</t>
  </si>
  <si>
    <t>subCoolerCondenser.coolantFlow.Coolant_Vap[2].heatPorts[8].T</t>
  </si>
  <si>
    <t>subCoolerCondenser.coolantFlow.Coolant_Vap[2].heatPorts[9].T</t>
  </si>
  <si>
    <t>subCoolerCondenser.coolantFlow.Coolant_Vap[2].heatPorts[10].T</t>
  </si>
  <si>
    <t>subCoolerCondenser.coolantFlow.Coolant_Vap[2].heatPorts[11].T</t>
  </si>
  <si>
    <t>subCoolerCondenser.coolantFlow.Coolant_Vap[2].heatPorts[12].T</t>
  </si>
  <si>
    <t>subCoolerCondenser.coolantFlow.Coolant_Vap[2].heatPorts[13].T</t>
  </si>
  <si>
    <t>subCoolerCondenser.coolantFlow.Coolant_Vap[2].heatPorts[14].T</t>
  </si>
  <si>
    <t>subCoolerCondenser.coolantFlow.Coolant_Vap[2].heatPorts[15].T</t>
  </si>
  <si>
    <t>subCoolerCondenser.coolantFlow.Coolant_Vap[2].heatPorts[16].T</t>
  </si>
  <si>
    <t>subCoolerCondenser.coolantFlow.Coolant_Vap[2].heatPorts[17].T</t>
  </si>
  <si>
    <t>subCoolerCondenser.coolantFlow.Coolant_Vap[2].heatPorts[18].T</t>
  </si>
  <si>
    <t>subCoolerCondenser.coolantFlow.Coolant_Vap[2].heatPorts[19].T</t>
  </si>
  <si>
    <t>subCoolerCondenser.coolantFlow.Coolant_Vap[2].heatPorts[20].T</t>
  </si>
  <si>
    <t>subCoolerCondenser.coolantFlow.Coolant_Vap[2].mediums[1].T</t>
  </si>
  <si>
    <t>subCoolerCondenser.coolantFlow.Coolant_Vap[2].mediums[2].T</t>
  </si>
  <si>
    <t>subCoolerCondenser.coolantFlow.Coolant_Vap[2].mediums[3].T</t>
  </si>
  <si>
    <t>subCoolerCondenser.coolantFlow.Coolant_Vap[2].mediums[4].T</t>
  </si>
  <si>
    <t>subCoolerCondenser.coolantFlow.Coolant_Vap[2].mediums[5].T</t>
  </si>
  <si>
    <t>subCoolerCondenser.coolantFlow.Coolant_Vap[2].mediums[6].T</t>
  </si>
  <si>
    <t>subCoolerCondenser.coolantFlow.Coolant_Vap[2].mediums[7].T</t>
  </si>
  <si>
    <t>subCoolerCondenser.coolantFlow.Coolant_Vap[2].mediums[8].T</t>
  </si>
  <si>
    <t>subCoolerCondenser.coolantFlow.Coolant_Vap[2].mediums[9].T</t>
  </si>
  <si>
    <t>subCoolerCondenser.coolantFlow.Coolant_Vap[2].mediums[10].T</t>
  </si>
  <si>
    <t>subCoolerCondenser.coolantFlow.Coolant_Vap[2].mediums[11].T</t>
  </si>
  <si>
    <t>subCoolerCondenser.coolantFlow.Coolant_Vap[2].mediums[12].T</t>
  </si>
  <si>
    <t>subCoolerCondenser.coolantFlow.Coolant_Vap[2].mediums[13].T</t>
  </si>
  <si>
    <t>subCoolerCondenser.coolantFlow.Coolant_Vap[2].mediums[14].T</t>
  </si>
  <si>
    <t>subCoolerCondenser.coolantFlow.Coolant_Vap[2].mediums[15].T</t>
  </si>
  <si>
    <t>subCoolerCondenser.coolantFlow.Coolant_Vap[2].mediums[16].T</t>
  </si>
  <si>
    <t>subCoolerCondenser.coolantFlow.Coolant_Vap[2].mediums[17].T</t>
  </si>
  <si>
    <t>subCoolerCondenser.coolantFlow.Coolant_Vap[2].mediums[18].T</t>
  </si>
  <si>
    <t>subCoolerCondenser.coolantFlow.Coolant_Vap[2].mediums[19].T</t>
  </si>
  <si>
    <t>subCoolerCondenser.coolantFlow.Coolant_Vap[2].mediums[20].T</t>
  </si>
  <si>
    <t>subCoolerCondenser.coolantFlow.Coolant_Vap[2].state_a.state.T</t>
  </si>
  <si>
    <t>subCoolerCondenser.coolantFlow.Coolant_Vap[2].state_b.state.T</t>
  </si>
  <si>
    <t>subCoolerCondenser.pI.e</t>
  </si>
  <si>
    <t>subCoolerCondenser.pI.u</t>
  </si>
  <si>
    <t>subCoolerCondenser.wallWithConv.convection_Liq[1,1].solid[1].T</t>
  </si>
  <si>
    <t>subCoolerCondenser.wallWithConv.convection_Liq[1,1].solid[2].T</t>
  </si>
  <si>
    <t>subCoolerCondenser.wallWithConv.convection_Liq[1,1].solid[3].T</t>
  </si>
  <si>
    <t>subCoolerCondenser.wallWithConv.convection_Liq[1,1].solid[4].T</t>
  </si>
  <si>
    <t>subCoolerCondenser.wallWithConv.convection_Liq[1,1].solid[5].T</t>
  </si>
  <si>
    <t>subCoolerCondenser.wallWithConv.convection_Liq[1,1].solid[6].T</t>
  </si>
  <si>
    <t>subCoolerCondenser.wallWithConv.convection_Liq[1,1].solid[7].T</t>
  </si>
  <si>
    <t>subCoolerCondenser.wallWithConv.convection_Liq[1,1].solid[8].T</t>
  </si>
  <si>
    <t>subCoolerCondenser.wallWithConv.convection_Liq[1,1].solid[9].T</t>
  </si>
  <si>
    <t>subCoolerCondenser.wallWithConv.convection_Liq[1,1].solid[10].T</t>
  </si>
  <si>
    <t>subCoolerCondenser.wallWithConv.convection_Liq[2,1].solid[1].T</t>
  </si>
  <si>
    <t>subCoolerCondenser.wallWithConv.convection_Liq[2,1].solid[2].T</t>
  </si>
  <si>
    <t>subCoolerCondenser.wallWithConv.convection_Liq[2,1].solid[3].T</t>
  </si>
  <si>
    <t>subCoolerCondenser.wallWithConv.convection_Liq[2,1].solid[4].T</t>
  </si>
  <si>
    <t>subCoolerCondenser.wallWithConv.convection_Liq[2,1].solid[5].T</t>
  </si>
  <si>
    <t>subCoolerCondenser.wallWithConv.convection_Liq[2,1].solid[6].T</t>
  </si>
  <si>
    <t>subCoolerCondenser.wallWithConv.convection_Liq[2,1].solid[7].T</t>
  </si>
  <si>
    <t>subCoolerCondenser.wallWithConv.convection_Liq[2,1].solid[8].T</t>
  </si>
  <si>
    <t>subCoolerCondenser.wallWithConv.convection_Liq[2,1].solid[9].T</t>
  </si>
  <si>
    <t>subCoolerCondenser.wallWithConv.convection_Liq[2,1].solid[10].T</t>
  </si>
  <si>
    <t>subCoolerCondenser.wallWithConv.convection_Vap[1].solid[1].T</t>
  </si>
  <si>
    <t>subCoolerCondenser.wallWithConv.convection_Vap[1].solid[2].T</t>
  </si>
  <si>
    <t>subCoolerCondenser.wallWithConv.convection_Vap[1].solid[3].T</t>
  </si>
  <si>
    <t>subCoolerCondenser.wallWithConv.convection_Vap[1].solid[4].T</t>
  </si>
  <si>
    <t>subCoolerCondenser.wallWithConv.convection_Vap[1].solid[5].T</t>
  </si>
  <si>
    <t>subCoolerCondenser.wallWithConv.convection_Vap[1].solid[6].T</t>
  </si>
  <si>
    <t>subCoolerCondenser.wallWithConv.convection_Vap[1].solid[7].T</t>
  </si>
  <si>
    <t>subCoolerCondenser.wallWithConv.convection_Vap[1].solid[8].T</t>
  </si>
  <si>
    <t>subCoolerCondenser.wallWithConv.convection_Vap[1].solid[9].T</t>
  </si>
  <si>
    <t>subCoolerCondenser.wallWithConv.convection_Vap[1].solid[10].T</t>
  </si>
  <si>
    <t>subCoolerCondenser.wallWithConv.convection_Vap[1].solid[11].T</t>
  </si>
  <si>
    <t>subCoolerCondenser.wallWithConv.convection_Vap[1].solid[12].T</t>
  </si>
  <si>
    <t>subCoolerCondenser.wallWithConv.convection_Vap[1].solid[13].T</t>
  </si>
  <si>
    <t>subCoolerCondenser.wallWithConv.convection_Vap[1].solid[14].T</t>
  </si>
  <si>
    <t>subCoolerCondenser.wallWithConv.convection_Vap[1].solid[15].T</t>
  </si>
  <si>
    <t>subCoolerCondenser.wallWithConv.convection_Vap[1].solid[16].T</t>
  </si>
  <si>
    <t>subCoolerCondenser.wallWithConv.convection_Vap[1].solid[17].T</t>
  </si>
  <si>
    <t>subCoolerCondenser.wallWithConv.convection_Vap[1].solid[18].T</t>
  </si>
  <si>
    <t>subCoolerCondenser.wallWithConv.convection_Vap[1].solid[19].T</t>
  </si>
  <si>
    <t>subCoolerCondenser.wallWithConv.convection_Vap[1].solid[20].T</t>
  </si>
  <si>
    <t>subCoolerCondenser.wallWithConv.convection_Vap[2].solid[1].T</t>
  </si>
  <si>
    <t>subCoolerCondenser.wallWithConv.convection_Vap[2].solid[2].T</t>
  </si>
  <si>
    <t>subCoolerCondenser.wallWithConv.convection_Vap[2].solid[3].T</t>
  </si>
  <si>
    <t>subCoolerCondenser.wallWithConv.convection_Vap[2].solid[4].T</t>
  </si>
  <si>
    <t>subCoolerCondenser.wallWithConv.convection_Vap[2].solid[5].T</t>
  </si>
  <si>
    <t>subCoolerCondenser.wallWithConv.convection_Vap[2].solid[6].T</t>
  </si>
  <si>
    <t>subCoolerCondenser.wallWithConv.convection_Vap[2].solid[7].T</t>
  </si>
  <si>
    <t>subCoolerCondenser.wallWithConv.convection_Vap[2].solid[8].T</t>
  </si>
  <si>
    <t>subCoolerCondenser.wallWithConv.convection_Vap[2].solid[9].T</t>
  </si>
  <si>
    <t>subCoolerCondenser.wallWithConv.convection_Vap[2].solid[10].T</t>
  </si>
  <si>
    <t>subCoolerCondenser.wallWithConv.convection_Vap[2].solid[11].T</t>
  </si>
  <si>
    <t>subCoolerCondenser.wallWithConv.convection_Vap[2].solid[12].T</t>
  </si>
  <si>
    <t>subCoolerCondenser.wallWithConv.convection_Vap[2].solid[13].T</t>
  </si>
  <si>
    <t>subCoolerCondenser.wallWithConv.convection_Vap[2].solid[14].T</t>
  </si>
  <si>
    <t>subCoolerCondenser.wallWithConv.convection_Vap[2].solid[15].T</t>
  </si>
  <si>
    <t>subCoolerCondenser.wallWithConv.convection_Vap[2].solid[16].T</t>
  </si>
  <si>
    <t>subCoolerCondenser.wallWithConv.convection_Vap[2].solid[17].T</t>
  </si>
  <si>
    <t>subCoolerCondenser.wallWithConv.convection_Vap[2].solid[18].T</t>
  </si>
  <si>
    <t>subCoolerCondenser.wallWithConv.convection_Vap[2].solid[19].T</t>
  </si>
  <si>
    <t>subCoolerCondenser.wallWithConv.convection_Vap[2].solid[20].T</t>
  </si>
  <si>
    <t>subcooling</t>
  </si>
  <si>
    <t>subcooling_fixed</t>
  </si>
  <si>
    <t>summary.LTD</t>
  </si>
  <si>
    <t>summary.Opening</t>
  </si>
  <si>
    <t>summary.Q_flow</t>
  </si>
  <si>
    <t>summary.Q_flow_condensing</t>
  </si>
  <si>
    <t>summary.Q_flow_dissipation</t>
  </si>
  <si>
    <t>summary.Q_flow_subcooling</t>
  </si>
  <si>
    <t>summary.Re_a_coolant</t>
  </si>
  <si>
    <t>summary.T_condensing</t>
  </si>
  <si>
    <t>summary.Z_Ucd</t>
  </si>
  <si>
    <t>summary.Z_Ucd_condensing</t>
  </si>
  <si>
    <t>summary.Z_alpha_coolant</t>
  </si>
  <si>
    <t>summary.Z_alpha_ref_condensing</t>
  </si>
  <si>
    <t>summary.Z_alpha_ref_subcooling</t>
  </si>
  <si>
    <t>summary.Z_dpc</t>
  </si>
  <si>
    <t>summary.Z_mass_ref</t>
  </si>
  <si>
    <t>summary.alpha_coolant</t>
  </si>
  <si>
    <t>summary.alpha_ref_condensing</t>
  </si>
  <si>
    <t>summary.alpha_ref_subcooling</t>
  </si>
  <si>
    <t>summary.area_floatValve</t>
  </si>
  <si>
    <t>summary.area_in_condensing</t>
  </si>
  <si>
    <t>summary.area_in_subcooling</t>
  </si>
  <si>
    <t>summary.area_in_tube</t>
  </si>
  <si>
    <t>summary.area_out_condensing</t>
  </si>
  <si>
    <t>summary.area_out_subcooling</t>
  </si>
  <si>
    <t>summary.area_out_tube</t>
  </si>
  <si>
    <t>summary.area_valve_reqd</t>
  </si>
  <si>
    <t>summary.dp_coolant</t>
  </si>
  <si>
    <t>summary.dp_ref</t>
  </si>
  <si>
    <t>summary.dpe_coolant</t>
  </si>
  <si>
    <t>summary.dpf_coolant</t>
  </si>
  <si>
    <t>summary.dpn_coolant</t>
  </si>
  <si>
    <t>summary.heat_flux_out_condensing</t>
  </si>
  <si>
    <t>W/m2</t>
  </si>
  <si>
    <t>BTU/(ft2.h)</t>
  </si>
  <si>
    <t>summary.heat_flux_out_subcooling</t>
  </si>
  <si>
    <t>summary.height_topBundle</t>
  </si>
  <si>
    <t>summary.level_shell</t>
  </si>
  <si>
    <t>summary.levevl_FC</t>
  </si>
  <si>
    <t>summary.n_tubes_condensing</t>
  </si>
  <si>
    <t>summary.n_tubes_subcooling</t>
  </si>
  <si>
    <t>summary.p_condensing</t>
  </si>
  <si>
    <t>summary.relLevel_FC</t>
  </si>
  <si>
    <t>summary.relLevel_shell</t>
  </si>
  <si>
    <t>summary.relLevel_shell_topBundle</t>
  </si>
  <si>
    <t>summary.rel_tubes_subcooling</t>
  </si>
  <si>
    <t>summary.subcoolerInPool</t>
  </si>
  <si>
    <t>summary.subcooling</t>
  </si>
  <si>
    <t>summary.velocity_coolant</t>
  </si>
  <si>
    <t>m/s</t>
  </si>
  <si>
    <t>mph</t>
  </si>
  <si>
    <t>summary.volume_ref_liquid</t>
  </si>
  <si>
    <t>summary.volume_ref_vapor</t>
  </si>
  <si>
    <t>thickness_insul</t>
  </si>
  <si>
    <t>use_Ref_Gamma</t>
  </si>
  <si>
    <t>use_ZU_in</t>
  </si>
  <si>
    <t>use_Z_Ucd_expression</t>
  </si>
  <si>
    <t>userDefinedPitch</t>
  </si>
  <si>
    <t>userDefined_Clearance</t>
  </si>
  <si>
    <t>userDefined_geo.Z_alpha</t>
  </si>
  <si>
    <t>userDefined_geo.Z_alpha_ref_subcooling</t>
  </si>
  <si>
    <t>userDefined_geo.chillerSeries</t>
  </si>
  <si>
    <t>NA</t>
  </si>
  <si>
    <t>userDefined_geo.diameter_in_shell</t>
  </si>
  <si>
    <t>userDefined_geo.diameter_nozzle</t>
  </si>
  <si>
    <t>userDefined_geo.frameSize</t>
  </si>
  <si>
    <t>userDefined_geo.height_os_bottom</t>
  </si>
  <si>
    <t>userDefined_geo.length_tube</t>
  </si>
  <si>
    <t>userDefined_geo.nPass_max</t>
  </si>
  <si>
    <t>userDefined_geo.nPass_min</t>
  </si>
  <si>
    <t>userDefined_geo.n_passes</t>
  </si>
  <si>
    <t>userDefined_geo.n_tubes_pass1</t>
  </si>
  <si>
    <t>userDefined_geo.n_tubes_pass2</t>
  </si>
  <si>
    <t>userDefined_geo.n_tubes_pass3</t>
  </si>
  <si>
    <t>userDefined_geo.n_tubes_pass4</t>
  </si>
  <si>
    <t>userDefined_geo.n_tubes_total_subc</t>
  </si>
  <si>
    <t>userDefined_geo.sensibleSubcooler</t>
  </si>
  <si>
    <t>userDefined_geo.thickness_shell</t>
  </si>
  <si>
    <t>userDefined_geo_FV.Area_valve_maxCv</t>
  </si>
  <si>
    <t>userDefined_geo_FV.Area_valve_minCv</t>
  </si>
  <si>
    <t>userDefined_geo_FV.Cv</t>
  </si>
  <si>
    <t>userDefined_geo_FV.H_arm</t>
  </si>
  <si>
    <t>userDefined_geo_FV.H_valve</t>
  </si>
  <si>
    <t>userDefined_geo_FV.L_arm</t>
  </si>
  <si>
    <t>userDefined_geo_FV.L_valve</t>
  </si>
  <si>
    <t>userDefined_geo_FV.RotatableAngle</t>
  </si>
  <si>
    <t>userDefined_geo_FV.W_valve</t>
  </si>
  <si>
    <t>userDefined_geo_FV.a</t>
  </si>
  <si>
    <t>userDefined_geo_FV.b</t>
  </si>
  <si>
    <t>userDefined_geo_FV.diameter</t>
  </si>
  <si>
    <t>userDefined_geo_FV.diameter_inlet</t>
  </si>
  <si>
    <t>userDefined_geo_FV.height</t>
  </si>
  <si>
    <t>userDefined_geo_FV.height_inlet</t>
  </si>
  <si>
    <t>userDefined_geo_FV.isHorizontalFloatChamber</t>
  </si>
  <si>
    <t>userDefined_geo_FV.isSimplifiedFloatValveModel</t>
  </si>
  <si>
    <t>userDefined_geo_FV.liquidLevel_maxCv</t>
  </si>
  <si>
    <t>userDefined_geo_FV.liquidLevel_minCv</t>
  </si>
  <si>
    <t>userDefined_geo_FV.r_ball</t>
  </si>
  <si>
    <t>waterBoxDesignPressure</t>
  </si>
  <si>
    <t>waterBoxType</t>
  </si>
  <si>
    <t>NIH</t>
  </si>
  <si>
    <t>xT</t>
  </si>
  <si>
    <t>z_Hliq</t>
  </si>
  <si>
    <t>condenserTubeUserDefine</t>
  </si>
  <si>
    <t>condenserUserDefineLandedFactor</t>
  </si>
  <si>
    <t>cooler</t>
  </si>
  <si>
    <t>LCO_Function</t>
  </si>
  <si>
    <t>EDR</t>
  </si>
  <si>
    <t>Z_LCO</t>
  </si>
  <si>
    <t>Z_LCO_fixed</t>
  </si>
  <si>
    <t>Z_Uev</t>
  </si>
  <si>
    <t>Z_Uev_fixed</t>
  </si>
  <si>
    <t>Z_alpha_ref</t>
  </si>
  <si>
    <t>Z_alpha_ref_fixed</t>
  </si>
  <si>
    <t>Z_dpr</t>
  </si>
  <si>
    <t>Z_dpr_fixed</t>
  </si>
  <si>
    <t>Z_vf</t>
  </si>
  <si>
    <t>Z_vf_fixed</t>
  </si>
  <si>
    <t>calibration_LCO.value</t>
  </si>
  <si>
    <t>calibration_Uev.value</t>
  </si>
  <si>
    <t>calibration_dpr.value</t>
  </si>
  <si>
    <t>calibration_vf.value</t>
  </si>
  <si>
    <t>cooler.LCO</t>
  </si>
  <si>
    <t>cooler.coolerFL_2Phase[1].dTwi</t>
  </si>
  <si>
    <t>cooler.coolerFL_2Phase[1].state_a_coolant.state.T</t>
  </si>
  <si>
    <t>cooler.coolerFL_2Phase[1].state_b_coolant.state.T</t>
  </si>
  <si>
    <t>cooler.coolerFL_2Phase[1].x_outflow</t>
  </si>
  <si>
    <t>cooler.coolerFL_2Phase[2].dTwi</t>
  </si>
  <si>
    <t>cooler.coolerFL_2Phase[2].state_a_coolant.state.T</t>
  </si>
  <si>
    <t>cooler.coolerFL_2Phase[2].state_b_coolant.state.T</t>
  </si>
  <si>
    <t>cooler.coolerFL_2Phase[2].x_outflow</t>
  </si>
  <si>
    <t>cooler.coolerFL_SH[1].dTwi</t>
  </si>
  <si>
    <t>cooler.coolerFL_SH[1].state_a_coolant.state.T</t>
  </si>
  <si>
    <t>cooler.coolerFL_SH[1].state_b_coolant.state.T</t>
  </si>
  <si>
    <t>cooler.coolerFL_SH[1].x_outflow</t>
  </si>
  <si>
    <t>cooler.coolerFL_SH[2].dTwi</t>
  </si>
  <si>
    <t>cooler.coolerFL_SH[2].state_a_coolant.state.T</t>
  </si>
  <si>
    <t>cooler.coolerFL_SH[2].state_b_coolant.state.T</t>
  </si>
  <si>
    <t>cooler.coolerFL_SH[2].x_outflow</t>
  </si>
  <si>
    <t>cooler.pI.e</t>
  </si>
  <si>
    <t>cooler.pI.u</t>
  </si>
  <si>
    <t>coolerNozzleArrangement</t>
  </si>
  <si>
    <t>db_cross_shape</t>
  </si>
  <si>
    <t>square</t>
  </si>
  <si>
    <t>dpr</t>
  </si>
  <si>
    <t>dpr_fixed</t>
  </si>
  <si>
    <t>level_tb_fixed</t>
  </si>
  <si>
    <t>mRef</t>
  </si>
  <si>
    <t>EDE2_075_025_R134a</t>
  </si>
  <si>
    <t>summary.T_min_coolant</t>
  </si>
  <si>
    <t>summary.Z_Uev</t>
  </si>
  <si>
    <t>summary.Z_alpha_ref</t>
  </si>
  <si>
    <t>summary.Z_dpr</t>
  </si>
  <si>
    <t>summary.Z_vf</t>
  </si>
  <si>
    <t>summary.capacity</t>
  </si>
  <si>
    <t>summary.level</t>
  </si>
  <si>
    <t>summary.n_tubes_inPool</t>
  </si>
  <si>
    <t>summary.relLevel</t>
  </si>
  <si>
    <t>summary.relLevel_topBundle</t>
  </si>
  <si>
    <t>use_Z_Uev_expression</t>
  </si>
  <si>
    <t>use_gravity</t>
  </si>
  <si>
    <t>use_limitTon</t>
  </si>
  <si>
    <t>userDefined_geo.baseline_capacity_discharge_end</t>
  </si>
  <si>
    <t>userDefined_geo.baseline_capacity_suction_end</t>
  </si>
  <si>
    <t>19MV</t>
  </si>
  <si>
    <t>41M</t>
  </si>
  <si>
    <t>volume_dis_ref</t>
  </si>
  <si>
    <t>coolerTubeUserDefine</t>
  </si>
  <si>
    <t>coolerUserDefineLandedFactor</t>
  </si>
  <si>
    <t>dT_evap</t>
  </si>
  <si>
    <t>eXVbyPass</t>
  </si>
  <si>
    <t>C</t>
  </si>
  <si>
    <t>k</t>
  </si>
  <si>
    <t>flashTank</t>
  </si>
  <si>
    <t>U</t>
  </si>
  <si>
    <t>Z_mass</t>
  </si>
  <si>
    <t>diameter</t>
  </si>
  <si>
    <t>has_HeatDissipation</t>
  </si>
  <si>
    <t>height</t>
  </si>
  <si>
    <t>isEcoOff</t>
  </si>
  <si>
    <t>levelFixed</t>
  </si>
  <si>
    <t>levelHeight</t>
  </si>
  <si>
    <t>lumpedVessel.medium.h</t>
  </si>
  <si>
    <t>lumpedVessel.medium.p</t>
  </si>
  <si>
    <t>lumpedVessel.ports_b[1].m_flow</t>
  </si>
  <si>
    <t>lumpedVessel.ports_b[2].m_flow</t>
  </si>
  <si>
    <t>mass</t>
  </si>
  <si>
    <t>massFixed</t>
  </si>
  <si>
    <t>small</t>
  </si>
  <si>
    <t>summary.T_abovePool</t>
  </si>
  <si>
    <t>summary.T_belowPool[1]</t>
  </si>
  <si>
    <t>summary.V_liq</t>
  </si>
  <si>
    <t>summary.V_pool</t>
  </si>
  <si>
    <t>summary.relativeLevel</t>
  </si>
  <si>
    <t>globalParameters</t>
  </si>
  <si>
    <t>T_ambient</t>
  </si>
  <si>
    <t>capacity_design</t>
  </si>
  <si>
    <t>g</t>
  </si>
  <si>
    <t>m/s2</t>
  </si>
  <si>
    <t>ft/s2</t>
  </si>
  <si>
    <t>p_ambient</t>
  </si>
  <si>
    <t>stickyMode</t>
  </si>
  <si>
    <t>Parameterization</t>
  </si>
  <si>
    <t>varLevel</t>
  </si>
  <si>
    <t>Basic</t>
  </si>
  <si>
    <t>isCheckValve</t>
  </si>
  <si>
    <t>isIsolationValve</t>
  </si>
  <si>
    <t>isOff_EXVBypassValve</t>
  </si>
  <si>
    <t>isOff_LBPValve</t>
  </si>
  <si>
    <t>isOff_SurgeMinMax</t>
  </si>
  <si>
    <t>isOil</t>
  </si>
  <si>
    <t>mixer_Comp_In_1st</t>
  </si>
  <si>
    <t>isOff_a</t>
  </si>
  <si>
    <t>isOff_b</t>
  </si>
  <si>
    <t>mixer_Comp_In_2nd</t>
  </si>
  <si>
    <t>mixer_EXVByPass</t>
  </si>
  <si>
    <t>mixer_Liqmotor_A</t>
  </si>
  <si>
    <t>motorDat</t>
  </si>
  <si>
    <t>FullLoad</t>
  </si>
  <si>
    <t>OverSized_PL</t>
  </si>
  <si>
    <t>Pow_Mis</t>
  </si>
  <si>
    <t>Voltage</t>
  </si>
  <si>
    <t>V</t>
  </si>
  <si>
    <t>characteristics_19MV.speed_actuator.value</t>
  </si>
  <si>
    <t>constant_efficiency</t>
  </si>
  <si>
    <t>efficiency_set</t>
  </si>
  <si>
    <t>power_motor_fixed</t>
  </si>
  <si>
    <t>power_motor_set</t>
  </si>
  <si>
    <t>scalingMotorActuator.value</t>
  </si>
  <si>
    <t>scaling_motor</t>
  </si>
  <si>
    <t>scaling_motor_fixed</t>
  </si>
  <si>
    <t>Motor_QHH_380</t>
  </si>
  <si>
    <t>Motor_BLH_460</t>
  </si>
  <si>
    <t>selector_19XR</t>
  </si>
  <si>
    <t>shaftSpeed_fixed</t>
  </si>
  <si>
    <t>shaftSpeed_set</t>
  </si>
  <si>
    <t>spdFullLoad</t>
  </si>
  <si>
    <t>speed_start</t>
  </si>
  <si>
    <t>summary.Current</t>
  </si>
  <si>
    <t>summary.Drive_Hz</t>
  </si>
  <si>
    <t>Hz</t>
  </si>
  <si>
    <t>summary.ElectricalLoss</t>
  </si>
  <si>
    <t>summary.Motor_PF</t>
  </si>
  <si>
    <t>summary.Q_loss</t>
  </si>
  <si>
    <t>summary.Scaling_Motor</t>
  </si>
  <si>
    <t>summary.Speed</t>
  </si>
  <si>
    <t>summary.Torque</t>
  </si>
  <si>
    <t>N.m</t>
  </si>
  <si>
    <t>ft.lb</t>
  </si>
  <si>
    <t>summary.eta_motor</t>
  </si>
  <si>
    <t>summary.iFlag</t>
  </si>
  <si>
    <t>summary.isMotorOverSized</t>
  </si>
  <si>
    <t>summary.power_motor</t>
  </si>
  <si>
    <t>summary.power_shaft</t>
  </si>
  <si>
    <t>motorLoss_Exv</t>
  </si>
  <si>
    <t>motorLoss_Exv_In</t>
  </si>
  <si>
    <t>motorLoss_metering</t>
  </si>
  <si>
    <t>noHasEco</t>
  </si>
  <si>
    <t>sensorConstraint</t>
  </si>
  <si>
    <t>source_HGBP</t>
  </si>
  <si>
    <t>Q_flow</t>
  </si>
  <si>
    <t>Q_flow_fixed</t>
  </si>
  <si>
    <t>Q_flow_in_internal[1]</t>
  </si>
  <si>
    <t>T</t>
  </si>
  <si>
    <t>source_MLCooling_Oil</t>
  </si>
  <si>
    <t>source_motorLoss</t>
  </si>
  <si>
    <t>split_CompOut</t>
  </si>
  <si>
    <t>Fraction_b_start</t>
  </si>
  <si>
    <t>isOff_c</t>
  </si>
  <si>
    <t>m_flow_b_min</t>
  </si>
  <si>
    <t>m_flow_c_min</t>
  </si>
  <si>
    <t>p</t>
  </si>
  <si>
    <t>port_b.m_flow</t>
  </si>
  <si>
    <t>port_c.m_flow</t>
  </si>
  <si>
    <t>split_EXVByPass</t>
  </si>
  <si>
    <t>split_Liqmotor_A</t>
  </si>
  <si>
    <t>systemVariables</t>
  </si>
  <si>
    <t>CoolCap_fixed</t>
  </si>
  <si>
    <t>CoolCap_set</t>
  </si>
  <si>
    <t>HeatCap_fixed</t>
  </si>
  <si>
    <t>HeatCap_set</t>
  </si>
  <si>
    <t>glandless_circulator_in</t>
  </si>
  <si>
    <t>glandless_circulator_out</t>
  </si>
  <si>
    <t>ie</t>
  </si>
  <si>
    <t>integrated_pump_in</t>
  </si>
  <si>
    <t>integrated_pump_out</t>
  </si>
  <si>
    <t>net_coolcap_fixed</t>
  </si>
  <si>
    <t>net_coolcap_set</t>
  </si>
  <si>
    <t>net_heatcap_fixed</t>
  </si>
  <si>
    <t>net_heatcap_set</t>
  </si>
  <si>
    <t>net_pow_fixed</t>
  </si>
  <si>
    <t>net_pow_set</t>
  </si>
  <si>
    <t>pow_fixed</t>
  </si>
  <si>
    <t>pow_set</t>
  </si>
  <si>
    <t>summary.COPCool</t>
  </si>
  <si>
    <t>summary.COPHeat</t>
  </si>
  <si>
    <t>summary.CoolCap[1]</t>
  </si>
  <si>
    <t>summary.CoolCap[2]</t>
  </si>
  <si>
    <t>summary.CoolCap_total</t>
  </si>
  <si>
    <t>summary.CoolTons</t>
  </si>
  <si>
    <t>summary.EERcool</t>
  </si>
  <si>
    <t>summary.HeatCap[1]</t>
  </si>
  <si>
    <t>summary.HeatCap[2]</t>
  </si>
  <si>
    <t>summary.HeatCap_total</t>
  </si>
  <si>
    <t>summary.isOff[1]</t>
  </si>
  <si>
    <t>summary.isOff[2]</t>
  </si>
  <si>
    <t>summary.kWperTon</t>
  </si>
  <si>
    <t>summary.mRef[1]</t>
  </si>
  <si>
    <t>summary.mRef[2]</t>
  </si>
  <si>
    <t>summary.mediumName</t>
  </si>
  <si>
    <t>summary.nStreams</t>
  </si>
  <si>
    <t>summary.net_COPCool_EN</t>
  </si>
  <si>
    <t>summary.net_COPHeat_EN</t>
  </si>
  <si>
    <t>summary.net_CoolCap_EN</t>
  </si>
  <si>
    <t>summary.net_HeatCap_EN</t>
  </si>
  <si>
    <t>summary.net_pow_EN</t>
  </si>
  <si>
    <t>summary.pow[1]</t>
  </si>
  <si>
    <t>summary.pow[2]</t>
  </si>
  <si>
    <t>summary.pow_total</t>
  </si>
  <si>
    <t>useHGBP</t>
  </si>
  <si>
    <t>useLCO</t>
  </si>
  <si>
    <t>vFD_Centri</t>
  </si>
  <si>
    <t>BFactor</t>
  </si>
  <si>
    <t>FS_19XRV_Type</t>
  </si>
  <si>
    <t>FreqStd</t>
  </si>
  <si>
    <t>PF_start</t>
  </si>
  <si>
    <t>PF_vfd</t>
  </si>
  <si>
    <t>P_rated_out</t>
  </si>
  <si>
    <t>STD_19XRV_Type</t>
  </si>
  <si>
    <t>DE745</t>
  </si>
  <si>
    <t>UM_19XRV_Type</t>
  </si>
  <si>
    <t>VFDType</t>
  </si>
  <si>
    <t>VFD_19XRV</t>
  </si>
  <si>
    <t>VFD_19DV_Type</t>
  </si>
  <si>
    <t>VFD_32VSS1200</t>
  </si>
  <si>
    <t>VFD_19MV_Type</t>
  </si>
  <si>
    <t>FC_102N450T4</t>
  </si>
  <si>
    <t>VFD_19XRV_Type</t>
  </si>
  <si>
    <t>StandardTier</t>
  </si>
  <si>
    <t>VFD_23XR_Type</t>
  </si>
  <si>
    <t>VFD_23XVR0269007</t>
  </si>
  <si>
    <t>altitude</t>
  </si>
  <si>
    <t>current_mot</t>
  </si>
  <si>
    <t>current_start</t>
  </si>
  <si>
    <t>eta</t>
  </si>
  <si>
    <t>eta_start</t>
  </si>
  <si>
    <t>k_pow</t>
  </si>
  <si>
    <t>powerVFD_fixed</t>
  </si>
  <si>
    <t>powerVFD_set</t>
  </si>
  <si>
    <t>summary.Freq</t>
  </si>
  <si>
    <t>summary.Ploss</t>
  </si>
  <si>
    <t>summary.Volt_line</t>
  </si>
  <si>
    <t>summary.current</t>
  </si>
  <si>
    <t>summary.current_line</t>
  </si>
  <si>
    <t>summary.eta_VFD</t>
  </si>
  <si>
    <t>summary.power_Motor</t>
  </si>
  <si>
    <t>summary.power_VFD</t>
  </si>
  <si>
    <t>summary.powerfactor_VFD</t>
  </si>
  <si>
    <t>volume_HGBP</t>
  </si>
  <si>
    <t>k_mass</t>
  </si>
  <si>
    <t>medium.h</t>
  </si>
  <si>
    <t>summary.nPorts</t>
  </si>
  <si>
    <t>summary.states[1].T</t>
  </si>
  <si>
    <t>summary.states[1].Tsat</t>
  </si>
  <si>
    <t>summary.states[1].d</t>
  </si>
  <si>
    <t>kg/m3</t>
  </si>
  <si>
    <t>slug/ft</t>
  </si>
  <si>
    <t>summary.states[1].dTsh</t>
  </si>
  <si>
    <t>summary.states[1].h</t>
  </si>
  <si>
    <t>summary.states[1].p</t>
  </si>
  <si>
    <t>summary.states[1].phase</t>
  </si>
  <si>
    <t>summary.states[1].x</t>
  </si>
  <si>
    <t>summary.states[2].T</t>
  </si>
  <si>
    <t>summary.states[2].Tsat</t>
  </si>
  <si>
    <t>summary.states[2].d</t>
  </si>
  <si>
    <t>summary.states[2].dTsh</t>
  </si>
  <si>
    <t>summary.states[2].h</t>
  </si>
  <si>
    <t>summary.states[2].p</t>
  </si>
  <si>
    <t>summary.states[2].phase</t>
  </si>
  <si>
    <t>summary.states[2].x</t>
  </si>
  <si>
    <t>volume</t>
  </si>
  <si>
    <t>x_start</t>
  </si>
  <si>
    <t>volume_MLCooling_Oil</t>
  </si>
  <si>
    <t>volume_motorLoss</t>
  </si>
  <si>
    <t>volume_motorLoss_Out</t>
  </si>
  <si>
    <t>Problem Solve Statistics</t>
  </si>
  <si>
    <t>Full convergency</t>
  </si>
  <si>
    <t>Solver Name</t>
  </si>
  <si>
    <t>Number of iterations</t>
  </si>
  <si>
    <t>Number of Function Evaluations</t>
  </si>
  <si>
    <t>Number of Jacobian Evaluations</t>
  </si>
  <si>
    <t>Initializations</t>
  </si>
  <si>
    <t>Modes visited</t>
  </si>
  <si>
    <t>Simulate L1 time</t>
  </si>
  <si>
    <t>function evaluation time</t>
  </si>
  <si>
    <t>jacobian evaluation time</t>
  </si>
  <si>
    <t>Solving time (solver + function evaluation)</t>
  </si>
  <si>
    <t>Timestamp</t>
  </si>
  <si>
    <t>Toolchain revision</t>
  </si>
  <si>
    <t>Solver options</t>
  </si>
  <si>
    <t>{'IP': {'kg': 'lb', 'J': 'BTU', 'J/kg': 'BTU/lb', 'J/(kg.K)': 'BTU/(lb.R)', 'J/(m.K)': 'BTU/(h.ft.R)', 'K': 'degF', 'kg/s': 'lb/h', 'kg/m3': 'slug/ft', 'm': 'in', 'm/s': 'mph', 'm2': 'ft2', 'm2.K/W': '(h.ft2.degF)/BTU', 'm3': 'ft3', 'm3/kg': 'ft3/lb', 'm3/s': 'gal/min', 'N': 'lbf', 'N.m': 'ft.lb', 'Pa': 'psi', 'rad': 'deg', 'rad/s': 'rad/s', 's': 's', 'W': 'BTU/h', 'W/K': 'BTU/(h.R)', 'W/(m.K)': 'BTU/(ft.h.R)', 'W/m2': 'BTU/(ft2.h)', 'W/(m2.K)': 'BTU/(ft2.h.degF)', 'kg/m': 'slug/ft', 'W/K4': 'BTU/(hr.R4)', 'kg.sqrt(K)/(s.Pa)': 'lbm.sqrt(R)/(min.psi)', 'kg.sqrt(K)/(s.m2.Pa)': 'lbm.sqrt(R)/(min.in2.psi)', 'rad/s2': 'deg/s2', 'm/s2': 'ft/s2', 'kg/kg': 'gr/lbm', 'Pa.s': 'lbf.s/ft2', 'kg.m2': 'lbm.in2', 'kg/m2': 'lbm/ft2', 'kg/(N.s)': 'lbm/(h.lbf)', 'kg/N': 'lbm/lbf', 'kg/(s.m2)': 'lbm/(min.ft2)', '1/m': '1/in', 'N.s/kg': 'lbf.s/lbm', 'N.s/m': 'lbf.s/in', 'J/s': 'BTU/h', 'K (rel)': 'R'}, 'SI': {'1/K': '1/K', 'A': 'A', 'C': 'C', 'F': 'F', 'kg': 'kg', 'J': 'J', 'J/kg': 'J/kg', 'J/(kg.K)': 'J/(kg.K)', 'K': 'K', 'kg/m3': 'kg/m3', 'kg/s': 'kg/s', 'm': 'm', 'm/s': 'm/s', 'm2': 'm2', 'm2/s': 'm2/s', 'm3': 'm3', 'm3/s': 'm3/s', 'N': 'N', 'N/m2': 'N/m2', 'Pa': 'Pa', 'rad': 'deg', 'rad/s': 'rad/s', 's': 's', 'V': 'V', 'W': 'W'}}</t>
  </si>
  <si>
    <t>{"max_iter_no_jacobian": 1.0, "tolerance": 1e-05, "step_limit_factor": 1.0, "jacobian_calculation_mode": 9.0, "residual_equation_scaling": 5.0, "log_level": 3.0, "colors": false}</t>
  </si>
  <si>
    <t>828fa6c8c1e57c63d0c257b1915bf1af</t>
    <phoneticPr fontId="9" type="noConversion"/>
  </si>
  <si>
    <t>Basic::</t>
    <phoneticPr fontId="9" type="noConversion"/>
  </si>
  <si>
    <t>.\..\..\..\model_executables\system19mv_lumped_mv4_dv_subclr_20220412_140855_d887999\model.fmu</t>
    <phoneticPr fontId="9" type="noConversion"/>
  </si>
  <si>
    <t>System19MV.Lumped.MV4_DV_Subclr</t>
    <phoneticPr fontId="9" type="noConversion"/>
  </si>
  <si>
    <t>v3.0</t>
    <phoneticPr fontId="9" type="noConversion"/>
  </si>
  <si>
    <t>IP</t>
    <phoneticPr fontId="9" type="noConversion"/>
  </si>
  <si>
    <t>64bit</t>
    <phoneticPr fontId="9" type="noConversion"/>
  </si>
  <si>
    <t>{"max_iter_no_jacobian": 1.0, "tolerance": 1e-05, "step_limit_factor": 1.0, "jacobian_calculation_mode": 9.0, "residual_equation_scaling": 5.0, "log_level": 3.0, "colors": false}</t>
    <phoneticPr fontId="9" type="noConversion"/>
  </si>
  <si>
    <t>calc</t>
  </si>
  <si>
    <t>calc_ref</t>
  </si>
  <si>
    <t>15_A</t>
  </si>
  <si>
    <t>15_B</t>
  </si>
  <si>
    <t>15_C</t>
  </si>
  <si>
    <t>15_D</t>
  </si>
  <si>
    <t>{'calculation_options': {'EquipmentType': 'Water-cooled chiller', 'CalculationMethod': 'AHRI551_2015', 'Calculation': 'IPLV', 'user_sets': {}, 'SourceSinkNames': {'COND_SOURCE': 'SourceCond', 'COND_SINK': 'SinkCond', 'EVAP_SOURCE': 'SourceEvap', 'EVAP_SINK': 'SinkEvap', 'systemVariables.use_EN14511': False}}, 'calc_sets_mapping': {'set1': {'A': 0, 'B': 0, 'C': 0, 'D': 0}}}</t>
  </si>
  <si>
    <t>{'calculation_options': {'EquipmentType': 'Water-cooled chiller', 'CalculationMethod': 'AHRI550_2015', 'Calculation': 'IPLV', 'user_sets': {}, 'SourceSinkNames': {'COND_SOURCE': 'SourceCond', 'COND_SINK': 'SinkCond', 'EVAP_SOURCE': 'SourceEvap', 'EVAP_SINK': 'SinkEvap', 'systemVariables.use_EN14511': False}}, 'calc_sets_mapping': {'set1': {'A': 0, 'B': 0, 'C': 0, 'D': 0}}}</t>
  </si>
  <si>
    <t>LCDW</t>
  </si>
  <si>
    <t>LCDW</t>
    <phoneticPr fontId="9" type="noConversion"/>
  </si>
  <si>
    <t>LCW</t>
  </si>
  <si>
    <t>LCW</t>
    <phoneticPr fontId="9" type="noConversion"/>
  </si>
  <si>
    <t>ECDW</t>
  </si>
  <si>
    <t>ECDW</t>
    <phoneticPr fontId="9" type="noConversion"/>
  </si>
  <si>
    <t>ECW</t>
  </si>
  <si>
    <t>ECW</t>
    <phoneticPr fontId="9" type="noConversion"/>
  </si>
  <si>
    <t>Input</t>
  </si>
  <si>
    <t>Input</t>
    <phoneticPr fontId="9" type="noConversion"/>
  </si>
  <si>
    <t>Dia_Check Valve</t>
  </si>
  <si>
    <t>Dia_Discharge Pipe</t>
  </si>
  <si>
    <t>Dia_Econ Vapor Pipe</t>
  </si>
  <si>
    <t>Dia_ICP</t>
  </si>
  <si>
    <t>Dia_Isolation Valve</t>
  </si>
  <si>
    <t>Dia_Suction Pipe_1</t>
  </si>
  <si>
    <t>Dia_Suction Pipe_2</t>
  </si>
  <si>
    <t>ML_fixed</t>
  </si>
  <si>
    <t>ML_set</t>
  </si>
  <si>
    <t>Fouling_Cond</t>
  </si>
  <si>
    <t>Tube Type_Cond</t>
  </si>
  <si>
    <t>Shell ID_Cond</t>
  </si>
  <si>
    <t>Nozzle ID_Cond</t>
  </si>
  <si>
    <t>Shell Length_Cond</t>
  </si>
  <si>
    <t>1st Pass Tube No_Cond</t>
  </si>
  <si>
    <t>2nd Pass Tube No_Cond</t>
  </si>
  <si>
    <t>Fouling_Clr</t>
  </si>
  <si>
    <t>Capacity</t>
  </si>
  <si>
    <t>Cooler Nozzle Arr</t>
  </si>
  <si>
    <t>Cooler Selector</t>
  </si>
  <si>
    <t>Tube Type_Clr</t>
  </si>
  <si>
    <t>Z_Uev Correction</t>
  </si>
  <si>
    <t>Baseline Ton_Discharge End</t>
  </si>
  <si>
    <t>Baseline Ton_Suction End</t>
  </si>
  <si>
    <t>Shell ID_Clr</t>
  </si>
  <si>
    <t>Nozzle ID_Clr</t>
  </si>
  <si>
    <t>Shell Length_Clr</t>
  </si>
  <si>
    <t>1st Pass Tube No_Clr</t>
  </si>
  <si>
    <t>2nd Pass Tube No_Clr</t>
  </si>
  <si>
    <t>Eco Off or Not</t>
  </si>
  <si>
    <t>Motor Eff Fix</t>
  </si>
  <si>
    <t>Motor Eff Set</t>
  </si>
  <si>
    <t>VFD Eff Fix</t>
  </si>
  <si>
    <t>VFD Eff Set</t>
  </si>
  <si>
    <t>Comp_In_T</t>
  </si>
  <si>
    <t>Output</t>
  </si>
  <si>
    <t>Output</t>
    <phoneticPr fontId="9" type="noConversion"/>
  </si>
  <si>
    <t>Comp_In_Tsat</t>
  </si>
  <si>
    <t>Comp_In_h</t>
  </si>
  <si>
    <t>1st_Mass Flow</t>
  </si>
  <si>
    <t>Comp_In_P</t>
  </si>
  <si>
    <t>Comp_In_2nd_T</t>
  </si>
  <si>
    <t>Comp_In_2nd_Tsat</t>
  </si>
  <si>
    <t>2nd_Mass Flow</t>
  </si>
  <si>
    <t>Comp_In_2nd_P</t>
  </si>
  <si>
    <t>Comp_Out_1st_T</t>
  </si>
  <si>
    <t>Comp_Out_1st_Tsat</t>
  </si>
  <si>
    <t>Comp_Out_1st_h</t>
  </si>
  <si>
    <t>Comp_Out_1st_P</t>
  </si>
  <si>
    <t>Comp_econ_In_T</t>
  </si>
  <si>
    <t>Comp_econ_In_Tsat</t>
  </si>
  <si>
    <t>Comp_econ_In_Mass Flow</t>
  </si>
  <si>
    <t>Comp_econ_In_P</t>
  </si>
  <si>
    <t>Comp_out_T</t>
  </si>
  <si>
    <t>Comp_out_Tsat</t>
  </si>
  <si>
    <t>Comp_out_P</t>
  </si>
  <si>
    <t>Cond_Liq_Out_Tsat</t>
  </si>
  <si>
    <t>Cond_Vapor_In_Tsat</t>
  </si>
  <si>
    <t>Cooler_In_Tsat</t>
  </si>
  <si>
    <t>Cooler_Out_Tsat</t>
  </si>
  <si>
    <t>Cooler_Out_P</t>
  </si>
  <si>
    <t>Check Valve PD</t>
  </si>
  <si>
    <t>Discharge Valve PD</t>
  </si>
  <si>
    <t>Econ_PD</t>
  </si>
  <si>
    <t>ICP PD</t>
  </si>
  <si>
    <t>Isolation Valve PD</t>
  </si>
  <si>
    <t>Suction PD</t>
  </si>
  <si>
    <t>ML</t>
  </si>
  <si>
    <t>GHP</t>
  </si>
  <si>
    <t>GHP1</t>
  </si>
  <si>
    <t>GHP2</t>
  </si>
  <si>
    <t>Cond_Subcooling</t>
  </si>
  <si>
    <t>LTD_Cond</t>
  </si>
  <si>
    <t>WSPD_Cond</t>
  </si>
  <si>
    <t>LTD_Clr</t>
  </si>
  <si>
    <t>WSPD_Clr</t>
  </si>
  <si>
    <t>Electrical Loss</t>
  </si>
  <si>
    <t>Motor Power</t>
  </si>
  <si>
    <t>Shaft Power</t>
  </si>
  <si>
    <t>COP</t>
  </si>
  <si>
    <t>Cpacity</t>
  </si>
  <si>
    <t>ikW/Ton</t>
  </si>
  <si>
    <t>Total Power</t>
  </si>
  <si>
    <t>VFD Loss</t>
  </si>
  <si>
    <t>VFD Power</t>
  </si>
  <si>
    <t>Cond_Vapor_In_P</t>
  </si>
  <si>
    <t>C:\Users\Lij10\impact\workspaces\Polaris_IPLV\model_executables\system19mv_lumped_mv4_dv_subclr_20220412_140855_d887999\model.fmu</t>
    <phoneticPr fontId="9" type="noConversion"/>
  </si>
  <si>
    <t>C:\Users\Lij10\impact\libraries\BOLT 1.24.0\InternalLibrary\Media\Refrigerant\MediumSourceFile_dll\win64</t>
  </si>
  <si>
    <t>Solved</t>
    <phoneticPr fontId="9" type="noConversion"/>
  </si>
  <si>
    <t>SinkCond</t>
    <phoneticPr fontId="9" type="noConversion"/>
  </si>
  <si>
    <t>SinkEvap</t>
    <phoneticPr fontId="9" type="noConversion"/>
  </si>
  <si>
    <t>SourceCond</t>
    <phoneticPr fontId="9" type="noConversion"/>
  </si>
  <si>
    <t>SourceEvap</t>
    <phoneticPr fontId="9" type="noConversion"/>
  </si>
  <si>
    <t>DV5</t>
    <phoneticPr fontId="9" type="noConversion"/>
  </si>
  <si>
    <t>Cen2Stage_19MV</t>
    <phoneticPr fontId="9" type="noConversion"/>
  </si>
  <si>
    <t>FakeData</t>
    <phoneticPr fontId="9" type="noConversion"/>
  </si>
  <si>
    <t>userDefined</t>
    <phoneticPr fontId="9" type="noConversion"/>
  </si>
  <si>
    <t>FV_19DV5</t>
    <phoneticPr fontId="9" type="noConversion"/>
  </si>
  <si>
    <t>SPKIII_075_025_R134a_HX7to8</t>
    <phoneticPr fontId="9" type="noConversion"/>
  </si>
  <si>
    <t>NA</t>
    <phoneticPr fontId="9" type="noConversion"/>
  </si>
  <si>
    <t>NIH</t>
    <phoneticPr fontId="9" type="noConversion"/>
  </si>
  <si>
    <t>EDR</t>
    <phoneticPr fontId="9" type="noConversion"/>
  </si>
  <si>
    <t>square</t>
    <phoneticPr fontId="9" type="noConversion"/>
  </si>
  <si>
    <t>EDE2_075_025_R134a</t>
    <phoneticPr fontId="9" type="noConversion"/>
  </si>
  <si>
    <t>19MV</t>
    <phoneticPr fontId="9" type="noConversion"/>
  </si>
  <si>
    <t>41M</t>
    <phoneticPr fontId="9" type="noConversion"/>
  </si>
  <si>
    <t>Parameterization</t>
    <phoneticPr fontId="9" type="noConversion"/>
  </si>
  <si>
    <t>Basic</t>
    <phoneticPr fontId="9" type="noConversion"/>
  </si>
  <si>
    <t>Motor_QHH_380</t>
    <phoneticPr fontId="9" type="noConversion"/>
  </si>
  <si>
    <t>Motor_BLH_460</t>
    <phoneticPr fontId="9" type="noConversion"/>
  </si>
  <si>
    <t>R134a</t>
    <phoneticPr fontId="9" type="noConversion"/>
  </si>
  <si>
    <t>DE745</t>
    <phoneticPr fontId="9" type="noConversion"/>
  </si>
  <si>
    <t>VFD_19XRV</t>
    <phoneticPr fontId="9" type="noConversion"/>
  </si>
  <si>
    <t>VFD_32VSS1200</t>
    <phoneticPr fontId="9" type="noConversion"/>
  </si>
  <si>
    <t>FC_102N450T4</t>
    <phoneticPr fontId="9" type="noConversion"/>
  </si>
  <si>
    <t>StandardTier</t>
    <phoneticPr fontId="9" type="noConversion"/>
  </si>
  <si>
    <t>VFD_23XVR0269007</t>
    <phoneticPr fontId="9" type="noConversion"/>
  </si>
  <si>
    <t>YES</t>
    <phoneticPr fontId="9" type="noConversion"/>
  </si>
  <si>
    <t>eKinsol</t>
    <phoneticPr fontId="9" type="noConversion"/>
  </si>
  <si>
    <t>[]</t>
    <phoneticPr fontId="9" type="noConversion"/>
  </si>
  <si>
    <t>Thu Apr 14 10:28:35 2022</t>
    <phoneticPr fontId="9" type="noConversion"/>
  </si>
  <si>
    <t>REL_1.9.78.1.dae8d89bd5170161d887aca24f1c0d10b14d2083</t>
    <phoneticPr fontId="9" type="noConversion"/>
  </si>
  <si>
    <t>{"tolerance": 1e-05, "max_iter": 100, "time_limit": 0, "enforce_bounds": True, "step_limit_factor": 1.0, "residual_equation_scaling": 5.0, "iteration_variable_scaling": 2, "jacobian_calculation_mode": 9.0, "jacobian_update_mode": 2, "active_bounds_mode": 0, "rescale_after_singular_jac": True, "rescale_each_solve": False, "solver_exit_criterion": 3, "max_iter_no_jacobian": 1.0, "jacobian_finite_difference_delta": 1.4901161193847656e-08, "log_level": 3.0, "use_Brent_in_1d": False, "max_residual_scaling_factor": 10000000000.0, "min_residual_scaling_factor": 1e-10, "regularization_tolerance": 1e-10, "check_jac_cond": True, "use_jacobian_equilibration": False, "jacobian_check": False, "jacobian_check_tolerance": 1e-06, "Brent_ignore_error": False, "silent_mode": False, "colors": False, "experimental_mode": 0, "result_file_name": "", "result_handling": "memory", "result_handler": None, "return_result": False, "result_store_variable_description": True, "filter": None}</t>
    <phoneticPr fontId="9" type="noConversion"/>
  </si>
  <si>
    <t>C:\Users\Lij10\impact\libraries\BOLT 1.24.0\InternalLibrary\Media\Refrigerant\MediumSourceFile_dll\win64</t>
    <phoneticPr fontId="9" type="noConversion"/>
  </si>
  <si>
    <t>Unsolved</t>
    <phoneticPr fontId="9" type="noConversion"/>
  </si>
  <si>
    <t>isEcoOff</t>
    <phoneticPr fontId="9" type="noConversion"/>
  </si>
  <si>
    <t>Output</t>
    <phoneticPr fontId="9" type="noConversion"/>
  </si>
  <si>
    <t>Cond_Subcooling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</si>
</sst>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0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  <font>
      <sz val="11"/>
      <color theme="9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b/>
      <sz val="11"/>
      <color indexed="8"/>
      <name val="Calibri"/>
      <family val="2"/>
      <scheme val="minor"/>
    </font>
    <font>
      <b/>
      <sz val="9"/>
      <color indexed="81"/>
      <name val="Tahoma"/>
      <family val="2"/>
    </font>
    <font>
      <sz val="9"/>
      <name val="Calibri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3"/>
      </patternFill>
    </fill>
    <fill>
      <patternFill patternType="solid">
        <fgColor indexed="17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3">
    <xf numFmtId="0" fontId="0" fillId="0" borderId="0"/>
    <xf numFmtId="0" fontId="2" fillId="0" borderId="0"/>
    <xf numFmtId="0" fontId="2" fillId="4" borderId="1"/>
  </cellStyleXfs>
  <cellXfs count="12">
    <xf numFmtId="0" fontId="0" fillId="0" borderId="0" xfId="0"/>
    <xf numFmtId="0" fontId="2" fillId="0" borderId="0" xfId="1"/>
    <xf numFmtId="0" fontId="2" fillId="2" borderId="0" xfId="1" applyFill="1"/>
    <xf numFmtId="0" fontId="2" fillId="3" borderId="0" xfId="1" applyFill="1"/>
    <xf numFmtId="0" fontId="3" fillId="0" borderId="0" xfId="1" applyFont="1"/>
    <xf numFmtId="0" fontId="4" fillId="3" borderId="0" xfId="1" applyFont="1" applyFill="1"/>
    <xf numFmtId="0" fontId="5" fillId="2" borderId="0" xfId="1" applyFont="1" applyFill="1"/>
    <xf numFmtId="164" fontId="2" fillId="2" borderId="0" xfId="1" applyNumberFormat="1" applyFill="1"/>
    <xf numFmtId="0" fontId="7" fillId="3" borderId="0" xfId="1" applyFont="1" applyFill="1"/>
    <xf numFmtId="14" fontId="2" fillId="2" borderId="0" xfId="1" applyNumberFormat="1" applyFill="1"/>
    <xf numFmtId="0" fontId="3" fillId="0" borderId="0" xfId="1" applyFont="1" applyFill="1"/>
    <xf numFmtId="0" fontId="2" fillId="0" borderId="0" xfId="1" applyFill="1"/>
  </cellXfs>
  <cellStyles count="3">
    <cellStyle name="Excel_MR_WHITE_COLOR_CELL_STYLE" xfId="2" xr:uid="{00000000-0005-0000-0000-000000000000}"/>
    <cellStyle name="Normal 2" xfId="1" xr:uid="{00000000-0005-0000-0000-000002000000}"/>
    <cellStyle name="常规" xfId="0" builtinId="0"/>
  </cellStyles>
  <dxfs count="0"/>
  <tableStyles count="0" defaultTableStyle="TableStyleMedium2" defaultPivotStyle="PivotStyleLight16"/>
  <colors>
    <mruColors>
      <color rgb="FF008000"/>
      <color rgb="FFBAE0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16" noThreeD="1" sel="1" val="0">
  <itemLst>
    <item val="Run"/>
    <item val="Synchronize"/>
    <item val="Reset Column"/>
    <item val="Reset Sheet"/>
    <item val="Launch JUPYTER"/>
    <item val="Toggle Units"/>
    <item val="Auto Fill"/>
    <item val="Rating Calculation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Drop" dropStyle="combo" dx="16" noThreeD="1" sel="1" val="0">
  <itemLst>
    <item val="Run"/>
    <item val="Synchronize"/>
    <item val="Reset Column"/>
    <item val="Reset Sheet"/>
    <item val="Launch JUPYTER"/>
    <item val="Toggle Units"/>
    <item val="Auto Fill"/>
    <item val="Rating Calculation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16" noThreeD="1" sel="1" val="0">
  <itemLst>
    <item val="Run"/>
    <item val="Synchronize"/>
    <item val="Reset Column"/>
    <item val="Reset Sheet"/>
    <item val="Launch JUPYTER"/>
    <item val="Toggle Units"/>
    <item val="Auto Fill"/>
    <item val="Rating Calculation"/>
  </itemLst>
</formControlPr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noThreeD="1" sel="1" val="0">
  <itemLst>
    <item val="Run"/>
    <item val="Synchronize"/>
    <item val="Reset Column"/>
    <item val="Reset Sheet"/>
    <item val="Launch JUPYTER"/>
    <item val="Toggle Units"/>
    <item val="Auto Fill"/>
    <item val="Rating Calculation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noThreeD="1" sel="1" val="0">
  <itemLst>
    <item val="Run"/>
    <item val="Synchronize"/>
    <item val="Reset Column"/>
    <item val="Reset Sheet"/>
    <item val="Launch JUPYTER"/>
    <item val="Toggle Units"/>
    <item val="Auto Fill"/>
    <item val="Rating Calculation"/>
  </itemLst>
</formControlPr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</xdr:row>
          <xdr:rowOff>209550</xdr:rowOff>
        </xdr:from>
        <xdr:to>
          <xdr:col>4</xdr:col>
          <xdr:colOff>298450</xdr:colOff>
          <xdr:row>2</xdr:row>
          <xdr:rowOff>222250</xdr:rowOff>
        </xdr:to>
        <xdr:sp macro="" textlink="">
          <xdr:nvSpPr>
            <xdr:cNvPr id="17409" name="CB_BoltUIToolbox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BOLT 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2</xdr:row>
          <xdr:rowOff>12700</xdr:rowOff>
        </xdr:from>
        <xdr:to>
          <xdr:col>4</xdr:col>
          <xdr:colOff>1231900</xdr:colOff>
          <xdr:row>2</xdr:row>
          <xdr:rowOff>209550</xdr:rowOff>
        </xdr:to>
        <xdr:sp macro="" textlink="">
          <xdr:nvSpPr>
            <xdr:cNvPr id="17410" name="DD_BoltUIToolbox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1498600</xdr:colOff>
          <xdr:row>2</xdr:row>
          <xdr:rowOff>19050</xdr:rowOff>
        </xdr:from>
        <xdr:to>
          <xdr:col>4</xdr:col>
          <xdr:colOff>2171700</xdr:colOff>
          <xdr:row>3</xdr:row>
          <xdr:rowOff>0</xdr:rowOff>
        </xdr:to>
        <xdr:sp macro="" textlink="">
          <xdr:nvSpPr>
            <xdr:cNvPr id="17411" name="BT_BoltUIToolbox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</xdr:row>
          <xdr:rowOff>209550</xdr:rowOff>
        </xdr:from>
        <xdr:to>
          <xdr:col>4</xdr:col>
          <xdr:colOff>298450</xdr:colOff>
          <xdr:row>2</xdr:row>
          <xdr:rowOff>222250</xdr:rowOff>
        </xdr:to>
        <xdr:sp macro="" textlink="">
          <xdr:nvSpPr>
            <xdr:cNvPr id="25601" name="CB_BoltUIToolbox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BOLT 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2</xdr:row>
          <xdr:rowOff>12700</xdr:rowOff>
        </xdr:from>
        <xdr:to>
          <xdr:col>4</xdr:col>
          <xdr:colOff>1231900</xdr:colOff>
          <xdr:row>2</xdr:row>
          <xdr:rowOff>209550</xdr:rowOff>
        </xdr:to>
        <xdr:sp macro="" textlink="">
          <xdr:nvSpPr>
            <xdr:cNvPr id="25602" name="DD_BoltUIToolbox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1498600</xdr:colOff>
          <xdr:row>2</xdr:row>
          <xdr:rowOff>19050</xdr:rowOff>
        </xdr:from>
        <xdr:to>
          <xdr:col>4</xdr:col>
          <xdr:colOff>2171700</xdr:colOff>
          <xdr:row>3</xdr:row>
          <xdr:rowOff>0</xdr:rowOff>
        </xdr:to>
        <xdr:sp macro="" textlink="">
          <xdr:nvSpPr>
            <xdr:cNvPr id="25603" name="BT_BoltUIToolbox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1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</xdr:row>
          <xdr:rowOff>209550</xdr:rowOff>
        </xdr:from>
        <xdr:to>
          <xdr:col>4</xdr:col>
          <xdr:colOff>298450</xdr:colOff>
          <xdr:row>2</xdr:row>
          <xdr:rowOff>222250</xdr:rowOff>
        </xdr:to>
        <xdr:sp macro="" textlink="">
          <xdr:nvSpPr>
            <xdr:cNvPr id="22529" name="CB_BoltUIToolbox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BOLT 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2</xdr:row>
          <xdr:rowOff>12700</xdr:rowOff>
        </xdr:from>
        <xdr:to>
          <xdr:col>4</xdr:col>
          <xdr:colOff>1231900</xdr:colOff>
          <xdr:row>2</xdr:row>
          <xdr:rowOff>209550</xdr:rowOff>
        </xdr:to>
        <xdr:sp macro="" textlink="">
          <xdr:nvSpPr>
            <xdr:cNvPr id="22530" name="DD_BoltUIToolbox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1498600</xdr:colOff>
          <xdr:row>2</xdr:row>
          <xdr:rowOff>19050</xdr:rowOff>
        </xdr:from>
        <xdr:to>
          <xdr:col>4</xdr:col>
          <xdr:colOff>2171700</xdr:colOff>
          <xdr:row>3</xdr:row>
          <xdr:rowOff>0</xdr:rowOff>
        </xdr:to>
        <xdr:sp macro="" textlink="">
          <xdr:nvSpPr>
            <xdr:cNvPr id="22531" name="BT_BoltUIToolbox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</xdr:row>
          <xdr:rowOff>209550</xdr:rowOff>
        </xdr:from>
        <xdr:to>
          <xdr:col>4</xdr:col>
          <xdr:colOff>298450</xdr:colOff>
          <xdr:row>2</xdr:row>
          <xdr:rowOff>222250</xdr:rowOff>
        </xdr:to>
        <xdr:sp macro="" textlink="">
          <xdr:nvSpPr>
            <xdr:cNvPr id="20481" name="CB_BoltUIToolbox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BOLT 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2</xdr:row>
          <xdr:rowOff>12700</xdr:rowOff>
        </xdr:from>
        <xdr:to>
          <xdr:col>4</xdr:col>
          <xdr:colOff>1231900</xdr:colOff>
          <xdr:row>2</xdr:row>
          <xdr:rowOff>209550</xdr:rowOff>
        </xdr:to>
        <xdr:sp macro="" textlink="">
          <xdr:nvSpPr>
            <xdr:cNvPr id="20482" name="DD_BoltUIToolbox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1498600</xdr:colOff>
          <xdr:row>2</xdr:row>
          <xdr:rowOff>19050</xdr:rowOff>
        </xdr:from>
        <xdr:to>
          <xdr:col>4</xdr:col>
          <xdr:colOff>2171700</xdr:colOff>
          <xdr:row>3</xdr:row>
          <xdr:rowOff>0</xdr:rowOff>
        </xdr:to>
        <xdr:sp macro="" textlink="">
          <xdr:nvSpPr>
            <xdr:cNvPr id="20483" name="BT_BoltUIToolbox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</xdr:row>
          <xdr:rowOff>209550</xdr:rowOff>
        </xdr:from>
        <xdr:to>
          <xdr:col>4</xdr:col>
          <xdr:colOff>298450</xdr:colOff>
          <xdr:row>2</xdr:row>
          <xdr:rowOff>222250</xdr:rowOff>
        </xdr:to>
        <xdr:sp macro="" textlink="">
          <xdr:nvSpPr>
            <xdr:cNvPr id="16394" name="CB_BoltUIToolbox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4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BOLT 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2</xdr:row>
          <xdr:rowOff>12700</xdr:rowOff>
        </xdr:from>
        <xdr:to>
          <xdr:col>4</xdr:col>
          <xdr:colOff>1231900</xdr:colOff>
          <xdr:row>2</xdr:row>
          <xdr:rowOff>209550</xdr:rowOff>
        </xdr:to>
        <xdr:sp macro="" textlink="">
          <xdr:nvSpPr>
            <xdr:cNvPr id="16397" name="DD_BoltUIToolbox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4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1498600</xdr:colOff>
          <xdr:row>2</xdr:row>
          <xdr:rowOff>19050</xdr:rowOff>
        </xdr:from>
        <xdr:to>
          <xdr:col>4</xdr:col>
          <xdr:colOff>2171700</xdr:colOff>
          <xdr:row>3</xdr:row>
          <xdr:rowOff>0</xdr:rowOff>
        </xdr:to>
        <xdr:sp macro="" textlink="">
          <xdr:nvSpPr>
            <xdr:cNvPr id="16398" name="BT_BoltUIToolbox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4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071C3-517A-40B8-9127-61818F8999AA}">
  <sheetPr codeName="Sheet4"/>
  <dimension ref="A1:N2891"/>
  <sheetViews>
    <sheetView workbookViewId="0">
      <pane xSplit="13" topLeftCell="N1" activePane="topRight" state="frozen"/>
      <selection pane="topRight" activeCell="A4" sqref="A4:M2866"/>
    </sheetView>
  </sheetViews>
  <sheetFormatPr defaultColWidth="8.90625" defaultRowHeight="14.5"/>
  <cols>
    <col min="1" max="1" width="3.36328125" style="2" customWidth="1"/>
    <col min="2" max="2" width="4.26953125" style="3" customWidth="1"/>
    <col min="3" max="3" width="3.36328125" style="2" customWidth="1"/>
    <col min="4" max="4" width="16.08984375" style="1" customWidth="1"/>
    <col min="5" max="5" width="33.6328125" style="1" customWidth="1"/>
    <col min="6" max="6" width="12.6328125" style="1" hidden="1" customWidth="1"/>
    <col min="7" max="7" width="16.08984375" style="1" customWidth="1"/>
    <col min="8" max="8" width="11.7265625" style="1" hidden="1" customWidth="1"/>
    <col min="9" max="9" width="18.7265625" style="1" customWidth="1"/>
    <col min="10" max="10" width="11.6328125" style="1" hidden="1" customWidth="1"/>
    <col min="11" max="11" width="12.26953125" style="1" hidden="1" customWidth="1"/>
    <col min="12" max="12" width="10.26953125" style="1" hidden="1" customWidth="1"/>
    <col min="13" max="13" width="14.6328125" style="1" customWidth="1"/>
    <col min="14" max="16384" width="8.90625" style="1"/>
  </cols>
  <sheetData>
    <row r="1" spans="1:14" s="2" customFormat="1" ht="18" customHeight="1">
      <c r="A1" s="6" t="s">
        <v>1697</v>
      </c>
      <c r="B1" s="2" t="s">
        <v>1698</v>
      </c>
      <c r="D1" s="9">
        <v>44663</v>
      </c>
      <c r="E1" s="2" t="s">
        <v>1699</v>
      </c>
      <c r="F1" s="2" t="s">
        <v>1700</v>
      </c>
      <c r="I1" s="2" t="s">
        <v>11</v>
      </c>
      <c r="M1" s="2">
        <f>COUNTIF(status_columns,"Solved")</f>
        <v>0</v>
      </c>
    </row>
    <row r="2" spans="1:14" s="3" customFormat="1" ht="18" customHeight="1">
      <c r="A2" s="2"/>
      <c r="B2" s="5" t="s">
        <v>1701</v>
      </c>
      <c r="C2" s="8" t="s">
        <v>1702</v>
      </c>
      <c r="E2" s="3" t="s">
        <v>1703</v>
      </c>
      <c r="I2" s="3" t="s">
        <v>12</v>
      </c>
      <c r="M2" s="3">
        <f>COUNTIF(status_columns,"Not converged")</f>
        <v>0</v>
      </c>
    </row>
    <row r="3" spans="1:14" s="2" customFormat="1" ht="18" customHeight="1">
      <c r="B3" s="3"/>
      <c r="C3" s="7" t="s">
        <v>1704</v>
      </c>
      <c r="I3" s="2" t="s">
        <v>13</v>
      </c>
      <c r="M3" s="2">
        <f>COLUMNS(status_columns)-M2-M1</f>
        <v>1</v>
      </c>
    </row>
    <row r="4" spans="1:14" s="4" customFormat="1">
      <c r="A4" s="2"/>
      <c r="B4" s="3"/>
      <c r="C4" s="2"/>
      <c r="D4" s="4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8</v>
      </c>
      <c r="M4" s="4" t="s">
        <v>9</v>
      </c>
      <c r="N4" s="4" t="s">
        <v>10</v>
      </c>
    </row>
    <row r="5" spans="1:14">
      <c r="D5" s="1" t="s">
        <v>21</v>
      </c>
      <c r="H5" s="1" t="s">
        <v>22</v>
      </c>
      <c r="I5" s="1" t="s">
        <v>23</v>
      </c>
      <c r="L5" s="1">
        <v>1</v>
      </c>
      <c r="M5" s="1">
        <v>0.5</v>
      </c>
    </row>
    <row r="6" spans="1:14">
      <c r="D6" s="1" t="s">
        <v>24</v>
      </c>
      <c r="H6" s="1" t="s">
        <v>25</v>
      </c>
      <c r="I6" s="1" t="s">
        <v>23</v>
      </c>
      <c r="M6" s="1" t="b">
        <v>0</v>
      </c>
    </row>
    <row r="7" spans="1:14">
      <c r="D7" s="1" t="s">
        <v>26</v>
      </c>
      <c r="H7" s="1" t="s">
        <v>22</v>
      </c>
      <c r="I7" s="1" t="s">
        <v>23</v>
      </c>
      <c r="L7" s="1">
        <v>1</v>
      </c>
      <c r="M7" s="1">
        <v>0.97</v>
      </c>
    </row>
    <row r="8" spans="1:14">
      <c r="D8" s="1" t="s">
        <v>27</v>
      </c>
      <c r="E8" s="1" t="s">
        <v>28</v>
      </c>
      <c r="H8" s="1" t="s">
        <v>22</v>
      </c>
      <c r="I8" s="1" t="s">
        <v>29</v>
      </c>
      <c r="J8" s="1">
        <v>34000</v>
      </c>
      <c r="K8" s="1">
        <v>4300000</v>
      </c>
      <c r="L8" s="1">
        <v>349660</v>
      </c>
    </row>
    <row r="9" spans="1:14">
      <c r="D9" s="1" t="s">
        <v>27</v>
      </c>
      <c r="E9" s="1" t="s">
        <v>30</v>
      </c>
      <c r="H9" s="1" t="s">
        <v>22</v>
      </c>
      <c r="I9" s="1" t="s">
        <v>29</v>
      </c>
      <c r="J9" s="1">
        <v>-3.94</v>
      </c>
      <c r="K9" s="1">
        <v>3.66</v>
      </c>
      <c r="L9" s="1">
        <v>1</v>
      </c>
    </row>
    <row r="10" spans="1:14">
      <c r="D10" s="1" t="s">
        <v>27</v>
      </c>
      <c r="E10" s="1" t="s">
        <v>31</v>
      </c>
      <c r="H10" s="1" t="s">
        <v>22</v>
      </c>
      <c r="I10" s="1" t="s">
        <v>29</v>
      </c>
      <c r="J10" s="1">
        <v>0</v>
      </c>
      <c r="K10" s="1">
        <v>100</v>
      </c>
      <c r="L10" s="1">
        <v>1</v>
      </c>
    </row>
    <row r="11" spans="1:14">
      <c r="D11" s="1" t="s">
        <v>27</v>
      </c>
      <c r="E11" s="1" t="s">
        <v>32</v>
      </c>
      <c r="H11" s="1" t="s">
        <v>22</v>
      </c>
      <c r="I11" s="1" t="s">
        <v>29</v>
      </c>
      <c r="J11" s="1">
        <v>-3.94</v>
      </c>
      <c r="K11" s="1">
        <v>3.66</v>
      </c>
      <c r="L11" s="1">
        <v>1</v>
      </c>
    </row>
    <row r="12" spans="1:14">
      <c r="D12" s="1" t="s">
        <v>27</v>
      </c>
      <c r="E12" s="1" t="s">
        <v>33</v>
      </c>
      <c r="H12" s="1" t="s">
        <v>25</v>
      </c>
      <c r="I12" s="1" t="s">
        <v>23</v>
      </c>
      <c r="M12" s="1" t="b">
        <v>0</v>
      </c>
    </row>
    <row r="13" spans="1:14">
      <c r="D13" s="1" t="s">
        <v>27</v>
      </c>
      <c r="E13" s="1" t="s">
        <v>34</v>
      </c>
      <c r="F13" s="1" t="s">
        <v>35</v>
      </c>
      <c r="G13" s="1" t="s">
        <v>36</v>
      </c>
      <c r="H13" s="1" t="s">
        <v>22</v>
      </c>
      <c r="I13" s="1" t="s">
        <v>23</v>
      </c>
      <c r="J13" s="1">
        <v>-459.67</v>
      </c>
      <c r="K13" s="1">
        <v>980.32999999999993</v>
      </c>
      <c r="L13" s="1">
        <v>80.329999999999984</v>
      </c>
      <c r="M13" s="1">
        <v>67.999999999999943</v>
      </c>
    </row>
    <row r="14" spans="1:14">
      <c r="D14" s="1" t="s">
        <v>27</v>
      </c>
      <c r="E14" s="1" t="s">
        <v>37</v>
      </c>
      <c r="H14" s="1" t="s">
        <v>25</v>
      </c>
      <c r="I14" s="1" t="s">
        <v>23</v>
      </c>
      <c r="M14" s="1" t="b">
        <v>0</v>
      </c>
    </row>
    <row r="15" spans="1:14">
      <c r="D15" s="1" t="s">
        <v>27</v>
      </c>
      <c r="E15" s="1" t="s">
        <v>38</v>
      </c>
      <c r="F15" s="1" t="s">
        <v>35</v>
      </c>
      <c r="G15" s="1" t="s">
        <v>36</v>
      </c>
      <c r="H15" s="1" t="s">
        <v>22</v>
      </c>
      <c r="I15" s="1" t="s">
        <v>23</v>
      </c>
      <c r="J15" s="1">
        <v>-99.670000000000016</v>
      </c>
      <c r="K15" s="1">
        <v>980.32999999999993</v>
      </c>
      <c r="L15" s="1">
        <v>80.329999999999984</v>
      </c>
      <c r="M15" s="1">
        <v>13.999999999999943</v>
      </c>
    </row>
    <row r="16" spans="1:14">
      <c r="D16" s="1" t="s">
        <v>27</v>
      </c>
      <c r="E16" s="1" t="s">
        <v>39</v>
      </c>
      <c r="H16" s="1" t="s">
        <v>25</v>
      </c>
      <c r="I16" s="1" t="s">
        <v>23</v>
      </c>
      <c r="M16" s="1" t="b">
        <v>0</v>
      </c>
    </row>
    <row r="17" spans="4:13">
      <c r="D17" s="1" t="s">
        <v>27</v>
      </c>
      <c r="E17" s="1" t="s">
        <v>40</v>
      </c>
      <c r="F17" s="1" t="s">
        <v>41</v>
      </c>
      <c r="G17" s="1" t="s">
        <v>42</v>
      </c>
      <c r="H17" s="1" t="s">
        <v>22</v>
      </c>
      <c r="I17" s="1" t="s">
        <v>23</v>
      </c>
      <c r="J17" s="1">
        <v>-900</v>
      </c>
      <c r="K17" s="1">
        <v>900</v>
      </c>
      <c r="L17" s="1">
        <v>1.8</v>
      </c>
      <c r="M17" s="1">
        <v>9</v>
      </c>
    </row>
    <row r="18" spans="4:13">
      <c r="D18" s="1" t="s">
        <v>27</v>
      </c>
      <c r="E18" s="1" t="s">
        <v>43</v>
      </c>
      <c r="H18" s="1" t="s">
        <v>25</v>
      </c>
      <c r="I18" s="1" t="s">
        <v>23</v>
      </c>
      <c r="M18" s="1" t="b">
        <v>0</v>
      </c>
    </row>
    <row r="19" spans="4:13">
      <c r="D19" s="1" t="s">
        <v>27</v>
      </c>
      <c r="E19" s="1" t="s">
        <v>44</v>
      </c>
      <c r="F19" s="1" t="s">
        <v>45</v>
      </c>
      <c r="G19" s="1" t="s">
        <v>46</v>
      </c>
      <c r="H19" s="1" t="s">
        <v>22</v>
      </c>
      <c r="I19" s="1" t="s">
        <v>23</v>
      </c>
      <c r="J19" s="1">
        <v>-85.984522757427143</v>
      </c>
      <c r="K19" s="1">
        <v>8598.4522757427148</v>
      </c>
      <c r="L19" s="1">
        <v>114.79148749423418</v>
      </c>
      <c r="M19" s="1">
        <v>128.97678413614071</v>
      </c>
    </row>
    <row r="20" spans="4:13">
      <c r="D20" s="1" t="s">
        <v>27</v>
      </c>
      <c r="E20" s="1" t="s">
        <v>47</v>
      </c>
      <c r="H20" s="1" t="s">
        <v>25</v>
      </c>
      <c r="I20" s="1" t="s">
        <v>23</v>
      </c>
      <c r="M20" s="1" t="b">
        <v>0</v>
      </c>
    </row>
    <row r="21" spans="4:13">
      <c r="D21" s="1" t="s">
        <v>27</v>
      </c>
      <c r="E21" s="1" t="s">
        <v>48</v>
      </c>
      <c r="H21" s="1" t="s">
        <v>25</v>
      </c>
      <c r="I21" s="1" t="s">
        <v>23</v>
      </c>
      <c r="M21" s="1" t="b">
        <v>0</v>
      </c>
    </row>
    <row r="22" spans="4:13">
      <c r="D22" s="1" t="s">
        <v>27</v>
      </c>
      <c r="E22" s="1" t="s">
        <v>49</v>
      </c>
      <c r="H22" s="1" t="s">
        <v>25</v>
      </c>
      <c r="I22" s="1" t="s">
        <v>23</v>
      </c>
      <c r="M22" s="1" t="b">
        <v>0</v>
      </c>
    </row>
    <row r="23" spans="4:13">
      <c r="D23" s="1" t="s">
        <v>27</v>
      </c>
      <c r="E23" s="1" t="s">
        <v>50</v>
      </c>
      <c r="H23" s="1" t="s">
        <v>25</v>
      </c>
      <c r="I23" s="1" t="s">
        <v>23</v>
      </c>
      <c r="M23" s="1" t="b">
        <v>0</v>
      </c>
    </row>
    <row r="24" spans="4:13">
      <c r="D24" s="1" t="s">
        <v>27</v>
      </c>
      <c r="E24" s="1" t="s">
        <v>51</v>
      </c>
      <c r="F24" s="1" t="s">
        <v>52</v>
      </c>
      <c r="G24" s="1" t="s">
        <v>53</v>
      </c>
      <c r="H24" s="1" t="s">
        <v>22</v>
      </c>
      <c r="I24" s="1" t="s">
        <v>23</v>
      </c>
      <c r="J24" s="1">
        <v>0</v>
      </c>
      <c r="K24" s="1">
        <v>7936641438.6555996</v>
      </c>
      <c r="L24" s="1">
        <v>7936.6414386555998</v>
      </c>
      <c r="M24" s="1">
        <v>7936.6414386555998</v>
      </c>
    </row>
    <row r="25" spans="4:13">
      <c r="D25" s="1" t="s">
        <v>27</v>
      </c>
      <c r="E25" s="1" t="s">
        <v>54</v>
      </c>
      <c r="H25" s="1" t="s">
        <v>25</v>
      </c>
      <c r="I25" s="1" t="s">
        <v>23</v>
      </c>
      <c r="M25" s="1" t="b">
        <v>0</v>
      </c>
    </row>
    <row r="26" spans="4:13">
      <c r="D26" s="1" t="s">
        <v>27</v>
      </c>
      <c r="E26" s="1" t="s">
        <v>55</v>
      </c>
      <c r="F26" s="1" t="s">
        <v>56</v>
      </c>
      <c r="G26" s="1" t="s">
        <v>57</v>
      </c>
      <c r="H26" s="1" t="s">
        <v>22</v>
      </c>
      <c r="I26" s="1" t="s">
        <v>23</v>
      </c>
      <c r="J26" s="1">
        <v>0</v>
      </c>
      <c r="K26" s="1">
        <v>9427.4529524635982</v>
      </c>
      <c r="L26" s="1">
        <v>50.713895374744951</v>
      </c>
      <c r="M26" s="1">
        <v>50.763208205573221</v>
      </c>
    </row>
    <row r="27" spans="4:13">
      <c r="D27" s="1" t="s">
        <v>27</v>
      </c>
      <c r="E27" s="1" t="s">
        <v>58</v>
      </c>
      <c r="H27" s="1" t="s">
        <v>25</v>
      </c>
      <c r="I27" s="1" t="s">
        <v>23</v>
      </c>
      <c r="M27" s="1" t="b">
        <v>0</v>
      </c>
    </row>
    <row r="28" spans="4:13">
      <c r="D28" s="1" t="s">
        <v>27</v>
      </c>
      <c r="E28" s="1" t="s">
        <v>59</v>
      </c>
      <c r="F28" s="1" t="s">
        <v>60</v>
      </c>
      <c r="G28" s="1" t="s">
        <v>61</v>
      </c>
      <c r="H28" s="1" t="s">
        <v>22</v>
      </c>
      <c r="I28" s="1" t="s">
        <v>23</v>
      </c>
      <c r="J28" s="1">
        <v>-9.5538358650799999</v>
      </c>
      <c r="K28" s="1">
        <v>9.5538358650799999</v>
      </c>
      <c r="L28" s="1">
        <v>0.23884589662700001</v>
      </c>
      <c r="M28" s="1">
        <v>0.23884589662700001</v>
      </c>
    </row>
    <row r="29" spans="4:13">
      <c r="D29" s="1" t="s">
        <v>27</v>
      </c>
      <c r="E29" s="1" t="s">
        <v>62</v>
      </c>
      <c r="H29" s="1" t="s">
        <v>63</v>
      </c>
      <c r="I29" s="1" t="s">
        <v>23</v>
      </c>
      <c r="M29" s="1">
        <v>1</v>
      </c>
    </row>
    <row r="30" spans="4:13">
      <c r="D30" s="1" t="s">
        <v>27</v>
      </c>
      <c r="E30" s="1" t="s">
        <v>64</v>
      </c>
      <c r="F30" s="1" t="s">
        <v>35</v>
      </c>
      <c r="G30" s="1" t="s">
        <v>36</v>
      </c>
      <c r="H30" s="1" t="s">
        <v>22</v>
      </c>
      <c r="I30" s="1" t="s">
        <v>65</v>
      </c>
      <c r="J30" s="1">
        <v>-459.67</v>
      </c>
      <c r="L30" s="1">
        <v>80.329999999999984</v>
      </c>
    </row>
    <row r="31" spans="4:13">
      <c r="D31" s="1" t="s">
        <v>27</v>
      </c>
      <c r="E31" s="1" t="s">
        <v>66</v>
      </c>
      <c r="F31" s="1" t="s">
        <v>35</v>
      </c>
      <c r="G31" s="1" t="s">
        <v>36</v>
      </c>
      <c r="H31" s="1" t="s">
        <v>22</v>
      </c>
      <c r="I31" s="1" t="s">
        <v>65</v>
      </c>
      <c r="J31" s="1">
        <v>-459.67</v>
      </c>
      <c r="L31" s="1">
        <v>80.329999999999984</v>
      </c>
    </row>
    <row r="32" spans="4:13">
      <c r="D32" s="1" t="s">
        <v>27</v>
      </c>
      <c r="E32" s="1" t="s">
        <v>67</v>
      </c>
      <c r="F32" s="1" t="s">
        <v>41</v>
      </c>
      <c r="G32" s="1" t="s">
        <v>42</v>
      </c>
      <c r="H32" s="1" t="s">
        <v>22</v>
      </c>
      <c r="I32" s="1" t="s">
        <v>65</v>
      </c>
      <c r="L32" s="1">
        <v>1.8</v>
      </c>
    </row>
    <row r="33" spans="4:13">
      <c r="D33" s="1" t="s">
        <v>27</v>
      </c>
      <c r="E33" s="1" t="s">
        <v>68</v>
      </c>
      <c r="F33" s="1" t="s">
        <v>45</v>
      </c>
      <c r="G33" s="1" t="s">
        <v>46</v>
      </c>
      <c r="H33" s="1" t="s">
        <v>22</v>
      </c>
      <c r="I33" s="1" t="s">
        <v>65</v>
      </c>
      <c r="L33" s="1">
        <v>4.2992261378713571E-4</v>
      </c>
    </row>
    <row r="34" spans="4:13">
      <c r="D34" s="1" t="s">
        <v>27</v>
      </c>
      <c r="E34" s="1" t="s">
        <v>69</v>
      </c>
      <c r="H34" s="1" t="s">
        <v>25</v>
      </c>
      <c r="I34" s="1" t="s">
        <v>70</v>
      </c>
    </row>
    <row r="35" spans="4:13">
      <c r="D35" s="1" t="s">
        <v>27</v>
      </c>
      <c r="E35" s="1" t="s">
        <v>71</v>
      </c>
      <c r="F35" s="1" t="s">
        <v>52</v>
      </c>
      <c r="G35" s="1" t="s">
        <v>53</v>
      </c>
      <c r="H35" s="1" t="s">
        <v>22</v>
      </c>
      <c r="I35" s="1" t="s">
        <v>65</v>
      </c>
      <c r="L35" s="1">
        <v>7936.6414386555998</v>
      </c>
    </row>
    <row r="36" spans="4:13">
      <c r="D36" s="1" t="s">
        <v>27</v>
      </c>
      <c r="E36" s="1" t="s">
        <v>72</v>
      </c>
      <c r="F36" s="1" t="s">
        <v>56</v>
      </c>
      <c r="G36" s="1" t="s">
        <v>57</v>
      </c>
      <c r="H36" s="1" t="s">
        <v>22</v>
      </c>
      <c r="I36" s="1" t="s">
        <v>65</v>
      </c>
      <c r="J36" s="1">
        <v>0</v>
      </c>
      <c r="L36" s="1">
        <v>14.503773773020921</v>
      </c>
    </row>
    <row r="37" spans="4:13">
      <c r="D37" s="1" t="s">
        <v>27</v>
      </c>
      <c r="E37" s="1" t="s">
        <v>73</v>
      </c>
      <c r="F37" s="1" t="s">
        <v>60</v>
      </c>
      <c r="G37" s="1" t="s">
        <v>61</v>
      </c>
      <c r="H37" s="1" t="s">
        <v>22</v>
      </c>
      <c r="I37" s="1" t="s">
        <v>65</v>
      </c>
      <c r="L37" s="1">
        <v>2.38845896627E-4</v>
      </c>
    </row>
    <row r="38" spans="4:13">
      <c r="D38" s="1" t="s">
        <v>27</v>
      </c>
      <c r="E38" s="1" t="s">
        <v>74</v>
      </c>
      <c r="F38" s="1" t="s">
        <v>75</v>
      </c>
      <c r="G38" s="1" t="s">
        <v>76</v>
      </c>
      <c r="H38" s="1" t="s">
        <v>22</v>
      </c>
      <c r="I38" s="1" t="s">
        <v>65</v>
      </c>
      <c r="J38" s="1">
        <v>0</v>
      </c>
      <c r="L38" s="1">
        <v>16.018463521800001</v>
      </c>
    </row>
    <row r="39" spans="4:13">
      <c r="D39" s="1" t="s">
        <v>27</v>
      </c>
      <c r="E39" s="1" t="s">
        <v>77</v>
      </c>
      <c r="H39" s="1" t="s">
        <v>22</v>
      </c>
      <c r="I39" s="1" t="s">
        <v>65</v>
      </c>
      <c r="L39" s="1">
        <v>1</v>
      </c>
    </row>
    <row r="40" spans="4:13">
      <c r="D40" s="1" t="s">
        <v>27</v>
      </c>
      <c r="E40" s="1" t="s">
        <v>78</v>
      </c>
      <c r="H40" s="1" t="s">
        <v>25</v>
      </c>
      <c r="I40" s="1" t="s">
        <v>23</v>
      </c>
      <c r="M40" s="1" t="b">
        <v>0</v>
      </c>
    </row>
    <row r="41" spans="4:13">
      <c r="D41" s="1" t="s">
        <v>27</v>
      </c>
      <c r="E41" s="1" t="s">
        <v>79</v>
      </c>
      <c r="F41" s="1" t="s">
        <v>75</v>
      </c>
      <c r="G41" s="1" t="s">
        <v>76</v>
      </c>
      <c r="H41" s="1" t="s">
        <v>22</v>
      </c>
      <c r="I41" s="1" t="s">
        <v>23</v>
      </c>
      <c r="J41" s="1">
        <v>0</v>
      </c>
      <c r="K41" s="1">
        <v>96.110781130800007</v>
      </c>
      <c r="L41" s="1">
        <v>16.018463521800001</v>
      </c>
      <c r="M41" s="1">
        <v>1.6018463521800002</v>
      </c>
    </row>
    <row r="42" spans="4:13">
      <c r="D42" s="1" t="s">
        <v>27</v>
      </c>
      <c r="E42" s="1" t="s">
        <v>80</v>
      </c>
      <c r="H42" s="1" t="s">
        <v>25</v>
      </c>
      <c r="I42" s="1" t="s">
        <v>23</v>
      </c>
      <c r="M42" s="1" t="b">
        <v>0</v>
      </c>
    </row>
    <row r="43" spans="4:13">
      <c r="D43" s="1" t="s">
        <v>27</v>
      </c>
      <c r="E43" s="1" t="s">
        <v>81</v>
      </c>
      <c r="H43" s="1" t="s">
        <v>25</v>
      </c>
      <c r="I43" s="1" t="s">
        <v>23</v>
      </c>
      <c r="M43" s="1" t="b">
        <v>0</v>
      </c>
    </row>
    <row r="44" spans="4:13">
      <c r="D44" s="1" t="s">
        <v>27</v>
      </c>
      <c r="E44" s="1" t="s">
        <v>82</v>
      </c>
      <c r="H44" s="1" t="s">
        <v>22</v>
      </c>
      <c r="I44" s="1" t="s">
        <v>23</v>
      </c>
      <c r="J44" s="1">
        <v>-1</v>
      </c>
      <c r="K44" s="1">
        <v>3</v>
      </c>
      <c r="L44" s="1">
        <v>1</v>
      </c>
      <c r="M44" s="1">
        <v>1.01</v>
      </c>
    </row>
    <row r="45" spans="4:13">
      <c r="D45" s="1" t="s">
        <v>83</v>
      </c>
      <c r="E45" s="1" t="s">
        <v>28</v>
      </c>
      <c r="H45" s="1" t="s">
        <v>22</v>
      </c>
      <c r="I45" s="1" t="s">
        <v>29</v>
      </c>
      <c r="J45" s="1">
        <v>34000</v>
      </c>
      <c r="K45" s="1">
        <v>4300000</v>
      </c>
      <c r="L45" s="1">
        <v>349660</v>
      </c>
    </row>
    <row r="46" spans="4:13">
      <c r="D46" s="1" t="s">
        <v>83</v>
      </c>
      <c r="E46" s="1" t="s">
        <v>30</v>
      </c>
      <c r="H46" s="1" t="s">
        <v>22</v>
      </c>
      <c r="I46" s="1" t="s">
        <v>29</v>
      </c>
      <c r="J46" s="1">
        <v>-3.94</v>
      </c>
      <c r="K46" s="1">
        <v>3.66</v>
      </c>
      <c r="L46" s="1">
        <v>1</v>
      </c>
    </row>
    <row r="47" spans="4:13">
      <c r="D47" s="1" t="s">
        <v>83</v>
      </c>
      <c r="E47" s="1" t="s">
        <v>31</v>
      </c>
      <c r="H47" s="1" t="s">
        <v>22</v>
      </c>
      <c r="I47" s="1" t="s">
        <v>29</v>
      </c>
      <c r="J47" s="1">
        <v>0</v>
      </c>
      <c r="K47" s="1">
        <v>100</v>
      </c>
      <c r="L47" s="1">
        <v>1</v>
      </c>
    </row>
    <row r="48" spans="4:13">
      <c r="D48" s="1" t="s">
        <v>83</v>
      </c>
      <c r="E48" s="1" t="s">
        <v>32</v>
      </c>
      <c r="H48" s="1" t="s">
        <v>22</v>
      </c>
      <c r="I48" s="1" t="s">
        <v>29</v>
      </c>
      <c r="J48" s="1">
        <v>-3.94</v>
      </c>
      <c r="K48" s="1">
        <v>3.66</v>
      </c>
      <c r="L48" s="1">
        <v>1</v>
      </c>
    </row>
    <row r="49" spans="4:13">
      <c r="D49" s="1" t="s">
        <v>83</v>
      </c>
      <c r="E49" s="1" t="s">
        <v>33</v>
      </c>
      <c r="H49" s="1" t="s">
        <v>25</v>
      </c>
      <c r="I49" s="1" t="s">
        <v>23</v>
      </c>
      <c r="M49" s="1" t="b">
        <v>0</v>
      </c>
    </row>
    <row r="50" spans="4:13">
      <c r="D50" s="1" t="s">
        <v>83</v>
      </c>
      <c r="E50" s="1" t="s">
        <v>34</v>
      </c>
      <c r="F50" s="1" t="s">
        <v>35</v>
      </c>
      <c r="G50" s="1" t="s">
        <v>36</v>
      </c>
      <c r="H50" s="1" t="s">
        <v>22</v>
      </c>
      <c r="I50" s="1" t="s">
        <v>23</v>
      </c>
      <c r="J50" s="1">
        <v>-459.67</v>
      </c>
      <c r="K50" s="1">
        <v>980.32999999999993</v>
      </c>
      <c r="L50" s="1">
        <v>80.329999999999984</v>
      </c>
      <c r="M50" s="1">
        <v>67.999999999999943</v>
      </c>
    </row>
    <row r="51" spans="4:13">
      <c r="D51" s="1" t="s">
        <v>83</v>
      </c>
      <c r="E51" s="1" t="s">
        <v>37</v>
      </c>
      <c r="H51" s="1" t="s">
        <v>25</v>
      </c>
      <c r="I51" s="1" t="s">
        <v>23</v>
      </c>
      <c r="M51" s="1" t="b">
        <v>0</v>
      </c>
    </row>
    <row r="52" spans="4:13">
      <c r="D52" s="1" t="s">
        <v>83</v>
      </c>
      <c r="E52" s="1" t="s">
        <v>38</v>
      </c>
      <c r="F52" s="1" t="s">
        <v>35</v>
      </c>
      <c r="G52" s="1" t="s">
        <v>36</v>
      </c>
      <c r="H52" s="1" t="s">
        <v>22</v>
      </c>
      <c r="I52" s="1" t="s">
        <v>23</v>
      </c>
      <c r="J52" s="1">
        <v>-99.670000000000016</v>
      </c>
      <c r="K52" s="1">
        <v>980.32999999999993</v>
      </c>
      <c r="L52" s="1">
        <v>80.329999999999984</v>
      </c>
      <c r="M52" s="1">
        <v>13.999999999999943</v>
      </c>
    </row>
    <row r="53" spans="4:13">
      <c r="D53" s="1" t="s">
        <v>83</v>
      </c>
      <c r="E53" s="1" t="s">
        <v>39</v>
      </c>
      <c r="H53" s="1" t="s">
        <v>25</v>
      </c>
      <c r="I53" s="1" t="s">
        <v>23</v>
      </c>
      <c r="M53" s="1" t="b">
        <v>0</v>
      </c>
    </row>
    <row r="54" spans="4:13">
      <c r="D54" s="1" t="s">
        <v>83</v>
      </c>
      <c r="E54" s="1" t="s">
        <v>40</v>
      </c>
      <c r="F54" s="1" t="s">
        <v>41</v>
      </c>
      <c r="G54" s="1" t="s">
        <v>42</v>
      </c>
      <c r="H54" s="1" t="s">
        <v>22</v>
      </c>
      <c r="I54" s="1" t="s">
        <v>23</v>
      </c>
      <c r="J54" s="1">
        <v>-900</v>
      </c>
      <c r="K54" s="1">
        <v>900</v>
      </c>
      <c r="L54" s="1">
        <v>1.8</v>
      </c>
      <c r="M54" s="1">
        <v>9</v>
      </c>
    </row>
    <row r="55" spans="4:13">
      <c r="D55" s="1" t="s">
        <v>83</v>
      </c>
      <c r="E55" s="1" t="s">
        <v>43</v>
      </c>
      <c r="H55" s="1" t="s">
        <v>25</v>
      </c>
      <c r="I55" s="1" t="s">
        <v>23</v>
      </c>
      <c r="M55" s="1" t="b">
        <v>0</v>
      </c>
    </row>
    <row r="56" spans="4:13">
      <c r="D56" s="1" t="s">
        <v>83</v>
      </c>
      <c r="E56" s="1" t="s">
        <v>44</v>
      </c>
      <c r="F56" s="1" t="s">
        <v>45</v>
      </c>
      <c r="G56" s="1" t="s">
        <v>46</v>
      </c>
      <c r="H56" s="1" t="s">
        <v>22</v>
      </c>
      <c r="I56" s="1" t="s">
        <v>23</v>
      </c>
      <c r="J56" s="1">
        <v>-85.984522757427143</v>
      </c>
      <c r="K56" s="1">
        <v>8598.4522757427148</v>
      </c>
      <c r="L56" s="1">
        <v>114.79148749423418</v>
      </c>
      <c r="M56" s="1">
        <v>128.97678413614071</v>
      </c>
    </row>
    <row r="57" spans="4:13">
      <c r="D57" s="1" t="s">
        <v>83</v>
      </c>
      <c r="E57" s="1" t="s">
        <v>47</v>
      </c>
      <c r="H57" s="1" t="s">
        <v>25</v>
      </c>
      <c r="I57" s="1" t="s">
        <v>23</v>
      </c>
      <c r="M57" s="1" t="b">
        <v>0</v>
      </c>
    </row>
    <row r="58" spans="4:13">
      <c r="D58" s="1" t="s">
        <v>83</v>
      </c>
      <c r="E58" s="1" t="s">
        <v>48</v>
      </c>
      <c r="H58" s="1" t="s">
        <v>25</v>
      </c>
      <c r="I58" s="1" t="s">
        <v>23</v>
      </c>
      <c r="M58" s="1" t="b">
        <v>0</v>
      </c>
    </row>
    <row r="59" spans="4:13">
      <c r="D59" s="1" t="s">
        <v>83</v>
      </c>
      <c r="E59" s="1" t="s">
        <v>49</v>
      </c>
      <c r="H59" s="1" t="s">
        <v>25</v>
      </c>
      <c r="I59" s="1" t="s">
        <v>23</v>
      </c>
      <c r="M59" s="1" t="b">
        <v>0</v>
      </c>
    </row>
    <row r="60" spans="4:13">
      <c r="D60" s="1" t="s">
        <v>83</v>
      </c>
      <c r="E60" s="1" t="s">
        <v>50</v>
      </c>
      <c r="H60" s="1" t="s">
        <v>25</v>
      </c>
      <c r="I60" s="1" t="s">
        <v>23</v>
      </c>
      <c r="M60" s="1" t="b">
        <v>0</v>
      </c>
    </row>
    <row r="61" spans="4:13">
      <c r="D61" s="1" t="s">
        <v>83</v>
      </c>
      <c r="E61" s="1" t="s">
        <v>51</v>
      </c>
      <c r="F61" s="1" t="s">
        <v>52</v>
      </c>
      <c r="G61" s="1" t="s">
        <v>53</v>
      </c>
      <c r="H61" s="1" t="s">
        <v>22</v>
      </c>
      <c r="I61" s="1" t="s">
        <v>23</v>
      </c>
      <c r="J61" s="1">
        <v>0</v>
      </c>
      <c r="K61" s="1">
        <v>7936641438.6555996</v>
      </c>
      <c r="L61" s="1">
        <v>7936.6414386555998</v>
      </c>
      <c r="M61" s="1">
        <v>7936.6414386555998</v>
      </c>
    </row>
    <row r="62" spans="4:13">
      <c r="D62" s="1" t="s">
        <v>83</v>
      </c>
      <c r="E62" s="1" t="s">
        <v>54</v>
      </c>
      <c r="H62" s="1" t="s">
        <v>25</v>
      </c>
      <c r="I62" s="1" t="s">
        <v>23</v>
      </c>
      <c r="M62" s="1" t="b">
        <v>0</v>
      </c>
    </row>
    <row r="63" spans="4:13">
      <c r="D63" s="1" t="s">
        <v>83</v>
      </c>
      <c r="E63" s="1" t="s">
        <v>55</v>
      </c>
      <c r="F63" s="1" t="s">
        <v>56</v>
      </c>
      <c r="G63" s="1" t="s">
        <v>57</v>
      </c>
      <c r="H63" s="1" t="s">
        <v>22</v>
      </c>
      <c r="I63" s="1" t="s">
        <v>23</v>
      </c>
      <c r="J63" s="1">
        <v>0</v>
      </c>
      <c r="K63" s="1">
        <v>9427.4529524635982</v>
      </c>
      <c r="L63" s="1">
        <v>50.713895374744951</v>
      </c>
      <c r="M63" s="1">
        <v>50.763208205573221</v>
      </c>
    </row>
    <row r="64" spans="4:13">
      <c r="D64" s="1" t="s">
        <v>83</v>
      </c>
      <c r="E64" s="1" t="s">
        <v>58</v>
      </c>
      <c r="H64" s="1" t="s">
        <v>25</v>
      </c>
      <c r="I64" s="1" t="s">
        <v>23</v>
      </c>
      <c r="M64" s="1" t="b">
        <v>0</v>
      </c>
    </row>
    <row r="65" spans="4:13">
      <c r="D65" s="1" t="s">
        <v>83</v>
      </c>
      <c r="E65" s="1" t="s">
        <v>59</v>
      </c>
      <c r="F65" s="1" t="s">
        <v>60</v>
      </c>
      <c r="G65" s="1" t="s">
        <v>61</v>
      </c>
      <c r="H65" s="1" t="s">
        <v>22</v>
      </c>
      <c r="I65" s="1" t="s">
        <v>23</v>
      </c>
      <c r="J65" s="1">
        <v>-9.5538358650799999</v>
      </c>
      <c r="K65" s="1">
        <v>9.5538358650799999</v>
      </c>
      <c r="L65" s="1">
        <v>0.23884589662700001</v>
      </c>
      <c r="M65" s="1">
        <v>0.23884589662700001</v>
      </c>
    </row>
    <row r="66" spans="4:13">
      <c r="D66" s="1" t="s">
        <v>83</v>
      </c>
      <c r="E66" s="1" t="s">
        <v>62</v>
      </c>
      <c r="H66" s="1" t="s">
        <v>63</v>
      </c>
      <c r="I66" s="1" t="s">
        <v>23</v>
      </c>
      <c r="M66" s="1">
        <v>1</v>
      </c>
    </row>
    <row r="67" spans="4:13">
      <c r="D67" s="1" t="s">
        <v>83</v>
      </c>
      <c r="E67" s="1" t="s">
        <v>64</v>
      </c>
      <c r="F67" s="1" t="s">
        <v>35</v>
      </c>
      <c r="G67" s="1" t="s">
        <v>36</v>
      </c>
      <c r="H67" s="1" t="s">
        <v>22</v>
      </c>
      <c r="I67" s="1" t="s">
        <v>65</v>
      </c>
      <c r="J67" s="1">
        <v>-459.67</v>
      </c>
      <c r="L67" s="1">
        <v>80.329999999999984</v>
      </c>
    </row>
    <row r="68" spans="4:13">
      <c r="D68" s="1" t="s">
        <v>83</v>
      </c>
      <c r="E68" s="1" t="s">
        <v>66</v>
      </c>
      <c r="F68" s="1" t="s">
        <v>35</v>
      </c>
      <c r="G68" s="1" t="s">
        <v>36</v>
      </c>
      <c r="H68" s="1" t="s">
        <v>22</v>
      </c>
      <c r="I68" s="1" t="s">
        <v>65</v>
      </c>
      <c r="J68" s="1">
        <v>-459.67</v>
      </c>
      <c r="L68" s="1">
        <v>80.329999999999984</v>
      </c>
    </row>
    <row r="69" spans="4:13">
      <c r="D69" s="1" t="s">
        <v>83</v>
      </c>
      <c r="E69" s="1" t="s">
        <v>67</v>
      </c>
      <c r="F69" s="1" t="s">
        <v>41</v>
      </c>
      <c r="G69" s="1" t="s">
        <v>42</v>
      </c>
      <c r="H69" s="1" t="s">
        <v>22</v>
      </c>
      <c r="I69" s="1" t="s">
        <v>65</v>
      </c>
      <c r="L69" s="1">
        <v>1.8</v>
      </c>
    </row>
    <row r="70" spans="4:13">
      <c r="D70" s="1" t="s">
        <v>83</v>
      </c>
      <c r="E70" s="1" t="s">
        <v>68</v>
      </c>
      <c r="F70" s="1" t="s">
        <v>45</v>
      </c>
      <c r="G70" s="1" t="s">
        <v>46</v>
      </c>
      <c r="H70" s="1" t="s">
        <v>22</v>
      </c>
      <c r="I70" s="1" t="s">
        <v>65</v>
      </c>
      <c r="L70" s="1">
        <v>4.2992261378713571E-4</v>
      </c>
    </row>
    <row r="71" spans="4:13">
      <c r="D71" s="1" t="s">
        <v>83</v>
      </c>
      <c r="E71" s="1" t="s">
        <v>69</v>
      </c>
      <c r="H71" s="1" t="s">
        <v>25</v>
      </c>
      <c r="I71" s="1" t="s">
        <v>70</v>
      </c>
    </row>
    <row r="72" spans="4:13">
      <c r="D72" s="1" t="s">
        <v>83</v>
      </c>
      <c r="E72" s="1" t="s">
        <v>71</v>
      </c>
      <c r="F72" s="1" t="s">
        <v>52</v>
      </c>
      <c r="G72" s="1" t="s">
        <v>53</v>
      </c>
      <c r="H72" s="1" t="s">
        <v>22</v>
      </c>
      <c r="I72" s="1" t="s">
        <v>65</v>
      </c>
      <c r="L72" s="1">
        <v>7936.6414386555998</v>
      </c>
    </row>
    <row r="73" spans="4:13">
      <c r="D73" s="1" t="s">
        <v>83</v>
      </c>
      <c r="E73" s="1" t="s">
        <v>72</v>
      </c>
      <c r="F73" s="1" t="s">
        <v>56</v>
      </c>
      <c r="G73" s="1" t="s">
        <v>57</v>
      </c>
      <c r="H73" s="1" t="s">
        <v>22</v>
      </c>
      <c r="I73" s="1" t="s">
        <v>65</v>
      </c>
      <c r="J73" s="1">
        <v>0</v>
      </c>
      <c r="L73" s="1">
        <v>14.503773773020921</v>
      </c>
    </row>
    <row r="74" spans="4:13">
      <c r="D74" s="1" t="s">
        <v>83</v>
      </c>
      <c r="E74" s="1" t="s">
        <v>73</v>
      </c>
      <c r="F74" s="1" t="s">
        <v>60</v>
      </c>
      <c r="G74" s="1" t="s">
        <v>61</v>
      </c>
      <c r="H74" s="1" t="s">
        <v>22</v>
      </c>
      <c r="I74" s="1" t="s">
        <v>65</v>
      </c>
      <c r="L74" s="1">
        <v>2.38845896627E-4</v>
      </c>
    </row>
    <row r="75" spans="4:13">
      <c r="D75" s="1" t="s">
        <v>83</v>
      </c>
      <c r="E75" s="1" t="s">
        <v>74</v>
      </c>
      <c r="F75" s="1" t="s">
        <v>75</v>
      </c>
      <c r="G75" s="1" t="s">
        <v>76</v>
      </c>
      <c r="H75" s="1" t="s">
        <v>22</v>
      </c>
      <c r="I75" s="1" t="s">
        <v>65</v>
      </c>
      <c r="J75" s="1">
        <v>0</v>
      </c>
      <c r="L75" s="1">
        <v>16.018463521800001</v>
      </c>
    </row>
    <row r="76" spans="4:13">
      <c r="D76" s="1" t="s">
        <v>83</v>
      </c>
      <c r="E76" s="1" t="s">
        <v>77</v>
      </c>
      <c r="H76" s="1" t="s">
        <v>22</v>
      </c>
      <c r="I76" s="1" t="s">
        <v>65</v>
      </c>
      <c r="L76" s="1">
        <v>1</v>
      </c>
    </row>
    <row r="77" spans="4:13">
      <c r="D77" s="1" t="s">
        <v>83</v>
      </c>
      <c r="E77" s="1" t="s">
        <v>78</v>
      </c>
      <c r="H77" s="1" t="s">
        <v>25</v>
      </c>
      <c r="I77" s="1" t="s">
        <v>23</v>
      </c>
      <c r="M77" s="1" t="b">
        <v>0</v>
      </c>
    </row>
    <row r="78" spans="4:13">
      <c r="D78" s="1" t="s">
        <v>83</v>
      </c>
      <c r="E78" s="1" t="s">
        <v>79</v>
      </c>
      <c r="F78" s="1" t="s">
        <v>75</v>
      </c>
      <c r="G78" s="1" t="s">
        <v>76</v>
      </c>
      <c r="H78" s="1" t="s">
        <v>22</v>
      </c>
      <c r="I78" s="1" t="s">
        <v>23</v>
      </c>
      <c r="J78" s="1">
        <v>0</v>
      </c>
      <c r="K78" s="1">
        <v>96.110781130800007</v>
      </c>
      <c r="L78" s="1">
        <v>16.018463521800001</v>
      </c>
      <c r="M78" s="1">
        <v>1.6018463521800002</v>
      </c>
    </row>
    <row r="79" spans="4:13">
      <c r="D79" s="1" t="s">
        <v>83</v>
      </c>
      <c r="E79" s="1" t="s">
        <v>80</v>
      </c>
      <c r="H79" s="1" t="s">
        <v>25</v>
      </c>
      <c r="I79" s="1" t="s">
        <v>23</v>
      </c>
      <c r="M79" s="1" t="b">
        <v>0</v>
      </c>
    </row>
    <row r="80" spans="4:13">
      <c r="D80" s="1" t="s">
        <v>83</v>
      </c>
      <c r="E80" s="1" t="s">
        <v>81</v>
      </c>
      <c r="H80" s="1" t="s">
        <v>25</v>
      </c>
      <c r="I80" s="1" t="s">
        <v>23</v>
      </c>
      <c r="M80" s="1" t="b">
        <v>0</v>
      </c>
    </row>
    <row r="81" spans="4:13">
      <c r="D81" s="1" t="s">
        <v>83</v>
      </c>
      <c r="E81" s="1" t="s">
        <v>82</v>
      </c>
      <c r="H81" s="1" t="s">
        <v>22</v>
      </c>
      <c r="I81" s="1" t="s">
        <v>23</v>
      </c>
      <c r="J81" s="1">
        <v>-1</v>
      </c>
      <c r="K81" s="1">
        <v>3</v>
      </c>
      <c r="L81" s="1">
        <v>1</v>
      </c>
      <c r="M81" s="1">
        <v>1.01</v>
      </c>
    </row>
    <row r="82" spans="4:13">
      <c r="D82" s="1" t="s">
        <v>84</v>
      </c>
      <c r="E82" s="1" t="s">
        <v>28</v>
      </c>
      <c r="H82" s="1" t="s">
        <v>22</v>
      </c>
      <c r="I82" s="1" t="s">
        <v>29</v>
      </c>
      <c r="J82" s="1">
        <v>34000</v>
      </c>
      <c r="K82" s="1">
        <v>4300000</v>
      </c>
      <c r="L82" s="1">
        <v>349660</v>
      </c>
    </row>
    <row r="83" spans="4:13">
      <c r="D83" s="1" t="s">
        <v>84</v>
      </c>
      <c r="E83" s="1" t="s">
        <v>30</v>
      </c>
      <c r="H83" s="1" t="s">
        <v>22</v>
      </c>
      <c r="I83" s="1" t="s">
        <v>29</v>
      </c>
      <c r="J83" s="1">
        <v>-3.94</v>
      </c>
      <c r="K83" s="1">
        <v>3.66</v>
      </c>
      <c r="L83" s="1">
        <v>1</v>
      </c>
    </row>
    <row r="84" spans="4:13">
      <c r="D84" s="1" t="s">
        <v>84</v>
      </c>
      <c r="E84" s="1" t="s">
        <v>31</v>
      </c>
      <c r="H84" s="1" t="s">
        <v>22</v>
      </c>
      <c r="I84" s="1" t="s">
        <v>29</v>
      </c>
      <c r="J84" s="1">
        <v>0</v>
      </c>
      <c r="K84" s="1">
        <v>100</v>
      </c>
      <c r="L84" s="1">
        <v>1</v>
      </c>
    </row>
    <row r="85" spans="4:13">
      <c r="D85" s="1" t="s">
        <v>84</v>
      </c>
      <c r="E85" s="1" t="s">
        <v>32</v>
      </c>
      <c r="H85" s="1" t="s">
        <v>22</v>
      </c>
      <c r="I85" s="1" t="s">
        <v>29</v>
      </c>
      <c r="J85" s="1">
        <v>-3.94</v>
      </c>
      <c r="K85" s="1">
        <v>3.66</v>
      </c>
      <c r="L85" s="1">
        <v>1</v>
      </c>
    </row>
    <row r="86" spans="4:13">
      <c r="D86" s="1" t="s">
        <v>84</v>
      </c>
      <c r="E86" s="1" t="s">
        <v>33</v>
      </c>
      <c r="H86" s="1" t="s">
        <v>25</v>
      </c>
      <c r="I86" s="1" t="s">
        <v>23</v>
      </c>
      <c r="M86" s="1" t="b">
        <v>0</v>
      </c>
    </row>
    <row r="87" spans="4:13">
      <c r="D87" s="1" t="s">
        <v>84</v>
      </c>
      <c r="E87" s="1" t="s">
        <v>34</v>
      </c>
      <c r="F87" s="1" t="s">
        <v>35</v>
      </c>
      <c r="G87" s="1" t="s">
        <v>36</v>
      </c>
      <c r="H87" s="1" t="s">
        <v>22</v>
      </c>
      <c r="I87" s="1" t="s">
        <v>23</v>
      </c>
      <c r="J87" s="1">
        <v>-459.67</v>
      </c>
      <c r="K87" s="1">
        <v>980.32999999999993</v>
      </c>
      <c r="L87" s="1">
        <v>80.329999999999984</v>
      </c>
      <c r="M87" s="1">
        <v>67.999999999999943</v>
      </c>
    </row>
    <row r="88" spans="4:13">
      <c r="D88" s="1" t="s">
        <v>84</v>
      </c>
      <c r="E88" s="1" t="s">
        <v>37</v>
      </c>
      <c r="H88" s="1" t="s">
        <v>25</v>
      </c>
      <c r="I88" s="1" t="s">
        <v>23</v>
      </c>
      <c r="M88" s="1" t="b">
        <v>0</v>
      </c>
    </row>
    <row r="89" spans="4:13">
      <c r="D89" s="1" t="s">
        <v>84</v>
      </c>
      <c r="E89" s="1" t="s">
        <v>38</v>
      </c>
      <c r="F89" s="1" t="s">
        <v>35</v>
      </c>
      <c r="G89" s="1" t="s">
        <v>36</v>
      </c>
      <c r="H89" s="1" t="s">
        <v>22</v>
      </c>
      <c r="I89" s="1" t="s">
        <v>23</v>
      </c>
      <c r="J89" s="1">
        <v>-99.670000000000016</v>
      </c>
      <c r="K89" s="1">
        <v>980.32999999999993</v>
      </c>
      <c r="L89" s="1">
        <v>80.329999999999984</v>
      </c>
      <c r="M89" s="1">
        <v>13.999999999999943</v>
      </c>
    </row>
    <row r="90" spans="4:13">
      <c r="D90" s="1" t="s">
        <v>84</v>
      </c>
      <c r="E90" s="1" t="s">
        <v>39</v>
      </c>
      <c r="H90" s="1" t="s">
        <v>25</v>
      </c>
      <c r="I90" s="1" t="s">
        <v>23</v>
      </c>
      <c r="M90" s="1" t="b">
        <v>0</v>
      </c>
    </row>
    <row r="91" spans="4:13">
      <c r="D91" s="1" t="s">
        <v>84</v>
      </c>
      <c r="E91" s="1" t="s">
        <v>40</v>
      </c>
      <c r="F91" s="1" t="s">
        <v>41</v>
      </c>
      <c r="G91" s="1" t="s">
        <v>42</v>
      </c>
      <c r="H91" s="1" t="s">
        <v>22</v>
      </c>
      <c r="I91" s="1" t="s">
        <v>23</v>
      </c>
      <c r="J91" s="1">
        <v>-900</v>
      </c>
      <c r="K91" s="1">
        <v>900</v>
      </c>
      <c r="L91" s="1">
        <v>1.8</v>
      </c>
      <c r="M91" s="1">
        <v>9</v>
      </c>
    </row>
    <row r="92" spans="4:13">
      <c r="D92" s="1" t="s">
        <v>84</v>
      </c>
      <c r="E92" s="1" t="s">
        <v>43</v>
      </c>
      <c r="H92" s="1" t="s">
        <v>25</v>
      </c>
      <c r="I92" s="1" t="s">
        <v>23</v>
      </c>
      <c r="M92" s="1" t="b">
        <v>0</v>
      </c>
    </row>
    <row r="93" spans="4:13">
      <c r="D93" s="1" t="s">
        <v>84</v>
      </c>
      <c r="E93" s="1" t="s">
        <v>44</v>
      </c>
      <c r="F93" s="1" t="s">
        <v>45</v>
      </c>
      <c r="G93" s="1" t="s">
        <v>46</v>
      </c>
      <c r="H93" s="1" t="s">
        <v>22</v>
      </c>
      <c r="I93" s="1" t="s">
        <v>23</v>
      </c>
      <c r="J93" s="1">
        <v>-85.984522757427143</v>
      </c>
      <c r="K93" s="1">
        <v>8598.4522757427148</v>
      </c>
      <c r="L93" s="1">
        <v>114.79148749423418</v>
      </c>
      <c r="M93" s="1">
        <v>128.97678413614071</v>
      </c>
    </row>
    <row r="94" spans="4:13">
      <c r="D94" s="1" t="s">
        <v>84</v>
      </c>
      <c r="E94" s="1" t="s">
        <v>47</v>
      </c>
      <c r="H94" s="1" t="s">
        <v>25</v>
      </c>
      <c r="I94" s="1" t="s">
        <v>23</v>
      </c>
      <c r="M94" s="1" t="b">
        <v>0</v>
      </c>
    </row>
    <row r="95" spans="4:13">
      <c r="D95" s="1" t="s">
        <v>84</v>
      </c>
      <c r="E95" s="1" t="s">
        <v>48</v>
      </c>
      <c r="H95" s="1" t="s">
        <v>25</v>
      </c>
      <c r="I95" s="1" t="s">
        <v>23</v>
      </c>
      <c r="M95" s="1" t="b">
        <v>0</v>
      </c>
    </row>
    <row r="96" spans="4:13">
      <c r="D96" s="1" t="s">
        <v>84</v>
      </c>
      <c r="E96" s="1" t="s">
        <v>49</v>
      </c>
      <c r="H96" s="1" t="s">
        <v>25</v>
      </c>
      <c r="I96" s="1" t="s">
        <v>23</v>
      </c>
      <c r="M96" s="1" t="b">
        <v>0</v>
      </c>
    </row>
    <row r="97" spans="4:13">
      <c r="D97" s="1" t="s">
        <v>84</v>
      </c>
      <c r="E97" s="1" t="s">
        <v>50</v>
      </c>
      <c r="H97" s="1" t="s">
        <v>25</v>
      </c>
      <c r="I97" s="1" t="s">
        <v>23</v>
      </c>
      <c r="M97" s="1" t="b">
        <v>0</v>
      </c>
    </row>
    <row r="98" spans="4:13">
      <c r="D98" s="1" t="s">
        <v>84</v>
      </c>
      <c r="E98" s="1" t="s">
        <v>51</v>
      </c>
      <c r="F98" s="1" t="s">
        <v>52</v>
      </c>
      <c r="G98" s="1" t="s">
        <v>53</v>
      </c>
      <c r="H98" s="1" t="s">
        <v>22</v>
      </c>
      <c r="I98" s="1" t="s">
        <v>23</v>
      </c>
      <c r="J98" s="1">
        <v>0</v>
      </c>
      <c r="K98" s="1">
        <v>7936641438.6555996</v>
      </c>
      <c r="L98" s="1">
        <v>7936.6414386555998</v>
      </c>
      <c r="M98" s="1">
        <v>7936.6414386555998</v>
      </c>
    </row>
    <row r="99" spans="4:13">
      <c r="D99" s="1" t="s">
        <v>84</v>
      </c>
      <c r="E99" s="1" t="s">
        <v>54</v>
      </c>
      <c r="H99" s="1" t="s">
        <v>25</v>
      </c>
      <c r="I99" s="1" t="s">
        <v>23</v>
      </c>
      <c r="M99" s="1" t="b">
        <v>0</v>
      </c>
    </row>
    <row r="100" spans="4:13">
      <c r="D100" s="1" t="s">
        <v>84</v>
      </c>
      <c r="E100" s="1" t="s">
        <v>55</v>
      </c>
      <c r="F100" s="1" t="s">
        <v>56</v>
      </c>
      <c r="G100" s="1" t="s">
        <v>57</v>
      </c>
      <c r="H100" s="1" t="s">
        <v>22</v>
      </c>
      <c r="I100" s="1" t="s">
        <v>23</v>
      </c>
      <c r="J100" s="1">
        <v>0</v>
      </c>
      <c r="K100" s="1">
        <v>9427.4529524635982</v>
      </c>
      <c r="L100" s="1">
        <v>50.713895374744951</v>
      </c>
      <c r="M100" s="1">
        <v>50.763208205573221</v>
      </c>
    </row>
    <row r="101" spans="4:13">
      <c r="D101" s="1" t="s">
        <v>84</v>
      </c>
      <c r="E101" s="1" t="s">
        <v>58</v>
      </c>
      <c r="H101" s="1" t="s">
        <v>25</v>
      </c>
      <c r="I101" s="1" t="s">
        <v>23</v>
      </c>
      <c r="M101" s="1" t="b">
        <v>0</v>
      </c>
    </row>
    <row r="102" spans="4:13">
      <c r="D102" s="1" t="s">
        <v>84</v>
      </c>
      <c r="E102" s="1" t="s">
        <v>59</v>
      </c>
      <c r="F102" s="1" t="s">
        <v>60</v>
      </c>
      <c r="G102" s="1" t="s">
        <v>61</v>
      </c>
      <c r="H102" s="1" t="s">
        <v>22</v>
      </c>
      <c r="I102" s="1" t="s">
        <v>23</v>
      </c>
      <c r="J102" s="1">
        <v>-9.5538358650799999</v>
      </c>
      <c r="K102" s="1">
        <v>9.5538358650799999</v>
      </c>
      <c r="L102" s="1">
        <v>0.23884589662700001</v>
      </c>
      <c r="M102" s="1">
        <v>0.23884589662700001</v>
      </c>
    </row>
    <row r="103" spans="4:13">
      <c r="D103" s="1" t="s">
        <v>84</v>
      </c>
      <c r="E103" s="1" t="s">
        <v>62</v>
      </c>
      <c r="H103" s="1" t="s">
        <v>63</v>
      </c>
      <c r="I103" s="1" t="s">
        <v>23</v>
      </c>
      <c r="M103" s="1">
        <v>1</v>
      </c>
    </row>
    <row r="104" spans="4:13">
      <c r="D104" s="1" t="s">
        <v>84</v>
      </c>
      <c r="E104" s="1" t="s">
        <v>64</v>
      </c>
      <c r="F104" s="1" t="s">
        <v>35</v>
      </c>
      <c r="G104" s="1" t="s">
        <v>36</v>
      </c>
      <c r="H104" s="1" t="s">
        <v>22</v>
      </c>
      <c r="I104" s="1" t="s">
        <v>65</v>
      </c>
      <c r="J104" s="1">
        <v>-459.67</v>
      </c>
      <c r="L104" s="1">
        <v>80.329999999999984</v>
      </c>
    </row>
    <row r="105" spans="4:13">
      <c r="D105" s="1" t="s">
        <v>84</v>
      </c>
      <c r="E105" s="1" t="s">
        <v>66</v>
      </c>
      <c r="F105" s="1" t="s">
        <v>35</v>
      </c>
      <c r="G105" s="1" t="s">
        <v>36</v>
      </c>
      <c r="H105" s="1" t="s">
        <v>22</v>
      </c>
      <c r="I105" s="1" t="s">
        <v>65</v>
      </c>
      <c r="J105" s="1">
        <v>-459.67</v>
      </c>
      <c r="L105" s="1">
        <v>80.329999999999984</v>
      </c>
    </row>
    <row r="106" spans="4:13">
      <c r="D106" s="1" t="s">
        <v>84</v>
      </c>
      <c r="E106" s="1" t="s">
        <v>67</v>
      </c>
      <c r="F106" s="1" t="s">
        <v>41</v>
      </c>
      <c r="G106" s="1" t="s">
        <v>42</v>
      </c>
      <c r="H106" s="1" t="s">
        <v>22</v>
      </c>
      <c r="I106" s="1" t="s">
        <v>65</v>
      </c>
      <c r="L106" s="1">
        <v>1.8</v>
      </c>
    </row>
    <row r="107" spans="4:13">
      <c r="D107" s="1" t="s">
        <v>84</v>
      </c>
      <c r="E107" s="1" t="s">
        <v>68</v>
      </c>
      <c r="F107" s="1" t="s">
        <v>45</v>
      </c>
      <c r="G107" s="1" t="s">
        <v>46</v>
      </c>
      <c r="H107" s="1" t="s">
        <v>22</v>
      </c>
      <c r="I107" s="1" t="s">
        <v>65</v>
      </c>
      <c r="L107" s="1">
        <v>4.2992261378713571E-4</v>
      </c>
    </row>
    <row r="108" spans="4:13">
      <c r="D108" s="1" t="s">
        <v>84</v>
      </c>
      <c r="E108" s="1" t="s">
        <v>69</v>
      </c>
      <c r="H108" s="1" t="s">
        <v>25</v>
      </c>
      <c r="I108" s="1" t="s">
        <v>70</v>
      </c>
    </row>
    <row r="109" spans="4:13">
      <c r="D109" s="1" t="s">
        <v>84</v>
      </c>
      <c r="E109" s="1" t="s">
        <v>71</v>
      </c>
      <c r="F109" s="1" t="s">
        <v>52</v>
      </c>
      <c r="G109" s="1" t="s">
        <v>53</v>
      </c>
      <c r="H109" s="1" t="s">
        <v>22</v>
      </c>
      <c r="I109" s="1" t="s">
        <v>65</v>
      </c>
      <c r="L109" s="1">
        <v>7936.6414386555998</v>
      </c>
    </row>
    <row r="110" spans="4:13">
      <c r="D110" s="1" t="s">
        <v>84</v>
      </c>
      <c r="E110" s="1" t="s">
        <v>72</v>
      </c>
      <c r="F110" s="1" t="s">
        <v>56</v>
      </c>
      <c r="G110" s="1" t="s">
        <v>57</v>
      </c>
      <c r="H110" s="1" t="s">
        <v>22</v>
      </c>
      <c r="I110" s="1" t="s">
        <v>65</v>
      </c>
      <c r="J110" s="1">
        <v>0</v>
      </c>
      <c r="L110" s="1">
        <v>14.503773773020921</v>
      </c>
    </row>
    <row r="111" spans="4:13">
      <c r="D111" s="1" t="s">
        <v>84</v>
      </c>
      <c r="E111" s="1" t="s">
        <v>73</v>
      </c>
      <c r="F111" s="1" t="s">
        <v>60</v>
      </c>
      <c r="G111" s="1" t="s">
        <v>61</v>
      </c>
      <c r="H111" s="1" t="s">
        <v>22</v>
      </c>
      <c r="I111" s="1" t="s">
        <v>65</v>
      </c>
      <c r="L111" s="1">
        <v>2.38845896627E-4</v>
      </c>
    </row>
    <row r="112" spans="4:13">
      <c r="D112" s="1" t="s">
        <v>84</v>
      </c>
      <c r="E112" s="1" t="s">
        <v>74</v>
      </c>
      <c r="F112" s="1" t="s">
        <v>75</v>
      </c>
      <c r="G112" s="1" t="s">
        <v>76</v>
      </c>
      <c r="H112" s="1" t="s">
        <v>22</v>
      </c>
      <c r="I112" s="1" t="s">
        <v>65</v>
      </c>
      <c r="J112" s="1">
        <v>0</v>
      </c>
      <c r="L112" s="1">
        <v>16.018463521800001</v>
      </c>
    </row>
    <row r="113" spans="4:13">
      <c r="D113" s="1" t="s">
        <v>84</v>
      </c>
      <c r="E113" s="1" t="s">
        <v>77</v>
      </c>
      <c r="H113" s="1" t="s">
        <v>22</v>
      </c>
      <c r="I113" s="1" t="s">
        <v>65</v>
      </c>
      <c r="L113" s="1">
        <v>1</v>
      </c>
    </row>
    <row r="114" spans="4:13">
      <c r="D114" s="1" t="s">
        <v>84</v>
      </c>
      <c r="E114" s="1" t="s">
        <v>78</v>
      </c>
      <c r="H114" s="1" t="s">
        <v>25</v>
      </c>
      <c r="I114" s="1" t="s">
        <v>23</v>
      </c>
      <c r="M114" s="1" t="b">
        <v>0</v>
      </c>
    </row>
    <row r="115" spans="4:13">
      <c r="D115" s="1" t="s">
        <v>84</v>
      </c>
      <c r="E115" s="1" t="s">
        <v>79</v>
      </c>
      <c r="F115" s="1" t="s">
        <v>75</v>
      </c>
      <c r="G115" s="1" t="s">
        <v>76</v>
      </c>
      <c r="H115" s="1" t="s">
        <v>22</v>
      </c>
      <c r="I115" s="1" t="s">
        <v>23</v>
      </c>
      <c r="J115" s="1">
        <v>0</v>
      </c>
      <c r="K115" s="1">
        <v>96.110781130800007</v>
      </c>
      <c r="L115" s="1">
        <v>16.018463521800001</v>
      </c>
      <c r="M115" s="1">
        <v>1.6018463521800002</v>
      </c>
    </row>
    <row r="116" spans="4:13">
      <c r="D116" s="1" t="s">
        <v>84</v>
      </c>
      <c r="E116" s="1" t="s">
        <v>80</v>
      </c>
      <c r="H116" s="1" t="s">
        <v>25</v>
      </c>
      <c r="I116" s="1" t="s">
        <v>23</v>
      </c>
      <c r="M116" s="1" t="b">
        <v>0</v>
      </c>
    </row>
    <row r="117" spans="4:13">
      <c r="D117" s="1" t="s">
        <v>84</v>
      </c>
      <c r="E117" s="1" t="s">
        <v>81</v>
      </c>
      <c r="H117" s="1" t="s">
        <v>25</v>
      </c>
      <c r="I117" s="1" t="s">
        <v>23</v>
      </c>
      <c r="M117" s="1" t="b">
        <v>0</v>
      </c>
    </row>
    <row r="118" spans="4:13">
      <c r="D118" s="1" t="s">
        <v>84</v>
      </c>
      <c r="E118" s="1" t="s">
        <v>82</v>
      </c>
      <c r="H118" s="1" t="s">
        <v>22</v>
      </c>
      <c r="I118" s="1" t="s">
        <v>23</v>
      </c>
      <c r="J118" s="1">
        <v>-1</v>
      </c>
      <c r="K118" s="1">
        <v>3</v>
      </c>
      <c r="L118" s="1">
        <v>1</v>
      </c>
      <c r="M118" s="1">
        <v>1.01</v>
      </c>
    </row>
    <row r="119" spans="4:13">
      <c r="D119" s="1" t="s">
        <v>85</v>
      </c>
      <c r="E119" s="1" t="s">
        <v>28</v>
      </c>
      <c r="H119" s="1" t="s">
        <v>22</v>
      </c>
      <c r="I119" s="1" t="s">
        <v>29</v>
      </c>
      <c r="J119" s="1">
        <v>34000</v>
      </c>
      <c r="K119" s="1">
        <v>4300000</v>
      </c>
      <c r="L119" s="1">
        <v>349660</v>
      </c>
    </row>
    <row r="120" spans="4:13">
      <c r="D120" s="1" t="s">
        <v>85</v>
      </c>
      <c r="E120" s="1" t="s">
        <v>30</v>
      </c>
      <c r="H120" s="1" t="s">
        <v>22</v>
      </c>
      <c r="I120" s="1" t="s">
        <v>29</v>
      </c>
      <c r="J120" s="1">
        <v>-3.94</v>
      </c>
      <c r="K120" s="1">
        <v>3.66</v>
      </c>
      <c r="L120" s="1">
        <v>1</v>
      </c>
    </row>
    <row r="121" spans="4:13">
      <c r="D121" s="1" t="s">
        <v>85</v>
      </c>
      <c r="E121" s="1" t="s">
        <v>31</v>
      </c>
      <c r="H121" s="1" t="s">
        <v>22</v>
      </c>
      <c r="I121" s="1" t="s">
        <v>29</v>
      </c>
      <c r="J121" s="1">
        <v>0</v>
      </c>
      <c r="K121" s="1">
        <v>100</v>
      </c>
      <c r="L121" s="1">
        <v>1</v>
      </c>
    </row>
    <row r="122" spans="4:13">
      <c r="D122" s="1" t="s">
        <v>85</v>
      </c>
      <c r="E122" s="1" t="s">
        <v>32</v>
      </c>
      <c r="H122" s="1" t="s">
        <v>22</v>
      </c>
      <c r="I122" s="1" t="s">
        <v>29</v>
      </c>
      <c r="J122" s="1">
        <v>-3.94</v>
      </c>
      <c r="K122" s="1">
        <v>3.66</v>
      </c>
      <c r="L122" s="1">
        <v>1</v>
      </c>
    </row>
    <row r="123" spans="4:13">
      <c r="D123" s="1" t="s">
        <v>85</v>
      </c>
      <c r="E123" s="1" t="s">
        <v>33</v>
      </c>
      <c r="H123" s="1" t="s">
        <v>25</v>
      </c>
      <c r="I123" s="1" t="s">
        <v>23</v>
      </c>
      <c r="M123" s="1" t="b">
        <v>0</v>
      </c>
    </row>
    <row r="124" spans="4:13">
      <c r="D124" s="1" t="s">
        <v>85</v>
      </c>
      <c r="E124" s="1" t="s">
        <v>34</v>
      </c>
      <c r="F124" s="1" t="s">
        <v>35</v>
      </c>
      <c r="G124" s="1" t="s">
        <v>36</v>
      </c>
      <c r="H124" s="1" t="s">
        <v>22</v>
      </c>
      <c r="I124" s="1" t="s">
        <v>23</v>
      </c>
      <c r="J124" s="1">
        <v>-459.67</v>
      </c>
      <c r="K124" s="1">
        <v>980.32999999999993</v>
      </c>
      <c r="L124" s="1">
        <v>80.329999999999984</v>
      </c>
      <c r="M124" s="1">
        <v>67.999999999999943</v>
      </c>
    </row>
    <row r="125" spans="4:13">
      <c r="D125" s="1" t="s">
        <v>85</v>
      </c>
      <c r="E125" s="1" t="s">
        <v>37</v>
      </c>
      <c r="H125" s="1" t="s">
        <v>25</v>
      </c>
      <c r="I125" s="1" t="s">
        <v>23</v>
      </c>
      <c r="M125" s="1" t="b">
        <v>0</v>
      </c>
    </row>
    <row r="126" spans="4:13">
      <c r="D126" s="1" t="s">
        <v>85</v>
      </c>
      <c r="E126" s="1" t="s">
        <v>38</v>
      </c>
      <c r="F126" s="1" t="s">
        <v>35</v>
      </c>
      <c r="G126" s="1" t="s">
        <v>36</v>
      </c>
      <c r="H126" s="1" t="s">
        <v>22</v>
      </c>
      <c r="I126" s="1" t="s">
        <v>23</v>
      </c>
      <c r="J126" s="1">
        <v>-99.670000000000016</v>
      </c>
      <c r="K126" s="1">
        <v>980.32999999999993</v>
      </c>
      <c r="L126" s="1">
        <v>80.329999999999984</v>
      </c>
      <c r="M126" s="1">
        <v>13.999999999999943</v>
      </c>
    </row>
    <row r="127" spans="4:13">
      <c r="D127" s="1" t="s">
        <v>85</v>
      </c>
      <c r="E127" s="1" t="s">
        <v>39</v>
      </c>
      <c r="H127" s="1" t="s">
        <v>25</v>
      </c>
      <c r="I127" s="1" t="s">
        <v>23</v>
      </c>
      <c r="M127" s="1" t="b">
        <v>0</v>
      </c>
    </row>
    <row r="128" spans="4:13">
      <c r="D128" s="1" t="s">
        <v>85</v>
      </c>
      <c r="E128" s="1" t="s">
        <v>40</v>
      </c>
      <c r="F128" s="1" t="s">
        <v>41</v>
      </c>
      <c r="G128" s="1" t="s">
        <v>42</v>
      </c>
      <c r="H128" s="1" t="s">
        <v>22</v>
      </c>
      <c r="I128" s="1" t="s">
        <v>23</v>
      </c>
      <c r="J128" s="1">
        <v>-900</v>
      </c>
      <c r="K128" s="1">
        <v>900</v>
      </c>
      <c r="L128" s="1">
        <v>1.8</v>
      </c>
      <c r="M128" s="1">
        <v>9</v>
      </c>
    </row>
    <row r="129" spans="4:13">
      <c r="D129" s="1" t="s">
        <v>85</v>
      </c>
      <c r="E129" s="1" t="s">
        <v>43</v>
      </c>
      <c r="H129" s="1" t="s">
        <v>25</v>
      </c>
      <c r="I129" s="1" t="s">
        <v>23</v>
      </c>
      <c r="M129" s="1" t="b">
        <v>0</v>
      </c>
    </row>
    <row r="130" spans="4:13">
      <c r="D130" s="1" t="s">
        <v>85</v>
      </c>
      <c r="E130" s="1" t="s">
        <v>44</v>
      </c>
      <c r="F130" s="1" t="s">
        <v>45</v>
      </c>
      <c r="G130" s="1" t="s">
        <v>46</v>
      </c>
      <c r="H130" s="1" t="s">
        <v>22</v>
      </c>
      <c r="I130" s="1" t="s">
        <v>23</v>
      </c>
      <c r="J130" s="1">
        <v>-85.984522757427143</v>
      </c>
      <c r="K130" s="1">
        <v>8598.4522757427148</v>
      </c>
      <c r="L130" s="1">
        <v>114.79148749423418</v>
      </c>
      <c r="M130" s="1">
        <v>128.97678413614071</v>
      </c>
    </row>
    <row r="131" spans="4:13">
      <c r="D131" s="1" t="s">
        <v>85</v>
      </c>
      <c r="E131" s="1" t="s">
        <v>47</v>
      </c>
      <c r="H131" s="1" t="s">
        <v>25</v>
      </c>
      <c r="I131" s="1" t="s">
        <v>23</v>
      </c>
      <c r="M131" s="1" t="b">
        <v>0</v>
      </c>
    </row>
    <row r="132" spans="4:13">
      <c r="D132" s="1" t="s">
        <v>85</v>
      </c>
      <c r="E132" s="1" t="s">
        <v>48</v>
      </c>
      <c r="H132" s="1" t="s">
        <v>25</v>
      </c>
      <c r="I132" s="1" t="s">
        <v>23</v>
      </c>
      <c r="M132" s="1" t="b">
        <v>0</v>
      </c>
    </row>
    <row r="133" spans="4:13">
      <c r="D133" s="1" t="s">
        <v>85</v>
      </c>
      <c r="E133" s="1" t="s">
        <v>49</v>
      </c>
      <c r="H133" s="1" t="s">
        <v>25</v>
      </c>
      <c r="I133" s="1" t="s">
        <v>23</v>
      </c>
      <c r="M133" s="1" t="b">
        <v>0</v>
      </c>
    </row>
    <row r="134" spans="4:13">
      <c r="D134" s="1" t="s">
        <v>85</v>
      </c>
      <c r="E134" s="1" t="s">
        <v>50</v>
      </c>
      <c r="H134" s="1" t="s">
        <v>25</v>
      </c>
      <c r="I134" s="1" t="s">
        <v>23</v>
      </c>
      <c r="M134" s="1" t="b">
        <v>0</v>
      </c>
    </row>
    <row r="135" spans="4:13">
      <c r="D135" s="1" t="s">
        <v>85</v>
      </c>
      <c r="E135" s="1" t="s">
        <v>51</v>
      </c>
      <c r="F135" s="1" t="s">
        <v>52</v>
      </c>
      <c r="G135" s="1" t="s">
        <v>53</v>
      </c>
      <c r="H135" s="1" t="s">
        <v>22</v>
      </c>
      <c r="I135" s="1" t="s">
        <v>23</v>
      </c>
      <c r="J135" s="1">
        <v>0</v>
      </c>
      <c r="K135" s="1">
        <v>7936641438.6555996</v>
      </c>
      <c r="L135" s="1">
        <v>7936.6414386555998</v>
      </c>
      <c r="M135" s="1">
        <v>7936.6414386555998</v>
      </c>
    </row>
    <row r="136" spans="4:13">
      <c r="D136" s="1" t="s">
        <v>85</v>
      </c>
      <c r="E136" s="1" t="s">
        <v>54</v>
      </c>
      <c r="H136" s="1" t="s">
        <v>25</v>
      </c>
      <c r="I136" s="1" t="s">
        <v>23</v>
      </c>
      <c r="M136" s="1" t="b">
        <v>0</v>
      </c>
    </row>
    <row r="137" spans="4:13">
      <c r="D137" s="1" t="s">
        <v>85</v>
      </c>
      <c r="E137" s="1" t="s">
        <v>55</v>
      </c>
      <c r="F137" s="1" t="s">
        <v>56</v>
      </c>
      <c r="G137" s="1" t="s">
        <v>57</v>
      </c>
      <c r="H137" s="1" t="s">
        <v>22</v>
      </c>
      <c r="I137" s="1" t="s">
        <v>23</v>
      </c>
      <c r="J137" s="1">
        <v>0</v>
      </c>
      <c r="K137" s="1">
        <v>9427.4529524635982</v>
      </c>
      <c r="L137" s="1">
        <v>50.713895374744951</v>
      </c>
      <c r="M137" s="1">
        <v>50.763208205573221</v>
      </c>
    </row>
    <row r="138" spans="4:13">
      <c r="D138" s="1" t="s">
        <v>85</v>
      </c>
      <c r="E138" s="1" t="s">
        <v>58</v>
      </c>
      <c r="H138" s="1" t="s">
        <v>25</v>
      </c>
      <c r="I138" s="1" t="s">
        <v>23</v>
      </c>
      <c r="M138" s="1" t="b">
        <v>0</v>
      </c>
    </row>
    <row r="139" spans="4:13">
      <c r="D139" s="1" t="s">
        <v>85</v>
      </c>
      <c r="E139" s="1" t="s">
        <v>59</v>
      </c>
      <c r="F139" s="1" t="s">
        <v>60</v>
      </c>
      <c r="G139" s="1" t="s">
        <v>61</v>
      </c>
      <c r="H139" s="1" t="s">
        <v>22</v>
      </c>
      <c r="I139" s="1" t="s">
        <v>23</v>
      </c>
      <c r="J139" s="1">
        <v>-9.5538358650799999</v>
      </c>
      <c r="K139" s="1">
        <v>9.5538358650799999</v>
      </c>
      <c r="L139" s="1">
        <v>0.23884589662700001</v>
      </c>
      <c r="M139" s="1">
        <v>0.23884589662700001</v>
      </c>
    </row>
    <row r="140" spans="4:13">
      <c r="D140" s="1" t="s">
        <v>85</v>
      </c>
      <c r="E140" s="1" t="s">
        <v>62</v>
      </c>
      <c r="H140" s="1" t="s">
        <v>63</v>
      </c>
      <c r="I140" s="1" t="s">
        <v>23</v>
      </c>
      <c r="M140" s="1">
        <v>1</v>
      </c>
    </row>
    <row r="141" spans="4:13">
      <c r="D141" s="1" t="s">
        <v>85</v>
      </c>
      <c r="E141" s="1" t="s">
        <v>64</v>
      </c>
      <c r="F141" s="1" t="s">
        <v>35</v>
      </c>
      <c r="G141" s="1" t="s">
        <v>36</v>
      </c>
      <c r="H141" s="1" t="s">
        <v>22</v>
      </c>
      <c r="I141" s="1" t="s">
        <v>65</v>
      </c>
      <c r="J141" s="1">
        <v>-459.67</v>
      </c>
      <c r="L141" s="1">
        <v>80.329999999999984</v>
      </c>
    </row>
    <row r="142" spans="4:13">
      <c r="D142" s="1" t="s">
        <v>85</v>
      </c>
      <c r="E142" s="1" t="s">
        <v>66</v>
      </c>
      <c r="F142" s="1" t="s">
        <v>35</v>
      </c>
      <c r="G142" s="1" t="s">
        <v>36</v>
      </c>
      <c r="H142" s="1" t="s">
        <v>22</v>
      </c>
      <c r="I142" s="1" t="s">
        <v>65</v>
      </c>
      <c r="J142" s="1">
        <v>-459.67</v>
      </c>
      <c r="L142" s="1">
        <v>80.329999999999984</v>
      </c>
    </row>
    <row r="143" spans="4:13">
      <c r="D143" s="1" t="s">
        <v>85</v>
      </c>
      <c r="E143" s="1" t="s">
        <v>67</v>
      </c>
      <c r="F143" s="1" t="s">
        <v>41</v>
      </c>
      <c r="G143" s="1" t="s">
        <v>42</v>
      </c>
      <c r="H143" s="1" t="s">
        <v>22</v>
      </c>
      <c r="I143" s="1" t="s">
        <v>65</v>
      </c>
      <c r="L143" s="1">
        <v>1.8</v>
      </c>
    </row>
    <row r="144" spans="4:13">
      <c r="D144" s="1" t="s">
        <v>85</v>
      </c>
      <c r="E144" s="1" t="s">
        <v>68</v>
      </c>
      <c r="F144" s="1" t="s">
        <v>45</v>
      </c>
      <c r="G144" s="1" t="s">
        <v>46</v>
      </c>
      <c r="H144" s="1" t="s">
        <v>22</v>
      </c>
      <c r="I144" s="1" t="s">
        <v>65</v>
      </c>
      <c r="L144" s="1">
        <v>4.2992261378713571E-4</v>
      </c>
    </row>
    <row r="145" spans="4:13">
      <c r="D145" s="1" t="s">
        <v>85</v>
      </c>
      <c r="E145" s="1" t="s">
        <v>69</v>
      </c>
      <c r="H145" s="1" t="s">
        <v>25</v>
      </c>
      <c r="I145" s="1" t="s">
        <v>70</v>
      </c>
    </row>
    <row r="146" spans="4:13">
      <c r="D146" s="1" t="s">
        <v>85</v>
      </c>
      <c r="E146" s="1" t="s">
        <v>71</v>
      </c>
      <c r="F146" s="1" t="s">
        <v>52</v>
      </c>
      <c r="G146" s="1" t="s">
        <v>53</v>
      </c>
      <c r="H146" s="1" t="s">
        <v>22</v>
      </c>
      <c r="I146" s="1" t="s">
        <v>65</v>
      </c>
      <c r="L146" s="1">
        <v>7936.6414386555998</v>
      </c>
    </row>
    <row r="147" spans="4:13">
      <c r="D147" s="1" t="s">
        <v>85</v>
      </c>
      <c r="E147" s="1" t="s">
        <v>72</v>
      </c>
      <c r="F147" s="1" t="s">
        <v>56</v>
      </c>
      <c r="G147" s="1" t="s">
        <v>57</v>
      </c>
      <c r="H147" s="1" t="s">
        <v>22</v>
      </c>
      <c r="I147" s="1" t="s">
        <v>65</v>
      </c>
      <c r="J147" s="1">
        <v>0</v>
      </c>
      <c r="L147" s="1">
        <v>14.503773773020921</v>
      </c>
    </row>
    <row r="148" spans="4:13">
      <c r="D148" s="1" t="s">
        <v>85</v>
      </c>
      <c r="E148" s="1" t="s">
        <v>73</v>
      </c>
      <c r="F148" s="1" t="s">
        <v>60</v>
      </c>
      <c r="G148" s="1" t="s">
        <v>61</v>
      </c>
      <c r="H148" s="1" t="s">
        <v>22</v>
      </c>
      <c r="I148" s="1" t="s">
        <v>65</v>
      </c>
      <c r="L148" s="1">
        <v>2.38845896627E-4</v>
      </c>
    </row>
    <row r="149" spans="4:13">
      <c r="D149" s="1" t="s">
        <v>85</v>
      </c>
      <c r="E149" s="1" t="s">
        <v>74</v>
      </c>
      <c r="F149" s="1" t="s">
        <v>75</v>
      </c>
      <c r="G149" s="1" t="s">
        <v>76</v>
      </c>
      <c r="H149" s="1" t="s">
        <v>22</v>
      </c>
      <c r="I149" s="1" t="s">
        <v>65</v>
      </c>
      <c r="J149" s="1">
        <v>0</v>
      </c>
      <c r="L149" s="1">
        <v>16.018463521800001</v>
      </c>
    </row>
    <row r="150" spans="4:13">
      <c r="D150" s="1" t="s">
        <v>85</v>
      </c>
      <c r="E150" s="1" t="s">
        <v>77</v>
      </c>
      <c r="H150" s="1" t="s">
        <v>22</v>
      </c>
      <c r="I150" s="1" t="s">
        <v>65</v>
      </c>
      <c r="L150" s="1">
        <v>1</v>
      </c>
    </row>
    <row r="151" spans="4:13">
      <c r="D151" s="1" t="s">
        <v>85</v>
      </c>
      <c r="E151" s="1" t="s">
        <v>78</v>
      </c>
      <c r="H151" s="1" t="s">
        <v>25</v>
      </c>
      <c r="I151" s="1" t="s">
        <v>23</v>
      </c>
      <c r="M151" s="1" t="b">
        <v>0</v>
      </c>
    </row>
    <row r="152" spans="4:13">
      <c r="D152" s="1" t="s">
        <v>85</v>
      </c>
      <c r="E152" s="1" t="s">
        <v>79</v>
      </c>
      <c r="F152" s="1" t="s">
        <v>75</v>
      </c>
      <c r="G152" s="1" t="s">
        <v>76</v>
      </c>
      <c r="H152" s="1" t="s">
        <v>22</v>
      </c>
      <c r="I152" s="1" t="s">
        <v>23</v>
      </c>
      <c r="J152" s="1">
        <v>0</v>
      </c>
      <c r="K152" s="1">
        <v>96.110781130800007</v>
      </c>
      <c r="L152" s="1">
        <v>16.018463521800001</v>
      </c>
      <c r="M152" s="1">
        <v>1.6018463521800002</v>
      </c>
    </row>
    <row r="153" spans="4:13">
      <c r="D153" s="1" t="s">
        <v>85</v>
      </c>
      <c r="E153" s="1" t="s">
        <v>80</v>
      </c>
      <c r="H153" s="1" t="s">
        <v>25</v>
      </c>
      <c r="I153" s="1" t="s">
        <v>23</v>
      </c>
      <c r="M153" s="1" t="b">
        <v>0</v>
      </c>
    </row>
    <row r="154" spans="4:13">
      <c r="D154" s="1" t="s">
        <v>85</v>
      </c>
      <c r="E154" s="1" t="s">
        <v>81</v>
      </c>
      <c r="H154" s="1" t="s">
        <v>25</v>
      </c>
      <c r="I154" s="1" t="s">
        <v>23</v>
      </c>
      <c r="M154" s="1" t="b">
        <v>0</v>
      </c>
    </row>
    <row r="155" spans="4:13">
      <c r="D155" s="1" t="s">
        <v>85</v>
      </c>
      <c r="E155" s="1" t="s">
        <v>82</v>
      </c>
      <c r="H155" s="1" t="s">
        <v>22</v>
      </c>
      <c r="I155" s="1" t="s">
        <v>23</v>
      </c>
      <c r="J155" s="1">
        <v>-1</v>
      </c>
      <c r="K155" s="1">
        <v>3</v>
      </c>
      <c r="L155" s="1">
        <v>1</v>
      </c>
      <c r="M155" s="1">
        <v>1.01</v>
      </c>
    </row>
    <row r="156" spans="4:13">
      <c r="D156" s="1" t="s">
        <v>86</v>
      </c>
      <c r="E156" s="1" t="s">
        <v>28</v>
      </c>
      <c r="H156" s="1" t="s">
        <v>22</v>
      </c>
      <c r="I156" s="1" t="s">
        <v>29</v>
      </c>
      <c r="J156" s="1">
        <v>34000</v>
      </c>
      <c r="K156" s="1">
        <v>4300000</v>
      </c>
      <c r="L156" s="1">
        <v>349660</v>
      </c>
    </row>
    <row r="157" spans="4:13">
      <c r="D157" s="1" t="s">
        <v>86</v>
      </c>
      <c r="E157" s="1" t="s">
        <v>30</v>
      </c>
      <c r="H157" s="1" t="s">
        <v>22</v>
      </c>
      <c r="I157" s="1" t="s">
        <v>29</v>
      </c>
      <c r="J157" s="1">
        <v>-3.94</v>
      </c>
      <c r="K157" s="1">
        <v>3.66</v>
      </c>
      <c r="L157" s="1">
        <v>1</v>
      </c>
    </row>
    <row r="158" spans="4:13">
      <c r="D158" s="1" t="s">
        <v>86</v>
      </c>
      <c r="E158" s="1" t="s">
        <v>31</v>
      </c>
      <c r="H158" s="1" t="s">
        <v>22</v>
      </c>
      <c r="I158" s="1" t="s">
        <v>29</v>
      </c>
      <c r="J158" s="1">
        <v>0</v>
      </c>
      <c r="K158" s="1">
        <v>100</v>
      </c>
      <c r="L158" s="1">
        <v>1</v>
      </c>
    </row>
    <row r="159" spans="4:13">
      <c r="D159" s="1" t="s">
        <v>86</v>
      </c>
      <c r="E159" s="1" t="s">
        <v>32</v>
      </c>
      <c r="H159" s="1" t="s">
        <v>22</v>
      </c>
      <c r="I159" s="1" t="s">
        <v>29</v>
      </c>
      <c r="J159" s="1">
        <v>-3.94</v>
      </c>
      <c r="K159" s="1">
        <v>3.66</v>
      </c>
      <c r="L159" s="1">
        <v>1</v>
      </c>
    </row>
    <row r="160" spans="4:13">
      <c r="D160" s="1" t="s">
        <v>86</v>
      </c>
      <c r="E160" s="1" t="s">
        <v>33</v>
      </c>
      <c r="H160" s="1" t="s">
        <v>25</v>
      </c>
      <c r="I160" s="1" t="s">
        <v>23</v>
      </c>
      <c r="M160" s="1" t="b">
        <v>0</v>
      </c>
    </row>
    <row r="161" spans="4:13">
      <c r="D161" s="1" t="s">
        <v>86</v>
      </c>
      <c r="E161" s="1" t="s">
        <v>34</v>
      </c>
      <c r="F161" s="1" t="s">
        <v>35</v>
      </c>
      <c r="G161" s="1" t="s">
        <v>36</v>
      </c>
      <c r="H161" s="1" t="s">
        <v>22</v>
      </c>
      <c r="I161" s="1" t="s">
        <v>23</v>
      </c>
      <c r="J161" s="1">
        <v>-459.67</v>
      </c>
      <c r="K161" s="1">
        <v>980.32999999999993</v>
      </c>
      <c r="L161" s="1">
        <v>80.329999999999984</v>
      </c>
      <c r="M161" s="1">
        <v>67.999999999999943</v>
      </c>
    </row>
    <row r="162" spans="4:13">
      <c r="D162" s="1" t="s">
        <v>86</v>
      </c>
      <c r="E162" s="1" t="s">
        <v>37</v>
      </c>
      <c r="H162" s="1" t="s">
        <v>25</v>
      </c>
      <c r="I162" s="1" t="s">
        <v>23</v>
      </c>
      <c r="M162" s="1" t="b">
        <v>0</v>
      </c>
    </row>
    <row r="163" spans="4:13">
      <c r="D163" s="1" t="s">
        <v>86</v>
      </c>
      <c r="E163" s="1" t="s">
        <v>38</v>
      </c>
      <c r="F163" s="1" t="s">
        <v>35</v>
      </c>
      <c r="G163" s="1" t="s">
        <v>36</v>
      </c>
      <c r="H163" s="1" t="s">
        <v>22</v>
      </c>
      <c r="I163" s="1" t="s">
        <v>23</v>
      </c>
      <c r="J163" s="1">
        <v>-99.670000000000016</v>
      </c>
      <c r="K163" s="1">
        <v>980.32999999999993</v>
      </c>
      <c r="L163" s="1">
        <v>80.329999999999984</v>
      </c>
      <c r="M163" s="1">
        <v>13.999999999999943</v>
      </c>
    </row>
    <row r="164" spans="4:13">
      <c r="D164" s="1" t="s">
        <v>86</v>
      </c>
      <c r="E164" s="1" t="s">
        <v>39</v>
      </c>
      <c r="H164" s="1" t="s">
        <v>25</v>
      </c>
      <c r="I164" s="1" t="s">
        <v>23</v>
      </c>
      <c r="M164" s="1" t="b">
        <v>0</v>
      </c>
    </row>
    <row r="165" spans="4:13">
      <c r="D165" s="1" t="s">
        <v>86</v>
      </c>
      <c r="E165" s="1" t="s">
        <v>40</v>
      </c>
      <c r="F165" s="1" t="s">
        <v>41</v>
      </c>
      <c r="G165" s="1" t="s">
        <v>42</v>
      </c>
      <c r="H165" s="1" t="s">
        <v>22</v>
      </c>
      <c r="I165" s="1" t="s">
        <v>23</v>
      </c>
      <c r="J165" s="1">
        <v>-900</v>
      </c>
      <c r="K165" s="1">
        <v>900</v>
      </c>
      <c r="L165" s="1">
        <v>1.8</v>
      </c>
      <c r="M165" s="1">
        <v>9</v>
      </c>
    </row>
    <row r="166" spans="4:13">
      <c r="D166" s="1" t="s">
        <v>86</v>
      </c>
      <c r="E166" s="1" t="s">
        <v>43</v>
      </c>
      <c r="H166" s="1" t="s">
        <v>25</v>
      </c>
      <c r="I166" s="1" t="s">
        <v>23</v>
      </c>
      <c r="M166" s="1" t="b">
        <v>0</v>
      </c>
    </row>
    <row r="167" spans="4:13">
      <c r="D167" s="1" t="s">
        <v>86</v>
      </c>
      <c r="E167" s="1" t="s">
        <v>44</v>
      </c>
      <c r="F167" s="1" t="s">
        <v>45</v>
      </c>
      <c r="G167" s="1" t="s">
        <v>46</v>
      </c>
      <c r="H167" s="1" t="s">
        <v>22</v>
      </c>
      <c r="I167" s="1" t="s">
        <v>23</v>
      </c>
      <c r="J167" s="1">
        <v>-85.984522757427143</v>
      </c>
      <c r="K167" s="1">
        <v>8598.4522757427148</v>
      </c>
      <c r="L167" s="1">
        <v>114.79148749423418</v>
      </c>
      <c r="M167" s="1">
        <v>128.97678413614071</v>
      </c>
    </row>
    <row r="168" spans="4:13">
      <c r="D168" s="1" t="s">
        <v>86</v>
      </c>
      <c r="E168" s="1" t="s">
        <v>47</v>
      </c>
      <c r="H168" s="1" t="s">
        <v>25</v>
      </c>
      <c r="I168" s="1" t="s">
        <v>23</v>
      </c>
      <c r="M168" s="1" t="b">
        <v>0</v>
      </c>
    </row>
    <row r="169" spans="4:13">
      <c r="D169" s="1" t="s">
        <v>86</v>
      </c>
      <c r="E169" s="1" t="s">
        <v>48</v>
      </c>
      <c r="H169" s="1" t="s">
        <v>25</v>
      </c>
      <c r="I169" s="1" t="s">
        <v>23</v>
      </c>
      <c r="M169" s="1" t="b">
        <v>0</v>
      </c>
    </row>
    <row r="170" spans="4:13">
      <c r="D170" s="1" t="s">
        <v>86</v>
      </c>
      <c r="E170" s="1" t="s">
        <v>49</v>
      </c>
      <c r="H170" s="1" t="s">
        <v>25</v>
      </c>
      <c r="I170" s="1" t="s">
        <v>23</v>
      </c>
      <c r="M170" s="1" t="b">
        <v>0</v>
      </c>
    </row>
    <row r="171" spans="4:13">
      <c r="D171" s="1" t="s">
        <v>86</v>
      </c>
      <c r="E171" s="1" t="s">
        <v>50</v>
      </c>
      <c r="H171" s="1" t="s">
        <v>25</v>
      </c>
      <c r="I171" s="1" t="s">
        <v>23</v>
      </c>
      <c r="M171" s="1" t="b">
        <v>0</v>
      </c>
    </row>
    <row r="172" spans="4:13">
      <c r="D172" s="1" t="s">
        <v>86</v>
      </c>
      <c r="E172" s="1" t="s">
        <v>51</v>
      </c>
      <c r="F172" s="1" t="s">
        <v>52</v>
      </c>
      <c r="G172" s="1" t="s">
        <v>53</v>
      </c>
      <c r="H172" s="1" t="s">
        <v>22</v>
      </c>
      <c r="I172" s="1" t="s">
        <v>23</v>
      </c>
      <c r="J172" s="1">
        <v>0</v>
      </c>
      <c r="K172" s="1">
        <v>7936641438.6555996</v>
      </c>
      <c r="L172" s="1">
        <v>7936.6414386555998</v>
      </c>
      <c r="M172" s="1">
        <v>7936.6414386555998</v>
      </c>
    </row>
    <row r="173" spans="4:13">
      <c r="D173" s="1" t="s">
        <v>86</v>
      </c>
      <c r="E173" s="1" t="s">
        <v>54</v>
      </c>
      <c r="H173" s="1" t="s">
        <v>25</v>
      </c>
      <c r="I173" s="1" t="s">
        <v>23</v>
      </c>
      <c r="M173" s="1" t="b">
        <v>0</v>
      </c>
    </row>
    <row r="174" spans="4:13">
      <c r="D174" s="1" t="s">
        <v>86</v>
      </c>
      <c r="E174" s="1" t="s">
        <v>55</v>
      </c>
      <c r="F174" s="1" t="s">
        <v>56</v>
      </c>
      <c r="G174" s="1" t="s">
        <v>57</v>
      </c>
      <c r="H174" s="1" t="s">
        <v>22</v>
      </c>
      <c r="I174" s="1" t="s">
        <v>23</v>
      </c>
      <c r="J174" s="1">
        <v>0</v>
      </c>
      <c r="K174" s="1">
        <v>9427.4529524635982</v>
      </c>
      <c r="L174" s="1">
        <v>50.713895374744951</v>
      </c>
      <c r="M174" s="1">
        <v>50.763208205573221</v>
      </c>
    </row>
    <row r="175" spans="4:13">
      <c r="D175" s="1" t="s">
        <v>86</v>
      </c>
      <c r="E175" s="1" t="s">
        <v>58</v>
      </c>
      <c r="H175" s="1" t="s">
        <v>25</v>
      </c>
      <c r="I175" s="1" t="s">
        <v>23</v>
      </c>
      <c r="M175" s="1" t="b">
        <v>0</v>
      </c>
    </row>
    <row r="176" spans="4:13">
      <c r="D176" s="1" t="s">
        <v>86</v>
      </c>
      <c r="E176" s="1" t="s">
        <v>59</v>
      </c>
      <c r="F176" s="1" t="s">
        <v>60</v>
      </c>
      <c r="G176" s="1" t="s">
        <v>61</v>
      </c>
      <c r="H176" s="1" t="s">
        <v>22</v>
      </c>
      <c r="I176" s="1" t="s">
        <v>23</v>
      </c>
      <c r="J176" s="1">
        <v>-9.5538358650799999</v>
      </c>
      <c r="K176" s="1">
        <v>9.5538358650799999</v>
      </c>
      <c r="L176" s="1">
        <v>0.23884589662700001</v>
      </c>
      <c r="M176" s="1">
        <v>0.23884589662700001</v>
      </c>
    </row>
    <row r="177" spans="4:13">
      <c r="D177" s="1" t="s">
        <v>86</v>
      </c>
      <c r="E177" s="1" t="s">
        <v>62</v>
      </c>
      <c r="H177" s="1" t="s">
        <v>63</v>
      </c>
      <c r="I177" s="1" t="s">
        <v>23</v>
      </c>
      <c r="M177" s="1">
        <v>1</v>
      </c>
    </row>
    <row r="178" spans="4:13">
      <c r="D178" s="1" t="s">
        <v>86</v>
      </c>
      <c r="E178" s="1" t="s">
        <v>64</v>
      </c>
      <c r="F178" s="1" t="s">
        <v>35</v>
      </c>
      <c r="G178" s="1" t="s">
        <v>36</v>
      </c>
      <c r="H178" s="1" t="s">
        <v>22</v>
      </c>
      <c r="I178" s="1" t="s">
        <v>65</v>
      </c>
      <c r="J178" s="1">
        <v>-459.67</v>
      </c>
      <c r="L178" s="1">
        <v>80.329999999999984</v>
      </c>
    </row>
    <row r="179" spans="4:13">
      <c r="D179" s="1" t="s">
        <v>86</v>
      </c>
      <c r="E179" s="1" t="s">
        <v>66</v>
      </c>
      <c r="F179" s="1" t="s">
        <v>35</v>
      </c>
      <c r="G179" s="1" t="s">
        <v>36</v>
      </c>
      <c r="H179" s="1" t="s">
        <v>22</v>
      </c>
      <c r="I179" s="1" t="s">
        <v>65</v>
      </c>
      <c r="J179" s="1">
        <v>-459.67</v>
      </c>
      <c r="L179" s="1">
        <v>80.329999999999984</v>
      </c>
    </row>
    <row r="180" spans="4:13">
      <c r="D180" s="1" t="s">
        <v>86</v>
      </c>
      <c r="E180" s="1" t="s">
        <v>67</v>
      </c>
      <c r="F180" s="1" t="s">
        <v>41</v>
      </c>
      <c r="G180" s="1" t="s">
        <v>42</v>
      </c>
      <c r="H180" s="1" t="s">
        <v>22</v>
      </c>
      <c r="I180" s="1" t="s">
        <v>65</v>
      </c>
      <c r="L180" s="1">
        <v>1.8</v>
      </c>
    </row>
    <row r="181" spans="4:13">
      <c r="D181" s="1" t="s">
        <v>86</v>
      </c>
      <c r="E181" s="1" t="s">
        <v>68</v>
      </c>
      <c r="F181" s="1" t="s">
        <v>45</v>
      </c>
      <c r="G181" s="1" t="s">
        <v>46</v>
      </c>
      <c r="H181" s="1" t="s">
        <v>22</v>
      </c>
      <c r="I181" s="1" t="s">
        <v>65</v>
      </c>
      <c r="L181" s="1">
        <v>4.2992261378713571E-4</v>
      </c>
    </row>
    <row r="182" spans="4:13">
      <c r="D182" s="1" t="s">
        <v>86</v>
      </c>
      <c r="E182" s="1" t="s">
        <v>69</v>
      </c>
      <c r="H182" s="1" t="s">
        <v>25</v>
      </c>
      <c r="I182" s="1" t="s">
        <v>70</v>
      </c>
    </row>
    <row r="183" spans="4:13">
      <c r="D183" s="1" t="s">
        <v>86</v>
      </c>
      <c r="E183" s="1" t="s">
        <v>71</v>
      </c>
      <c r="F183" s="1" t="s">
        <v>52</v>
      </c>
      <c r="G183" s="1" t="s">
        <v>53</v>
      </c>
      <c r="H183" s="1" t="s">
        <v>22</v>
      </c>
      <c r="I183" s="1" t="s">
        <v>65</v>
      </c>
      <c r="L183" s="1">
        <v>7936.6414386555998</v>
      </c>
    </row>
    <row r="184" spans="4:13">
      <c r="D184" s="1" t="s">
        <v>86</v>
      </c>
      <c r="E184" s="1" t="s">
        <v>72</v>
      </c>
      <c r="F184" s="1" t="s">
        <v>56</v>
      </c>
      <c r="G184" s="1" t="s">
        <v>57</v>
      </c>
      <c r="H184" s="1" t="s">
        <v>22</v>
      </c>
      <c r="I184" s="1" t="s">
        <v>65</v>
      </c>
      <c r="J184" s="1">
        <v>0</v>
      </c>
      <c r="L184" s="1">
        <v>14.503773773020921</v>
      </c>
    </row>
    <row r="185" spans="4:13">
      <c r="D185" s="1" t="s">
        <v>86</v>
      </c>
      <c r="E185" s="1" t="s">
        <v>73</v>
      </c>
      <c r="F185" s="1" t="s">
        <v>60</v>
      </c>
      <c r="G185" s="1" t="s">
        <v>61</v>
      </c>
      <c r="H185" s="1" t="s">
        <v>22</v>
      </c>
      <c r="I185" s="1" t="s">
        <v>65</v>
      </c>
      <c r="L185" s="1">
        <v>2.38845896627E-4</v>
      </c>
    </row>
    <row r="186" spans="4:13">
      <c r="D186" s="1" t="s">
        <v>86</v>
      </c>
      <c r="E186" s="1" t="s">
        <v>74</v>
      </c>
      <c r="F186" s="1" t="s">
        <v>75</v>
      </c>
      <c r="G186" s="1" t="s">
        <v>76</v>
      </c>
      <c r="H186" s="1" t="s">
        <v>22</v>
      </c>
      <c r="I186" s="1" t="s">
        <v>65</v>
      </c>
      <c r="J186" s="1">
        <v>0</v>
      </c>
      <c r="L186" s="1">
        <v>16.018463521800001</v>
      </c>
    </row>
    <row r="187" spans="4:13">
      <c r="D187" s="1" t="s">
        <v>86</v>
      </c>
      <c r="E187" s="1" t="s">
        <v>77</v>
      </c>
      <c r="H187" s="1" t="s">
        <v>22</v>
      </c>
      <c r="I187" s="1" t="s">
        <v>65</v>
      </c>
      <c r="L187" s="1">
        <v>1</v>
      </c>
    </row>
    <row r="188" spans="4:13">
      <c r="D188" s="1" t="s">
        <v>86</v>
      </c>
      <c r="E188" s="1" t="s">
        <v>78</v>
      </c>
      <c r="H188" s="1" t="s">
        <v>25</v>
      </c>
      <c r="I188" s="1" t="s">
        <v>23</v>
      </c>
      <c r="M188" s="1" t="b">
        <v>0</v>
      </c>
    </row>
    <row r="189" spans="4:13">
      <c r="D189" s="1" t="s">
        <v>86</v>
      </c>
      <c r="E189" s="1" t="s">
        <v>79</v>
      </c>
      <c r="F189" s="1" t="s">
        <v>75</v>
      </c>
      <c r="G189" s="1" t="s">
        <v>76</v>
      </c>
      <c r="H189" s="1" t="s">
        <v>22</v>
      </c>
      <c r="I189" s="1" t="s">
        <v>23</v>
      </c>
      <c r="J189" s="1">
        <v>0</v>
      </c>
      <c r="K189" s="1">
        <v>96.110781130800007</v>
      </c>
      <c r="L189" s="1">
        <v>16.018463521800001</v>
      </c>
      <c r="M189" s="1">
        <v>1.6018463521800002</v>
      </c>
    </row>
    <row r="190" spans="4:13">
      <c r="D190" s="1" t="s">
        <v>86</v>
      </c>
      <c r="E190" s="1" t="s">
        <v>80</v>
      </c>
      <c r="H190" s="1" t="s">
        <v>25</v>
      </c>
      <c r="I190" s="1" t="s">
        <v>23</v>
      </c>
      <c r="M190" s="1" t="b">
        <v>0</v>
      </c>
    </row>
    <row r="191" spans="4:13">
      <c r="D191" s="1" t="s">
        <v>86</v>
      </c>
      <c r="E191" s="1" t="s">
        <v>81</v>
      </c>
      <c r="H191" s="1" t="s">
        <v>25</v>
      </c>
      <c r="I191" s="1" t="s">
        <v>23</v>
      </c>
      <c r="M191" s="1" t="b">
        <v>0</v>
      </c>
    </row>
    <row r="192" spans="4:13">
      <c r="D192" s="1" t="s">
        <v>86</v>
      </c>
      <c r="E192" s="1" t="s">
        <v>82</v>
      </c>
      <c r="H192" s="1" t="s">
        <v>22</v>
      </c>
      <c r="I192" s="1" t="s">
        <v>23</v>
      </c>
      <c r="J192" s="1">
        <v>-1</v>
      </c>
      <c r="K192" s="1">
        <v>3</v>
      </c>
      <c r="L192" s="1">
        <v>1</v>
      </c>
      <c r="M192" s="1">
        <v>1.01</v>
      </c>
    </row>
    <row r="193" spans="4:13">
      <c r="D193" s="1" t="s">
        <v>87</v>
      </c>
      <c r="E193" s="1" t="s">
        <v>28</v>
      </c>
      <c r="H193" s="1" t="s">
        <v>22</v>
      </c>
      <c r="I193" s="1" t="s">
        <v>29</v>
      </c>
      <c r="J193" s="1">
        <v>34000</v>
      </c>
      <c r="K193" s="1">
        <v>4300000</v>
      </c>
      <c r="L193" s="1">
        <v>349660</v>
      </c>
    </row>
    <row r="194" spans="4:13">
      <c r="D194" s="1" t="s">
        <v>87</v>
      </c>
      <c r="E194" s="1" t="s">
        <v>30</v>
      </c>
      <c r="H194" s="1" t="s">
        <v>22</v>
      </c>
      <c r="I194" s="1" t="s">
        <v>29</v>
      </c>
      <c r="J194" s="1">
        <v>-3.94</v>
      </c>
      <c r="K194" s="1">
        <v>3.66</v>
      </c>
      <c r="L194" s="1">
        <v>1</v>
      </c>
    </row>
    <row r="195" spans="4:13">
      <c r="D195" s="1" t="s">
        <v>87</v>
      </c>
      <c r="E195" s="1" t="s">
        <v>31</v>
      </c>
      <c r="H195" s="1" t="s">
        <v>22</v>
      </c>
      <c r="I195" s="1" t="s">
        <v>29</v>
      </c>
      <c r="J195" s="1">
        <v>0</v>
      </c>
      <c r="K195" s="1">
        <v>100</v>
      </c>
      <c r="L195" s="1">
        <v>1</v>
      </c>
    </row>
    <row r="196" spans="4:13">
      <c r="D196" s="1" t="s">
        <v>87</v>
      </c>
      <c r="E196" s="1" t="s">
        <v>32</v>
      </c>
      <c r="H196" s="1" t="s">
        <v>22</v>
      </c>
      <c r="I196" s="1" t="s">
        <v>29</v>
      </c>
      <c r="J196" s="1">
        <v>-3.94</v>
      </c>
      <c r="K196" s="1">
        <v>3.66</v>
      </c>
      <c r="L196" s="1">
        <v>1</v>
      </c>
    </row>
    <row r="197" spans="4:13">
      <c r="D197" s="1" t="s">
        <v>87</v>
      </c>
      <c r="E197" s="1" t="s">
        <v>33</v>
      </c>
      <c r="H197" s="1" t="s">
        <v>25</v>
      </c>
      <c r="I197" s="1" t="s">
        <v>23</v>
      </c>
      <c r="M197" s="1" t="b">
        <v>0</v>
      </c>
    </row>
    <row r="198" spans="4:13">
      <c r="D198" s="1" t="s">
        <v>87</v>
      </c>
      <c r="E198" s="1" t="s">
        <v>34</v>
      </c>
      <c r="F198" s="1" t="s">
        <v>35</v>
      </c>
      <c r="G198" s="1" t="s">
        <v>36</v>
      </c>
      <c r="H198" s="1" t="s">
        <v>22</v>
      </c>
      <c r="I198" s="1" t="s">
        <v>23</v>
      </c>
      <c r="J198" s="1">
        <v>-459.67</v>
      </c>
      <c r="K198" s="1">
        <v>980.32999999999993</v>
      </c>
      <c r="L198" s="1">
        <v>80.329999999999984</v>
      </c>
      <c r="M198" s="1">
        <v>67.999999999999943</v>
      </c>
    </row>
    <row r="199" spans="4:13">
      <c r="D199" s="1" t="s">
        <v>87</v>
      </c>
      <c r="E199" s="1" t="s">
        <v>37</v>
      </c>
      <c r="H199" s="1" t="s">
        <v>25</v>
      </c>
      <c r="I199" s="1" t="s">
        <v>23</v>
      </c>
      <c r="M199" s="1" t="b">
        <v>0</v>
      </c>
    </row>
    <row r="200" spans="4:13">
      <c r="D200" s="1" t="s">
        <v>87</v>
      </c>
      <c r="E200" s="1" t="s">
        <v>38</v>
      </c>
      <c r="F200" s="1" t="s">
        <v>35</v>
      </c>
      <c r="G200" s="1" t="s">
        <v>36</v>
      </c>
      <c r="H200" s="1" t="s">
        <v>22</v>
      </c>
      <c r="I200" s="1" t="s">
        <v>23</v>
      </c>
      <c r="J200" s="1">
        <v>-99.670000000000016</v>
      </c>
      <c r="K200" s="1">
        <v>980.32999999999993</v>
      </c>
      <c r="L200" s="1">
        <v>80.329999999999984</v>
      </c>
      <c r="M200" s="1">
        <v>13.999999999999943</v>
      </c>
    </row>
    <row r="201" spans="4:13">
      <c r="D201" s="1" t="s">
        <v>87</v>
      </c>
      <c r="E201" s="1" t="s">
        <v>39</v>
      </c>
      <c r="H201" s="1" t="s">
        <v>25</v>
      </c>
      <c r="I201" s="1" t="s">
        <v>23</v>
      </c>
      <c r="M201" s="1" t="b">
        <v>0</v>
      </c>
    </row>
    <row r="202" spans="4:13">
      <c r="D202" s="1" t="s">
        <v>87</v>
      </c>
      <c r="E202" s="1" t="s">
        <v>40</v>
      </c>
      <c r="F202" s="1" t="s">
        <v>41</v>
      </c>
      <c r="G202" s="1" t="s">
        <v>42</v>
      </c>
      <c r="H202" s="1" t="s">
        <v>22</v>
      </c>
      <c r="I202" s="1" t="s">
        <v>23</v>
      </c>
      <c r="J202" s="1">
        <v>-900</v>
      </c>
      <c r="K202" s="1">
        <v>900</v>
      </c>
      <c r="L202" s="1">
        <v>1.8</v>
      </c>
      <c r="M202" s="1">
        <v>9</v>
      </c>
    </row>
    <row r="203" spans="4:13">
      <c r="D203" s="1" t="s">
        <v>87</v>
      </c>
      <c r="E203" s="1" t="s">
        <v>43</v>
      </c>
      <c r="H203" s="1" t="s">
        <v>25</v>
      </c>
      <c r="I203" s="1" t="s">
        <v>23</v>
      </c>
      <c r="M203" s="1" t="b">
        <v>0</v>
      </c>
    </row>
    <row r="204" spans="4:13">
      <c r="D204" s="1" t="s">
        <v>87</v>
      </c>
      <c r="E204" s="1" t="s">
        <v>44</v>
      </c>
      <c r="F204" s="1" t="s">
        <v>45</v>
      </c>
      <c r="G204" s="1" t="s">
        <v>46</v>
      </c>
      <c r="H204" s="1" t="s">
        <v>22</v>
      </c>
      <c r="I204" s="1" t="s">
        <v>23</v>
      </c>
      <c r="J204" s="1">
        <v>-85.984522757427143</v>
      </c>
      <c r="K204" s="1">
        <v>8598.4522757427148</v>
      </c>
      <c r="L204" s="1">
        <v>114.79148749423418</v>
      </c>
      <c r="M204" s="1">
        <v>128.97678413614071</v>
      </c>
    </row>
    <row r="205" spans="4:13">
      <c r="D205" s="1" t="s">
        <v>87</v>
      </c>
      <c r="E205" s="1" t="s">
        <v>47</v>
      </c>
      <c r="H205" s="1" t="s">
        <v>25</v>
      </c>
      <c r="I205" s="1" t="s">
        <v>23</v>
      </c>
      <c r="M205" s="1" t="b">
        <v>0</v>
      </c>
    </row>
    <row r="206" spans="4:13">
      <c r="D206" s="1" t="s">
        <v>87</v>
      </c>
      <c r="E206" s="1" t="s">
        <v>48</v>
      </c>
      <c r="H206" s="1" t="s">
        <v>25</v>
      </c>
      <c r="I206" s="1" t="s">
        <v>23</v>
      </c>
      <c r="M206" s="1" t="b">
        <v>0</v>
      </c>
    </row>
    <row r="207" spans="4:13">
      <c r="D207" s="1" t="s">
        <v>87</v>
      </c>
      <c r="E207" s="1" t="s">
        <v>49</v>
      </c>
      <c r="H207" s="1" t="s">
        <v>25</v>
      </c>
      <c r="I207" s="1" t="s">
        <v>23</v>
      </c>
      <c r="M207" s="1" t="b">
        <v>0</v>
      </c>
    </row>
    <row r="208" spans="4:13">
      <c r="D208" s="1" t="s">
        <v>87</v>
      </c>
      <c r="E208" s="1" t="s">
        <v>50</v>
      </c>
      <c r="H208" s="1" t="s">
        <v>25</v>
      </c>
      <c r="I208" s="1" t="s">
        <v>23</v>
      </c>
      <c r="M208" s="1" t="b">
        <v>0</v>
      </c>
    </row>
    <row r="209" spans="4:13">
      <c r="D209" s="1" t="s">
        <v>87</v>
      </c>
      <c r="E209" s="1" t="s">
        <v>51</v>
      </c>
      <c r="F209" s="1" t="s">
        <v>52</v>
      </c>
      <c r="G209" s="1" t="s">
        <v>53</v>
      </c>
      <c r="H209" s="1" t="s">
        <v>22</v>
      </c>
      <c r="I209" s="1" t="s">
        <v>23</v>
      </c>
      <c r="J209" s="1">
        <v>0</v>
      </c>
      <c r="K209" s="1">
        <v>7936641438.6555996</v>
      </c>
      <c r="L209" s="1">
        <v>7936.6414386555998</v>
      </c>
      <c r="M209" s="1">
        <v>7936.6414386555998</v>
      </c>
    </row>
    <row r="210" spans="4:13">
      <c r="D210" s="1" t="s">
        <v>87</v>
      </c>
      <c r="E210" s="1" t="s">
        <v>54</v>
      </c>
      <c r="H210" s="1" t="s">
        <v>25</v>
      </c>
      <c r="I210" s="1" t="s">
        <v>23</v>
      </c>
      <c r="M210" s="1" t="b">
        <v>0</v>
      </c>
    </row>
    <row r="211" spans="4:13">
      <c r="D211" s="1" t="s">
        <v>87</v>
      </c>
      <c r="E211" s="1" t="s">
        <v>55</v>
      </c>
      <c r="F211" s="1" t="s">
        <v>56</v>
      </c>
      <c r="G211" s="1" t="s">
        <v>57</v>
      </c>
      <c r="H211" s="1" t="s">
        <v>22</v>
      </c>
      <c r="I211" s="1" t="s">
        <v>23</v>
      </c>
      <c r="J211" s="1">
        <v>0</v>
      </c>
      <c r="K211" s="1">
        <v>9427.4529524635982</v>
      </c>
      <c r="L211" s="1">
        <v>50.713895374744951</v>
      </c>
      <c r="M211" s="1">
        <v>50.763208205573221</v>
      </c>
    </row>
    <row r="212" spans="4:13">
      <c r="D212" s="1" t="s">
        <v>87</v>
      </c>
      <c r="E212" s="1" t="s">
        <v>58</v>
      </c>
      <c r="H212" s="1" t="s">
        <v>25</v>
      </c>
      <c r="I212" s="1" t="s">
        <v>23</v>
      </c>
      <c r="M212" s="1" t="b">
        <v>0</v>
      </c>
    </row>
    <row r="213" spans="4:13">
      <c r="D213" s="1" t="s">
        <v>87</v>
      </c>
      <c r="E213" s="1" t="s">
        <v>59</v>
      </c>
      <c r="F213" s="1" t="s">
        <v>60</v>
      </c>
      <c r="G213" s="1" t="s">
        <v>61</v>
      </c>
      <c r="H213" s="1" t="s">
        <v>22</v>
      </c>
      <c r="I213" s="1" t="s">
        <v>23</v>
      </c>
      <c r="J213" s="1">
        <v>-9.5538358650799999</v>
      </c>
      <c r="K213" s="1">
        <v>9.5538358650799999</v>
      </c>
      <c r="L213" s="1">
        <v>0.23884589662700001</v>
      </c>
      <c r="M213" s="1">
        <v>0.23884589662700001</v>
      </c>
    </row>
    <row r="214" spans="4:13">
      <c r="D214" s="1" t="s">
        <v>87</v>
      </c>
      <c r="E214" s="1" t="s">
        <v>62</v>
      </c>
      <c r="H214" s="1" t="s">
        <v>63</v>
      </c>
      <c r="I214" s="1" t="s">
        <v>23</v>
      </c>
      <c r="M214" s="1">
        <v>1</v>
      </c>
    </row>
    <row r="215" spans="4:13">
      <c r="D215" s="1" t="s">
        <v>87</v>
      </c>
      <c r="E215" s="1" t="s">
        <v>64</v>
      </c>
      <c r="F215" s="1" t="s">
        <v>35</v>
      </c>
      <c r="G215" s="1" t="s">
        <v>36</v>
      </c>
      <c r="H215" s="1" t="s">
        <v>22</v>
      </c>
      <c r="I215" s="1" t="s">
        <v>65</v>
      </c>
      <c r="J215" s="1">
        <v>-459.67</v>
      </c>
      <c r="L215" s="1">
        <v>80.329999999999984</v>
      </c>
    </row>
    <row r="216" spans="4:13">
      <c r="D216" s="1" t="s">
        <v>87</v>
      </c>
      <c r="E216" s="1" t="s">
        <v>66</v>
      </c>
      <c r="F216" s="1" t="s">
        <v>35</v>
      </c>
      <c r="G216" s="1" t="s">
        <v>36</v>
      </c>
      <c r="H216" s="1" t="s">
        <v>22</v>
      </c>
      <c r="I216" s="1" t="s">
        <v>65</v>
      </c>
      <c r="J216" s="1">
        <v>-459.67</v>
      </c>
      <c r="L216" s="1">
        <v>80.329999999999984</v>
      </c>
    </row>
    <row r="217" spans="4:13">
      <c r="D217" s="1" t="s">
        <v>87</v>
      </c>
      <c r="E217" s="1" t="s">
        <v>67</v>
      </c>
      <c r="F217" s="1" t="s">
        <v>41</v>
      </c>
      <c r="G217" s="1" t="s">
        <v>42</v>
      </c>
      <c r="H217" s="1" t="s">
        <v>22</v>
      </c>
      <c r="I217" s="1" t="s">
        <v>65</v>
      </c>
      <c r="L217" s="1">
        <v>1.8</v>
      </c>
    </row>
    <row r="218" spans="4:13">
      <c r="D218" s="1" t="s">
        <v>87</v>
      </c>
      <c r="E218" s="1" t="s">
        <v>68</v>
      </c>
      <c r="F218" s="1" t="s">
        <v>45</v>
      </c>
      <c r="G218" s="1" t="s">
        <v>46</v>
      </c>
      <c r="H218" s="1" t="s">
        <v>22</v>
      </c>
      <c r="I218" s="1" t="s">
        <v>65</v>
      </c>
      <c r="L218" s="1">
        <v>4.2992261378713571E-4</v>
      </c>
    </row>
    <row r="219" spans="4:13">
      <c r="D219" s="1" t="s">
        <v>87</v>
      </c>
      <c r="E219" s="1" t="s">
        <v>69</v>
      </c>
      <c r="H219" s="1" t="s">
        <v>25</v>
      </c>
      <c r="I219" s="1" t="s">
        <v>70</v>
      </c>
    </row>
    <row r="220" spans="4:13">
      <c r="D220" s="1" t="s">
        <v>87</v>
      </c>
      <c r="E220" s="1" t="s">
        <v>71</v>
      </c>
      <c r="F220" s="1" t="s">
        <v>52</v>
      </c>
      <c r="G220" s="1" t="s">
        <v>53</v>
      </c>
      <c r="H220" s="1" t="s">
        <v>22</v>
      </c>
      <c r="I220" s="1" t="s">
        <v>65</v>
      </c>
      <c r="L220" s="1">
        <v>7936.6414386555998</v>
      </c>
    </row>
    <row r="221" spans="4:13">
      <c r="D221" s="1" t="s">
        <v>87</v>
      </c>
      <c r="E221" s="1" t="s">
        <v>72</v>
      </c>
      <c r="F221" s="1" t="s">
        <v>56</v>
      </c>
      <c r="G221" s="1" t="s">
        <v>57</v>
      </c>
      <c r="H221" s="1" t="s">
        <v>22</v>
      </c>
      <c r="I221" s="1" t="s">
        <v>65</v>
      </c>
      <c r="J221" s="1">
        <v>0</v>
      </c>
      <c r="L221" s="1">
        <v>14.503773773020921</v>
      </c>
    </row>
    <row r="222" spans="4:13">
      <c r="D222" s="1" t="s">
        <v>87</v>
      </c>
      <c r="E222" s="1" t="s">
        <v>73</v>
      </c>
      <c r="F222" s="1" t="s">
        <v>60</v>
      </c>
      <c r="G222" s="1" t="s">
        <v>61</v>
      </c>
      <c r="H222" s="1" t="s">
        <v>22</v>
      </c>
      <c r="I222" s="1" t="s">
        <v>65</v>
      </c>
      <c r="L222" s="1">
        <v>2.38845896627E-4</v>
      </c>
    </row>
    <row r="223" spans="4:13">
      <c r="D223" s="1" t="s">
        <v>87</v>
      </c>
      <c r="E223" s="1" t="s">
        <v>74</v>
      </c>
      <c r="F223" s="1" t="s">
        <v>75</v>
      </c>
      <c r="G223" s="1" t="s">
        <v>76</v>
      </c>
      <c r="H223" s="1" t="s">
        <v>22</v>
      </c>
      <c r="I223" s="1" t="s">
        <v>65</v>
      </c>
      <c r="J223" s="1">
        <v>0</v>
      </c>
      <c r="L223" s="1">
        <v>16.018463521800001</v>
      </c>
    </row>
    <row r="224" spans="4:13">
      <c r="D224" s="1" t="s">
        <v>87</v>
      </c>
      <c r="E224" s="1" t="s">
        <v>77</v>
      </c>
      <c r="H224" s="1" t="s">
        <v>22</v>
      </c>
      <c r="I224" s="1" t="s">
        <v>65</v>
      </c>
      <c r="L224" s="1">
        <v>1</v>
      </c>
    </row>
    <row r="225" spans="4:13">
      <c r="D225" s="1" t="s">
        <v>87</v>
      </c>
      <c r="E225" s="1" t="s">
        <v>78</v>
      </c>
      <c r="H225" s="1" t="s">
        <v>25</v>
      </c>
      <c r="I225" s="1" t="s">
        <v>23</v>
      </c>
      <c r="M225" s="1" t="b">
        <v>0</v>
      </c>
    </row>
    <row r="226" spans="4:13">
      <c r="D226" s="1" t="s">
        <v>87</v>
      </c>
      <c r="E226" s="1" t="s">
        <v>79</v>
      </c>
      <c r="F226" s="1" t="s">
        <v>75</v>
      </c>
      <c r="G226" s="1" t="s">
        <v>76</v>
      </c>
      <c r="H226" s="1" t="s">
        <v>22</v>
      </c>
      <c r="I226" s="1" t="s">
        <v>23</v>
      </c>
      <c r="J226" s="1">
        <v>0</v>
      </c>
      <c r="K226" s="1">
        <v>96.110781130800007</v>
      </c>
      <c r="L226" s="1">
        <v>16.018463521800001</v>
      </c>
      <c r="M226" s="1">
        <v>1.6018463521800002</v>
      </c>
    </row>
    <row r="227" spans="4:13">
      <c r="D227" s="1" t="s">
        <v>87</v>
      </c>
      <c r="E227" s="1" t="s">
        <v>80</v>
      </c>
      <c r="H227" s="1" t="s">
        <v>25</v>
      </c>
      <c r="I227" s="1" t="s">
        <v>23</v>
      </c>
      <c r="M227" s="1" t="b">
        <v>0</v>
      </c>
    </row>
    <row r="228" spans="4:13">
      <c r="D228" s="1" t="s">
        <v>87</v>
      </c>
      <c r="E228" s="1" t="s">
        <v>81</v>
      </c>
      <c r="H228" s="1" t="s">
        <v>25</v>
      </c>
      <c r="I228" s="1" t="s">
        <v>23</v>
      </c>
      <c r="M228" s="1" t="b">
        <v>0</v>
      </c>
    </row>
    <row r="229" spans="4:13">
      <c r="D229" s="1" t="s">
        <v>87</v>
      </c>
      <c r="E229" s="1" t="s">
        <v>82</v>
      </c>
      <c r="H229" s="1" t="s">
        <v>22</v>
      </c>
      <c r="I229" s="1" t="s">
        <v>23</v>
      </c>
      <c r="J229" s="1">
        <v>-1</v>
      </c>
      <c r="K229" s="1">
        <v>3</v>
      </c>
      <c r="L229" s="1">
        <v>1</v>
      </c>
      <c r="M229" s="1">
        <v>1.01</v>
      </c>
    </row>
    <row r="230" spans="4:13">
      <c r="D230" s="1" t="s">
        <v>88</v>
      </c>
      <c r="E230" s="1" t="s">
        <v>28</v>
      </c>
      <c r="H230" s="1" t="s">
        <v>22</v>
      </c>
      <c r="I230" s="1" t="s">
        <v>29</v>
      </c>
      <c r="J230" s="1">
        <v>34000</v>
      </c>
      <c r="K230" s="1">
        <v>4300000</v>
      </c>
      <c r="L230" s="1">
        <v>349660</v>
      </c>
    </row>
    <row r="231" spans="4:13">
      <c r="D231" s="1" t="s">
        <v>88</v>
      </c>
      <c r="E231" s="1" t="s">
        <v>30</v>
      </c>
      <c r="H231" s="1" t="s">
        <v>22</v>
      </c>
      <c r="I231" s="1" t="s">
        <v>29</v>
      </c>
      <c r="J231" s="1">
        <v>-3.94</v>
      </c>
      <c r="K231" s="1">
        <v>3.66</v>
      </c>
      <c r="L231" s="1">
        <v>1</v>
      </c>
    </row>
    <row r="232" spans="4:13">
      <c r="D232" s="1" t="s">
        <v>88</v>
      </c>
      <c r="E232" s="1" t="s">
        <v>31</v>
      </c>
      <c r="H232" s="1" t="s">
        <v>22</v>
      </c>
      <c r="I232" s="1" t="s">
        <v>29</v>
      </c>
      <c r="J232" s="1">
        <v>0</v>
      </c>
      <c r="K232" s="1">
        <v>100</v>
      </c>
      <c r="L232" s="1">
        <v>1</v>
      </c>
    </row>
    <row r="233" spans="4:13">
      <c r="D233" s="1" t="s">
        <v>88</v>
      </c>
      <c r="E233" s="1" t="s">
        <v>32</v>
      </c>
      <c r="H233" s="1" t="s">
        <v>22</v>
      </c>
      <c r="I233" s="1" t="s">
        <v>29</v>
      </c>
      <c r="J233" s="1">
        <v>-3.94</v>
      </c>
      <c r="K233" s="1">
        <v>3.66</v>
      </c>
      <c r="L233" s="1">
        <v>1</v>
      </c>
    </row>
    <row r="234" spans="4:13">
      <c r="D234" s="1" t="s">
        <v>88</v>
      </c>
      <c r="E234" s="1" t="s">
        <v>33</v>
      </c>
      <c r="H234" s="1" t="s">
        <v>25</v>
      </c>
      <c r="I234" s="1" t="s">
        <v>23</v>
      </c>
      <c r="M234" s="1" t="b">
        <v>0</v>
      </c>
    </row>
    <row r="235" spans="4:13">
      <c r="D235" s="1" t="s">
        <v>88</v>
      </c>
      <c r="E235" s="1" t="s">
        <v>34</v>
      </c>
      <c r="F235" s="1" t="s">
        <v>35</v>
      </c>
      <c r="G235" s="1" t="s">
        <v>36</v>
      </c>
      <c r="H235" s="1" t="s">
        <v>22</v>
      </c>
      <c r="I235" s="1" t="s">
        <v>23</v>
      </c>
      <c r="J235" s="1">
        <v>-459.67</v>
      </c>
      <c r="K235" s="1">
        <v>980.32999999999993</v>
      </c>
      <c r="L235" s="1">
        <v>80.329999999999984</v>
      </c>
      <c r="M235" s="1">
        <v>67.999999999999943</v>
      </c>
    </row>
    <row r="236" spans="4:13">
      <c r="D236" s="1" t="s">
        <v>88</v>
      </c>
      <c r="E236" s="1" t="s">
        <v>37</v>
      </c>
      <c r="H236" s="1" t="s">
        <v>25</v>
      </c>
      <c r="I236" s="1" t="s">
        <v>23</v>
      </c>
      <c r="M236" s="1" t="b">
        <v>0</v>
      </c>
    </row>
    <row r="237" spans="4:13">
      <c r="D237" s="1" t="s">
        <v>88</v>
      </c>
      <c r="E237" s="1" t="s">
        <v>38</v>
      </c>
      <c r="F237" s="1" t="s">
        <v>35</v>
      </c>
      <c r="G237" s="1" t="s">
        <v>36</v>
      </c>
      <c r="H237" s="1" t="s">
        <v>22</v>
      </c>
      <c r="I237" s="1" t="s">
        <v>23</v>
      </c>
      <c r="J237" s="1">
        <v>-99.670000000000016</v>
      </c>
      <c r="K237" s="1">
        <v>980.32999999999993</v>
      </c>
      <c r="L237" s="1">
        <v>80.329999999999984</v>
      </c>
      <c r="M237" s="1">
        <v>13.999999999999943</v>
      </c>
    </row>
    <row r="238" spans="4:13">
      <c r="D238" s="1" t="s">
        <v>88</v>
      </c>
      <c r="E238" s="1" t="s">
        <v>39</v>
      </c>
      <c r="H238" s="1" t="s">
        <v>25</v>
      </c>
      <c r="I238" s="1" t="s">
        <v>23</v>
      </c>
      <c r="M238" s="1" t="b">
        <v>0</v>
      </c>
    </row>
    <row r="239" spans="4:13">
      <c r="D239" s="1" t="s">
        <v>88</v>
      </c>
      <c r="E239" s="1" t="s">
        <v>40</v>
      </c>
      <c r="F239" s="1" t="s">
        <v>41</v>
      </c>
      <c r="G239" s="1" t="s">
        <v>42</v>
      </c>
      <c r="H239" s="1" t="s">
        <v>22</v>
      </c>
      <c r="I239" s="1" t="s">
        <v>23</v>
      </c>
      <c r="J239" s="1">
        <v>-900</v>
      </c>
      <c r="K239" s="1">
        <v>900</v>
      </c>
      <c r="L239" s="1">
        <v>1.8</v>
      </c>
      <c r="M239" s="1">
        <v>9</v>
      </c>
    </row>
    <row r="240" spans="4:13">
      <c r="D240" s="1" t="s">
        <v>88</v>
      </c>
      <c r="E240" s="1" t="s">
        <v>43</v>
      </c>
      <c r="H240" s="1" t="s">
        <v>25</v>
      </c>
      <c r="I240" s="1" t="s">
        <v>23</v>
      </c>
      <c r="M240" s="1" t="b">
        <v>0</v>
      </c>
    </row>
    <row r="241" spans="4:13">
      <c r="D241" s="1" t="s">
        <v>88</v>
      </c>
      <c r="E241" s="1" t="s">
        <v>44</v>
      </c>
      <c r="F241" s="1" t="s">
        <v>45</v>
      </c>
      <c r="G241" s="1" t="s">
        <v>46</v>
      </c>
      <c r="H241" s="1" t="s">
        <v>22</v>
      </c>
      <c r="I241" s="1" t="s">
        <v>23</v>
      </c>
      <c r="J241" s="1">
        <v>-85.984522757427143</v>
      </c>
      <c r="K241" s="1">
        <v>8598.4522757427148</v>
      </c>
      <c r="L241" s="1">
        <v>114.79148749423418</v>
      </c>
      <c r="M241" s="1">
        <v>128.97678413614071</v>
      </c>
    </row>
    <row r="242" spans="4:13">
      <c r="D242" s="1" t="s">
        <v>88</v>
      </c>
      <c r="E242" s="1" t="s">
        <v>47</v>
      </c>
      <c r="H242" s="1" t="s">
        <v>25</v>
      </c>
      <c r="I242" s="1" t="s">
        <v>23</v>
      </c>
      <c r="M242" s="1" t="b">
        <v>0</v>
      </c>
    </row>
    <row r="243" spans="4:13">
      <c r="D243" s="1" t="s">
        <v>88</v>
      </c>
      <c r="E243" s="1" t="s">
        <v>48</v>
      </c>
      <c r="H243" s="1" t="s">
        <v>25</v>
      </c>
      <c r="I243" s="1" t="s">
        <v>23</v>
      </c>
      <c r="M243" s="1" t="b">
        <v>0</v>
      </c>
    </row>
    <row r="244" spans="4:13">
      <c r="D244" s="1" t="s">
        <v>88</v>
      </c>
      <c r="E244" s="1" t="s">
        <v>49</v>
      </c>
      <c r="H244" s="1" t="s">
        <v>25</v>
      </c>
      <c r="I244" s="1" t="s">
        <v>23</v>
      </c>
      <c r="M244" s="1" t="b">
        <v>0</v>
      </c>
    </row>
    <row r="245" spans="4:13">
      <c r="D245" s="1" t="s">
        <v>88</v>
      </c>
      <c r="E245" s="1" t="s">
        <v>50</v>
      </c>
      <c r="H245" s="1" t="s">
        <v>25</v>
      </c>
      <c r="I245" s="1" t="s">
        <v>23</v>
      </c>
      <c r="M245" s="1" t="b">
        <v>0</v>
      </c>
    </row>
    <row r="246" spans="4:13">
      <c r="D246" s="1" t="s">
        <v>88</v>
      </c>
      <c r="E246" s="1" t="s">
        <v>51</v>
      </c>
      <c r="F246" s="1" t="s">
        <v>52</v>
      </c>
      <c r="G246" s="1" t="s">
        <v>53</v>
      </c>
      <c r="H246" s="1" t="s">
        <v>22</v>
      </c>
      <c r="I246" s="1" t="s">
        <v>23</v>
      </c>
      <c r="J246" s="1">
        <v>0</v>
      </c>
      <c r="K246" s="1">
        <v>7936641438.6555996</v>
      </c>
      <c r="L246" s="1">
        <v>7936.6414386555998</v>
      </c>
      <c r="M246" s="1">
        <v>7936.6414386555998</v>
      </c>
    </row>
    <row r="247" spans="4:13">
      <c r="D247" s="1" t="s">
        <v>88</v>
      </c>
      <c r="E247" s="1" t="s">
        <v>54</v>
      </c>
      <c r="H247" s="1" t="s">
        <v>25</v>
      </c>
      <c r="I247" s="1" t="s">
        <v>23</v>
      </c>
      <c r="M247" s="1" t="b">
        <v>0</v>
      </c>
    </row>
    <row r="248" spans="4:13">
      <c r="D248" s="1" t="s">
        <v>88</v>
      </c>
      <c r="E248" s="1" t="s">
        <v>55</v>
      </c>
      <c r="F248" s="1" t="s">
        <v>56</v>
      </c>
      <c r="G248" s="1" t="s">
        <v>57</v>
      </c>
      <c r="H248" s="1" t="s">
        <v>22</v>
      </c>
      <c r="I248" s="1" t="s">
        <v>23</v>
      </c>
      <c r="J248" s="1">
        <v>0</v>
      </c>
      <c r="K248" s="1">
        <v>9427.4529524635982</v>
      </c>
      <c r="L248" s="1">
        <v>50.713895374744951</v>
      </c>
      <c r="M248" s="1">
        <v>50.763208205573221</v>
      </c>
    </row>
    <row r="249" spans="4:13">
      <c r="D249" s="1" t="s">
        <v>88</v>
      </c>
      <c r="E249" s="1" t="s">
        <v>58</v>
      </c>
      <c r="H249" s="1" t="s">
        <v>25</v>
      </c>
      <c r="I249" s="1" t="s">
        <v>23</v>
      </c>
      <c r="M249" s="1" t="b">
        <v>0</v>
      </c>
    </row>
    <row r="250" spans="4:13">
      <c r="D250" s="1" t="s">
        <v>88</v>
      </c>
      <c r="E250" s="1" t="s">
        <v>59</v>
      </c>
      <c r="F250" s="1" t="s">
        <v>60</v>
      </c>
      <c r="G250" s="1" t="s">
        <v>61</v>
      </c>
      <c r="H250" s="1" t="s">
        <v>22</v>
      </c>
      <c r="I250" s="1" t="s">
        <v>23</v>
      </c>
      <c r="J250" s="1">
        <v>-9.5538358650799999</v>
      </c>
      <c r="K250" s="1">
        <v>9.5538358650799999</v>
      </c>
      <c r="L250" s="1">
        <v>0.23884589662700001</v>
      </c>
      <c r="M250" s="1">
        <v>0.23884589662700001</v>
      </c>
    </row>
    <row r="251" spans="4:13">
      <c r="D251" s="1" t="s">
        <v>88</v>
      </c>
      <c r="E251" s="1" t="s">
        <v>62</v>
      </c>
      <c r="H251" s="1" t="s">
        <v>63</v>
      </c>
      <c r="I251" s="1" t="s">
        <v>23</v>
      </c>
      <c r="M251" s="1">
        <v>1</v>
      </c>
    </row>
    <row r="252" spans="4:13">
      <c r="D252" s="1" t="s">
        <v>88</v>
      </c>
      <c r="E252" s="1" t="s">
        <v>64</v>
      </c>
      <c r="F252" s="1" t="s">
        <v>35</v>
      </c>
      <c r="G252" s="1" t="s">
        <v>36</v>
      </c>
      <c r="H252" s="1" t="s">
        <v>22</v>
      </c>
      <c r="I252" s="1" t="s">
        <v>65</v>
      </c>
      <c r="J252" s="1">
        <v>-459.67</v>
      </c>
      <c r="L252" s="1">
        <v>80.329999999999984</v>
      </c>
    </row>
    <row r="253" spans="4:13">
      <c r="D253" s="1" t="s">
        <v>88</v>
      </c>
      <c r="E253" s="1" t="s">
        <v>66</v>
      </c>
      <c r="F253" s="1" t="s">
        <v>35</v>
      </c>
      <c r="G253" s="1" t="s">
        <v>36</v>
      </c>
      <c r="H253" s="1" t="s">
        <v>22</v>
      </c>
      <c r="I253" s="1" t="s">
        <v>65</v>
      </c>
      <c r="J253" s="1">
        <v>-459.67</v>
      </c>
      <c r="L253" s="1">
        <v>80.329999999999984</v>
      </c>
    </row>
    <row r="254" spans="4:13">
      <c r="D254" s="1" t="s">
        <v>88</v>
      </c>
      <c r="E254" s="1" t="s">
        <v>67</v>
      </c>
      <c r="F254" s="1" t="s">
        <v>41</v>
      </c>
      <c r="G254" s="1" t="s">
        <v>42</v>
      </c>
      <c r="H254" s="1" t="s">
        <v>22</v>
      </c>
      <c r="I254" s="1" t="s">
        <v>65</v>
      </c>
      <c r="L254" s="1">
        <v>1.8</v>
      </c>
    </row>
    <row r="255" spans="4:13">
      <c r="D255" s="1" t="s">
        <v>88</v>
      </c>
      <c r="E255" s="1" t="s">
        <v>68</v>
      </c>
      <c r="F255" s="1" t="s">
        <v>45</v>
      </c>
      <c r="G255" s="1" t="s">
        <v>46</v>
      </c>
      <c r="H255" s="1" t="s">
        <v>22</v>
      </c>
      <c r="I255" s="1" t="s">
        <v>65</v>
      </c>
      <c r="L255" s="1">
        <v>4.2992261378713571E-4</v>
      </c>
    </row>
    <row r="256" spans="4:13">
      <c r="D256" s="1" t="s">
        <v>88</v>
      </c>
      <c r="E256" s="1" t="s">
        <v>69</v>
      </c>
      <c r="H256" s="1" t="s">
        <v>25</v>
      </c>
      <c r="I256" s="1" t="s">
        <v>70</v>
      </c>
    </row>
    <row r="257" spans="4:13">
      <c r="D257" s="1" t="s">
        <v>88</v>
      </c>
      <c r="E257" s="1" t="s">
        <v>71</v>
      </c>
      <c r="F257" s="1" t="s">
        <v>52</v>
      </c>
      <c r="G257" s="1" t="s">
        <v>53</v>
      </c>
      <c r="H257" s="1" t="s">
        <v>22</v>
      </c>
      <c r="I257" s="1" t="s">
        <v>65</v>
      </c>
      <c r="L257" s="1">
        <v>7936.6414386555998</v>
      </c>
    </row>
    <row r="258" spans="4:13">
      <c r="D258" s="1" t="s">
        <v>88</v>
      </c>
      <c r="E258" s="1" t="s">
        <v>72</v>
      </c>
      <c r="F258" s="1" t="s">
        <v>56</v>
      </c>
      <c r="G258" s="1" t="s">
        <v>57</v>
      </c>
      <c r="H258" s="1" t="s">
        <v>22</v>
      </c>
      <c r="I258" s="1" t="s">
        <v>65</v>
      </c>
      <c r="J258" s="1">
        <v>0</v>
      </c>
      <c r="L258" s="1">
        <v>14.503773773020921</v>
      </c>
    </row>
    <row r="259" spans="4:13">
      <c r="D259" s="1" t="s">
        <v>88</v>
      </c>
      <c r="E259" s="1" t="s">
        <v>73</v>
      </c>
      <c r="F259" s="1" t="s">
        <v>60</v>
      </c>
      <c r="G259" s="1" t="s">
        <v>61</v>
      </c>
      <c r="H259" s="1" t="s">
        <v>22</v>
      </c>
      <c r="I259" s="1" t="s">
        <v>65</v>
      </c>
      <c r="L259" s="1">
        <v>2.38845896627E-4</v>
      </c>
    </row>
    <row r="260" spans="4:13">
      <c r="D260" s="1" t="s">
        <v>88</v>
      </c>
      <c r="E260" s="1" t="s">
        <v>74</v>
      </c>
      <c r="F260" s="1" t="s">
        <v>75</v>
      </c>
      <c r="G260" s="1" t="s">
        <v>76</v>
      </c>
      <c r="H260" s="1" t="s">
        <v>22</v>
      </c>
      <c r="I260" s="1" t="s">
        <v>65</v>
      </c>
      <c r="J260" s="1">
        <v>0</v>
      </c>
      <c r="L260" s="1">
        <v>16.018463521800001</v>
      </c>
    </row>
    <row r="261" spans="4:13">
      <c r="D261" s="1" t="s">
        <v>88</v>
      </c>
      <c r="E261" s="1" t="s">
        <v>77</v>
      </c>
      <c r="H261" s="1" t="s">
        <v>22</v>
      </c>
      <c r="I261" s="1" t="s">
        <v>65</v>
      </c>
      <c r="L261" s="1">
        <v>1</v>
      </c>
    </row>
    <row r="262" spans="4:13">
      <c r="D262" s="1" t="s">
        <v>88</v>
      </c>
      <c r="E262" s="1" t="s">
        <v>78</v>
      </c>
      <c r="H262" s="1" t="s">
        <v>25</v>
      </c>
      <c r="I262" s="1" t="s">
        <v>23</v>
      </c>
      <c r="M262" s="1" t="b">
        <v>0</v>
      </c>
    </row>
    <row r="263" spans="4:13">
      <c r="D263" s="1" t="s">
        <v>88</v>
      </c>
      <c r="E263" s="1" t="s">
        <v>79</v>
      </c>
      <c r="F263" s="1" t="s">
        <v>75</v>
      </c>
      <c r="G263" s="1" t="s">
        <v>76</v>
      </c>
      <c r="H263" s="1" t="s">
        <v>22</v>
      </c>
      <c r="I263" s="1" t="s">
        <v>23</v>
      </c>
      <c r="J263" s="1">
        <v>0</v>
      </c>
      <c r="K263" s="1">
        <v>96.110781130800007</v>
      </c>
      <c r="L263" s="1">
        <v>16.018463521800001</v>
      </c>
      <c r="M263" s="1">
        <v>1.6018463521800002</v>
      </c>
    </row>
    <row r="264" spans="4:13">
      <c r="D264" s="1" t="s">
        <v>88</v>
      </c>
      <c r="E264" s="1" t="s">
        <v>80</v>
      </c>
      <c r="H264" s="1" t="s">
        <v>25</v>
      </c>
      <c r="I264" s="1" t="s">
        <v>23</v>
      </c>
      <c r="M264" s="1" t="b">
        <v>0</v>
      </c>
    </row>
    <row r="265" spans="4:13">
      <c r="D265" s="1" t="s">
        <v>88</v>
      </c>
      <c r="E265" s="1" t="s">
        <v>81</v>
      </c>
      <c r="H265" s="1" t="s">
        <v>25</v>
      </c>
      <c r="I265" s="1" t="s">
        <v>23</v>
      </c>
      <c r="M265" s="1" t="b">
        <v>0</v>
      </c>
    </row>
    <row r="266" spans="4:13">
      <c r="D266" s="1" t="s">
        <v>88</v>
      </c>
      <c r="E266" s="1" t="s">
        <v>82</v>
      </c>
      <c r="H266" s="1" t="s">
        <v>22</v>
      </c>
      <c r="I266" s="1" t="s">
        <v>23</v>
      </c>
      <c r="J266" s="1">
        <v>-1</v>
      </c>
      <c r="K266" s="1">
        <v>3</v>
      </c>
      <c r="L266" s="1">
        <v>1</v>
      </c>
      <c r="M266" s="1">
        <v>1.01</v>
      </c>
    </row>
    <row r="267" spans="4:13">
      <c r="D267" s="1" t="s">
        <v>89</v>
      </c>
      <c r="E267" s="1" t="s">
        <v>28</v>
      </c>
      <c r="H267" s="1" t="s">
        <v>22</v>
      </c>
      <c r="I267" s="1" t="s">
        <v>29</v>
      </c>
      <c r="J267" s="1">
        <v>34000</v>
      </c>
      <c r="K267" s="1">
        <v>4300000</v>
      </c>
      <c r="L267" s="1">
        <v>349660</v>
      </c>
    </row>
    <row r="268" spans="4:13">
      <c r="D268" s="1" t="s">
        <v>89</v>
      </c>
      <c r="E268" s="1" t="s">
        <v>30</v>
      </c>
      <c r="H268" s="1" t="s">
        <v>22</v>
      </c>
      <c r="I268" s="1" t="s">
        <v>29</v>
      </c>
      <c r="J268" s="1">
        <v>-3.94</v>
      </c>
      <c r="K268" s="1">
        <v>3.66</v>
      </c>
      <c r="L268" s="1">
        <v>1</v>
      </c>
    </row>
    <row r="269" spans="4:13">
      <c r="D269" s="1" t="s">
        <v>89</v>
      </c>
      <c r="E269" s="1" t="s">
        <v>31</v>
      </c>
      <c r="H269" s="1" t="s">
        <v>22</v>
      </c>
      <c r="I269" s="1" t="s">
        <v>29</v>
      </c>
      <c r="J269" s="1">
        <v>0</v>
      </c>
      <c r="K269" s="1">
        <v>100</v>
      </c>
      <c r="L269" s="1">
        <v>1</v>
      </c>
    </row>
    <row r="270" spans="4:13">
      <c r="D270" s="1" t="s">
        <v>89</v>
      </c>
      <c r="E270" s="1" t="s">
        <v>32</v>
      </c>
      <c r="H270" s="1" t="s">
        <v>22</v>
      </c>
      <c r="I270" s="1" t="s">
        <v>29</v>
      </c>
      <c r="J270" s="1">
        <v>-3.94</v>
      </c>
      <c r="K270" s="1">
        <v>3.66</v>
      </c>
      <c r="L270" s="1">
        <v>1</v>
      </c>
    </row>
    <row r="271" spans="4:13">
      <c r="D271" s="1" t="s">
        <v>89</v>
      </c>
      <c r="E271" s="1" t="s">
        <v>33</v>
      </c>
      <c r="H271" s="1" t="s">
        <v>25</v>
      </c>
      <c r="I271" s="1" t="s">
        <v>23</v>
      </c>
      <c r="M271" s="1" t="b">
        <v>0</v>
      </c>
    </row>
    <row r="272" spans="4:13">
      <c r="D272" s="1" t="s">
        <v>89</v>
      </c>
      <c r="E272" s="1" t="s">
        <v>34</v>
      </c>
      <c r="F272" s="1" t="s">
        <v>35</v>
      </c>
      <c r="G272" s="1" t="s">
        <v>36</v>
      </c>
      <c r="H272" s="1" t="s">
        <v>22</v>
      </c>
      <c r="I272" s="1" t="s">
        <v>23</v>
      </c>
      <c r="J272" s="1">
        <v>-459.67</v>
      </c>
      <c r="K272" s="1">
        <v>980.32999999999993</v>
      </c>
      <c r="L272" s="1">
        <v>80.329999999999984</v>
      </c>
      <c r="M272" s="1">
        <v>67.999999999999943</v>
      </c>
    </row>
    <row r="273" spans="4:13">
      <c r="D273" s="1" t="s">
        <v>89</v>
      </c>
      <c r="E273" s="1" t="s">
        <v>37</v>
      </c>
      <c r="H273" s="1" t="s">
        <v>25</v>
      </c>
      <c r="I273" s="1" t="s">
        <v>23</v>
      </c>
      <c r="M273" s="1" t="b">
        <v>0</v>
      </c>
    </row>
    <row r="274" spans="4:13">
      <c r="D274" s="1" t="s">
        <v>89</v>
      </c>
      <c r="E274" s="1" t="s">
        <v>38</v>
      </c>
      <c r="F274" s="1" t="s">
        <v>35</v>
      </c>
      <c r="G274" s="1" t="s">
        <v>36</v>
      </c>
      <c r="H274" s="1" t="s">
        <v>22</v>
      </c>
      <c r="I274" s="1" t="s">
        <v>23</v>
      </c>
      <c r="J274" s="1">
        <v>-99.670000000000016</v>
      </c>
      <c r="K274" s="1">
        <v>980.32999999999993</v>
      </c>
      <c r="L274" s="1">
        <v>80.329999999999984</v>
      </c>
      <c r="M274" s="1">
        <v>13.999999999999943</v>
      </c>
    </row>
    <row r="275" spans="4:13">
      <c r="D275" s="1" t="s">
        <v>89</v>
      </c>
      <c r="E275" s="1" t="s">
        <v>39</v>
      </c>
      <c r="H275" s="1" t="s">
        <v>25</v>
      </c>
      <c r="I275" s="1" t="s">
        <v>23</v>
      </c>
      <c r="M275" s="1" t="b">
        <v>0</v>
      </c>
    </row>
    <row r="276" spans="4:13">
      <c r="D276" s="1" t="s">
        <v>89</v>
      </c>
      <c r="E276" s="1" t="s">
        <v>40</v>
      </c>
      <c r="F276" s="1" t="s">
        <v>41</v>
      </c>
      <c r="G276" s="1" t="s">
        <v>42</v>
      </c>
      <c r="H276" s="1" t="s">
        <v>22</v>
      </c>
      <c r="I276" s="1" t="s">
        <v>23</v>
      </c>
      <c r="J276" s="1">
        <v>-900</v>
      </c>
      <c r="K276" s="1">
        <v>900</v>
      </c>
      <c r="L276" s="1">
        <v>1.8</v>
      </c>
      <c r="M276" s="1">
        <v>9</v>
      </c>
    </row>
    <row r="277" spans="4:13">
      <c r="D277" s="1" t="s">
        <v>89</v>
      </c>
      <c r="E277" s="1" t="s">
        <v>43</v>
      </c>
      <c r="H277" s="1" t="s">
        <v>25</v>
      </c>
      <c r="I277" s="1" t="s">
        <v>23</v>
      </c>
      <c r="M277" s="1" t="b">
        <v>0</v>
      </c>
    </row>
    <row r="278" spans="4:13">
      <c r="D278" s="1" t="s">
        <v>89</v>
      </c>
      <c r="E278" s="1" t="s">
        <v>44</v>
      </c>
      <c r="F278" s="1" t="s">
        <v>45</v>
      </c>
      <c r="G278" s="1" t="s">
        <v>46</v>
      </c>
      <c r="H278" s="1" t="s">
        <v>22</v>
      </c>
      <c r="I278" s="1" t="s">
        <v>23</v>
      </c>
      <c r="J278" s="1">
        <v>-85.984522757427143</v>
      </c>
      <c r="K278" s="1">
        <v>8598.4522757427148</v>
      </c>
      <c r="L278" s="1">
        <v>114.79148749423418</v>
      </c>
      <c r="M278" s="1">
        <v>128.97678413614071</v>
      </c>
    </row>
    <row r="279" spans="4:13">
      <c r="D279" s="1" t="s">
        <v>89</v>
      </c>
      <c r="E279" s="1" t="s">
        <v>47</v>
      </c>
      <c r="H279" s="1" t="s">
        <v>25</v>
      </c>
      <c r="I279" s="1" t="s">
        <v>23</v>
      </c>
      <c r="M279" s="1" t="b">
        <v>0</v>
      </c>
    </row>
    <row r="280" spans="4:13">
      <c r="D280" s="1" t="s">
        <v>89</v>
      </c>
      <c r="E280" s="1" t="s">
        <v>48</v>
      </c>
      <c r="H280" s="1" t="s">
        <v>25</v>
      </c>
      <c r="I280" s="1" t="s">
        <v>23</v>
      </c>
      <c r="M280" s="1" t="b">
        <v>0</v>
      </c>
    </row>
    <row r="281" spans="4:13">
      <c r="D281" s="1" t="s">
        <v>89</v>
      </c>
      <c r="E281" s="1" t="s">
        <v>49</v>
      </c>
      <c r="H281" s="1" t="s">
        <v>25</v>
      </c>
      <c r="I281" s="1" t="s">
        <v>23</v>
      </c>
      <c r="M281" s="1" t="b">
        <v>0</v>
      </c>
    </row>
    <row r="282" spans="4:13">
      <c r="D282" s="1" t="s">
        <v>89</v>
      </c>
      <c r="E282" s="1" t="s">
        <v>50</v>
      </c>
      <c r="H282" s="1" t="s">
        <v>25</v>
      </c>
      <c r="I282" s="1" t="s">
        <v>23</v>
      </c>
      <c r="M282" s="1" t="b">
        <v>0</v>
      </c>
    </row>
    <row r="283" spans="4:13">
      <c r="D283" s="1" t="s">
        <v>89</v>
      </c>
      <c r="E283" s="1" t="s">
        <v>51</v>
      </c>
      <c r="F283" s="1" t="s">
        <v>52</v>
      </c>
      <c r="G283" s="1" t="s">
        <v>53</v>
      </c>
      <c r="H283" s="1" t="s">
        <v>22</v>
      </c>
      <c r="I283" s="1" t="s">
        <v>23</v>
      </c>
      <c r="J283" s="1">
        <v>0</v>
      </c>
      <c r="K283" s="1">
        <v>7936641438.6555996</v>
      </c>
      <c r="L283" s="1">
        <v>7936.6414386555998</v>
      </c>
      <c r="M283" s="1">
        <v>7936.6414386555998</v>
      </c>
    </row>
    <row r="284" spans="4:13">
      <c r="D284" s="1" t="s">
        <v>89</v>
      </c>
      <c r="E284" s="1" t="s">
        <v>54</v>
      </c>
      <c r="H284" s="1" t="s">
        <v>25</v>
      </c>
      <c r="I284" s="1" t="s">
        <v>23</v>
      </c>
      <c r="M284" s="1" t="b">
        <v>0</v>
      </c>
    </row>
    <row r="285" spans="4:13">
      <c r="D285" s="1" t="s">
        <v>89</v>
      </c>
      <c r="E285" s="1" t="s">
        <v>55</v>
      </c>
      <c r="F285" s="1" t="s">
        <v>56</v>
      </c>
      <c r="G285" s="1" t="s">
        <v>57</v>
      </c>
      <c r="H285" s="1" t="s">
        <v>22</v>
      </c>
      <c r="I285" s="1" t="s">
        <v>23</v>
      </c>
      <c r="J285" s="1">
        <v>0</v>
      </c>
      <c r="K285" s="1">
        <v>9427.4529524635982</v>
      </c>
      <c r="L285" s="1">
        <v>50.713895374744951</v>
      </c>
      <c r="M285" s="1">
        <v>50.763208205573221</v>
      </c>
    </row>
    <row r="286" spans="4:13">
      <c r="D286" s="1" t="s">
        <v>89</v>
      </c>
      <c r="E286" s="1" t="s">
        <v>58</v>
      </c>
      <c r="H286" s="1" t="s">
        <v>25</v>
      </c>
      <c r="I286" s="1" t="s">
        <v>23</v>
      </c>
      <c r="M286" s="1" t="b">
        <v>0</v>
      </c>
    </row>
    <row r="287" spans="4:13">
      <c r="D287" s="1" t="s">
        <v>89</v>
      </c>
      <c r="E287" s="1" t="s">
        <v>59</v>
      </c>
      <c r="F287" s="1" t="s">
        <v>60</v>
      </c>
      <c r="G287" s="1" t="s">
        <v>61</v>
      </c>
      <c r="H287" s="1" t="s">
        <v>22</v>
      </c>
      <c r="I287" s="1" t="s">
        <v>23</v>
      </c>
      <c r="J287" s="1">
        <v>-9.5538358650799999</v>
      </c>
      <c r="K287" s="1">
        <v>9.5538358650799999</v>
      </c>
      <c r="L287" s="1">
        <v>0.23884589662700001</v>
      </c>
      <c r="M287" s="1">
        <v>0.23884589662700001</v>
      </c>
    </row>
    <row r="288" spans="4:13">
      <c r="D288" s="1" t="s">
        <v>89</v>
      </c>
      <c r="E288" s="1" t="s">
        <v>62</v>
      </c>
      <c r="H288" s="1" t="s">
        <v>63</v>
      </c>
      <c r="I288" s="1" t="s">
        <v>23</v>
      </c>
      <c r="M288" s="1">
        <v>1</v>
      </c>
    </row>
    <row r="289" spans="4:13">
      <c r="D289" s="1" t="s">
        <v>89</v>
      </c>
      <c r="E289" s="1" t="s">
        <v>64</v>
      </c>
      <c r="F289" s="1" t="s">
        <v>35</v>
      </c>
      <c r="G289" s="1" t="s">
        <v>36</v>
      </c>
      <c r="H289" s="1" t="s">
        <v>22</v>
      </c>
      <c r="I289" s="1" t="s">
        <v>65</v>
      </c>
      <c r="J289" s="1">
        <v>-459.67</v>
      </c>
      <c r="L289" s="1">
        <v>80.329999999999984</v>
      </c>
    </row>
    <row r="290" spans="4:13">
      <c r="D290" s="1" t="s">
        <v>89</v>
      </c>
      <c r="E290" s="1" t="s">
        <v>66</v>
      </c>
      <c r="F290" s="1" t="s">
        <v>35</v>
      </c>
      <c r="G290" s="1" t="s">
        <v>36</v>
      </c>
      <c r="H290" s="1" t="s">
        <v>22</v>
      </c>
      <c r="I290" s="1" t="s">
        <v>65</v>
      </c>
      <c r="J290" s="1">
        <v>-459.67</v>
      </c>
      <c r="L290" s="1">
        <v>80.329999999999984</v>
      </c>
    </row>
    <row r="291" spans="4:13">
      <c r="D291" s="1" t="s">
        <v>89</v>
      </c>
      <c r="E291" s="1" t="s">
        <v>67</v>
      </c>
      <c r="F291" s="1" t="s">
        <v>41</v>
      </c>
      <c r="G291" s="1" t="s">
        <v>42</v>
      </c>
      <c r="H291" s="1" t="s">
        <v>22</v>
      </c>
      <c r="I291" s="1" t="s">
        <v>65</v>
      </c>
      <c r="L291" s="1">
        <v>1.8</v>
      </c>
    </row>
    <row r="292" spans="4:13">
      <c r="D292" s="1" t="s">
        <v>89</v>
      </c>
      <c r="E292" s="1" t="s">
        <v>68</v>
      </c>
      <c r="F292" s="1" t="s">
        <v>45</v>
      </c>
      <c r="G292" s="1" t="s">
        <v>46</v>
      </c>
      <c r="H292" s="1" t="s">
        <v>22</v>
      </c>
      <c r="I292" s="1" t="s">
        <v>65</v>
      </c>
      <c r="L292" s="1">
        <v>4.2992261378713571E-4</v>
      </c>
    </row>
    <row r="293" spans="4:13">
      <c r="D293" s="1" t="s">
        <v>89</v>
      </c>
      <c r="E293" s="1" t="s">
        <v>69</v>
      </c>
      <c r="H293" s="1" t="s">
        <v>25</v>
      </c>
      <c r="I293" s="1" t="s">
        <v>70</v>
      </c>
    </row>
    <row r="294" spans="4:13">
      <c r="D294" s="1" t="s">
        <v>89</v>
      </c>
      <c r="E294" s="1" t="s">
        <v>71</v>
      </c>
      <c r="F294" s="1" t="s">
        <v>52</v>
      </c>
      <c r="G294" s="1" t="s">
        <v>53</v>
      </c>
      <c r="H294" s="1" t="s">
        <v>22</v>
      </c>
      <c r="I294" s="1" t="s">
        <v>65</v>
      </c>
      <c r="L294" s="1">
        <v>7936.6414386555998</v>
      </c>
    </row>
    <row r="295" spans="4:13">
      <c r="D295" s="1" t="s">
        <v>89</v>
      </c>
      <c r="E295" s="1" t="s">
        <v>72</v>
      </c>
      <c r="F295" s="1" t="s">
        <v>56</v>
      </c>
      <c r="G295" s="1" t="s">
        <v>57</v>
      </c>
      <c r="H295" s="1" t="s">
        <v>22</v>
      </c>
      <c r="I295" s="1" t="s">
        <v>65</v>
      </c>
      <c r="J295" s="1">
        <v>0</v>
      </c>
      <c r="L295" s="1">
        <v>14.503773773020921</v>
      </c>
    </row>
    <row r="296" spans="4:13">
      <c r="D296" s="1" t="s">
        <v>89</v>
      </c>
      <c r="E296" s="1" t="s">
        <v>73</v>
      </c>
      <c r="F296" s="1" t="s">
        <v>60</v>
      </c>
      <c r="G296" s="1" t="s">
        <v>61</v>
      </c>
      <c r="H296" s="1" t="s">
        <v>22</v>
      </c>
      <c r="I296" s="1" t="s">
        <v>65</v>
      </c>
      <c r="L296" s="1">
        <v>2.38845896627E-4</v>
      </c>
    </row>
    <row r="297" spans="4:13">
      <c r="D297" s="1" t="s">
        <v>89</v>
      </c>
      <c r="E297" s="1" t="s">
        <v>74</v>
      </c>
      <c r="F297" s="1" t="s">
        <v>75</v>
      </c>
      <c r="G297" s="1" t="s">
        <v>76</v>
      </c>
      <c r="H297" s="1" t="s">
        <v>22</v>
      </c>
      <c r="I297" s="1" t="s">
        <v>65</v>
      </c>
      <c r="J297" s="1">
        <v>0</v>
      </c>
      <c r="L297" s="1">
        <v>16.018463521800001</v>
      </c>
    </row>
    <row r="298" spans="4:13">
      <c r="D298" s="1" t="s">
        <v>89</v>
      </c>
      <c r="E298" s="1" t="s">
        <v>77</v>
      </c>
      <c r="H298" s="1" t="s">
        <v>22</v>
      </c>
      <c r="I298" s="1" t="s">
        <v>65</v>
      </c>
      <c r="L298" s="1">
        <v>1</v>
      </c>
    </row>
    <row r="299" spans="4:13">
      <c r="D299" s="1" t="s">
        <v>89</v>
      </c>
      <c r="E299" s="1" t="s">
        <v>78</v>
      </c>
      <c r="H299" s="1" t="s">
        <v>25</v>
      </c>
      <c r="I299" s="1" t="s">
        <v>23</v>
      </c>
      <c r="M299" s="1" t="b">
        <v>0</v>
      </c>
    </row>
    <row r="300" spans="4:13">
      <c r="D300" s="1" t="s">
        <v>89</v>
      </c>
      <c r="E300" s="1" t="s">
        <v>79</v>
      </c>
      <c r="F300" s="1" t="s">
        <v>75</v>
      </c>
      <c r="G300" s="1" t="s">
        <v>76</v>
      </c>
      <c r="H300" s="1" t="s">
        <v>22</v>
      </c>
      <c r="I300" s="1" t="s">
        <v>23</v>
      </c>
      <c r="J300" s="1">
        <v>0</v>
      </c>
      <c r="K300" s="1">
        <v>96.110781130800007</v>
      </c>
      <c r="L300" s="1">
        <v>16.018463521800001</v>
      </c>
      <c r="M300" s="1">
        <v>1.6018463521800002</v>
      </c>
    </row>
    <row r="301" spans="4:13">
      <c r="D301" s="1" t="s">
        <v>89</v>
      </c>
      <c r="E301" s="1" t="s">
        <v>80</v>
      </c>
      <c r="H301" s="1" t="s">
        <v>25</v>
      </c>
      <c r="I301" s="1" t="s">
        <v>23</v>
      </c>
      <c r="M301" s="1" t="b">
        <v>0</v>
      </c>
    </row>
    <row r="302" spans="4:13">
      <c r="D302" s="1" t="s">
        <v>89</v>
      </c>
      <c r="E302" s="1" t="s">
        <v>81</v>
      </c>
      <c r="H302" s="1" t="s">
        <v>25</v>
      </c>
      <c r="I302" s="1" t="s">
        <v>23</v>
      </c>
      <c r="M302" s="1" t="b">
        <v>0</v>
      </c>
    </row>
    <row r="303" spans="4:13">
      <c r="D303" s="1" t="s">
        <v>89</v>
      </c>
      <c r="E303" s="1" t="s">
        <v>82</v>
      </c>
      <c r="H303" s="1" t="s">
        <v>22</v>
      </c>
      <c r="I303" s="1" t="s">
        <v>23</v>
      </c>
      <c r="J303" s="1">
        <v>-1</v>
      </c>
      <c r="K303" s="1">
        <v>3</v>
      </c>
      <c r="L303" s="1">
        <v>1</v>
      </c>
      <c r="M303" s="1">
        <v>1.01</v>
      </c>
    </row>
    <row r="304" spans="4:13">
      <c r="D304" s="1" t="s">
        <v>90</v>
      </c>
      <c r="E304" s="1" t="s">
        <v>28</v>
      </c>
      <c r="H304" s="1" t="s">
        <v>22</v>
      </c>
      <c r="I304" s="1" t="s">
        <v>29</v>
      </c>
      <c r="J304" s="1">
        <v>34000</v>
      </c>
      <c r="K304" s="1">
        <v>4300000</v>
      </c>
      <c r="L304" s="1">
        <v>349660</v>
      </c>
    </row>
    <row r="305" spans="4:13">
      <c r="D305" s="1" t="s">
        <v>90</v>
      </c>
      <c r="E305" s="1" t="s">
        <v>30</v>
      </c>
      <c r="H305" s="1" t="s">
        <v>22</v>
      </c>
      <c r="I305" s="1" t="s">
        <v>29</v>
      </c>
      <c r="J305" s="1">
        <v>-3.94</v>
      </c>
      <c r="K305" s="1">
        <v>3.66</v>
      </c>
      <c r="L305" s="1">
        <v>1</v>
      </c>
    </row>
    <row r="306" spans="4:13">
      <c r="D306" s="1" t="s">
        <v>90</v>
      </c>
      <c r="E306" s="1" t="s">
        <v>31</v>
      </c>
      <c r="H306" s="1" t="s">
        <v>22</v>
      </c>
      <c r="I306" s="1" t="s">
        <v>29</v>
      </c>
      <c r="J306" s="1">
        <v>0</v>
      </c>
      <c r="K306" s="1">
        <v>100</v>
      </c>
      <c r="L306" s="1">
        <v>1</v>
      </c>
    </row>
    <row r="307" spans="4:13">
      <c r="D307" s="1" t="s">
        <v>90</v>
      </c>
      <c r="E307" s="1" t="s">
        <v>32</v>
      </c>
      <c r="H307" s="1" t="s">
        <v>22</v>
      </c>
      <c r="I307" s="1" t="s">
        <v>29</v>
      </c>
      <c r="J307" s="1">
        <v>-3.94</v>
      </c>
      <c r="K307" s="1">
        <v>3.66</v>
      </c>
      <c r="L307" s="1">
        <v>1</v>
      </c>
    </row>
    <row r="308" spans="4:13">
      <c r="D308" s="1" t="s">
        <v>90</v>
      </c>
      <c r="E308" s="1" t="s">
        <v>33</v>
      </c>
      <c r="H308" s="1" t="s">
        <v>25</v>
      </c>
      <c r="I308" s="1" t="s">
        <v>23</v>
      </c>
      <c r="M308" s="1" t="b">
        <v>0</v>
      </c>
    </row>
    <row r="309" spans="4:13">
      <c r="D309" s="1" t="s">
        <v>90</v>
      </c>
      <c r="E309" s="1" t="s">
        <v>34</v>
      </c>
      <c r="F309" s="1" t="s">
        <v>35</v>
      </c>
      <c r="G309" s="1" t="s">
        <v>36</v>
      </c>
      <c r="H309" s="1" t="s">
        <v>22</v>
      </c>
      <c r="I309" s="1" t="s">
        <v>23</v>
      </c>
      <c r="J309" s="1">
        <v>-459.67</v>
      </c>
      <c r="K309" s="1">
        <v>980.32999999999993</v>
      </c>
      <c r="L309" s="1">
        <v>80.329999999999984</v>
      </c>
      <c r="M309" s="1">
        <v>67.999999999999943</v>
      </c>
    </row>
    <row r="310" spans="4:13">
      <c r="D310" s="1" t="s">
        <v>90</v>
      </c>
      <c r="E310" s="1" t="s">
        <v>37</v>
      </c>
      <c r="H310" s="1" t="s">
        <v>25</v>
      </c>
      <c r="I310" s="1" t="s">
        <v>23</v>
      </c>
      <c r="M310" s="1" t="b">
        <v>0</v>
      </c>
    </row>
    <row r="311" spans="4:13">
      <c r="D311" s="1" t="s">
        <v>90</v>
      </c>
      <c r="E311" s="1" t="s">
        <v>38</v>
      </c>
      <c r="F311" s="1" t="s">
        <v>35</v>
      </c>
      <c r="G311" s="1" t="s">
        <v>36</v>
      </c>
      <c r="H311" s="1" t="s">
        <v>22</v>
      </c>
      <c r="I311" s="1" t="s">
        <v>23</v>
      </c>
      <c r="J311" s="1">
        <v>-99.670000000000016</v>
      </c>
      <c r="K311" s="1">
        <v>980.32999999999993</v>
      </c>
      <c r="L311" s="1">
        <v>80.329999999999984</v>
      </c>
      <c r="M311" s="1">
        <v>13.999999999999943</v>
      </c>
    </row>
    <row r="312" spans="4:13">
      <c r="D312" s="1" t="s">
        <v>90</v>
      </c>
      <c r="E312" s="1" t="s">
        <v>39</v>
      </c>
      <c r="H312" s="1" t="s">
        <v>25</v>
      </c>
      <c r="I312" s="1" t="s">
        <v>23</v>
      </c>
      <c r="M312" s="1" t="b">
        <v>0</v>
      </c>
    </row>
    <row r="313" spans="4:13">
      <c r="D313" s="1" t="s">
        <v>90</v>
      </c>
      <c r="E313" s="1" t="s">
        <v>40</v>
      </c>
      <c r="F313" s="1" t="s">
        <v>41</v>
      </c>
      <c r="G313" s="1" t="s">
        <v>42</v>
      </c>
      <c r="H313" s="1" t="s">
        <v>22</v>
      </c>
      <c r="I313" s="1" t="s">
        <v>23</v>
      </c>
      <c r="J313" s="1">
        <v>-900</v>
      </c>
      <c r="K313" s="1">
        <v>900</v>
      </c>
      <c r="L313" s="1">
        <v>1.8</v>
      </c>
      <c r="M313" s="1">
        <v>9</v>
      </c>
    </row>
    <row r="314" spans="4:13">
      <c r="D314" s="1" t="s">
        <v>90</v>
      </c>
      <c r="E314" s="1" t="s">
        <v>43</v>
      </c>
      <c r="H314" s="1" t="s">
        <v>25</v>
      </c>
      <c r="I314" s="1" t="s">
        <v>23</v>
      </c>
      <c r="M314" s="1" t="b">
        <v>0</v>
      </c>
    </row>
    <row r="315" spans="4:13">
      <c r="D315" s="1" t="s">
        <v>90</v>
      </c>
      <c r="E315" s="1" t="s">
        <v>44</v>
      </c>
      <c r="F315" s="1" t="s">
        <v>45</v>
      </c>
      <c r="G315" s="1" t="s">
        <v>46</v>
      </c>
      <c r="H315" s="1" t="s">
        <v>22</v>
      </c>
      <c r="I315" s="1" t="s">
        <v>23</v>
      </c>
      <c r="J315" s="1">
        <v>-85.984522757427143</v>
      </c>
      <c r="K315" s="1">
        <v>8598.4522757427148</v>
      </c>
      <c r="L315" s="1">
        <v>114.79148749423418</v>
      </c>
      <c r="M315" s="1">
        <v>128.97678413614071</v>
      </c>
    </row>
    <row r="316" spans="4:13">
      <c r="D316" s="1" t="s">
        <v>90</v>
      </c>
      <c r="E316" s="1" t="s">
        <v>47</v>
      </c>
      <c r="H316" s="1" t="s">
        <v>25</v>
      </c>
      <c r="I316" s="1" t="s">
        <v>23</v>
      </c>
      <c r="M316" s="1" t="b">
        <v>0</v>
      </c>
    </row>
    <row r="317" spans="4:13">
      <c r="D317" s="1" t="s">
        <v>90</v>
      </c>
      <c r="E317" s="1" t="s">
        <v>48</v>
      </c>
      <c r="H317" s="1" t="s">
        <v>25</v>
      </c>
      <c r="I317" s="1" t="s">
        <v>23</v>
      </c>
      <c r="M317" s="1" t="b">
        <v>0</v>
      </c>
    </row>
    <row r="318" spans="4:13">
      <c r="D318" s="1" t="s">
        <v>90</v>
      </c>
      <c r="E318" s="1" t="s">
        <v>49</v>
      </c>
      <c r="H318" s="1" t="s">
        <v>25</v>
      </c>
      <c r="I318" s="1" t="s">
        <v>23</v>
      </c>
      <c r="M318" s="1" t="b">
        <v>0</v>
      </c>
    </row>
    <row r="319" spans="4:13">
      <c r="D319" s="1" t="s">
        <v>90</v>
      </c>
      <c r="E319" s="1" t="s">
        <v>50</v>
      </c>
      <c r="H319" s="1" t="s">
        <v>25</v>
      </c>
      <c r="I319" s="1" t="s">
        <v>23</v>
      </c>
      <c r="M319" s="1" t="b">
        <v>0</v>
      </c>
    </row>
    <row r="320" spans="4:13">
      <c r="D320" s="1" t="s">
        <v>90</v>
      </c>
      <c r="E320" s="1" t="s">
        <v>51</v>
      </c>
      <c r="F320" s="1" t="s">
        <v>52</v>
      </c>
      <c r="G320" s="1" t="s">
        <v>53</v>
      </c>
      <c r="H320" s="1" t="s">
        <v>22</v>
      </c>
      <c r="I320" s="1" t="s">
        <v>23</v>
      </c>
      <c r="J320" s="1">
        <v>0</v>
      </c>
      <c r="K320" s="1">
        <v>7936641438.6555996</v>
      </c>
      <c r="L320" s="1">
        <v>7936.6414386555998</v>
      </c>
      <c r="M320" s="1">
        <v>7936.6414386555998</v>
      </c>
    </row>
    <row r="321" spans="4:13">
      <c r="D321" s="1" t="s">
        <v>90</v>
      </c>
      <c r="E321" s="1" t="s">
        <v>54</v>
      </c>
      <c r="H321" s="1" t="s">
        <v>25</v>
      </c>
      <c r="I321" s="1" t="s">
        <v>23</v>
      </c>
      <c r="M321" s="1" t="b">
        <v>0</v>
      </c>
    </row>
    <row r="322" spans="4:13">
      <c r="D322" s="1" t="s">
        <v>90</v>
      </c>
      <c r="E322" s="1" t="s">
        <v>55</v>
      </c>
      <c r="F322" s="1" t="s">
        <v>56</v>
      </c>
      <c r="G322" s="1" t="s">
        <v>57</v>
      </c>
      <c r="H322" s="1" t="s">
        <v>22</v>
      </c>
      <c r="I322" s="1" t="s">
        <v>23</v>
      </c>
      <c r="J322" s="1">
        <v>0</v>
      </c>
      <c r="K322" s="1">
        <v>9427.4529524635982</v>
      </c>
      <c r="L322" s="1">
        <v>50.713895374744951</v>
      </c>
      <c r="M322" s="1">
        <v>50.763208205573221</v>
      </c>
    </row>
    <row r="323" spans="4:13">
      <c r="D323" s="1" t="s">
        <v>90</v>
      </c>
      <c r="E323" s="1" t="s">
        <v>58</v>
      </c>
      <c r="H323" s="1" t="s">
        <v>25</v>
      </c>
      <c r="I323" s="1" t="s">
        <v>23</v>
      </c>
      <c r="M323" s="1" t="b">
        <v>0</v>
      </c>
    </row>
    <row r="324" spans="4:13">
      <c r="D324" s="1" t="s">
        <v>90</v>
      </c>
      <c r="E324" s="1" t="s">
        <v>59</v>
      </c>
      <c r="F324" s="1" t="s">
        <v>60</v>
      </c>
      <c r="G324" s="1" t="s">
        <v>61</v>
      </c>
      <c r="H324" s="1" t="s">
        <v>22</v>
      </c>
      <c r="I324" s="1" t="s">
        <v>23</v>
      </c>
      <c r="J324" s="1">
        <v>-9.5538358650799999</v>
      </c>
      <c r="K324" s="1">
        <v>9.5538358650799999</v>
      </c>
      <c r="L324" s="1">
        <v>0.23884589662700001</v>
      </c>
      <c r="M324" s="1">
        <v>0.23884589662700001</v>
      </c>
    </row>
    <row r="325" spans="4:13">
      <c r="D325" s="1" t="s">
        <v>90</v>
      </c>
      <c r="E325" s="1" t="s">
        <v>62</v>
      </c>
      <c r="H325" s="1" t="s">
        <v>63</v>
      </c>
      <c r="I325" s="1" t="s">
        <v>23</v>
      </c>
      <c r="M325" s="1">
        <v>1</v>
      </c>
    </row>
    <row r="326" spans="4:13">
      <c r="D326" s="1" t="s">
        <v>90</v>
      </c>
      <c r="E326" s="1" t="s">
        <v>64</v>
      </c>
      <c r="F326" s="1" t="s">
        <v>35</v>
      </c>
      <c r="G326" s="1" t="s">
        <v>36</v>
      </c>
      <c r="H326" s="1" t="s">
        <v>22</v>
      </c>
      <c r="I326" s="1" t="s">
        <v>65</v>
      </c>
      <c r="J326" s="1">
        <v>-459.67</v>
      </c>
      <c r="L326" s="1">
        <v>80.329999999999984</v>
      </c>
    </row>
    <row r="327" spans="4:13">
      <c r="D327" s="1" t="s">
        <v>90</v>
      </c>
      <c r="E327" s="1" t="s">
        <v>66</v>
      </c>
      <c r="F327" s="1" t="s">
        <v>35</v>
      </c>
      <c r="G327" s="1" t="s">
        <v>36</v>
      </c>
      <c r="H327" s="1" t="s">
        <v>22</v>
      </c>
      <c r="I327" s="1" t="s">
        <v>65</v>
      </c>
      <c r="J327" s="1">
        <v>-459.67</v>
      </c>
      <c r="L327" s="1">
        <v>80.329999999999984</v>
      </c>
    </row>
    <row r="328" spans="4:13">
      <c r="D328" s="1" t="s">
        <v>90</v>
      </c>
      <c r="E328" s="1" t="s">
        <v>67</v>
      </c>
      <c r="F328" s="1" t="s">
        <v>41</v>
      </c>
      <c r="G328" s="1" t="s">
        <v>42</v>
      </c>
      <c r="H328" s="1" t="s">
        <v>22</v>
      </c>
      <c r="I328" s="1" t="s">
        <v>65</v>
      </c>
      <c r="L328" s="1">
        <v>1.8</v>
      </c>
    </row>
    <row r="329" spans="4:13">
      <c r="D329" s="1" t="s">
        <v>90</v>
      </c>
      <c r="E329" s="1" t="s">
        <v>68</v>
      </c>
      <c r="F329" s="1" t="s">
        <v>45</v>
      </c>
      <c r="G329" s="1" t="s">
        <v>46</v>
      </c>
      <c r="H329" s="1" t="s">
        <v>22</v>
      </c>
      <c r="I329" s="1" t="s">
        <v>65</v>
      </c>
      <c r="L329" s="1">
        <v>4.2992261378713571E-4</v>
      </c>
    </row>
    <row r="330" spans="4:13">
      <c r="D330" s="1" t="s">
        <v>90</v>
      </c>
      <c r="E330" s="1" t="s">
        <v>69</v>
      </c>
      <c r="H330" s="1" t="s">
        <v>25</v>
      </c>
      <c r="I330" s="1" t="s">
        <v>70</v>
      </c>
    </row>
    <row r="331" spans="4:13">
      <c r="D331" s="1" t="s">
        <v>90</v>
      </c>
      <c r="E331" s="1" t="s">
        <v>71</v>
      </c>
      <c r="F331" s="1" t="s">
        <v>52</v>
      </c>
      <c r="G331" s="1" t="s">
        <v>53</v>
      </c>
      <c r="H331" s="1" t="s">
        <v>22</v>
      </c>
      <c r="I331" s="1" t="s">
        <v>65</v>
      </c>
      <c r="L331" s="1">
        <v>7936.6414386555998</v>
      </c>
    </row>
    <row r="332" spans="4:13">
      <c r="D332" s="1" t="s">
        <v>90</v>
      </c>
      <c r="E332" s="1" t="s">
        <v>72</v>
      </c>
      <c r="F332" s="1" t="s">
        <v>56</v>
      </c>
      <c r="G332" s="1" t="s">
        <v>57</v>
      </c>
      <c r="H332" s="1" t="s">
        <v>22</v>
      </c>
      <c r="I332" s="1" t="s">
        <v>65</v>
      </c>
      <c r="J332" s="1">
        <v>0</v>
      </c>
      <c r="L332" s="1">
        <v>14.503773773020921</v>
      </c>
    </row>
    <row r="333" spans="4:13">
      <c r="D333" s="1" t="s">
        <v>90</v>
      </c>
      <c r="E333" s="1" t="s">
        <v>73</v>
      </c>
      <c r="F333" s="1" t="s">
        <v>60</v>
      </c>
      <c r="G333" s="1" t="s">
        <v>61</v>
      </c>
      <c r="H333" s="1" t="s">
        <v>22</v>
      </c>
      <c r="I333" s="1" t="s">
        <v>65</v>
      </c>
      <c r="L333" s="1">
        <v>2.38845896627E-4</v>
      </c>
    </row>
    <row r="334" spans="4:13">
      <c r="D334" s="1" t="s">
        <v>90</v>
      </c>
      <c r="E334" s="1" t="s">
        <v>74</v>
      </c>
      <c r="F334" s="1" t="s">
        <v>75</v>
      </c>
      <c r="G334" s="1" t="s">
        <v>76</v>
      </c>
      <c r="H334" s="1" t="s">
        <v>22</v>
      </c>
      <c r="I334" s="1" t="s">
        <v>65</v>
      </c>
      <c r="J334" s="1">
        <v>0</v>
      </c>
      <c r="L334" s="1">
        <v>16.018463521800001</v>
      </c>
    </row>
    <row r="335" spans="4:13">
      <c r="D335" s="1" t="s">
        <v>90</v>
      </c>
      <c r="E335" s="1" t="s">
        <v>77</v>
      </c>
      <c r="H335" s="1" t="s">
        <v>22</v>
      </c>
      <c r="I335" s="1" t="s">
        <v>65</v>
      </c>
      <c r="L335" s="1">
        <v>1</v>
      </c>
    </row>
    <row r="336" spans="4:13">
      <c r="D336" s="1" t="s">
        <v>90</v>
      </c>
      <c r="E336" s="1" t="s">
        <v>78</v>
      </c>
      <c r="H336" s="1" t="s">
        <v>25</v>
      </c>
      <c r="I336" s="1" t="s">
        <v>23</v>
      </c>
      <c r="M336" s="1" t="b">
        <v>0</v>
      </c>
    </row>
    <row r="337" spans="4:13">
      <c r="D337" s="1" t="s">
        <v>90</v>
      </c>
      <c r="E337" s="1" t="s">
        <v>79</v>
      </c>
      <c r="F337" s="1" t="s">
        <v>75</v>
      </c>
      <c r="G337" s="1" t="s">
        <v>76</v>
      </c>
      <c r="H337" s="1" t="s">
        <v>22</v>
      </c>
      <c r="I337" s="1" t="s">
        <v>23</v>
      </c>
      <c r="J337" s="1">
        <v>0</v>
      </c>
      <c r="K337" s="1">
        <v>96.110781130800007</v>
      </c>
      <c r="L337" s="1">
        <v>16.018463521800001</v>
      </c>
      <c r="M337" s="1">
        <v>1.6018463521800002</v>
      </c>
    </row>
    <row r="338" spans="4:13">
      <c r="D338" s="1" t="s">
        <v>90</v>
      </c>
      <c r="E338" s="1" t="s">
        <v>80</v>
      </c>
      <c r="H338" s="1" t="s">
        <v>25</v>
      </c>
      <c r="I338" s="1" t="s">
        <v>23</v>
      </c>
      <c r="M338" s="1" t="b">
        <v>0</v>
      </c>
    </row>
    <row r="339" spans="4:13">
      <c r="D339" s="1" t="s">
        <v>90</v>
      </c>
      <c r="E339" s="1" t="s">
        <v>81</v>
      </c>
      <c r="H339" s="1" t="s">
        <v>25</v>
      </c>
      <c r="I339" s="1" t="s">
        <v>23</v>
      </c>
      <c r="M339" s="1" t="b">
        <v>0</v>
      </c>
    </row>
    <row r="340" spans="4:13">
      <c r="D340" s="1" t="s">
        <v>90</v>
      </c>
      <c r="E340" s="1" t="s">
        <v>82</v>
      </c>
      <c r="H340" s="1" t="s">
        <v>22</v>
      </c>
      <c r="I340" s="1" t="s">
        <v>23</v>
      </c>
      <c r="J340" s="1">
        <v>-1</v>
      </c>
      <c r="K340" s="1">
        <v>3</v>
      </c>
      <c r="L340" s="1">
        <v>1</v>
      </c>
      <c r="M340" s="1">
        <v>1.01</v>
      </c>
    </row>
    <row r="341" spans="4:13">
      <c r="D341" s="1" t="s">
        <v>91</v>
      </c>
      <c r="H341" s="1" t="s">
        <v>22</v>
      </c>
      <c r="I341" s="1" t="s">
        <v>23</v>
      </c>
      <c r="L341" s="1">
        <v>1</v>
      </c>
      <c r="M341" s="1">
        <v>0.99</v>
      </c>
    </row>
    <row r="342" spans="4:13">
      <c r="D342" s="1" t="s">
        <v>92</v>
      </c>
      <c r="E342" s="1" t="s">
        <v>28</v>
      </c>
      <c r="H342" s="1" t="s">
        <v>22</v>
      </c>
      <c r="I342" s="1" t="s">
        <v>29</v>
      </c>
      <c r="J342" s="1">
        <v>34000</v>
      </c>
      <c r="K342" s="1">
        <v>4300000</v>
      </c>
      <c r="L342" s="1">
        <v>349660</v>
      </c>
    </row>
    <row r="343" spans="4:13">
      <c r="D343" s="1" t="s">
        <v>92</v>
      </c>
      <c r="E343" s="1" t="s">
        <v>30</v>
      </c>
      <c r="H343" s="1" t="s">
        <v>22</v>
      </c>
      <c r="I343" s="1" t="s">
        <v>29</v>
      </c>
      <c r="J343" s="1">
        <v>-3.94</v>
      </c>
      <c r="K343" s="1">
        <v>3.66</v>
      </c>
      <c r="L343" s="1">
        <v>1</v>
      </c>
    </row>
    <row r="344" spans="4:13">
      <c r="D344" s="1" t="s">
        <v>92</v>
      </c>
      <c r="E344" s="1" t="s">
        <v>31</v>
      </c>
      <c r="H344" s="1" t="s">
        <v>22</v>
      </c>
      <c r="I344" s="1" t="s">
        <v>29</v>
      </c>
      <c r="J344" s="1">
        <v>0</v>
      </c>
      <c r="K344" s="1">
        <v>100</v>
      </c>
      <c r="L344" s="1">
        <v>1</v>
      </c>
    </row>
    <row r="345" spans="4:13">
      <c r="D345" s="1" t="s">
        <v>92</v>
      </c>
      <c r="E345" s="1" t="s">
        <v>32</v>
      </c>
      <c r="H345" s="1" t="s">
        <v>22</v>
      </c>
      <c r="I345" s="1" t="s">
        <v>29</v>
      </c>
      <c r="J345" s="1">
        <v>-3.94</v>
      </c>
      <c r="K345" s="1">
        <v>3.66</v>
      </c>
      <c r="L345" s="1">
        <v>1</v>
      </c>
    </row>
    <row r="346" spans="4:13">
      <c r="D346" s="1" t="s">
        <v>92</v>
      </c>
      <c r="E346" s="1" t="s">
        <v>33</v>
      </c>
      <c r="H346" s="1" t="s">
        <v>25</v>
      </c>
      <c r="I346" s="1" t="s">
        <v>23</v>
      </c>
      <c r="M346" s="1" t="b">
        <v>0</v>
      </c>
    </row>
    <row r="347" spans="4:13">
      <c r="D347" s="1" t="s">
        <v>92</v>
      </c>
      <c r="E347" s="1" t="s">
        <v>34</v>
      </c>
      <c r="F347" s="1" t="s">
        <v>35</v>
      </c>
      <c r="G347" s="1" t="s">
        <v>36</v>
      </c>
      <c r="H347" s="1" t="s">
        <v>22</v>
      </c>
      <c r="I347" s="1" t="s">
        <v>23</v>
      </c>
      <c r="J347" s="1">
        <v>-459.67</v>
      </c>
      <c r="K347" s="1">
        <v>980.32999999999993</v>
      </c>
      <c r="L347" s="1">
        <v>80.329999999999984</v>
      </c>
      <c r="M347" s="1">
        <v>67.999999999999943</v>
      </c>
    </row>
    <row r="348" spans="4:13">
      <c r="D348" s="1" t="s">
        <v>92</v>
      </c>
      <c r="E348" s="1" t="s">
        <v>37</v>
      </c>
      <c r="H348" s="1" t="s">
        <v>25</v>
      </c>
      <c r="I348" s="1" t="s">
        <v>23</v>
      </c>
      <c r="M348" s="1" t="b">
        <v>0</v>
      </c>
    </row>
    <row r="349" spans="4:13">
      <c r="D349" s="1" t="s">
        <v>92</v>
      </c>
      <c r="E349" s="1" t="s">
        <v>38</v>
      </c>
      <c r="F349" s="1" t="s">
        <v>35</v>
      </c>
      <c r="G349" s="1" t="s">
        <v>36</v>
      </c>
      <c r="H349" s="1" t="s">
        <v>22</v>
      </c>
      <c r="I349" s="1" t="s">
        <v>23</v>
      </c>
      <c r="J349" s="1">
        <v>-99.670000000000016</v>
      </c>
      <c r="K349" s="1">
        <v>980.32999999999993</v>
      </c>
      <c r="L349" s="1">
        <v>80.329999999999984</v>
      </c>
      <c r="M349" s="1">
        <v>13.999999999999943</v>
      </c>
    </row>
    <row r="350" spans="4:13">
      <c r="D350" s="1" t="s">
        <v>92</v>
      </c>
      <c r="E350" s="1" t="s">
        <v>39</v>
      </c>
      <c r="H350" s="1" t="s">
        <v>25</v>
      </c>
      <c r="I350" s="1" t="s">
        <v>23</v>
      </c>
      <c r="M350" s="1" t="b">
        <v>0</v>
      </c>
    </row>
    <row r="351" spans="4:13">
      <c r="D351" s="1" t="s">
        <v>92</v>
      </c>
      <c r="E351" s="1" t="s">
        <v>40</v>
      </c>
      <c r="F351" s="1" t="s">
        <v>41</v>
      </c>
      <c r="G351" s="1" t="s">
        <v>42</v>
      </c>
      <c r="H351" s="1" t="s">
        <v>22</v>
      </c>
      <c r="I351" s="1" t="s">
        <v>23</v>
      </c>
      <c r="J351" s="1">
        <v>-900</v>
      </c>
      <c r="K351" s="1">
        <v>900</v>
      </c>
      <c r="L351" s="1">
        <v>1.8</v>
      </c>
      <c r="M351" s="1">
        <v>9</v>
      </c>
    </row>
    <row r="352" spans="4:13">
      <c r="D352" s="1" t="s">
        <v>92</v>
      </c>
      <c r="E352" s="1" t="s">
        <v>43</v>
      </c>
      <c r="H352" s="1" t="s">
        <v>25</v>
      </c>
      <c r="I352" s="1" t="s">
        <v>23</v>
      </c>
      <c r="M352" s="1" t="b">
        <v>0</v>
      </c>
    </row>
    <row r="353" spans="4:13">
      <c r="D353" s="1" t="s">
        <v>92</v>
      </c>
      <c r="E353" s="1" t="s">
        <v>44</v>
      </c>
      <c r="F353" s="1" t="s">
        <v>45</v>
      </c>
      <c r="G353" s="1" t="s">
        <v>46</v>
      </c>
      <c r="H353" s="1" t="s">
        <v>22</v>
      </c>
      <c r="I353" s="1" t="s">
        <v>23</v>
      </c>
      <c r="J353" s="1">
        <v>-85.984522757427143</v>
      </c>
      <c r="K353" s="1">
        <v>8598.4522757427148</v>
      </c>
      <c r="L353" s="1">
        <v>114.79148749423418</v>
      </c>
      <c r="M353" s="1">
        <v>128.97678413614071</v>
      </c>
    </row>
    <row r="354" spans="4:13">
      <c r="D354" s="1" t="s">
        <v>92</v>
      </c>
      <c r="E354" s="1" t="s">
        <v>47</v>
      </c>
      <c r="H354" s="1" t="s">
        <v>25</v>
      </c>
      <c r="I354" s="1" t="s">
        <v>23</v>
      </c>
      <c r="M354" s="1" t="b">
        <v>0</v>
      </c>
    </row>
    <row r="355" spans="4:13">
      <c r="D355" s="1" t="s">
        <v>92</v>
      </c>
      <c r="E355" s="1" t="s">
        <v>48</v>
      </c>
      <c r="H355" s="1" t="s">
        <v>25</v>
      </c>
      <c r="I355" s="1" t="s">
        <v>23</v>
      </c>
      <c r="M355" s="1" t="b">
        <v>0</v>
      </c>
    </row>
    <row r="356" spans="4:13">
      <c r="D356" s="1" t="s">
        <v>92</v>
      </c>
      <c r="E356" s="1" t="s">
        <v>49</v>
      </c>
      <c r="H356" s="1" t="s">
        <v>25</v>
      </c>
      <c r="I356" s="1" t="s">
        <v>23</v>
      </c>
      <c r="M356" s="1" t="b">
        <v>0</v>
      </c>
    </row>
    <row r="357" spans="4:13">
      <c r="D357" s="1" t="s">
        <v>92</v>
      </c>
      <c r="E357" s="1" t="s">
        <v>50</v>
      </c>
      <c r="H357" s="1" t="s">
        <v>25</v>
      </c>
      <c r="I357" s="1" t="s">
        <v>23</v>
      </c>
      <c r="M357" s="1" t="b">
        <v>0</v>
      </c>
    </row>
    <row r="358" spans="4:13">
      <c r="D358" s="1" t="s">
        <v>92</v>
      </c>
      <c r="E358" s="1" t="s">
        <v>51</v>
      </c>
      <c r="F358" s="1" t="s">
        <v>52</v>
      </c>
      <c r="G358" s="1" t="s">
        <v>53</v>
      </c>
      <c r="H358" s="1" t="s">
        <v>22</v>
      </c>
      <c r="I358" s="1" t="s">
        <v>23</v>
      </c>
      <c r="J358" s="1">
        <v>0</v>
      </c>
      <c r="K358" s="1">
        <v>7936641438.6555996</v>
      </c>
      <c r="L358" s="1">
        <v>7936.6414386555998</v>
      </c>
      <c r="M358" s="1">
        <v>7936.6414386555998</v>
      </c>
    </row>
    <row r="359" spans="4:13">
      <c r="D359" s="1" t="s">
        <v>92</v>
      </c>
      <c r="E359" s="1" t="s">
        <v>54</v>
      </c>
      <c r="H359" s="1" t="s">
        <v>25</v>
      </c>
      <c r="I359" s="1" t="s">
        <v>23</v>
      </c>
      <c r="M359" s="1" t="b">
        <v>0</v>
      </c>
    </row>
    <row r="360" spans="4:13">
      <c r="D360" s="1" t="s">
        <v>92</v>
      </c>
      <c r="E360" s="1" t="s">
        <v>55</v>
      </c>
      <c r="F360" s="1" t="s">
        <v>56</v>
      </c>
      <c r="G360" s="1" t="s">
        <v>57</v>
      </c>
      <c r="H360" s="1" t="s">
        <v>22</v>
      </c>
      <c r="I360" s="1" t="s">
        <v>23</v>
      </c>
      <c r="J360" s="1">
        <v>0</v>
      </c>
      <c r="K360" s="1">
        <v>9427.4529524635982</v>
      </c>
      <c r="L360" s="1">
        <v>50.713895374744951</v>
      </c>
      <c r="M360" s="1">
        <v>50.763208205573221</v>
      </c>
    </row>
    <row r="361" spans="4:13">
      <c r="D361" s="1" t="s">
        <v>92</v>
      </c>
      <c r="E361" s="1" t="s">
        <v>58</v>
      </c>
      <c r="H361" s="1" t="s">
        <v>25</v>
      </c>
      <c r="I361" s="1" t="s">
        <v>23</v>
      </c>
      <c r="M361" s="1" t="b">
        <v>0</v>
      </c>
    </row>
    <row r="362" spans="4:13">
      <c r="D362" s="1" t="s">
        <v>92</v>
      </c>
      <c r="E362" s="1" t="s">
        <v>59</v>
      </c>
      <c r="F362" s="1" t="s">
        <v>60</v>
      </c>
      <c r="G362" s="1" t="s">
        <v>61</v>
      </c>
      <c r="H362" s="1" t="s">
        <v>22</v>
      </c>
      <c r="I362" s="1" t="s">
        <v>23</v>
      </c>
      <c r="J362" s="1">
        <v>-9.5538358650799999</v>
      </c>
      <c r="K362" s="1">
        <v>9.5538358650799999</v>
      </c>
      <c r="L362" s="1">
        <v>0.23884589662700001</v>
      </c>
      <c r="M362" s="1">
        <v>0.23884589662700001</v>
      </c>
    </row>
    <row r="363" spans="4:13">
      <c r="D363" s="1" t="s">
        <v>92</v>
      </c>
      <c r="E363" s="1" t="s">
        <v>62</v>
      </c>
      <c r="H363" s="1" t="s">
        <v>63</v>
      </c>
      <c r="I363" s="1" t="s">
        <v>23</v>
      </c>
      <c r="M363" s="1">
        <v>1</v>
      </c>
    </row>
    <row r="364" spans="4:13">
      <c r="D364" s="1" t="s">
        <v>92</v>
      </c>
      <c r="E364" s="1" t="s">
        <v>64</v>
      </c>
      <c r="F364" s="1" t="s">
        <v>35</v>
      </c>
      <c r="G364" s="1" t="s">
        <v>36</v>
      </c>
      <c r="H364" s="1" t="s">
        <v>22</v>
      </c>
      <c r="I364" s="1" t="s">
        <v>65</v>
      </c>
      <c r="J364" s="1">
        <v>-459.67</v>
      </c>
      <c r="L364" s="1">
        <v>80.329999999999984</v>
      </c>
    </row>
    <row r="365" spans="4:13">
      <c r="D365" s="1" t="s">
        <v>92</v>
      </c>
      <c r="E365" s="1" t="s">
        <v>66</v>
      </c>
      <c r="F365" s="1" t="s">
        <v>35</v>
      </c>
      <c r="G365" s="1" t="s">
        <v>36</v>
      </c>
      <c r="H365" s="1" t="s">
        <v>22</v>
      </c>
      <c r="I365" s="1" t="s">
        <v>65</v>
      </c>
      <c r="J365" s="1">
        <v>-459.67</v>
      </c>
      <c r="L365" s="1">
        <v>80.329999999999984</v>
      </c>
    </row>
    <row r="366" spans="4:13">
      <c r="D366" s="1" t="s">
        <v>92</v>
      </c>
      <c r="E366" s="1" t="s">
        <v>67</v>
      </c>
      <c r="F366" s="1" t="s">
        <v>41</v>
      </c>
      <c r="G366" s="1" t="s">
        <v>42</v>
      </c>
      <c r="H366" s="1" t="s">
        <v>22</v>
      </c>
      <c r="I366" s="1" t="s">
        <v>65</v>
      </c>
      <c r="L366" s="1">
        <v>1.8</v>
      </c>
    </row>
    <row r="367" spans="4:13">
      <c r="D367" s="1" t="s">
        <v>92</v>
      </c>
      <c r="E367" s="1" t="s">
        <v>68</v>
      </c>
      <c r="F367" s="1" t="s">
        <v>45</v>
      </c>
      <c r="G367" s="1" t="s">
        <v>46</v>
      </c>
      <c r="H367" s="1" t="s">
        <v>22</v>
      </c>
      <c r="I367" s="1" t="s">
        <v>65</v>
      </c>
      <c r="L367" s="1">
        <v>4.2992261378713571E-4</v>
      </c>
    </row>
    <row r="368" spans="4:13">
      <c r="D368" s="1" t="s">
        <v>92</v>
      </c>
      <c r="E368" s="1" t="s">
        <v>69</v>
      </c>
      <c r="H368" s="1" t="s">
        <v>25</v>
      </c>
      <c r="I368" s="1" t="s">
        <v>70</v>
      </c>
    </row>
    <row r="369" spans="4:13">
      <c r="D369" s="1" t="s">
        <v>92</v>
      </c>
      <c r="E369" s="1" t="s">
        <v>71</v>
      </c>
      <c r="F369" s="1" t="s">
        <v>52</v>
      </c>
      <c r="G369" s="1" t="s">
        <v>53</v>
      </c>
      <c r="H369" s="1" t="s">
        <v>22</v>
      </c>
      <c r="I369" s="1" t="s">
        <v>65</v>
      </c>
      <c r="L369" s="1">
        <v>7936.6414386555998</v>
      </c>
    </row>
    <row r="370" spans="4:13">
      <c r="D370" s="1" t="s">
        <v>92</v>
      </c>
      <c r="E370" s="1" t="s">
        <v>72</v>
      </c>
      <c r="F370" s="1" t="s">
        <v>56</v>
      </c>
      <c r="G370" s="1" t="s">
        <v>57</v>
      </c>
      <c r="H370" s="1" t="s">
        <v>22</v>
      </c>
      <c r="I370" s="1" t="s">
        <v>65</v>
      </c>
      <c r="J370" s="1">
        <v>0</v>
      </c>
      <c r="L370" s="1">
        <v>14.503773773020921</v>
      </c>
    </row>
    <row r="371" spans="4:13">
      <c r="D371" s="1" t="s">
        <v>92</v>
      </c>
      <c r="E371" s="1" t="s">
        <v>73</v>
      </c>
      <c r="F371" s="1" t="s">
        <v>60</v>
      </c>
      <c r="G371" s="1" t="s">
        <v>61</v>
      </c>
      <c r="H371" s="1" t="s">
        <v>22</v>
      </c>
      <c r="I371" s="1" t="s">
        <v>65</v>
      </c>
      <c r="L371" s="1">
        <v>2.38845896627E-4</v>
      </c>
    </row>
    <row r="372" spans="4:13">
      <c r="D372" s="1" t="s">
        <v>92</v>
      </c>
      <c r="E372" s="1" t="s">
        <v>74</v>
      </c>
      <c r="F372" s="1" t="s">
        <v>75</v>
      </c>
      <c r="G372" s="1" t="s">
        <v>76</v>
      </c>
      <c r="H372" s="1" t="s">
        <v>22</v>
      </c>
      <c r="I372" s="1" t="s">
        <v>65</v>
      </c>
      <c r="J372" s="1">
        <v>0</v>
      </c>
      <c r="L372" s="1">
        <v>16.018463521800001</v>
      </c>
    </row>
    <row r="373" spans="4:13">
      <c r="D373" s="1" t="s">
        <v>92</v>
      </c>
      <c r="E373" s="1" t="s">
        <v>77</v>
      </c>
      <c r="H373" s="1" t="s">
        <v>22</v>
      </c>
      <c r="I373" s="1" t="s">
        <v>65</v>
      </c>
      <c r="L373" s="1">
        <v>1</v>
      </c>
    </row>
    <row r="374" spans="4:13">
      <c r="D374" s="1" t="s">
        <v>92</v>
      </c>
      <c r="E374" s="1" t="s">
        <v>78</v>
      </c>
      <c r="H374" s="1" t="s">
        <v>25</v>
      </c>
      <c r="I374" s="1" t="s">
        <v>23</v>
      </c>
      <c r="M374" s="1" t="b">
        <v>0</v>
      </c>
    </row>
    <row r="375" spans="4:13">
      <c r="D375" s="1" t="s">
        <v>92</v>
      </c>
      <c r="E375" s="1" t="s">
        <v>79</v>
      </c>
      <c r="F375" s="1" t="s">
        <v>75</v>
      </c>
      <c r="G375" s="1" t="s">
        <v>76</v>
      </c>
      <c r="H375" s="1" t="s">
        <v>22</v>
      </c>
      <c r="I375" s="1" t="s">
        <v>23</v>
      </c>
      <c r="J375" s="1">
        <v>0</v>
      </c>
      <c r="K375" s="1">
        <v>96.110781130800007</v>
      </c>
      <c r="L375" s="1">
        <v>16.018463521800001</v>
      </c>
      <c r="M375" s="1">
        <v>1.6018463521800002</v>
      </c>
    </row>
    <row r="376" spans="4:13">
      <c r="D376" s="1" t="s">
        <v>92</v>
      </c>
      <c r="E376" s="1" t="s">
        <v>80</v>
      </c>
      <c r="H376" s="1" t="s">
        <v>25</v>
      </c>
      <c r="I376" s="1" t="s">
        <v>23</v>
      </c>
      <c r="M376" s="1" t="b">
        <v>0</v>
      </c>
    </row>
    <row r="377" spans="4:13">
      <c r="D377" s="1" t="s">
        <v>92</v>
      </c>
      <c r="E377" s="1" t="s">
        <v>81</v>
      </c>
      <c r="H377" s="1" t="s">
        <v>25</v>
      </c>
      <c r="I377" s="1" t="s">
        <v>23</v>
      </c>
      <c r="M377" s="1" t="b">
        <v>0</v>
      </c>
    </row>
    <row r="378" spans="4:13">
      <c r="D378" s="1" t="s">
        <v>92</v>
      </c>
      <c r="E378" s="1" t="s">
        <v>82</v>
      </c>
      <c r="H378" s="1" t="s">
        <v>22</v>
      </c>
      <c r="I378" s="1" t="s">
        <v>23</v>
      </c>
      <c r="J378" s="1">
        <v>-1</v>
      </c>
      <c r="K378" s="1">
        <v>3</v>
      </c>
      <c r="L378" s="1">
        <v>1</v>
      </c>
      <c r="M378" s="1">
        <v>1.01</v>
      </c>
    </row>
    <row r="379" spans="4:13">
      <c r="D379" s="1" t="s">
        <v>93</v>
      </c>
      <c r="F379" s="1" t="s">
        <v>41</v>
      </c>
      <c r="G379" s="1" t="s">
        <v>42</v>
      </c>
      <c r="H379" s="1" t="s">
        <v>22</v>
      </c>
      <c r="I379" s="1" t="s">
        <v>23</v>
      </c>
      <c r="L379" s="1">
        <v>1.8</v>
      </c>
      <c r="M379" s="1">
        <v>10</v>
      </c>
    </row>
    <row r="380" spans="4:13">
      <c r="D380" s="1" t="s">
        <v>94</v>
      </c>
      <c r="E380" s="1" t="s">
        <v>95</v>
      </c>
      <c r="H380" s="1" t="s">
        <v>63</v>
      </c>
      <c r="I380" s="1" t="s">
        <v>23</v>
      </c>
      <c r="M380" s="1">
        <v>-1</v>
      </c>
    </row>
    <row r="381" spans="4:13">
      <c r="D381" s="1" t="s">
        <v>94</v>
      </c>
      <c r="E381" s="1" t="s">
        <v>96</v>
      </c>
      <c r="H381" s="1" t="s">
        <v>22</v>
      </c>
      <c r="I381" s="1" t="s">
        <v>23</v>
      </c>
      <c r="L381" s="1">
        <v>1</v>
      </c>
      <c r="M381" s="1">
        <v>-0.1</v>
      </c>
    </row>
    <row r="382" spans="4:13">
      <c r="D382" s="1" t="s">
        <v>94</v>
      </c>
      <c r="E382" s="1" t="s">
        <v>47</v>
      </c>
      <c r="H382" s="1" t="s">
        <v>25</v>
      </c>
      <c r="I382" s="1" t="s">
        <v>23</v>
      </c>
      <c r="M382" s="1" t="b">
        <v>0</v>
      </c>
    </row>
    <row r="383" spans="4:13">
      <c r="D383" s="1" t="s">
        <v>97</v>
      </c>
      <c r="E383" s="1" t="s">
        <v>28</v>
      </c>
      <c r="H383" s="1" t="s">
        <v>22</v>
      </c>
      <c r="I383" s="1" t="s">
        <v>29</v>
      </c>
      <c r="J383" s="1">
        <v>34000</v>
      </c>
      <c r="K383" s="1">
        <v>4300000</v>
      </c>
      <c r="L383" s="1">
        <v>349660</v>
      </c>
    </row>
    <row r="384" spans="4:13">
      <c r="D384" s="1" t="s">
        <v>97</v>
      </c>
      <c r="E384" s="1" t="s">
        <v>30</v>
      </c>
      <c r="H384" s="1" t="s">
        <v>22</v>
      </c>
      <c r="I384" s="1" t="s">
        <v>29</v>
      </c>
      <c r="J384" s="1">
        <v>-3.94</v>
      </c>
      <c r="K384" s="1">
        <v>3.66</v>
      </c>
      <c r="L384" s="1">
        <v>1</v>
      </c>
    </row>
    <row r="385" spans="4:13">
      <c r="D385" s="1" t="s">
        <v>97</v>
      </c>
      <c r="E385" s="1" t="s">
        <v>31</v>
      </c>
      <c r="H385" s="1" t="s">
        <v>22</v>
      </c>
      <c r="I385" s="1" t="s">
        <v>29</v>
      </c>
      <c r="J385" s="1">
        <v>0</v>
      </c>
      <c r="K385" s="1">
        <v>100</v>
      </c>
      <c r="L385" s="1">
        <v>1</v>
      </c>
    </row>
    <row r="386" spans="4:13">
      <c r="D386" s="1" t="s">
        <v>97</v>
      </c>
      <c r="E386" s="1" t="s">
        <v>32</v>
      </c>
      <c r="H386" s="1" t="s">
        <v>22</v>
      </c>
      <c r="I386" s="1" t="s">
        <v>29</v>
      </c>
      <c r="J386" s="1">
        <v>-3.94</v>
      </c>
      <c r="K386" s="1">
        <v>3.66</v>
      </c>
      <c r="L386" s="1">
        <v>1</v>
      </c>
    </row>
    <row r="387" spans="4:13">
      <c r="D387" s="1" t="s">
        <v>97</v>
      </c>
      <c r="E387" s="1" t="s">
        <v>33</v>
      </c>
      <c r="H387" s="1" t="s">
        <v>25</v>
      </c>
      <c r="I387" s="1" t="s">
        <v>23</v>
      </c>
      <c r="M387" s="1" t="b">
        <v>0</v>
      </c>
    </row>
    <row r="388" spans="4:13">
      <c r="D388" s="1" t="s">
        <v>97</v>
      </c>
      <c r="E388" s="1" t="s">
        <v>34</v>
      </c>
      <c r="F388" s="1" t="s">
        <v>35</v>
      </c>
      <c r="G388" s="1" t="s">
        <v>36</v>
      </c>
      <c r="H388" s="1" t="s">
        <v>22</v>
      </c>
      <c r="I388" s="1" t="s">
        <v>23</v>
      </c>
      <c r="J388" s="1">
        <v>-459.67</v>
      </c>
      <c r="K388" s="1">
        <v>980.32999999999993</v>
      </c>
      <c r="L388" s="1">
        <v>80.329999999999984</v>
      </c>
      <c r="M388" s="1">
        <v>67.999999999999943</v>
      </c>
    </row>
    <row r="389" spans="4:13">
      <c r="D389" s="1" t="s">
        <v>97</v>
      </c>
      <c r="E389" s="1" t="s">
        <v>37</v>
      </c>
      <c r="H389" s="1" t="s">
        <v>25</v>
      </c>
      <c r="I389" s="1" t="s">
        <v>23</v>
      </c>
      <c r="M389" s="1" t="b">
        <v>0</v>
      </c>
    </row>
    <row r="390" spans="4:13">
      <c r="D390" s="1" t="s">
        <v>97</v>
      </c>
      <c r="E390" s="1" t="s">
        <v>38</v>
      </c>
      <c r="F390" s="1" t="s">
        <v>35</v>
      </c>
      <c r="G390" s="1" t="s">
        <v>36</v>
      </c>
      <c r="H390" s="1" t="s">
        <v>22</v>
      </c>
      <c r="I390" s="1" t="s">
        <v>23</v>
      </c>
      <c r="J390" s="1">
        <v>-99.670000000000016</v>
      </c>
      <c r="K390" s="1">
        <v>980.32999999999993</v>
      </c>
      <c r="L390" s="1">
        <v>80.329999999999984</v>
      </c>
      <c r="M390" s="1">
        <v>13.999999999999943</v>
      </c>
    </row>
    <row r="391" spans="4:13">
      <c r="D391" s="1" t="s">
        <v>97</v>
      </c>
      <c r="E391" s="1" t="s">
        <v>39</v>
      </c>
      <c r="H391" s="1" t="s">
        <v>25</v>
      </c>
      <c r="I391" s="1" t="s">
        <v>23</v>
      </c>
      <c r="M391" s="1" t="b">
        <v>1</v>
      </c>
    </row>
    <row r="392" spans="4:13">
      <c r="D392" s="1" t="s">
        <v>97</v>
      </c>
      <c r="E392" s="1" t="s">
        <v>40</v>
      </c>
      <c r="F392" s="1" t="s">
        <v>41</v>
      </c>
      <c r="G392" s="1" t="s">
        <v>42</v>
      </c>
      <c r="H392" s="1" t="s">
        <v>22</v>
      </c>
      <c r="I392" s="1" t="s">
        <v>23</v>
      </c>
      <c r="J392" s="1">
        <v>-900</v>
      </c>
      <c r="K392" s="1">
        <v>900</v>
      </c>
      <c r="L392" s="1">
        <v>1.8</v>
      </c>
      <c r="M392" s="1">
        <v>0.5</v>
      </c>
    </row>
    <row r="393" spans="4:13">
      <c r="D393" s="1" t="s">
        <v>97</v>
      </c>
      <c r="E393" s="1" t="s">
        <v>43</v>
      </c>
      <c r="H393" s="1" t="s">
        <v>25</v>
      </c>
      <c r="I393" s="1" t="s">
        <v>23</v>
      </c>
      <c r="M393" s="1" t="b">
        <v>0</v>
      </c>
    </row>
    <row r="394" spans="4:13">
      <c r="D394" s="1" t="s">
        <v>97</v>
      </c>
      <c r="E394" s="1" t="s">
        <v>44</v>
      </c>
      <c r="F394" s="1" t="s">
        <v>45</v>
      </c>
      <c r="G394" s="1" t="s">
        <v>46</v>
      </c>
      <c r="H394" s="1" t="s">
        <v>22</v>
      </c>
      <c r="I394" s="1" t="s">
        <v>23</v>
      </c>
      <c r="J394" s="1">
        <v>-85.984522757427143</v>
      </c>
      <c r="K394" s="1">
        <v>8598.4522757427148</v>
      </c>
      <c r="L394" s="1">
        <v>114.79148749423418</v>
      </c>
      <c r="M394" s="1">
        <v>128.97678413614071</v>
      </c>
    </row>
    <row r="395" spans="4:13">
      <c r="D395" s="1" t="s">
        <v>97</v>
      </c>
      <c r="E395" s="1" t="s">
        <v>47</v>
      </c>
      <c r="H395" s="1" t="s">
        <v>25</v>
      </c>
      <c r="I395" s="1" t="s">
        <v>23</v>
      </c>
      <c r="M395" s="1" t="b">
        <v>0</v>
      </c>
    </row>
    <row r="396" spans="4:13">
      <c r="D396" s="1" t="s">
        <v>97</v>
      </c>
      <c r="E396" s="1" t="s">
        <v>48</v>
      </c>
      <c r="H396" s="1" t="s">
        <v>25</v>
      </c>
      <c r="I396" s="1" t="s">
        <v>23</v>
      </c>
      <c r="M396" s="1" t="b">
        <v>0</v>
      </c>
    </row>
    <row r="397" spans="4:13">
      <c r="D397" s="1" t="s">
        <v>97</v>
      </c>
      <c r="E397" s="1" t="s">
        <v>49</v>
      </c>
      <c r="H397" s="1" t="s">
        <v>25</v>
      </c>
      <c r="I397" s="1" t="s">
        <v>23</v>
      </c>
      <c r="M397" s="1" t="b">
        <v>0</v>
      </c>
    </row>
    <row r="398" spans="4:13">
      <c r="D398" s="1" t="s">
        <v>97</v>
      </c>
      <c r="E398" s="1" t="s">
        <v>50</v>
      </c>
      <c r="H398" s="1" t="s">
        <v>25</v>
      </c>
      <c r="I398" s="1" t="s">
        <v>23</v>
      </c>
      <c r="M398" s="1" t="b">
        <v>0</v>
      </c>
    </row>
    <row r="399" spans="4:13">
      <c r="D399" s="1" t="s">
        <v>97</v>
      </c>
      <c r="E399" s="1" t="s">
        <v>51</v>
      </c>
      <c r="F399" s="1" t="s">
        <v>52</v>
      </c>
      <c r="G399" s="1" t="s">
        <v>53</v>
      </c>
      <c r="H399" s="1" t="s">
        <v>22</v>
      </c>
      <c r="I399" s="1" t="s">
        <v>23</v>
      </c>
      <c r="J399" s="1">
        <v>0</v>
      </c>
      <c r="K399" s="1">
        <v>7936641438.6555996</v>
      </c>
      <c r="L399" s="1">
        <v>7936.6414386555998</v>
      </c>
      <c r="M399" s="1">
        <v>7936.6414386555998</v>
      </c>
    </row>
    <row r="400" spans="4:13">
      <c r="D400" s="1" t="s">
        <v>97</v>
      </c>
      <c r="E400" s="1" t="s">
        <v>54</v>
      </c>
      <c r="H400" s="1" t="s">
        <v>25</v>
      </c>
      <c r="I400" s="1" t="s">
        <v>23</v>
      </c>
      <c r="M400" s="1" t="b">
        <v>0</v>
      </c>
    </row>
    <row r="401" spans="4:13">
      <c r="D401" s="1" t="s">
        <v>97</v>
      </c>
      <c r="E401" s="1" t="s">
        <v>55</v>
      </c>
      <c r="F401" s="1" t="s">
        <v>56</v>
      </c>
      <c r="G401" s="1" t="s">
        <v>57</v>
      </c>
      <c r="H401" s="1" t="s">
        <v>22</v>
      </c>
      <c r="I401" s="1" t="s">
        <v>23</v>
      </c>
      <c r="J401" s="1">
        <v>0</v>
      </c>
      <c r="K401" s="1">
        <v>9427.4529524635982</v>
      </c>
      <c r="L401" s="1">
        <v>50.713895374744951</v>
      </c>
      <c r="M401" s="1">
        <v>50.763208205573221</v>
      </c>
    </row>
    <row r="402" spans="4:13">
      <c r="D402" s="1" t="s">
        <v>97</v>
      </c>
      <c r="E402" s="1" t="s">
        <v>58</v>
      </c>
      <c r="H402" s="1" t="s">
        <v>25</v>
      </c>
      <c r="I402" s="1" t="s">
        <v>23</v>
      </c>
      <c r="M402" s="1" t="b">
        <v>0</v>
      </c>
    </row>
    <row r="403" spans="4:13">
      <c r="D403" s="1" t="s">
        <v>97</v>
      </c>
      <c r="E403" s="1" t="s">
        <v>59</v>
      </c>
      <c r="F403" s="1" t="s">
        <v>60</v>
      </c>
      <c r="G403" s="1" t="s">
        <v>61</v>
      </c>
      <c r="H403" s="1" t="s">
        <v>22</v>
      </c>
      <c r="I403" s="1" t="s">
        <v>23</v>
      </c>
      <c r="J403" s="1">
        <v>-9.5538358650799999</v>
      </c>
      <c r="K403" s="1">
        <v>9.5538358650799999</v>
      </c>
      <c r="L403" s="1">
        <v>0.23884589662700001</v>
      </c>
      <c r="M403" s="1">
        <v>0.23884589662700001</v>
      </c>
    </row>
    <row r="404" spans="4:13">
      <c r="D404" s="1" t="s">
        <v>97</v>
      </c>
      <c r="E404" s="1" t="s">
        <v>62</v>
      </c>
      <c r="H404" s="1" t="s">
        <v>63</v>
      </c>
      <c r="I404" s="1" t="s">
        <v>23</v>
      </c>
      <c r="M404" s="1">
        <v>1</v>
      </c>
    </row>
    <row r="405" spans="4:13">
      <c r="D405" s="1" t="s">
        <v>97</v>
      </c>
      <c r="E405" s="1" t="s">
        <v>64</v>
      </c>
      <c r="F405" s="1" t="s">
        <v>35</v>
      </c>
      <c r="G405" s="1" t="s">
        <v>36</v>
      </c>
      <c r="H405" s="1" t="s">
        <v>22</v>
      </c>
      <c r="I405" s="1" t="s">
        <v>65</v>
      </c>
      <c r="J405" s="1">
        <v>-459.67</v>
      </c>
      <c r="L405" s="1">
        <v>80.329999999999984</v>
      </c>
    </row>
    <row r="406" spans="4:13">
      <c r="D406" s="1" t="s">
        <v>97</v>
      </c>
      <c r="E406" s="1" t="s">
        <v>66</v>
      </c>
      <c r="F406" s="1" t="s">
        <v>35</v>
      </c>
      <c r="G406" s="1" t="s">
        <v>36</v>
      </c>
      <c r="H406" s="1" t="s">
        <v>22</v>
      </c>
      <c r="I406" s="1" t="s">
        <v>65</v>
      </c>
      <c r="J406" s="1">
        <v>-459.67</v>
      </c>
      <c r="L406" s="1">
        <v>80.329999999999984</v>
      </c>
    </row>
    <row r="407" spans="4:13">
      <c r="D407" s="1" t="s">
        <v>97</v>
      </c>
      <c r="E407" s="1" t="s">
        <v>67</v>
      </c>
      <c r="F407" s="1" t="s">
        <v>41</v>
      </c>
      <c r="G407" s="1" t="s">
        <v>42</v>
      </c>
      <c r="H407" s="1" t="s">
        <v>22</v>
      </c>
      <c r="I407" s="1" t="s">
        <v>65</v>
      </c>
      <c r="L407" s="1">
        <v>1.8</v>
      </c>
    </row>
    <row r="408" spans="4:13">
      <c r="D408" s="1" t="s">
        <v>97</v>
      </c>
      <c r="E408" s="1" t="s">
        <v>68</v>
      </c>
      <c r="F408" s="1" t="s">
        <v>45</v>
      </c>
      <c r="G408" s="1" t="s">
        <v>46</v>
      </c>
      <c r="H408" s="1" t="s">
        <v>22</v>
      </c>
      <c r="I408" s="1" t="s">
        <v>65</v>
      </c>
      <c r="L408" s="1">
        <v>4.2992261378713571E-4</v>
      </c>
    </row>
    <row r="409" spans="4:13">
      <c r="D409" s="1" t="s">
        <v>97</v>
      </c>
      <c r="E409" s="1" t="s">
        <v>69</v>
      </c>
      <c r="H409" s="1" t="s">
        <v>25</v>
      </c>
      <c r="I409" s="1" t="s">
        <v>70</v>
      </c>
    </row>
    <row r="410" spans="4:13">
      <c r="D410" s="1" t="s">
        <v>97</v>
      </c>
      <c r="E410" s="1" t="s">
        <v>71</v>
      </c>
      <c r="F410" s="1" t="s">
        <v>52</v>
      </c>
      <c r="G410" s="1" t="s">
        <v>53</v>
      </c>
      <c r="H410" s="1" t="s">
        <v>22</v>
      </c>
      <c r="I410" s="1" t="s">
        <v>65</v>
      </c>
      <c r="L410" s="1">
        <v>7936.6414386555998</v>
      </c>
    </row>
    <row r="411" spans="4:13">
      <c r="D411" s="1" t="s">
        <v>97</v>
      </c>
      <c r="E411" s="1" t="s">
        <v>72</v>
      </c>
      <c r="F411" s="1" t="s">
        <v>56</v>
      </c>
      <c r="G411" s="1" t="s">
        <v>57</v>
      </c>
      <c r="H411" s="1" t="s">
        <v>22</v>
      </c>
      <c r="I411" s="1" t="s">
        <v>65</v>
      </c>
      <c r="J411" s="1">
        <v>0</v>
      </c>
      <c r="L411" s="1">
        <v>14.503773773020921</v>
      </c>
    </row>
    <row r="412" spans="4:13">
      <c r="D412" s="1" t="s">
        <v>97</v>
      </c>
      <c r="E412" s="1" t="s">
        <v>73</v>
      </c>
      <c r="F412" s="1" t="s">
        <v>60</v>
      </c>
      <c r="G412" s="1" t="s">
        <v>61</v>
      </c>
      <c r="H412" s="1" t="s">
        <v>22</v>
      </c>
      <c r="I412" s="1" t="s">
        <v>65</v>
      </c>
      <c r="L412" s="1">
        <v>2.38845896627E-4</v>
      </c>
    </row>
    <row r="413" spans="4:13">
      <c r="D413" s="1" t="s">
        <v>97</v>
      </c>
      <c r="E413" s="1" t="s">
        <v>74</v>
      </c>
      <c r="F413" s="1" t="s">
        <v>75</v>
      </c>
      <c r="G413" s="1" t="s">
        <v>76</v>
      </c>
      <c r="H413" s="1" t="s">
        <v>22</v>
      </c>
      <c r="I413" s="1" t="s">
        <v>65</v>
      </c>
      <c r="J413" s="1">
        <v>0</v>
      </c>
      <c r="L413" s="1">
        <v>16.018463521800001</v>
      </c>
    </row>
    <row r="414" spans="4:13">
      <c r="D414" s="1" t="s">
        <v>97</v>
      </c>
      <c r="E414" s="1" t="s">
        <v>77</v>
      </c>
      <c r="H414" s="1" t="s">
        <v>22</v>
      </c>
      <c r="I414" s="1" t="s">
        <v>65</v>
      </c>
      <c r="L414" s="1">
        <v>1</v>
      </c>
    </row>
    <row r="415" spans="4:13">
      <c r="D415" s="1" t="s">
        <v>97</v>
      </c>
      <c r="E415" s="1" t="s">
        <v>78</v>
      </c>
      <c r="H415" s="1" t="s">
        <v>25</v>
      </c>
      <c r="I415" s="1" t="s">
        <v>23</v>
      </c>
      <c r="M415" s="1" t="b">
        <v>0</v>
      </c>
    </row>
    <row r="416" spans="4:13">
      <c r="D416" s="1" t="s">
        <v>97</v>
      </c>
      <c r="E416" s="1" t="s">
        <v>79</v>
      </c>
      <c r="F416" s="1" t="s">
        <v>75</v>
      </c>
      <c r="G416" s="1" t="s">
        <v>76</v>
      </c>
      <c r="H416" s="1" t="s">
        <v>22</v>
      </c>
      <c r="I416" s="1" t="s">
        <v>23</v>
      </c>
      <c r="J416" s="1">
        <v>0</v>
      </c>
      <c r="K416" s="1">
        <v>96.110781130800007</v>
      </c>
      <c r="L416" s="1">
        <v>16.018463521800001</v>
      </c>
      <c r="M416" s="1">
        <v>1.6018463521800002</v>
      </c>
    </row>
    <row r="417" spans="4:13">
      <c r="D417" s="1" t="s">
        <v>97</v>
      </c>
      <c r="E417" s="1" t="s">
        <v>80</v>
      </c>
      <c r="H417" s="1" t="s">
        <v>25</v>
      </c>
      <c r="I417" s="1" t="s">
        <v>23</v>
      </c>
      <c r="M417" s="1" t="b">
        <v>0</v>
      </c>
    </row>
    <row r="418" spans="4:13">
      <c r="D418" s="1" t="s">
        <v>97</v>
      </c>
      <c r="E418" s="1" t="s">
        <v>81</v>
      </c>
      <c r="H418" s="1" t="s">
        <v>25</v>
      </c>
      <c r="I418" s="1" t="s">
        <v>23</v>
      </c>
      <c r="M418" s="1" t="b">
        <v>0</v>
      </c>
    </row>
    <row r="419" spans="4:13">
      <c r="D419" s="1" t="s">
        <v>97</v>
      </c>
      <c r="E419" s="1" t="s">
        <v>82</v>
      </c>
      <c r="H419" s="1" t="s">
        <v>22</v>
      </c>
      <c r="I419" s="1" t="s">
        <v>23</v>
      </c>
      <c r="J419" s="1">
        <v>-1</v>
      </c>
      <c r="K419" s="1">
        <v>3</v>
      </c>
      <c r="L419" s="1">
        <v>1</v>
      </c>
      <c r="M419" s="1">
        <v>1.01</v>
      </c>
    </row>
    <row r="420" spans="4:13">
      <c r="D420" s="1" t="s">
        <v>98</v>
      </c>
      <c r="E420" s="1" t="s">
        <v>99</v>
      </c>
      <c r="H420" s="1" t="s">
        <v>25</v>
      </c>
      <c r="I420" s="1" t="s">
        <v>23</v>
      </c>
      <c r="M420" s="1" t="b">
        <v>0</v>
      </c>
    </row>
    <row r="421" spans="4:13">
      <c r="D421" s="1" t="s">
        <v>98</v>
      </c>
      <c r="E421" s="1" t="s">
        <v>100</v>
      </c>
      <c r="H421" s="1" t="s">
        <v>22</v>
      </c>
      <c r="I421" s="1" t="s">
        <v>23</v>
      </c>
      <c r="L421" s="1">
        <v>1</v>
      </c>
      <c r="M421" s="1">
        <v>1000</v>
      </c>
    </row>
    <row r="422" spans="4:13">
      <c r="D422" s="1" t="s">
        <v>98</v>
      </c>
      <c r="E422" s="1" t="s">
        <v>101</v>
      </c>
      <c r="H422" s="1" t="s">
        <v>22</v>
      </c>
      <c r="I422" s="1" t="s">
        <v>23</v>
      </c>
      <c r="L422" s="1">
        <v>1</v>
      </c>
      <c r="M422" s="1">
        <v>0</v>
      </c>
    </row>
    <row r="423" spans="4:13">
      <c r="D423" s="1" t="s">
        <v>98</v>
      </c>
      <c r="E423" s="1" t="s">
        <v>102</v>
      </c>
      <c r="H423" s="1" t="s">
        <v>22</v>
      </c>
      <c r="I423" s="1" t="s">
        <v>23</v>
      </c>
      <c r="L423" s="1">
        <v>1</v>
      </c>
      <c r="M423" s="1">
        <v>1.4</v>
      </c>
    </row>
    <row r="424" spans="4:13">
      <c r="D424" s="1" t="s">
        <v>98</v>
      </c>
      <c r="E424" s="1" t="s">
        <v>103</v>
      </c>
      <c r="H424" s="1" t="s">
        <v>22</v>
      </c>
      <c r="I424" s="1" t="s">
        <v>29</v>
      </c>
      <c r="J424" s="1">
        <v>0</v>
      </c>
      <c r="K424" s="1">
        <v>1000</v>
      </c>
      <c r="L424" s="1">
        <v>500</v>
      </c>
    </row>
    <row r="425" spans="4:13">
      <c r="D425" s="1" t="s">
        <v>104</v>
      </c>
      <c r="E425" s="1" t="s">
        <v>105</v>
      </c>
      <c r="H425" s="1" t="s">
        <v>22</v>
      </c>
      <c r="I425" s="1" t="s">
        <v>29</v>
      </c>
      <c r="J425" s="1">
        <v>0</v>
      </c>
      <c r="K425" s="1">
        <v>10000</v>
      </c>
      <c r="L425" s="1">
        <v>5000</v>
      </c>
    </row>
    <row r="426" spans="4:13">
      <c r="D426" s="1" t="s">
        <v>104</v>
      </c>
      <c r="E426" s="1" t="s">
        <v>106</v>
      </c>
      <c r="H426" s="1" t="s">
        <v>25</v>
      </c>
      <c r="I426" s="1" t="s">
        <v>23</v>
      </c>
      <c r="M426" s="1" t="b">
        <v>0</v>
      </c>
    </row>
    <row r="427" spans="4:13">
      <c r="D427" s="1" t="s">
        <v>104</v>
      </c>
      <c r="E427" s="1" t="s">
        <v>107</v>
      </c>
      <c r="H427" s="1" t="s">
        <v>22</v>
      </c>
      <c r="I427" s="1" t="s">
        <v>23</v>
      </c>
      <c r="L427" s="1">
        <v>1</v>
      </c>
      <c r="M427" s="1">
        <v>20</v>
      </c>
    </row>
    <row r="428" spans="4:13">
      <c r="D428" s="1" t="s">
        <v>104</v>
      </c>
      <c r="E428" s="1" t="s">
        <v>108</v>
      </c>
      <c r="F428" s="1" t="s">
        <v>35</v>
      </c>
      <c r="G428" s="1" t="s">
        <v>36</v>
      </c>
      <c r="H428" s="1" t="s">
        <v>22</v>
      </c>
      <c r="I428" s="1" t="s">
        <v>23</v>
      </c>
      <c r="J428" s="1">
        <v>-459.67</v>
      </c>
      <c r="L428" s="1">
        <v>80.329999999999984</v>
      </c>
      <c r="M428" s="1">
        <v>49.999999999999943</v>
      </c>
    </row>
    <row r="429" spans="4:13">
      <c r="D429" s="1" t="s">
        <v>104</v>
      </c>
      <c r="E429" s="1" t="s">
        <v>109</v>
      </c>
      <c r="H429" s="1" t="s">
        <v>22</v>
      </c>
      <c r="I429" s="1" t="s">
        <v>23</v>
      </c>
      <c r="L429" s="1">
        <v>1</v>
      </c>
      <c r="M429" s="1">
        <v>1</v>
      </c>
    </row>
    <row r="430" spans="4:13">
      <c r="D430" s="1" t="s">
        <v>104</v>
      </c>
      <c r="E430" s="1" t="s">
        <v>110</v>
      </c>
      <c r="H430" s="1" t="s">
        <v>25</v>
      </c>
      <c r="I430" s="1" t="s">
        <v>23</v>
      </c>
      <c r="M430" s="1" t="b">
        <v>1</v>
      </c>
    </row>
    <row r="431" spans="4:13">
      <c r="D431" s="1" t="s">
        <v>104</v>
      </c>
      <c r="E431" s="1" t="s">
        <v>111</v>
      </c>
      <c r="F431" s="1" t="s">
        <v>56</v>
      </c>
      <c r="G431" s="1" t="s">
        <v>57</v>
      </c>
      <c r="H431" s="1" t="s">
        <v>22</v>
      </c>
      <c r="I431" s="1" t="s">
        <v>23</v>
      </c>
      <c r="L431" s="1">
        <v>1.4503773773020921E-4</v>
      </c>
      <c r="M431" s="1">
        <v>7.2518868865104604E-3</v>
      </c>
    </row>
    <row r="432" spans="4:13">
      <c r="D432" s="1" t="s">
        <v>104</v>
      </c>
      <c r="E432" s="1" t="s">
        <v>112</v>
      </c>
      <c r="F432" s="1" t="s">
        <v>56</v>
      </c>
      <c r="G432" s="1" t="s">
        <v>57</v>
      </c>
      <c r="H432" s="1" t="s">
        <v>22</v>
      </c>
      <c r="I432" s="1" t="s">
        <v>29</v>
      </c>
      <c r="J432" s="1">
        <v>4.9312830828271128</v>
      </c>
      <c r="K432" s="1">
        <v>623.66227223989961</v>
      </c>
      <c r="L432" s="1">
        <v>50.713895374744951</v>
      </c>
    </row>
    <row r="433" spans="4:13">
      <c r="D433" s="1" t="s">
        <v>104</v>
      </c>
      <c r="E433" s="1" t="s">
        <v>62</v>
      </c>
      <c r="H433" s="1" t="s">
        <v>63</v>
      </c>
      <c r="I433" s="1" t="s">
        <v>23</v>
      </c>
      <c r="M433" s="1">
        <v>1</v>
      </c>
    </row>
    <row r="434" spans="4:13">
      <c r="D434" s="1" t="s">
        <v>104</v>
      </c>
      <c r="E434" s="1" t="s">
        <v>113</v>
      </c>
      <c r="H434" s="1" t="s">
        <v>22</v>
      </c>
      <c r="I434" s="1" t="s">
        <v>65</v>
      </c>
      <c r="L434" s="1">
        <v>1</v>
      </c>
    </row>
    <row r="435" spans="4:13">
      <c r="D435" s="1" t="s">
        <v>104</v>
      </c>
      <c r="E435" s="1" t="s">
        <v>114</v>
      </c>
      <c r="H435" s="1" t="s">
        <v>22</v>
      </c>
      <c r="I435" s="1" t="s">
        <v>70</v>
      </c>
      <c r="L435" s="1">
        <v>1</v>
      </c>
    </row>
    <row r="436" spans="4:13">
      <c r="D436" s="1" t="s">
        <v>104</v>
      </c>
      <c r="E436" s="1" t="s">
        <v>115</v>
      </c>
      <c r="F436" s="1" t="s">
        <v>56</v>
      </c>
      <c r="G436" s="1" t="s">
        <v>57</v>
      </c>
      <c r="H436" s="1" t="s">
        <v>22</v>
      </c>
      <c r="I436" s="1" t="s">
        <v>65</v>
      </c>
      <c r="L436" s="1">
        <v>1.4503773773020921E-4</v>
      </c>
    </row>
    <row r="437" spans="4:13">
      <c r="D437" s="1" t="s">
        <v>104</v>
      </c>
      <c r="E437" s="1" t="s">
        <v>116</v>
      </c>
      <c r="H437" s="1" t="s">
        <v>25</v>
      </c>
      <c r="I437" s="1" t="s">
        <v>65</v>
      </c>
    </row>
    <row r="438" spans="4:13">
      <c r="D438" s="1" t="s">
        <v>104</v>
      </c>
      <c r="E438" s="1" t="s">
        <v>69</v>
      </c>
      <c r="H438" s="1" t="s">
        <v>25</v>
      </c>
      <c r="I438" s="1" t="s">
        <v>70</v>
      </c>
    </row>
    <row r="439" spans="4:13">
      <c r="D439" s="1" t="s">
        <v>104</v>
      </c>
      <c r="E439" s="1" t="s">
        <v>71</v>
      </c>
      <c r="F439" s="1" t="s">
        <v>52</v>
      </c>
      <c r="G439" s="1" t="s">
        <v>53</v>
      </c>
      <c r="H439" s="1" t="s">
        <v>22</v>
      </c>
      <c r="I439" s="1" t="s">
        <v>65</v>
      </c>
      <c r="L439" s="1">
        <v>7936.6414386555998</v>
      </c>
    </row>
    <row r="440" spans="4:13">
      <c r="D440" s="1" t="s">
        <v>104</v>
      </c>
      <c r="E440" s="1" t="s">
        <v>117</v>
      </c>
      <c r="F440" s="1" t="s">
        <v>118</v>
      </c>
      <c r="G440" s="1" t="s">
        <v>119</v>
      </c>
      <c r="H440" s="1" t="s">
        <v>22</v>
      </c>
      <c r="I440" s="1" t="s">
        <v>120</v>
      </c>
      <c r="J440" s="1">
        <v>0</v>
      </c>
      <c r="L440" s="1">
        <v>2.20462262185</v>
      </c>
    </row>
    <row r="441" spans="4:13">
      <c r="D441" s="1" t="s">
        <v>104</v>
      </c>
      <c r="E441" s="1" t="s">
        <v>121</v>
      </c>
      <c r="H441" s="1" t="s">
        <v>22</v>
      </c>
      <c r="I441" s="1" t="s">
        <v>120</v>
      </c>
      <c r="L441" s="1">
        <v>1</v>
      </c>
    </row>
    <row r="442" spans="4:13">
      <c r="D442" s="1" t="s">
        <v>104</v>
      </c>
      <c r="E442" s="1" t="s">
        <v>122</v>
      </c>
      <c r="F442" s="1" t="s">
        <v>56</v>
      </c>
      <c r="G442" s="1" t="s">
        <v>57</v>
      </c>
      <c r="H442" s="1" t="s">
        <v>22</v>
      </c>
      <c r="I442" s="1" t="s">
        <v>65</v>
      </c>
      <c r="L442" s="1">
        <v>1.4503773773020921E-4</v>
      </c>
    </row>
    <row r="443" spans="4:13">
      <c r="D443" s="1" t="s">
        <v>104</v>
      </c>
      <c r="E443" s="1" t="s">
        <v>123</v>
      </c>
      <c r="F443" s="1" t="s">
        <v>124</v>
      </c>
      <c r="G443" s="1" t="s">
        <v>125</v>
      </c>
      <c r="H443" s="1" t="s">
        <v>22</v>
      </c>
      <c r="I443" s="1" t="s">
        <v>120</v>
      </c>
      <c r="L443" s="1">
        <v>35.314666699999997</v>
      </c>
    </row>
    <row r="444" spans="4:13">
      <c r="D444" s="1" t="s">
        <v>104</v>
      </c>
      <c r="E444" s="1" t="s">
        <v>126</v>
      </c>
      <c r="H444" s="1" t="s">
        <v>22</v>
      </c>
      <c r="I444" s="1" t="s">
        <v>65</v>
      </c>
      <c r="L444" s="1">
        <v>1</v>
      </c>
    </row>
    <row r="445" spans="4:13">
      <c r="D445" s="1" t="s">
        <v>104</v>
      </c>
      <c r="E445" s="1" t="s">
        <v>127</v>
      </c>
      <c r="H445" s="1" t="s">
        <v>25</v>
      </c>
      <c r="I445" s="1" t="s">
        <v>23</v>
      </c>
      <c r="M445" s="1" t="b">
        <v>1</v>
      </c>
    </row>
    <row r="446" spans="4:13">
      <c r="D446" s="1" t="s">
        <v>104</v>
      </c>
      <c r="E446" s="1" t="s">
        <v>128</v>
      </c>
      <c r="H446" s="1" t="s">
        <v>25</v>
      </c>
      <c r="I446" s="1" t="s">
        <v>23</v>
      </c>
      <c r="M446" s="1" t="b">
        <v>0</v>
      </c>
    </row>
    <row r="447" spans="4:13">
      <c r="D447" s="1" t="s">
        <v>129</v>
      </c>
      <c r="E447" s="1" t="s">
        <v>28</v>
      </c>
      <c r="H447" s="1" t="s">
        <v>22</v>
      </c>
      <c r="I447" s="1" t="s">
        <v>29</v>
      </c>
      <c r="J447" s="1">
        <v>34000</v>
      </c>
      <c r="K447" s="1">
        <v>4300000</v>
      </c>
      <c r="L447" s="1">
        <v>349660</v>
      </c>
    </row>
    <row r="448" spans="4:13">
      <c r="D448" s="1" t="s">
        <v>129</v>
      </c>
      <c r="E448" s="1" t="s">
        <v>30</v>
      </c>
      <c r="H448" s="1" t="s">
        <v>22</v>
      </c>
      <c r="I448" s="1" t="s">
        <v>29</v>
      </c>
      <c r="J448" s="1">
        <v>-3.94</v>
      </c>
      <c r="K448" s="1">
        <v>3.66</v>
      </c>
      <c r="L448" s="1">
        <v>1</v>
      </c>
    </row>
    <row r="449" spans="4:13">
      <c r="D449" s="1" t="s">
        <v>129</v>
      </c>
      <c r="E449" s="1" t="s">
        <v>31</v>
      </c>
      <c r="H449" s="1" t="s">
        <v>22</v>
      </c>
      <c r="I449" s="1" t="s">
        <v>29</v>
      </c>
      <c r="J449" s="1">
        <v>0</v>
      </c>
      <c r="K449" s="1">
        <v>100</v>
      </c>
      <c r="L449" s="1">
        <v>1</v>
      </c>
    </row>
    <row r="450" spans="4:13">
      <c r="D450" s="1" t="s">
        <v>129</v>
      </c>
      <c r="E450" s="1" t="s">
        <v>32</v>
      </c>
      <c r="H450" s="1" t="s">
        <v>22</v>
      </c>
      <c r="I450" s="1" t="s">
        <v>29</v>
      </c>
      <c r="J450" s="1">
        <v>-3.94</v>
      </c>
      <c r="K450" s="1">
        <v>3.66</v>
      </c>
      <c r="L450" s="1">
        <v>1</v>
      </c>
    </row>
    <row r="451" spans="4:13">
      <c r="D451" s="1" t="s">
        <v>129</v>
      </c>
      <c r="E451" s="1" t="s">
        <v>33</v>
      </c>
      <c r="H451" s="1" t="s">
        <v>25</v>
      </c>
      <c r="I451" s="1" t="s">
        <v>23</v>
      </c>
      <c r="M451" s="1" t="b">
        <v>0</v>
      </c>
    </row>
    <row r="452" spans="4:13">
      <c r="D452" s="1" t="s">
        <v>129</v>
      </c>
      <c r="E452" s="1" t="s">
        <v>34</v>
      </c>
      <c r="F452" s="1" t="s">
        <v>35</v>
      </c>
      <c r="G452" s="1" t="s">
        <v>36</v>
      </c>
      <c r="H452" s="1" t="s">
        <v>22</v>
      </c>
      <c r="I452" s="1" t="s">
        <v>23</v>
      </c>
      <c r="J452" s="1">
        <v>-459.67</v>
      </c>
      <c r="K452" s="1">
        <v>980.32999999999993</v>
      </c>
      <c r="L452" s="1">
        <v>80.329999999999984</v>
      </c>
      <c r="M452" s="1">
        <v>67.999999999999943</v>
      </c>
    </row>
    <row r="453" spans="4:13">
      <c r="D453" s="1" t="s">
        <v>129</v>
      </c>
      <c r="E453" s="1" t="s">
        <v>37</v>
      </c>
      <c r="H453" s="1" t="s">
        <v>25</v>
      </c>
      <c r="I453" s="1" t="s">
        <v>23</v>
      </c>
      <c r="M453" s="1" t="b">
        <v>0</v>
      </c>
    </row>
    <row r="454" spans="4:13">
      <c r="D454" s="1" t="s">
        <v>129</v>
      </c>
      <c r="E454" s="1" t="s">
        <v>38</v>
      </c>
      <c r="F454" s="1" t="s">
        <v>35</v>
      </c>
      <c r="G454" s="1" t="s">
        <v>36</v>
      </c>
      <c r="H454" s="1" t="s">
        <v>22</v>
      </c>
      <c r="I454" s="1" t="s">
        <v>23</v>
      </c>
      <c r="J454" s="1">
        <v>-99.670000000000016</v>
      </c>
      <c r="K454" s="1">
        <v>980.32999999999993</v>
      </c>
      <c r="L454" s="1">
        <v>80.329999999999984</v>
      </c>
      <c r="M454" s="1">
        <v>13.999999999999943</v>
      </c>
    </row>
    <row r="455" spans="4:13">
      <c r="D455" s="1" t="s">
        <v>129</v>
      </c>
      <c r="E455" s="1" t="s">
        <v>39</v>
      </c>
      <c r="H455" s="1" t="s">
        <v>25</v>
      </c>
      <c r="I455" s="1" t="s">
        <v>23</v>
      </c>
      <c r="M455" s="1" t="b">
        <v>0</v>
      </c>
    </row>
    <row r="456" spans="4:13">
      <c r="D456" s="1" t="s">
        <v>129</v>
      </c>
      <c r="E456" s="1" t="s">
        <v>40</v>
      </c>
      <c r="F456" s="1" t="s">
        <v>41</v>
      </c>
      <c r="G456" s="1" t="s">
        <v>42</v>
      </c>
      <c r="H456" s="1" t="s">
        <v>22</v>
      </c>
      <c r="I456" s="1" t="s">
        <v>23</v>
      </c>
      <c r="J456" s="1">
        <v>-900</v>
      </c>
      <c r="K456" s="1">
        <v>900</v>
      </c>
      <c r="L456" s="1">
        <v>1.8</v>
      </c>
      <c r="M456" s="1">
        <v>9</v>
      </c>
    </row>
    <row r="457" spans="4:13">
      <c r="D457" s="1" t="s">
        <v>129</v>
      </c>
      <c r="E457" s="1" t="s">
        <v>43</v>
      </c>
      <c r="H457" s="1" t="s">
        <v>25</v>
      </c>
      <c r="I457" s="1" t="s">
        <v>23</v>
      </c>
      <c r="M457" s="1" t="b">
        <v>0</v>
      </c>
    </row>
    <row r="458" spans="4:13">
      <c r="D458" s="1" t="s">
        <v>129</v>
      </c>
      <c r="E458" s="1" t="s">
        <v>44</v>
      </c>
      <c r="F458" s="1" t="s">
        <v>45</v>
      </c>
      <c r="G458" s="1" t="s">
        <v>46</v>
      </c>
      <c r="H458" s="1" t="s">
        <v>22</v>
      </c>
      <c r="I458" s="1" t="s">
        <v>23</v>
      </c>
      <c r="J458" s="1">
        <v>-85.984522757427143</v>
      </c>
      <c r="K458" s="1">
        <v>8598.4522757427148</v>
      </c>
      <c r="L458" s="1">
        <v>114.79148749423418</v>
      </c>
      <c r="M458" s="1">
        <v>128.97678413614071</v>
      </c>
    </row>
    <row r="459" spans="4:13">
      <c r="D459" s="1" t="s">
        <v>129</v>
      </c>
      <c r="E459" s="1" t="s">
        <v>47</v>
      </c>
      <c r="H459" s="1" t="s">
        <v>25</v>
      </c>
      <c r="I459" s="1" t="s">
        <v>23</v>
      </c>
      <c r="M459" s="1" t="b">
        <v>0</v>
      </c>
    </row>
    <row r="460" spans="4:13">
      <c r="D460" s="1" t="s">
        <v>129</v>
      </c>
      <c r="E460" s="1" t="s">
        <v>48</v>
      </c>
      <c r="H460" s="1" t="s">
        <v>25</v>
      </c>
      <c r="I460" s="1" t="s">
        <v>23</v>
      </c>
      <c r="M460" s="1" t="b">
        <v>0</v>
      </c>
    </row>
    <row r="461" spans="4:13">
      <c r="D461" s="1" t="s">
        <v>129</v>
      </c>
      <c r="E461" s="1" t="s">
        <v>49</v>
      </c>
      <c r="H461" s="1" t="s">
        <v>25</v>
      </c>
      <c r="I461" s="1" t="s">
        <v>23</v>
      </c>
      <c r="M461" s="1" t="b">
        <v>0</v>
      </c>
    </row>
    <row r="462" spans="4:13">
      <c r="D462" s="1" t="s">
        <v>129</v>
      </c>
      <c r="E462" s="1" t="s">
        <v>50</v>
      </c>
      <c r="H462" s="1" t="s">
        <v>25</v>
      </c>
      <c r="I462" s="1" t="s">
        <v>23</v>
      </c>
      <c r="M462" s="1" t="b">
        <v>0</v>
      </c>
    </row>
    <row r="463" spans="4:13">
      <c r="D463" s="1" t="s">
        <v>129</v>
      </c>
      <c r="E463" s="1" t="s">
        <v>51</v>
      </c>
      <c r="F463" s="1" t="s">
        <v>52</v>
      </c>
      <c r="G463" s="1" t="s">
        <v>53</v>
      </c>
      <c r="H463" s="1" t="s">
        <v>22</v>
      </c>
      <c r="I463" s="1" t="s">
        <v>23</v>
      </c>
      <c r="J463" s="1">
        <v>0</v>
      </c>
      <c r="K463" s="1">
        <v>7936641438.6555996</v>
      </c>
      <c r="L463" s="1">
        <v>7936.6414386555998</v>
      </c>
      <c r="M463" s="1">
        <v>7936.6414386555998</v>
      </c>
    </row>
    <row r="464" spans="4:13">
      <c r="D464" s="1" t="s">
        <v>129</v>
      </c>
      <c r="E464" s="1" t="s">
        <v>54</v>
      </c>
      <c r="H464" s="1" t="s">
        <v>25</v>
      </c>
      <c r="I464" s="1" t="s">
        <v>23</v>
      </c>
      <c r="M464" s="1" t="b">
        <v>0</v>
      </c>
    </row>
    <row r="465" spans="4:13">
      <c r="D465" s="1" t="s">
        <v>129</v>
      </c>
      <c r="E465" s="1" t="s">
        <v>55</v>
      </c>
      <c r="F465" s="1" t="s">
        <v>56</v>
      </c>
      <c r="G465" s="1" t="s">
        <v>57</v>
      </c>
      <c r="H465" s="1" t="s">
        <v>22</v>
      </c>
      <c r="I465" s="1" t="s">
        <v>23</v>
      </c>
      <c r="J465" s="1">
        <v>0</v>
      </c>
      <c r="K465" s="1">
        <v>9427.4529524635982</v>
      </c>
      <c r="L465" s="1">
        <v>50.713895374744951</v>
      </c>
      <c r="M465" s="1">
        <v>50.763208205573221</v>
      </c>
    </row>
    <row r="466" spans="4:13">
      <c r="D466" s="1" t="s">
        <v>129</v>
      </c>
      <c r="E466" s="1" t="s">
        <v>58</v>
      </c>
      <c r="H466" s="1" t="s">
        <v>25</v>
      </c>
      <c r="I466" s="1" t="s">
        <v>23</v>
      </c>
      <c r="M466" s="1" t="b">
        <v>0</v>
      </c>
    </row>
    <row r="467" spans="4:13">
      <c r="D467" s="1" t="s">
        <v>129</v>
      </c>
      <c r="E467" s="1" t="s">
        <v>59</v>
      </c>
      <c r="F467" s="1" t="s">
        <v>60</v>
      </c>
      <c r="G467" s="1" t="s">
        <v>61</v>
      </c>
      <c r="H467" s="1" t="s">
        <v>22</v>
      </c>
      <c r="I467" s="1" t="s">
        <v>23</v>
      </c>
      <c r="J467" s="1">
        <v>-9.5538358650799999</v>
      </c>
      <c r="K467" s="1">
        <v>9.5538358650799999</v>
      </c>
      <c r="L467" s="1">
        <v>0.23884589662700001</v>
      </c>
      <c r="M467" s="1">
        <v>0.23884589662700001</v>
      </c>
    </row>
    <row r="468" spans="4:13">
      <c r="D468" s="1" t="s">
        <v>129</v>
      </c>
      <c r="E468" s="1" t="s">
        <v>62</v>
      </c>
      <c r="H468" s="1" t="s">
        <v>63</v>
      </c>
      <c r="I468" s="1" t="s">
        <v>23</v>
      </c>
      <c r="M468" s="1">
        <v>1</v>
      </c>
    </row>
    <row r="469" spans="4:13">
      <c r="D469" s="1" t="s">
        <v>129</v>
      </c>
      <c r="E469" s="1" t="s">
        <v>64</v>
      </c>
      <c r="F469" s="1" t="s">
        <v>35</v>
      </c>
      <c r="G469" s="1" t="s">
        <v>36</v>
      </c>
      <c r="H469" s="1" t="s">
        <v>22</v>
      </c>
      <c r="I469" s="1" t="s">
        <v>65</v>
      </c>
      <c r="J469" s="1">
        <v>-459.67</v>
      </c>
      <c r="L469" s="1">
        <v>80.329999999999984</v>
      </c>
    </row>
    <row r="470" spans="4:13">
      <c r="D470" s="1" t="s">
        <v>129</v>
      </c>
      <c r="E470" s="1" t="s">
        <v>66</v>
      </c>
      <c r="F470" s="1" t="s">
        <v>35</v>
      </c>
      <c r="G470" s="1" t="s">
        <v>36</v>
      </c>
      <c r="H470" s="1" t="s">
        <v>22</v>
      </c>
      <c r="I470" s="1" t="s">
        <v>65</v>
      </c>
      <c r="J470" s="1">
        <v>-459.67</v>
      </c>
      <c r="L470" s="1">
        <v>80.329999999999984</v>
      </c>
    </row>
    <row r="471" spans="4:13">
      <c r="D471" s="1" t="s">
        <v>129</v>
      </c>
      <c r="E471" s="1" t="s">
        <v>67</v>
      </c>
      <c r="F471" s="1" t="s">
        <v>41</v>
      </c>
      <c r="G471" s="1" t="s">
        <v>42</v>
      </c>
      <c r="H471" s="1" t="s">
        <v>22</v>
      </c>
      <c r="I471" s="1" t="s">
        <v>65</v>
      </c>
      <c r="L471" s="1">
        <v>1.8</v>
      </c>
    </row>
    <row r="472" spans="4:13">
      <c r="D472" s="1" t="s">
        <v>129</v>
      </c>
      <c r="E472" s="1" t="s">
        <v>68</v>
      </c>
      <c r="F472" s="1" t="s">
        <v>45</v>
      </c>
      <c r="G472" s="1" t="s">
        <v>46</v>
      </c>
      <c r="H472" s="1" t="s">
        <v>22</v>
      </c>
      <c r="I472" s="1" t="s">
        <v>65</v>
      </c>
      <c r="L472" s="1">
        <v>4.2992261378713571E-4</v>
      </c>
    </row>
    <row r="473" spans="4:13">
      <c r="D473" s="1" t="s">
        <v>129</v>
      </c>
      <c r="E473" s="1" t="s">
        <v>69</v>
      </c>
      <c r="H473" s="1" t="s">
        <v>25</v>
      </c>
      <c r="I473" s="1" t="s">
        <v>70</v>
      </c>
    </row>
    <row r="474" spans="4:13">
      <c r="D474" s="1" t="s">
        <v>129</v>
      </c>
      <c r="E474" s="1" t="s">
        <v>71</v>
      </c>
      <c r="F474" s="1" t="s">
        <v>52</v>
      </c>
      <c r="G474" s="1" t="s">
        <v>53</v>
      </c>
      <c r="H474" s="1" t="s">
        <v>22</v>
      </c>
      <c r="I474" s="1" t="s">
        <v>65</v>
      </c>
      <c r="L474" s="1">
        <v>7936.6414386555998</v>
      </c>
    </row>
    <row r="475" spans="4:13">
      <c r="D475" s="1" t="s">
        <v>129</v>
      </c>
      <c r="E475" s="1" t="s">
        <v>72</v>
      </c>
      <c r="F475" s="1" t="s">
        <v>56</v>
      </c>
      <c r="G475" s="1" t="s">
        <v>57</v>
      </c>
      <c r="H475" s="1" t="s">
        <v>22</v>
      </c>
      <c r="I475" s="1" t="s">
        <v>65</v>
      </c>
      <c r="J475" s="1">
        <v>0</v>
      </c>
      <c r="L475" s="1">
        <v>14.503773773020921</v>
      </c>
    </row>
    <row r="476" spans="4:13">
      <c r="D476" s="1" t="s">
        <v>129</v>
      </c>
      <c r="E476" s="1" t="s">
        <v>73</v>
      </c>
      <c r="F476" s="1" t="s">
        <v>60</v>
      </c>
      <c r="G476" s="1" t="s">
        <v>61</v>
      </c>
      <c r="H476" s="1" t="s">
        <v>22</v>
      </c>
      <c r="I476" s="1" t="s">
        <v>65</v>
      </c>
      <c r="L476" s="1">
        <v>2.38845896627E-4</v>
      </c>
    </row>
    <row r="477" spans="4:13">
      <c r="D477" s="1" t="s">
        <v>129</v>
      </c>
      <c r="E477" s="1" t="s">
        <v>74</v>
      </c>
      <c r="F477" s="1" t="s">
        <v>75</v>
      </c>
      <c r="G477" s="1" t="s">
        <v>76</v>
      </c>
      <c r="H477" s="1" t="s">
        <v>22</v>
      </c>
      <c r="I477" s="1" t="s">
        <v>65</v>
      </c>
      <c r="J477" s="1">
        <v>0</v>
      </c>
      <c r="L477" s="1">
        <v>16.018463521800001</v>
      </c>
    </row>
    <row r="478" spans="4:13">
      <c r="D478" s="1" t="s">
        <v>129</v>
      </c>
      <c r="E478" s="1" t="s">
        <v>77</v>
      </c>
      <c r="H478" s="1" t="s">
        <v>22</v>
      </c>
      <c r="I478" s="1" t="s">
        <v>65</v>
      </c>
      <c r="L478" s="1">
        <v>1</v>
      </c>
    </row>
    <row r="479" spans="4:13">
      <c r="D479" s="1" t="s">
        <v>129</v>
      </c>
      <c r="E479" s="1" t="s">
        <v>78</v>
      </c>
      <c r="H479" s="1" t="s">
        <v>25</v>
      </c>
      <c r="I479" s="1" t="s">
        <v>23</v>
      </c>
      <c r="M479" s="1" t="b">
        <v>0</v>
      </c>
    </row>
    <row r="480" spans="4:13">
      <c r="D480" s="1" t="s">
        <v>129</v>
      </c>
      <c r="E480" s="1" t="s">
        <v>79</v>
      </c>
      <c r="F480" s="1" t="s">
        <v>75</v>
      </c>
      <c r="G480" s="1" t="s">
        <v>76</v>
      </c>
      <c r="H480" s="1" t="s">
        <v>22</v>
      </c>
      <c r="I480" s="1" t="s">
        <v>23</v>
      </c>
      <c r="J480" s="1">
        <v>0</v>
      </c>
      <c r="K480" s="1">
        <v>96.110781130800007</v>
      </c>
      <c r="L480" s="1">
        <v>16.018463521800001</v>
      </c>
      <c r="M480" s="1">
        <v>1.6018463521800002</v>
      </c>
    </row>
    <row r="481" spans="4:13">
      <c r="D481" s="1" t="s">
        <v>129</v>
      </c>
      <c r="E481" s="1" t="s">
        <v>80</v>
      </c>
      <c r="H481" s="1" t="s">
        <v>25</v>
      </c>
      <c r="I481" s="1" t="s">
        <v>23</v>
      </c>
      <c r="M481" s="1" t="b">
        <v>0</v>
      </c>
    </row>
    <row r="482" spans="4:13">
      <c r="D482" s="1" t="s">
        <v>129</v>
      </c>
      <c r="E482" s="1" t="s">
        <v>81</v>
      </c>
      <c r="H482" s="1" t="s">
        <v>25</v>
      </c>
      <c r="I482" s="1" t="s">
        <v>23</v>
      </c>
      <c r="M482" s="1" t="b">
        <v>0</v>
      </c>
    </row>
    <row r="483" spans="4:13">
      <c r="D483" s="1" t="s">
        <v>129</v>
      </c>
      <c r="E483" s="1" t="s">
        <v>82</v>
      </c>
      <c r="H483" s="1" t="s">
        <v>22</v>
      </c>
      <c r="I483" s="1" t="s">
        <v>23</v>
      </c>
      <c r="J483" s="1">
        <v>-1</v>
      </c>
      <c r="K483" s="1">
        <v>3</v>
      </c>
      <c r="L483" s="1">
        <v>1</v>
      </c>
      <c r="M483" s="1">
        <v>1.01</v>
      </c>
    </row>
    <row r="484" spans="4:13">
      <c r="D484" s="1" t="s">
        <v>130</v>
      </c>
      <c r="E484" s="1" t="s">
        <v>28</v>
      </c>
      <c r="H484" s="1" t="s">
        <v>22</v>
      </c>
      <c r="I484" s="1" t="s">
        <v>29</v>
      </c>
      <c r="J484" s="1">
        <v>34000</v>
      </c>
      <c r="K484" s="1">
        <v>4300000</v>
      </c>
      <c r="L484" s="1">
        <v>349660</v>
      </c>
    </row>
    <row r="485" spans="4:13">
      <c r="D485" s="1" t="s">
        <v>130</v>
      </c>
      <c r="E485" s="1" t="s">
        <v>30</v>
      </c>
      <c r="H485" s="1" t="s">
        <v>22</v>
      </c>
      <c r="I485" s="1" t="s">
        <v>29</v>
      </c>
      <c r="J485" s="1">
        <v>-3.94</v>
      </c>
      <c r="K485" s="1">
        <v>3.66</v>
      </c>
      <c r="L485" s="1">
        <v>1</v>
      </c>
    </row>
    <row r="486" spans="4:13">
      <c r="D486" s="1" t="s">
        <v>130</v>
      </c>
      <c r="E486" s="1" t="s">
        <v>31</v>
      </c>
      <c r="H486" s="1" t="s">
        <v>22</v>
      </c>
      <c r="I486" s="1" t="s">
        <v>29</v>
      </c>
      <c r="J486" s="1">
        <v>0</v>
      </c>
      <c r="K486" s="1">
        <v>100</v>
      </c>
      <c r="L486" s="1">
        <v>1</v>
      </c>
    </row>
    <row r="487" spans="4:13">
      <c r="D487" s="1" t="s">
        <v>130</v>
      </c>
      <c r="E487" s="1" t="s">
        <v>32</v>
      </c>
      <c r="H487" s="1" t="s">
        <v>22</v>
      </c>
      <c r="I487" s="1" t="s">
        <v>29</v>
      </c>
      <c r="J487" s="1">
        <v>-3.94</v>
      </c>
      <c r="K487" s="1">
        <v>3.66</v>
      </c>
      <c r="L487" s="1">
        <v>1</v>
      </c>
    </row>
    <row r="488" spans="4:13">
      <c r="D488" s="1" t="s">
        <v>130</v>
      </c>
      <c r="E488" s="1" t="s">
        <v>33</v>
      </c>
      <c r="H488" s="1" t="s">
        <v>25</v>
      </c>
      <c r="I488" s="1" t="s">
        <v>23</v>
      </c>
      <c r="M488" s="1" t="b">
        <v>0</v>
      </c>
    </row>
    <row r="489" spans="4:13">
      <c r="D489" s="1" t="s">
        <v>130</v>
      </c>
      <c r="E489" s="1" t="s">
        <v>34</v>
      </c>
      <c r="F489" s="1" t="s">
        <v>35</v>
      </c>
      <c r="G489" s="1" t="s">
        <v>36</v>
      </c>
      <c r="H489" s="1" t="s">
        <v>22</v>
      </c>
      <c r="I489" s="1" t="s">
        <v>23</v>
      </c>
      <c r="J489" s="1">
        <v>-459.67</v>
      </c>
      <c r="K489" s="1">
        <v>980.32999999999993</v>
      </c>
      <c r="L489" s="1">
        <v>80.329999999999984</v>
      </c>
      <c r="M489" s="1">
        <v>67.999999999999943</v>
      </c>
    </row>
    <row r="490" spans="4:13">
      <c r="D490" s="1" t="s">
        <v>130</v>
      </c>
      <c r="E490" s="1" t="s">
        <v>37</v>
      </c>
      <c r="H490" s="1" t="s">
        <v>25</v>
      </c>
      <c r="I490" s="1" t="s">
        <v>23</v>
      </c>
      <c r="M490" s="1" t="b">
        <v>0</v>
      </c>
    </row>
    <row r="491" spans="4:13">
      <c r="D491" s="1" t="s">
        <v>130</v>
      </c>
      <c r="E491" s="1" t="s">
        <v>38</v>
      </c>
      <c r="F491" s="1" t="s">
        <v>35</v>
      </c>
      <c r="G491" s="1" t="s">
        <v>36</v>
      </c>
      <c r="H491" s="1" t="s">
        <v>22</v>
      </c>
      <c r="I491" s="1" t="s">
        <v>23</v>
      </c>
      <c r="J491" s="1">
        <v>-99.670000000000016</v>
      </c>
      <c r="K491" s="1">
        <v>980.32999999999993</v>
      </c>
      <c r="L491" s="1">
        <v>80.329999999999984</v>
      </c>
      <c r="M491" s="1">
        <v>13.999999999999943</v>
      </c>
    </row>
    <row r="492" spans="4:13">
      <c r="D492" s="1" t="s">
        <v>130</v>
      </c>
      <c r="E492" s="1" t="s">
        <v>39</v>
      </c>
      <c r="H492" s="1" t="s">
        <v>25</v>
      </c>
      <c r="I492" s="1" t="s">
        <v>23</v>
      </c>
      <c r="M492" s="1" t="b">
        <v>0</v>
      </c>
    </row>
    <row r="493" spans="4:13">
      <c r="D493" s="1" t="s">
        <v>130</v>
      </c>
      <c r="E493" s="1" t="s">
        <v>40</v>
      </c>
      <c r="F493" s="1" t="s">
        <v>41</v>
      </c>
      <c r="G493" s="1" t="s">
        <v>42</v>
      </c>
      <c r="H493" s="1" t="s">
        <v>22</v>
      </c>
      <c r="I493" s="1" t="s">
        <v>23</v>
      </c>
      <c r="J493" s="1">
        <v>-900</v>
      </c>
      <c r="K493" s="1">
        <v>900</v>
      </c>
      <c r="L493" s="1">
        <v>1.8</v>
      </c>
      <c r="M493" s="1">
        <v>9</v>
      </c>
    </row>
    <row r="494" spans="4:13">
      <c r="D494" s="1" t="s">
        <v>130</v>
      </c>
      <c r="E494" s="1" t="s">
        <v>43</v>
      </c>
      <c r="H494" s="1" t="s">
        <v>25</v>
      </c>
      <c r="I494" s="1" t="s">
        <v>23</v>
      </c>
      <c r="M494" s="1" t="b">
        <v>0</v>
      </c>
    </row>
    <row r="495" spans="4:13">
      <c r="D495" s="1" t="s">
        <v>130</v>
      </c>
      <c r="E495" s="1" t="s">
        <v>44</v>
      </c>
      <c r="F495" s="1" t="s">
        <v>45</v>
      </c>
      <c r="G495" s="1" t="s">
        <v>46</v>
      </c>
      <c r="H495" s="1" t="s">
        <v>22</v>
      </c>
      <c r="I495" s="1" t="s">
        <v>23</v>
      </c>
      <c r="J495" s="1">
        <v>-85.984522757427143</v>
      </c>
      <c r="K495" s="1">
        <v>8598.4522757427148</v>
      </c>
      <c r="L495" s="1">
        <v>114.79148749423418</v>
      </c>
      <c r="M495" s="1">
        <v>128.97678413614071</v>
      </c>
    </row>
    <row r="496" spans="4:13">
      <c r="D496" s="1" t="s">
        <v>130</v>
      </c>
      <c r="E496" s="1" t="s">
        <v>47</v>
      </c>
      <c r="H496" s="1" t="s">
        <v>25</v>
      </c>
      <c r="I496" s="1" t="s">
        <v>23</v>
      </c>
      <c r="M496" s="1" t="b">
        <v>0</v>
      </c>
    </row>
    <row r="497" spans="4:13">
      <c r="D497" s="1" t="s">
        <v>130</v>
      </c>
      <c r="E497" s="1" t="s">
        <v>48</v>
      </c>
      <c r="H497" s="1" t="s">
        <v>25</v>
      </c>
      <c r="I497" s="1" t="s">
        <v>23</v>
      </c>
      <c r="M497" s="1" t="b">
        <v>0</v>
      </c>
    </row>
    <row r="498" spans="4:13">
      <c r="D498" s="1" t="s">
        <v>130</v>
      </c>
      <c r="E498" s="1" t="s">
        <v>49</v>
      </c>
      <c r="H498" s="1" t="s">
        <v>25</v>
      </c>
      <c r="I498" s="1" t="s">
        <v>23</v>
      </c>
      <c r="M498" s="1" t="b">
        <v>0</v>
      </c>
    </row>
    <row r="499" spans="4:13">
      <c r="D499" s="1" t="s">
        <v>130</v>
      </c>
      <c r="E499" s="1" t="s">
        <v>50</v>
      </c>
      <c r="H499" s="1" t="s">
        <v>25</v>
      </c>
      <c r="I499" s="1" t="s">
        <v>23</v>
      </c>
      <c r="M499" s="1" t="b">
        <v>0</v>
      </c>
    </row>
    <row r="500" spans="4:13">
      <c r="D500" s="1" t="s">
        <v>130</v>
      </c>
      <c r="E500" s="1" t="s">
        <v>51</v>
      </c>
      <c r="F500" s="1" t="s">
        <v>52</v>
      </c>
      <c r="G500" s="1" t="s">
        <v>53</v>
      </c>
      <c r="H500" s="1" t="s">
        <v>22</v>
      </c>
      <c r="I500" s="1" t="s">
        <v>23</v>
      </c>
      <c r="J500" s="1">
        <v>0</v>
      </c>
      <c r="K500" s="1">
        <v>7936641438.6555996</v>
      </c>
      <c r="L500" s="1">
        <v>7936.6414386555998</v>
      </c>
      <c r="M500" s="1">
        <v>7936.6414386555998</v>
      </c>
    </row>
    <row r="501" spans="4:13">
      <c r="D501" s="1" t="s">
        <v>130</v>
      </c>
      <c r="E501" s="1" t="s">
        <v>54</v>
      </c>
      <c r="H501" s="1" t="s">
        <v>25</v>
      </c>
      <c r="I501" s="1" t="s">
        <v>23</v>
      </c>
      <c r="M501" s="1" t="b">
        <v>0</v>
      </c>
    </row>
    <row r="502" spans="4:13">
      <c r="D502" s="1" t="s">
        <v>130</v>
      </c>
      <c r="E502" s="1" t="s">
        <v>55</v>
      </c>
      <c r="F502" s="1" t="s">
        <v>56</v>
      </c>
      <c r="G502" s="1" t="s">
        <v>57</v>
      </c>
      <c r="H502" s="1" t="s">
        <v>22</v>
      </c>
      <c r="I502" s="1" t="s">
        <v>23</v>
      </c>
      <c r="J502" s="1">
        <v>0</v>
      </c>
      <c r="K502" s="1">
        <v>9427.4529524635982</v>
      </c>
      <c r="L502" s="1">
        <v>50.713895374744951</v>
      </c>
      <c r="M502" s="1">
        <v>50.763208205573221</v>
      </c>
    </row>
    <row r="503" spans="4:13">
      <c r="D503" s="1" t="s">
        <v>130</v>
      </c>
      <c r="E503" s="1" t="s">
        <v>58</v>
      </c>
      <c r="H503" s="1" t="s">
        <v>25</v>
      </c>
      <c r="I503" s="1" t="s">
        <v>23</v>
      </c>
      <c r="M503" s="1" t="b">
        <v>0</v>
      </c>
    </row>
    <row r="504" spans="4:13">
      <c r="D504" s="1" t="s">
        <v>130</v>
      </c>
      <c r="E504" s="1" t="s">
        <v>59</v>
      </c>
      <c r="F504" s="1" t="s">
        <v>60</v>
      </c>
      <c r="G504" s="1" t="s">
        <v>61</v>
      </c>
      <c r="H504" s="1" t="s">
        <v>22</v>
      </c>
      <c r="I504" s="1" t="s">
        <v>23</v>
      </c>
      <c r="J504" s="1">
        <v>-9.5538358650799999</v>
      </c>
      <c r="K504" s="1">
        <v>9.5538358650799999</v>
      </c>
      <c r="L504" s="1">
        <v>0.23884589662700001</v>
      </c>
      <c r="M504" s="1">
        <v>0.23884589662700001</v>
      </c>
    </row>
    <row r="505" spans="4:13">
      <c r="D505" s="1" t="s">
        <v>130</v>
      </c>
      <c r="E505" s="1" t="s">
        <v>62</v>
      </c>
      <c r="H505" s="1" t="s">
        <v>63</v>
      </c>
      <c r="I505" s="1" t="s">
        <v>23</v>
      </c>
      <c r="M505" s="1">
        <v>1</v>
      </c>
    </row>
    <row r="506" spans="4:13">
      <c r="D506" s="1" t="s">
        <v>130</v>
      </c>
      <c r="E506" s="1" t="s">
        <v>64</v>
      </c>
      <c r="F506" s="1" t="s">
        <v>35</v>
      </c>
      <c r="G506" s="1" t="s">
        <v>36</v>
      </c>
      <c r="H506" s="1" t="s">
        <v>22</v>
      </c>
      <c r="I506" s="1" t="s">
        <v>65</v>
      </c>
      <c r="J506" s="1">
        <v>-459.67</v>
      </c>
      <c r="L506" s="1">
        <v>80.329999999999984</v>
      </c>
    </row>
    <row r="507" spans="4:13">
      <c r="D507" s="1" t="s">
        <v>130</v>
      </c>
      <c r="E507" s="1" t="s">
        <v>66</v>
      </c>
      <c r="F507" s="1" t="s">
        <v>35</v>
      </c>
      <c r="G507" s="1" t="s">
        <v>36</v>
      </c>
      <c r="H507" s="1" t="s">
        <v>22</v>
      </c>
      <c r="I507" s="1" t="s">
        <v>65</v>
      </c>
      <c r="J507" s="1">
        <v>-459.67</v>
      </c>
      <c r="L507" s="1">
        <v>80.329999999999984</v>
      </c>
    </row>
    <row r="508" spans="4:13">
      <c r="D508" s="1" t="s">
        <v>130</v>
      </c>
      <c r="E508" s="1" t="s">
        <v>67</v>
      </c>
      <c r="F508" s="1" t="s">
        <v>41</v>
      </c>
      <c r="G508" s="1" t="s">
        <v>42</v>
      </c>
      <c r="H508" s="1" t="s">
        <v>22</v>
      </c>
      <c r="I508" s="1" t="s">
        <v>65</v>
      </c>
      <c r="L508" s="1">
        <v>1.8</v>
      </c>
    </row>
    <row r="509" spans="4:13">
      <c r="D509" s="1" t="s">
        <v>130</v>
      </c>
      <c r="E509" s="1" t="s">
        <v>68</v>
      </c>
      <c r="F509" s="1" t="s">
        <v>45</v>
      </c>
      <c r="G509" s="1" t="s">
        <v>46</v>
      </c>
      <c r="H509" s="1" t="s">
        <v>22</v>
      </c>
      <c r="I509" s="1" t="s">
        <v>65</v>
      </c>
      <c r="L509" s="1">
        <v>4.2992261378713571E-4</v>
      </c>
    </row>
    <row r="510" spans="4:13">
      <c r="D510" s="1" t="s">
        <v>130</v>
      </c>
      <c r="E510" s="1" t="s">
        <v>69</v>
      </c>
      <c r="H510" s="1" t="s">
        <v>25</v>
      </c>
      <c r="I510" s="1" t="s">
        <v>70</v>
      </c>
    </row>
    <row r="511" spans="4:13">
      <c r="D511" s="1" t="s">
        <v>130</v>
      </c>
      <c r="E511" s="1" t="s">
        <v>71</v>
      </c>
      <c r="F511" s="1" t="s">
        <v>52</v>
      </c>
      <c r="G511" s="1" t="s">
        <v>53</v>
      </c>
      <c r="H511" s="1" t="s">
        <v>22</v>
      </c>
      <c r="I511" s="1" t="s">
        <v>65</v>
      </c>
      <c r="L511" s="1">
        <v>7936.6414386555998</v>
      </c>
    </row>
    <row r="512" spans="4:13">
      <c r="D512" s="1" t="s">
        <v>130</v>
      </c>
      <c r="E512" s="1" t="s">
        <v>72</v>
      </c>
      <c r="F512" s="1" t="s">
        <v>56</v>
      </c>
      <c r="G512" s="1" t="s">
        <v>57</v>
      </c>
      <c r="H512" s="1" t="s">
        <v>22</v>
      </c>
      <c r="I512" s="1" t="s">
        <v>65</v>
      </c>
      <c r="J512" s="1">
        <v>0</v>
      </c>
      <c r="L512" s="1">
        <v>14.503773773020921</v>
      </c>
    </row>
    <row r="513" spans="4:13">
      <c r="D513" s="1" t="s">
        <v>130</v>
      </c>
      <c r="E513" s="1" t="s">
        <v>73</v>
      </c>
      <c r="F513" s="1" t="s">
        <v>60</v>
      </c>
      <c r="G513" s="1" t="s">
        <v>61</v>
      </c>
      <c r="H513" s="1" t="s">
        <v>22</v>
      </c>
      <c r="I513" s="1" t="s">
        <v>65</v>
      </c>
      <c r="L513" s="1">
        <v>2.38845896627E-4</v>
      </c>
    </row>
    <row r="514" spans="4:13">
      <c r="D514" s="1" t="s">
        <v>130</v>
      </c>
      <c r="E514" s="1" t="s">
        <v>74</v>
      </c>
      <c r="F514" s="1" t="s">
        <v>75</v>
      </c>
      <c r="G514" s="1" t="s">
        <v>76</v>
      </c>
      <c r="H514" s="1" t="s">
        <v>22</v>
      </c>
      <c r="I514" s="1" t="s">
        <v>65</v>
      </c>
      <c r="J514" s="1">
        <v>0</v>
      </c>
      <c r="L514" s="1">
        <v>16.018463521800001</v>
      </c>
    </row>
    <row r="515" spans="4:13">
      <c r="D515" s="1" t="s">
        <v>130</v>
      </c>
      <c r="E515" s="1" t="s">
        <v>77</v>
      </c>
      <c r="H515" s="1" t="s">
        <v>22</v>
      </c>
      <c r="I515" s="1" t="s">
        <v>65</v>
      </c>
      <c r="L515" s="1">
        <v>1</v>
      </c>
    </row>
    <row r="516" spans="4:13">
      <c r="D516" s="1" t="s">
        <v>130</v>
      </c>
      <c r="E516" s="1" t="s">
        <v>78</v>
      </c>
      <c r="H516" s="1" t="s">
        <v>25</v>
      </c>
      <c r="I516" s="1" t="s">
        <v>23</v>
      </c>
      <c r="M516" s="1" t="b">
        <v>0</v>
      </c>
    </row>
    <row r="517" spans="4:13">
      <c r="D517" s="1" t="s">
        <v>130</v>
      </c>
      <c r="E517" s="1" t="s">
        <v>79</v>
      </c>
      <c r="F517" s="1" t="s">
        <v>75</v>
      </c>
      <c r="G517" s="1" t="s">
        <v>76</v>
      </c>
      <c r="H517" s="1" t="s">
        <v>22</v>
      </c>
      <c r="I517" s="1" t="s">
        <v>23</v>
      </c>
      <c r="J517" s="1">
        <v>0</v>
      </c>
      <c r="K517" s="1">
        <v>96.110781130800007</v>
      </c>
      <c r="L517" s="1">
        <v>16.018463521800001</v>
      </c>
      <c r="M517" s="1">
        <v>1.6018463521800002</v>
      </c>
    </row>
    <row r="518" spans="4:13">
      <c r="D518" s="1" t="s">
        <v>130</v>
      </c>
      <c r="E518" s="1" t="s">
        <v>80</v>
      </c>
      <c r="H518" s="1" t="s">
        <v>25</v>
      </c>
      <c r="I518" s="1" t="s">
        <v>23</v>
      </c>
      <c r="M518" s="1" t="b">
        <v>0</v>
      </c>
    </row>
    <row r="519" spans="4:13">
      <c r="D519" s="1" t="s">
        <v>130</v>
      </c>
      <c r="E519" s="1" t="s">
        <v>81</v>
      </c>
      <c r="H519" s="1" t="s">
        <v>25</v>
      </c>
      <c r="I519" s="1" t="s">
        <v>23</v>
      </c>
      <c r="M519" s="1" t="b">
        <v>0</v>
      </c>
    </row>
    <row r="520" spans="4:13">
      <c r="D520" s="1" t="s">
        <v>130</v>
      </c>
      <c r="E520" s="1" t="s">
        <v>82</v>
      </c>
      <c r="H520" s="1" t="s">
        <v>22</v>
      </c>
      <c r="I520" s="1" t="s">
        <v>23</v>
      </c>
      <c r="J520" s="1">
        <v>-1</v>
      </c>
      <c r="K520" s="1">
        <v>3</v>
      </c>
      <c r="L520" s="1">
        <v>1</v>
      </c>
      <c r="M520" s="1">
        <v>1.01</v>
      </c>
    </row>
    <row r="521" spans="4:13">
      <c r="D521" s="1" t="s">
        <v>131</v>
      </c>
      <c r="H521" s="1" t="s">
        <v>22</v>
      </c>
      <c r="I521" s="1" t="s">
        <v>23</v>
      </c>
      <c r="L521" s="1">
        <v>1</v>
      </c>
      <c r="M521" s="1">
        <v>1</v>
      </c>
    </row>
    <row r="522" spans="4:13">
      <c r="D522" s="1" t="s">
        <v>132</v>
      </c>
      <c r="E522" s="1" t="s">
        <v>105</v>
      </c>
      <c r="H522" s="1" t="s">
        <v>22</v>
      </c>
      <c r="I522" s="1" t="s">
        <v>29</v>
      </c>
      <c r="J522" s="1">
        <v>0</v>
      </c>
      <c r="K522" s="1">
        <v>10000</v>
      </c>
      <c r="L522" s="1">
        <v>5000</v>
      </c>
    </row>
    <row r="523" spans="4:13">
      <c r="D523" s="1" t="s">
        <v>132</v>
      </c>
      <c r="E523" s="1" t="s">
        <v>106</v>
      </c>
      <c r="H523" s="1" t="s">
        <v>25</v>
      </c>
      <c r="I523" s="1" t="s">
        <v>23</v>
      </c>
      <c r="M523" s="1" t="b">
        <v>0</v>
      </c>
    </row>
    <row r="524" spans="4:13">
      <c r="D524" s="1" t="s">
        <v>132</v>
      </c>
      <c r="E524" s="1" t="s">
        <v>107</v>
      </c>
      <c r="H524" s="1" t="s">
        <v>22</v>
      </c>
      <c r="I524" s="1" t="s">
        <v>23</v>
      </c>
      <c r="L524" s="1">
        <v>1</v>
      </c>
      <c r="M524" s="1">
        <v>20</v>
      </c>
    </row>
    <row r="525" spans="4:13">
      <c r="D525" s="1" t="s">
        <v>132</v>
      </c>
      <c r="E525" s="1" t="s">
        <v>109</v>
      </c>
      <c r="H525" s="1" t="s">
        <v>22</v>
      </c>
      <c r="I525" s="1" t="s">
        <v>23</v>
      </c>
      <c r="L525" s="1">
        <v>1</v>
      </c>
      <c r="M525" s="1">
        <v>1</v>
      </c>
    </row>
    <row r="526" spans="4:13">
      <c r="D526" s="1" t="s">
        <v>132</v>
      </c>
      <c r="E526" s="1" t="s">
        <v>110</v>
      </c>
      <c r="H526" s="1" t="s">
        <v>25</v>
      </c>
      <c r="I526" s="1" t="s">
        <v>23</v>
      </c>
      <c r="M526" s="1" t="b">
        <v>1</v>
      </c>
    </row>
    <row r="527" spans="4:13">
      <c r="D527" s="1" t="s">
        <v>132</v>
      </c>
      <c r="E527" s="1" t="s">
        <v>111</v>
      </c>
      <c r="F527" s="1" t="s">
        <v>56</v>
      </c>
      <c r="G527" s="1" t="s">
        <v>57</v>
      </c>
      <c r="H527" s="1" t="s">
        <v>22</v>
      </c>
      <c r="I527" s="1" t="s">
        <v>23</v>
      </c>
      <c r="L527" s="1">
        <v>1.4503773773020921E-4</v>
      </c>
      <c r="M527" s="1">
        <v>7.2518868865104604E-3</v>
      </c>
    </row>
    <row r="528" spans="4:13">
      <c r="D528" s="1" t="s">
        <v>132</v>
      </c>
      <c r="E528" s="1" t="s">
        <v>47</v>
      </c>
      <c r="H528" s="1" t="s">
        <v>25</v>
      </c>
      <c r="I528" s="1" t="s">
        <v>23</v>
      </c>
      <c r="M528" s="1" t="b">
        <v>0</v>
      </c>
    </row>
    <row r="529" spans="4:13">
      <c r="D529" s="1" t="s">
        <v>132</v>
      </c>
      <c r="E529" s="1" t="s">
        <v>112</v>
      </c>
      <c r="F529" s="1" t="s">
        <v>56</v>
      </c>
      <c r="G529" s="1" t="s">
        <v>57</v>
      </c>
      <c r="H529" s="1" t="s">
        <v>22</v>
      </c>
      <c r="I529" s="1" t="s">
        <v>29</v>
      </c>
      <c r="J529" s="1">
        <v>4.9312830828271128</v>
      </c>
      <c r="K529" s="1">
        <v>623.66227223989961</v>
      </c>
      <c r="L529" s="1">
        <v>50.713895374744951</v>
      </c>
    </row>
    <row r="530" spans="4:13">
      <c r="D530" s="1" t="s">
        <v>132</v>
      </c>
      <c r="E530" s="1" t="s">
        <v>133</v>
      </c>
      <c r="H530" s="1" t="s">
        <v>22</v>
      </c>
      <c r="I530" s="1" t="s">
        <v>23</v>
      </c>
      <c r="L530" s="1">
        <v>1</v>
      </c>
      <c r="M530" s="1">
        <v>1E-3</v>
      </c>
    </row>
    <row r="531" spans="4:13">
      <c r="D531" s="1" t="s">
        <v>132</v>
      </c>
      <c r="E531" s="1" t="s">
        <v>134</v>
      </c>
      <c r="H531" s="1" t="s">
        <v>22</v>
      </c>
      <c r="I531" s="1" t="s">
        <v>23</v>
      </c>
      <c r="L531" s="1">
        <v>1</v>
      </c>
      <c r="M531" s="1">
        <v>9.9999999999999995E-7</v>
      </c>
    </row>
    <row r="532" spans="4:13">
      <c r="D532" s="1" t="s">
        <v>132</v>
      </c>
      <c r="E532" s="1" t="s">
        <v>135</v>
      </c>
      <c r="H532" s="1" t="s">
        <v>22</v>
      </c>
      <c r="I532" s="1" t="s">
        <v>23</v>
      </c>
      <c r="L532" s="1">
        <v>1</v>
      </c>
      <c r="M532" s="1">
        <v>9.9999999999999998E-13</v>
      </c>
    </row>
    <row r="533" spans="4:13">
      <c r="D533" s="1" t="s">
        <v>132</v>
      </c>
      <c r="E533" s="1" t="s">
        <v>62</v>
      </c>
      <c r="H533" s="1" t="s">
        <v>63</v>
      </c>
      <c r="I533" s="1" t="s">
        <v>23</v>
      </c>
      <c r="M533" s="1">
        <v>1</v>
      </c>
    </row>
    <row r="534" spans="4:13">
      <c r="D534" s="1" t="s">
        <v>132</v>
      </c>
      <c r="E534" s="1" t="s">
        <v>113</v>
      </c>
      <c r="H534" s="1" t="s">
        <v>22</v>
      </c>
      <c r="I534" s="1" t="s">
        <v>65</v>
      </c>
      <c r="L534" s="1">
        <v>1</v>
      </c>
    </row>
    <row r="535" spans="4:13">
      <c r="D535" s="1" t="s">
        <v>132</v>
      </c>
      <c r="E535" s="1" t="s">
        <v>114</v>
      </c>
      <c r="H535" s="1" t="s">
        <v>22</v>
      </c>
      <c r="I535" s="1" t="s">
        <v>70</v>
      </c>
      <c r="L535" s="1">
        <v>1</v>
      </c>
    </row>
    <row r="536" spans="4:13">
      <c r="D536" s="1" t="s">
        <v>132</v>
      </c>
      <c r="E536" s="1" t="s">
        <v>115</v>
      </c>
      <c r="F536" s="1" t="s">
        <v>56</v>
      </c>
      <c r="G536" s="1" t="s">
        <v>57</v>
      </c>
      <c r="H536" s="1" t="s">
        <v>22</v>
      </c>
      <c r="I536" s="1" t="s">
        <v>65</v>
      </c>
      <c r="L536" s="1">
        <v>1.4503773773020921E-4</v>
      </c>
    </row>
    <row r="537" spans="4:13">
      <c r="D537" s="1" t="s">
        <v>132</v>
      </c>
      <c r="E537" s="1" t="s">
        <v>116</v>
      </c>
      <c r="H537" s="1" t="s">
        <v>25</v>
      </c>
      <c r="I537" s="1" t="s">
        <v>65</v>
      </c>
    </row>
    <row r="538" spans="4:13">
      <c r="D538" s="1" t="s">
        <v>132</v>
      </c>
      <c r="E538" s="1" t="s">
        <v>69</v>
      </c>
      <c r="H538" s="1" t="s">
        <v>25</v>
      </c>
      <c r="I538" s="1" t="s">
        <v>70</v>
      </c>
    </row>
    <row r="539" spans="4:13">
      <c r="D539" s="1" t="s">
        <v>132</v>
      </c>
      <c r="E539" s="1" t="s">
        <v>71</v>
      </c>
      <c r="F539" s="1" t="s">
        <v>52</v>
      </c>
      <c r="G539" s="1" t="s">
        <v>53</v>
      </c>
      <c r="H539" s="1" t="s">
        <v>22</v>
      </c>
      <c r="I539" s="1" t="s">
        <v>65</v>
      </c>
      <c r="L539" s="1">
        <v>7936.6414386555998</v>
      </c>
    </row>
    <row r="540" spans="4:13">
      <c r="D540" s="1" t="s">
        <v>132</v>
      </c>
      <c r="E540" s="1" t="s">
        <v>117</v>
      </c>
      <c r="F540" s="1" t="s">
        <v>118</v>
      </c>
      <c r="G540" s="1" t="s">
        <v>119</v>
      </c>
      <c r="H540" s="1" t="s">
        <v>22</v>
      </c>
      <c r="I540" s="1" t="s">
        <v>120</v>
      </c>
      <c r="J540" s="1">
        <v>0</v>
      </c>
      <c r="L540" s="1">
        <v>2.20462262185</v>
      </c>
    </row>
    <row r="541" spans="4:13">
      <c r="D541" s="1" t="s">
        <v>132</v>
      </c>
      <c r="E541" s="1" t="s">
        <v>121</v>
      </c>
      <c r="H541" s="1" t="s">
        <v>22</v>
      </c>
      <c r="I541" s="1" t="s">
        <v>120</v>
      </c>
      <c r="L541" s="1">
        <v>1</v>
      </c>
    </row>
    <row r="542" spans="4:13">
      <c r="D542" s="1" t="s">
        <v>132</v>
      </c>
      <c r="E542" s="1" t="s">
        <v>122</v>
      </c>
      <c r="F542" s="1" t="s">
        <v>56</v>
      </c>
      <c r="G542" s="1" t="s">
        <v>57</v>
      </c>
      <c r="H542" s="1" t="s">
        <v>22</v>
      </c>
      <c r="I542" s="1" t="s">
        <v>65</v>
      </c>
      <c r="L542" s="1">
        <v>1.4503773773020921E-4</v>
      </c>
    </row>
    <row r="543" spans="4:13">
      <c r="D543" s="1" t="s">
        <v>132</v>
      </c>
      <c r="E543" s="1" t="s">
        <v>123</v>
      </c>
      <c r="F543" s="1" t="s">
        <v>124</v>
      </c>
      <c r="G543" s="1" t="s">
        <v>125</v>
      </c>
      <c r="H543" s="1" t="s">
        <v>22</v>
      </c>
      <c r="I543" s="1" t="s">
        <v>120</v>
      </c>
      <c r="L543" s="1">
        <v>35.314666699999997</v>
      </c>
    </row>
    <row r="544" spans="4:13">
      <c r="D544" s="1" t="s">
        <v>132</v>
      </c>
      <c r="E544" s="1" t="s">
        <v>126</v>
      </c>
      <c r="H544" s="1" t="s">
        <v>22</v>
      </c>
      <c r="I544" s="1" t="s">
        <v>65</v>
      </c>
      <c r="L544" s="1">
        <v>1</v>
      </c>
    </row>
    <row r="545" spans="4:13">
      <c r="D545" s="1" t="s">
        <v>132</v>
      </c>
      <c r="E545" s="1" t="s">
        <v>127</v>
      </c>
      <c r="H545" s="1" t="s">
        <v>25</v>
      </c>
      <c r="I545" s="1" t="s">
        <v>23</v>
      </c>
      <c r="M545" s="1" t="b">
        <v>1</v>
      </c>
    </row>
    <row r="546" spans="4:13">
      <c r="D546" s="1" t="s">
        <v>136</v>
      </c>
      <c r="E546" s="1" t="s">
        <v>28</v>
      </c>
      <c r="H546" s="1" t="s">
        <v>22</v>
      </c>
      <c r="I546" s="1" t="s">
        <v>29</v>
      </c>
      <c r="J546" s="1">
        <v>34000</v>
      </c>
      <c r="K546" s="1">
        <v>4300000</v>
      </c>
      <c r="L546" s="1">
        <v>349660</v>
      </c>
    </row>
    <row r="547" spans="4:13">
      <c r="D547" s="1" t="s">
        <v>136</v>
      </c>
      <c r="E547" s="1" t="s">
        <v>30</v>
      </c>
      <c r="H547" s="1" t="s">
        <v>22</v>
      </c>
      <c r="I547" s="1" t="s">
        <v>29</v>
      </c>
      <c r="J547" s="1">
        <v>-3.94</v>
      </c>
      <c r="K547" s="1">
        <v>3.66</v>
      </c>
      <c r="L547" s="1">
        <v>1</v>
      </c>
    </row>
    <row r="548" spans="4:13">
      <c r="D548" s="1" t="s">
        <v>136</v>
      </c>
      <c r="E548" s="1" t="s">
        <v>31</v>
      </c>
      <c r="H548" s="1" t="s">
        <v>22</v>
      </c>
      <c r="I548" s="1" t="s">
        <v>29</v>
      </c>
      <c r="J548" s="1">
        <v>0</v>
      </c>
      <c r="K548" s="1">
        <v>100</v>
      </c>
      <c r="L548" s="1">
        <v>1</v>
      </c>
    </row>
    <row r="549" spans="4:13">
      <c r="D549" s="1" t="s">
        <v>136</v>
      </c>
      <c r="E549" s="1" t="s">
        <v>32</v>
      </c>
      <c r="H549" s="1" t="s">
        <v>22</v>
      </c>
      <c r="I549" s="1" t="s">
        <v>29</v>
      </c>
      <c r="J549" s="1">
        <v>-3.94</v>
      </c>
      <c r="K549" s="1">
        <v>3.66</v>
      </c>
      <c r="L549" s="1">
        <v>1</v>
      </c>
    </row>
    <row r="550" spans="4:13">
      <c r="D550" s="1" t="s">
        <v>136</v>
      </c>
      <c r="E550" s="1" t="s">
        <v>33</v>
      </c>
      <c r="H550" s="1" t="s">
        <v>25</v>
      </c>
      <c r="I550" s="1" t="s">
        <v>23</v>
      </c>
      <c r="M550" s="1" t="b">
        <v>0</v>
      </c>
    </row>
    <row r="551" spans="4:13">
      <c r="D551" s="1" t="s">
        <v>136</v>
      </c>
      <c r="E551" s="1" t="s">
        <v>34</v>
      </c>
      <c r="F551" s="1" t="s">
        <v>35</v>
      </c>
      <c r="G551" s="1" t="s">
        <v>36</v>
      </c>
      <c r="H551" s="1" t="s">
        <v>22</v>
      </c>
      <c r="I551" s="1" t="s">
        <v>23</v>
      </c>
      <c r="J551" s="1">
        <v>-459.67</v>
      </c>
      <c r="K551" s="1">
        <v>980.32999999999993</v>
      </c>
      <c r="L551" s="1">
        <v>80.329999999999984</v>
      </c>
      <c r="M551" s="1">
        <v>67.999999999999943</v>
      </c>
    </row>
    <row r="552" spans="4:13">
      <c r="D552" s="1" t="s">
        <v>136</v>
      </c>
      <c r="E552" s="1" t="s">
        <v>37</v>
      </c>
      <c r="H552" s="1" t="s">
        <v>25</v>
      </c>
      <c r="I552" s="1" t="s">
        <v>23</v>
      </c>
      <c r="M552" s="1" t="b">
        <v>0</v>
      </c>
    </row>
    <row r="553" spans="4:13">
      <c r="D553" s="1" t="s">
        <v>136</v>
      </c>
      <c r="E553" s="1" t="s">
        <v>38</v>
      </c>
      <c r="F553" s="1" t="s">
        <v>35</v>
      </c>
      <c r="G553" s="1" t="s">
        <v>36</v>
      </c>
      <c r="H553" s="1" t="s">
        <v>22</v>
      </c>
      <c r="I553" s="1" t="s">
        <v>23</v>
      </c>
      <c r="J553" s="1">
        <v>-99.670000000000016</v>
      </c>
      <c r="K553" s="1">
        <v>980.32999999999993</v>
      </c>
      <c r="L553" s="1">
        <v>80.329999999999984</v>
      </c>
      <c r="M553" s="1">
        <v>13.999999999999943</v>
      </c>
    </row>
    <row r="554" spans="4:13">
      <c r="D554" s="1" t="s">
        <v>136</v>
      </c>
      <c r="E554" s="1" t="s">
        <v>39</v>
      </c>
      <c r="H554" s="1" t="s">
        <v>25</v>
      </c>
      <c r="I554" s="1" t="s">
        <v>23</v>
      </c>
      <c r="M554" s="1" t="b">
        <v>0</v>
      </c>
    </row>
    <row r="555" spans="4:13">
      <c r="D555" s="1" t="s">
        <v>136</v>
      </c>
      <c r="E555" s="1" t="s">
        <v>40</v>
      </c>
      <c r="F555" s="1" t="s">
        <v>41</v>
      </c>
      <c r="G555" s="1" t="s">
        <v>42</v>
      </c>
      <c r="H555" s="1" t="s">
        <v>22</v>
      </c>
      <c r="I555" s="1" t="s">
        <v>23</v>
      </c>
      <c r="J555" s="1">
        <v>-900</v>
      </c>
      <c r="K555" s="1">
        <v>900</v>
      </c>
      <c r="L555" s="1">
        <v>1.8</v>
      </c>
      <c r="M555" s="1">
        <v>9</v>
      </c>
    </row>
    <row r="556" spans="4:13">
      <c r="D556" s="1" t="s">
        <v>136</v>
      </c>
      <c r="E556" s="1" t="s">
        <v>43</v>
      </c>
      <c r="H556" s="1" t="s">
        <v>25</v>
      </c>
      <c r="I556" s="1" t="s">
        <v>23</v>
      </c>
      <c r="M556" s="1" t="b">
        <v>0</v>
      </c>
    </row>
    <row r="557" spans="4:13">
      <c r="D557" s="1" t="s">
        <v>136</v>
      </c>
      <c r="E557" s="1" t="s">
        <v>44</v>
      </c>
      <c r="F557" s="1" t="s">
        <v>45</v>
      </c>
      <c r="G557" s="1" t="s">
        <v>46</v>
      </c>
      <c r="H557" s="1" t="s">
        <v>22</v>
      </c>
      <c r="I557" s="1" t="s">
        <v>23</v>
      </c>
      <c r="J557" s="1">
        <v>-85.984522757427143</v>
      </c>
      <c r="K557" s="1">
        <v>8598.4522757427148</v>
      </c>
      <c r="L557" s="1">
        <v>114.79148749423418</v>
      </c>
      <c r="M557" s="1">
        <v>128.97678413614071</v>
      </c>
    </row>
    <row r="558" spans="4:13">
      <c r="D558" s="1" t="s">
        <v>136</v>
      </c>
      <c r="E558" s="1" t="s">
        <v>47</v>
      </c>
      <c r="H558" s="1" t="s">
        <v>25</v>
      </c>
      <c r="I558" s="1" t="s">
        <v>23</v>
      </c>
      <c r="M558" s="1" t="b">
        <v>0</v>
      </c>
    </row>
    <row r="559" spans="4:13">
      <c r="D559" s="1" t="s">
        <v>136</v>
      </c>
      <c r="E559" s="1" t="s">
        <v>48</v>
      </c>
      <c r="H559" s="1" t="s">
        <v>25</v>
      </c>
      <c r="I559" s="1" t="s">
        <v>23</v>
      </c>
      <c r="M559" s="1" t="b">
        <v>0</v>
      </c>
    </row>
    <row r="560" spans="4:13">
      <c r="D560" s="1" t="s">
        <v>136</v>
      </c>
      <c r="E560" s="1" t="s">
        <v>49</v>
      </c>
      <c r="H560" s="1" t="s">
        <v>25</v>
      </c>
      <c r="I560" s="1" t="s">
        <v>23</v>
      </c>
      <c r="M560" s="1" t="b">
        <v>0</v>
      </c>
    </row>
    <row r="561" spans="4:13">
      <c r="D561" s="1" t="s">
        <v>136</v>
      </c>
      <c r="E561" s="1" t="s">
        <v>50</v>
      </c>
      <c r="H561" s="1" t="s">
        <v>25</v>
      </c>
      <c r="I561" s="1" t="s">
        <v>23</v>
      </c>
      <c r="M561" s="1" t="b">
        <v>0</v>
      </c>
    </row>
    <row r="562" spans="4:13">
      <c r="D562" s="1" t="s">
        <v>136</v>
      </c>
      <c r="E562" s="1" t="s">
        <v>51</v>
      </c>
      <c r="F562" s="1" t="s">
        <v>52</v>
      </c>
      <c r="G562" s="1" t="s">
        <v>53</v>
      </c>
      <c r="H562" s="1" t="s">
        <v>22</v>
      </c>
      <c r="I562" s="1" t="s">
        <v>23</v>
      </c>
      <c r="J562" s="1">
        <v>0</v>
      </c>
      <c r="K562" s="1">
        <v>7936641438.6555996</v>
      </c>
      <c r="L562" s="1">
        <v>7936.6414386555998</v>
      </c>
      <c r="M562" s="1">
        <v>7936.6414386555998</v>
      </c>
    </row>
    <row r="563" spans="4:13">
      <c r="D563" s="1" t="s">
        <v>136</v>
      </c>
      <c r="E563" s="1" t="s">
        <v>54</v>
      </c>
      <c r="H563" s="1" t="s">
        <v>25</v>
      </c>
      <c r="I563" s="1" t="s">
        <v>23</v>
      </c>
      <c r="M563" s="1" t="b">
        <v>0</v>
      </c>
    </row>
    <row r="564" spans="4:13">
      <c r="D564" s="1" t="s">
        <v>136</v>
      </c>
      <c r="E564" s="1" t="s">
        <v>55</v>
      </c>
      <c r="F564" s="1" t="s">
        <v>56</v>
      </c>
      <c r="G564" s="1" t="s">
        <v>57</v>
      </c>
      <c r="H564" s="1" t="s">
        <v>22</v>
      </c>
      <c r="I564" s="1" t="s">
        <v>23</v>
      </c>
      <c r="J564" s="1">
        <v>0</v>
      </c>
      <c r="K564" s="1">
        <v>9427.4529524635982</v>
      </c>
      <c r="L564" s="1">
        <v>50.713895374744951</v>
      </c>
      <c r="M564" s="1">
        <v>50.763208205573221</v>
      </c>
    </row>
    <row r="565" spans="4:13">
      <c r="D565" s="1" t="s">
        <v>136</v>
      </c>
      <c r="E565" s="1" t="s">
        <v>58</v>
      </c>
      <c r="H565" s="1" t="s">
        <v>25</v>
      </c>
      <c r="I565" s="1" t="s">
        <v>23</v>
      </c>
      <c r="M565" s="1" t="b">
        <v>0</v>
      </c>
    </row>
    <row r="566" spans="4:13">
      <c r="D566" s="1" t="s">
        <v>136</v>
      </c>
      <c r="E566" s="1" t="s">
        <v>59</v>
      </c>
      <c r="F566" s="1" t="s">
        <v>60</v>
      </c>
      <c r="G566" s="1" t="s">
        <v>61</v>
      </c>
      <c r="H566" s="1" t="s">
        <v>22</v>
      </c>
      <c r="I566" s="1" t="s">
        <v>23</v>
      </c>
      <c r="J566" s="1">
        <v>-9.5538358650799999</v>
      </c>
      <c r="K566" s="1">
        <v>9.5538358650799999</v>
      </c>
      <c r="L566" s="1">
        <v>0.23884589662700001</v>
      </c>
      <c r="M566" s="1">
        <v>0.23884589662700001</v>
      </c>
    </row>
    <row r="567" spans="4:13">
      <c r="D567" s="1" t="s">
        <v>136</v>
      </c>
      <c r="E567" s="1" t="s">
        <v>62</v>
      </c>
      <c r="H567" s="1" t="s">
        <v>63</v>
      </c>
      <c r="I567" s="1" t="s">
        <v>23</v>
      </c>
      <c r="M567" s="1">
        <v>1</v>
      </c>
    </row>
    <row r="568" spans="4:13">
      <c r="D568" s="1" t="s">
        <v>136</v>
      </c>
      <c r="E568" s="1" t="s">
        <v>64</v>
      </c>
      <c r="F568" s="1" t="s">
        <v>35</v>
      </c>
      <c r="G568" s="1" t="s">
        <v>36</v>
      </c>
      <c r="H568" s="1" t="s">
        <v>22</v>
      </c>
      <c r="I568" s="1" t="s">
        <v>65</v>
      </c>
      <c r="J568" s="1">
        <v>-459.67</v>
      </c>
      <c r="L568" s="1">
        <v>80.329999999999984</v>
      </c>
    </row>
    <row r="569" spans="4:13">
      <c r="D569" s="1" t="s">
        <v>136</v>
      </c>
      <c r="E569" s="1" t="s">
        <v>66</v>
      </c>
      <c r="F569" s="1" t="s">
        <v>35</v>
      </c>
      <c r="G569" s="1" t="s">
        <v>36</v>
      </c>
      <c r="H569" s="1" t="s">
        <v>22</v>
      </c>
      <c r="I569" s="1" t="s">
        <v>65</v>
      </c>
      <c r="J569" s="1">
        <v>-459.67</v>
      </c>
      <c r="L569" s="1">
        <v>80.329999999999984</v>
      </c>
    </row>
    <row r="570" spans="4:13">
      <c r="D570" s="1" t="s">
        <v>136</v>
      </c>
      <c r="E570" s="1" t="s">
        <v>67</v>
      </c>
      <c r="F570" s="1" t="s">
        <v>41</v>
      </c>
      <c r="G570" s="1" t="s">
        <v>42</v>
      </c>
      <c r="H570" s="1" t="s">
        <v>22</v>
      </c>
      <c r="I570" s="1" t="s">
        <v>65</v>
      </c>
      <c r="L570" s="1">
        <v>1.8</v>
      </c>
    </row>
    <row r="571" spans="4:13">
      <c r="D571" s="1" t="s">
        <v>136</v>
      </c>
      <c r="E571" s="1" t="s">
        <v>68</v>
      </c>
      <c r="F571" s="1" t="s">
        <v>45</v>
      </c>
      <c r="G571" s="1" t="s">
        <v>46</v>
      </c>
      <c r="H571" s="1" t="s">
        <v>22</v>
      </c>
      <c r="I571" s="1" t="s">
        <v>65</v>
      </c>
      <c r="L571" s="1">
        <v>4.2992261378713571E-4</v>
      </c>
    </row>
    <row r="572" spans="4:13">
      <c r="D572" s="1" t="s">
        <v>136</v>
      </c>
      <c r="E572" s="1" t="s">
        <v>69</v>
      </c>
      <c r="H572" s="1" t="s">
        <v>25</v>
      </c>
      <c r="I572" s="1" t="s">
        <v>70</v>
      </c>
    </row>
    <row r="573" spans="4:13">
      <c r="D573" s="1" t="s">
        <v>136</v>
      </c>
      <c r="E573" s="1" t="s">
        <v>71</v>
      </c>
      <c r="F573" s="1" t="s">
        <v>52</v>
      </c>
      <c r="G573" s="1" t="s">
        <v>53</v>
      </c>
      <c r="H573" s="1" t="s">
        <v>22</v>
      </c>
      <c r="I573" s="1" t="s">
        <v>65</v>
      </c>
      <c r="L573" s="1">
        <v>7936.6414386555998</v>
      </c>
    </row>
    <row r="574" spans="4:13">
      <c r="D574" s="1" t="s">
        <v>136</v>
      </c>
      <c r="E574" s="1" t="s">
        <v>72</v>
      </c>
      <c r="F574" s="1" t="s">
        <v>56</v>
      </c>
      <c r="G574" s="1" t="s">
        <v>57</v>
      </c>
      <c r="H574" s="1" t="s">
        <v>22</v>
      </c>
      <c r="I574" s="1" t="s">
        <v>65</v>
      </c>
      <c r="J574" s="1">
        <v>0</v>
      </c>
      <c r="L574" s="1">
        <v>14.503773773020921</v>
      </c>
    </row>
    <row r="575" spans="4:13">
      <c r="D575" s="1" t="s">
        <v>136</v>
      </c>
      <c r="E575" s="1" t="s">
        <v>73</v>
      </c>
      <c r="F575" s="1" t="s">
        <v>60</v>
      </c>
      <c r="G575" s="1" t="s">
        <v>61</v>
      </c>
      <c r="H575" s="1" t="s">
        <v>22</v>
      </c>
      <c r="I575" s="1" t="s">
        <v>65</v>
      </c>
      <c r="L575" s="1">
        <v>2.38845896627E-4</v>
      </c>
    </row>
    <row r="576" spans="4:13">
      <c r="D576" s="1" t="s">
        <v>136</v>
      </c>
      <c r="E576" s="1" t="s">
        <v>74</v>
      </c>
      <c r="F576" s="1" t="s">
        <v>75</v>
      </c>
      <c r="G576" s="1" t="s">
        <v>76</v>
      </c>
      <c r="H576" s="1" t="s">
        <v>22</v>
      </c>
      <c r="I576" s="1" t="s">
        <v>65</v>
      </c>
      <c r="J576" s="1">
        <v>0</v>
      </c>
      <c r="L576" s="1">
        <v>16.018463521800001</v>
      </c>
    </row>
    <row r="577" spans="4:13">
      <c r="D577" s="1" t="s">
        <v>136</v>
      </c>
      <c r="E577" s="1" t="s">
        <v>77</v>
      </c>
      <c r="H577" s="1" t="s">
        <v>22</v>
      </c>
      <c r="I577" s="1" t="s">
        <v>65</v>
      </c>
      <c r="L577" s="1">
        <v>1</v>
      </c>
    </row>
    <row r="578" spans="4:13">
      <c r="D578" s="1" t="s">
        <v>136</v>
      </c>
      <c r="E578" s="1" t="s">
        <v>78</v>
      </c>
      <c r="H578" s="1" t="s">
        <v>25</v>
      </c>
      <c r="I578" s="1" t="s">
        <v>23</v>
      </c>
      <c r="M578" s="1" t="b">
        <v>0</v>
      </c>
    </row>
    <row r="579" spans="4:13">
      <c r="D579" s="1" t="s">
        <v>136</v>
      </c>
      <c r="E579" s="1" t="s">
        <v>79</v>
      </c>
      <c r="F579" s="1" t="s">
        <v>75</v>
      </c>
      <c r="G579" s="1" t="s">
        <v>76</v>
      </c>
      <c r="H579" s="1" t="s">
        <v>22</v>
      </c>
      <c r="I579" s="1" t="s">
        <v>23</v>
      </c>
      <c r="J579" s="1">
        <v>0</v>
      </c>
      <c r="K579" s="1">
        <v>96.110781130800007</v>
      </c>
      <c r="L579" s="1">
        <v>16.018463521800001</v>
      </c>
      <c r="M579" s="1">
        <v>1.6018463521800002</v>
      </c>
    </row>
    <row r="580" spans="4:13">
      <c r="D580" s="1" t="s">
        <v>136</v>
      </c>
      <c r="E580" s="1" t="s">
        <v>80</v>
      </c>
      <c r="H580" s="1" t="s">
        <v>25</v>
      </c>
      <c r="I580" s="1" t="s">
        <v>23</v>
      </c>
      <c r="M580" s="1" t="b">
        <v>0</v>
      </c>
    </row>
    <row r="581" spans="4:13">
      <c r="D581" s="1" t="s">
        <v>136</v>
      </c>
      <c r="E581" s="1" t="s">
        <v>81</v>
      </c>
      <c r="H581" s="1" t="s">
        <v>25</v>
      </c>
      <c r="I581" s="1" t="s">
        <v>23</v>
      </c>
      <c r="M581" s="1" t="b">
        <v>0</v>
      </c>
    </row>
    <row r="582" spans="4:13">
      <c r="D582" s="1" t="s">
        <v>136</v>
      </c>
      <c r="E582" s="1" t="s">
        <v>82</v>
      </c>
      <c r="H582" s="1" t="s">
        <v>22</v>
      </c>
      <c r="I582" s="1" t="s">
        <v>23</v>
      </c>
      <c r="J582" s="1">
        <v>-1</v>
      </c>
      <c r="K582" s="1">
        <v>3</v>
      </c>
      <c r="L582" s="1">
        <v>1</v>
      </c>
      <c r="M582" s="1">
        <v>1.01</v>
      </c>
    </row>
    <row r="583" spans="4:13">
      <c r="D583" s="1" t="s">
        <v>137</v>
      </c>
      <c r="E583" s="1" t="s">
        <v>28</v>
      </c>
      <c r="H583" s="1" t="s">
        <v>22</v>
      </c>
      <c r="I583" s="1" t="s">
        <v>29</v>
      </c>
      <c r="J583" s="1">
        <v>34000</v>
      </c>
      <c r="K583" s="1">
        <v>4300000</v>
      </c>
      <c r="L583" s="1">
        <v>349660</v>
      </c>
    </row>
    <row r="584" spans="4:13">
      <c r="D584" s="1" t="s">
        <v>137</v>
      </c>
      <c r="E584" s="1" t="s">
        <v>30</v>
      </c>
      <c r="H584" s="1" t="s">
        <v>22</v>
      </c>
      <c r="I584" s="1" t="s">
        <v>29</v>
      </c>
      <c r="J584" s="1">
        <v>-3.94</v>
      </c>
      <c r="K584" s="1">
        <v>3.66</v>
      </c>
      <c r="L584" s="1">
        <v>1</v>
      </c>
    </row>
    <row r="585" spans="4:13">
      <c r="D585" s="1" t="s">
        <v>137</v>
      </c>
      <c r="E585" s="1" t="s">
        <v>31</v>
      </c>
      <c r="H585" s="1" t="s">
        <v>22</v>
      </c>
      <c r="I585" s="1" t="s">
        <v>29</v>
      </c>
      <c r="J585" s="1">
        <v>0</v>
      </c>
      <c r="K585" s="1">
        <v>100</v>
      </c>
      <c r="L585" s="1">
        <v>1</v>
      </c>
    </row>
    <row r="586" spans="4:13">
      <c r="D586" s="1" t="s">
        <v>137</v>
      </c>
      <c r="E586" s="1" t="s">
        <v>32</v>
      </c>
      <c r="H586" s="1" t="s">
        <v>22</v>
      </c>
      <c r="I586" s="1" t="s">
        <v>29</v>
      </c>
      <c r="J586" s="1">
        <v>-3.94</v>
      </c>
      <c r="K586" s="1">
        <v>3.66</v>
      </c>
      <c r="L586" s="1">
        <v>1</v>
      </c>
    </row>
    <row r="587" spans="4:13">
      <c r="D587" s="1" t="s">
        <v>137</v>
      </c>
      <c r="E587" s="1" t="s">
        <v>33</v>
      </c>
      <c r="H587" s="1" t="s">
        <v>25</v>
      </c>
      <c r="I587" s="1" t="s">
        <v>23</v>
      </c>
      <c r="M587" s="1" t="b">
        <v>0</v>
      </c>
    </row>
    <row r="588" spans="4:13">
      <c r="D588" s="1" t="s">
        <v>137</v>
      </c>
      <c r="E588" s="1" t="s">
        <v>34</v>
      </c>
      <c r="F588" s="1" t="s">
        <v>35</v>
      </c>
      <c r="G588" s="1" t="s">
        <v>36</v>
      </c>
      <c r="H588" s="1" t="s">
        <v>22</v>
      </c>
      <c r="I588" s="1" t="s">
        <v>23</v>
      </c>
      <c r="J588" s="1">
        <v>-459.67</v>
      </c>
      <c r="K588" s="1">
        <v>980.32999999999993</v>
      </c>
      <c r="L588" s="1">
        <v>80.329999999999984</v>
      </c>
      <c r="M588" s="1">
        <v>67.999999999999943</v>
      </c>
    </row>
    <row r="589" spans="4:13">
      <c r="D589" s="1" t="s">
        <v>137</v>
      </c>
      <c r="E589" s="1" t="s">
        <v>37</v>
      </c>
      <c r="H589" s="1" t="s">
        <v>25</v>
      </c>
      <c r="I589" s="1" t="s">
        <v>23</v>
      </c>
      <c r="M589" s="1" t="b">
        <v>0</v>
      </c>
    </row>
    <row r="590" spans="4:13">
      <c r="D590" s="1" t="s">
        <v>137</v>
      </c>
      <c r="E590" s="1" t="s">
        <v>38</v>
      </c>
      <c r="F590" s="1" t="s">
        <v>35</v>
      </c>
      <c r="G590" s="1" t="s">
        <v>36</v>
      </c>
      <c r="H590" s="1" t="s">
        <v>22</v>
      </c>
      <c r="I590" s="1" t="s">
        <v>23</v>
      </c>
      <c r="J590" s="1">
        <v>-99.670000000000016</v>
      </c>
      <c r="K590" s="1">
        <v>980.32999999999993</v>
      </c>
      <c r="L590" s="1">
        <v>80.329999999999984</v>
      </c>
      <c r="M590" s="1">
        <v>13.999999999999943</v>
      </c>
    </row>
    <row r="591" spans="4:13">
      <c r="D591" s="1" t="s">
        <v>137</v>
      </c>
      <c r="E591" s="1" t="s">
        <v>39</v>
      </c>
      <c r="H591" s="1" t="s">
        <v>25</v>
      </c>
      <c r="I591" s="1" t="s">
        <v>23</v>
      </c>
      <c r="M591" s="1" t="b">
        <v>0</v>
      </c>
    </row>
    <row r="592" spans="4:13">
      <c r="D592" s="1" t="s">
        <v>137</v>
      </c>
      <c r="E592" s="1" t="s">
        <v>40</v>
      </c>
      <c r="F592" s="1" t="s">
        <v>41</v>
      </c>
      <c r="G592" s="1" t="s">
        <v>42</v>
      </c>
      <c r="H592" s="1" t="s">
        <v>22</v>
      </c>
      <c r="I592" s="1" t="s">
        <v>23</v>
      </c>
      <c r="J592" s="1">
        <v>-900</v>
      </c>
      <c r="K592" s="1">
        <v>900</v>
      </c>
      <c r="L592" s="1">
        <v>1.8</v>
      </c>
      <c r="M592" s="1">
        <v>9</v>
      </c>
    </row>
    <row r="593" spans="4:13">
      <c r="D593" s="1" t="s">
        <v>137</v>
      </c>
      <c r="E593" s="1" t="s">
        <v>43</v>
      </c>
      <c r="H593" s="1" t="s">
        <v>25</v>
      </c>
      <c r="I593" s="1" t="s">
        <v>23</v>
      </c>
      <c r="M593" s="1" t="b">
        <v>0</v>
      </c>
    </row>
    <row r="594" spans="4:13">
      <c r="D594" s="1" t="s">
        <v>137</v>
      </c>
      <c r="E594" s="1" t="s">
        <v>44</v>
      </c>
      <c r="F594" s="1" t="s">
        <v>45</v>
      </c>
      <c r="G594" s="1" t="s">
        <v>46</v>
      </c>
      <c r="H594" s="1" t="s">
        <v>22</v>
      </c>
      <c r="I594" s="1" t="s">
        <v>23</v>
      </c>
      <c r="J594" s="1">
        <v>-85.984522757427143</v>
      </c>
      <c r="K594" s="1">
        <v>8598.4522757427148</v>
      </c>
      <c r="L594" s="1">
        <v>114.79148749423418</v>
      </c>
      <c r="M594" s="1">
        <v>128.97678413614071</v>
      </c>
    </row>
    <row r="595" spans="4:13">
      <c r="D595" s="1" t="s">
        <v>137</v>
      </c>
      <c r="E595" s="1" t="s">
        <v>47</v>
      </c>
      <c r="H595" s="1" t="s">
        <v>25</v>
      </c>
      <c r="I595" s="1" t="s">
        <v>23</v>
      </c>
      <c r="M595" s="1" t="b">
        <v>0</v>
      </c>
    </row>
    <row r="596" spans="4:13">
      <c r="D596" s="1" t="s">
        <v>137</v>
      </c>
      <c r="E596" s="1" t="s">
        <v>48</v>
      </c>
      <c r="H596" s="1" t="s">
        <v>25</v>
      </c>
      <c r="I596" s="1" t="s">
        <v>23</v>
      </c>
      <c r="M596" s="1" t="b">
        <v>0</v>
      </c>
    </row>
    <row r="597" spans="4:13">
      <c r="D597" s="1" t="s">
        <v>137</v>
      </c>
      <c r="E597" s="1" t="s">
        <v>49</v>
      </c>
      <c r="H597" s="1" t="s">
        <v>25</v>
      </c>
      <c r="I597" s="1" t="s">
        <v>23</v>
      </c>
      <c r="M597" s="1" t="b">
        <v>0</v>
      </c>
    </row>
    <row r="598" spans="4:13">
      <c r="D598" s="1" t="s">
        <v>137</v>
      </c>
      <c r="E598" s="1" t="s">
        <v>50</v>
      </c>
      <c r="H598" s="1" t="s">
        <v>25</v>
      </c>
      <c r="I598" s="1" t="s">
        <v>23</v>
      </c>
      <c r="M598" s="1" t="b">
        <v>0</v>
      </c>
    </row>
    <row r="599" spans="4:13">
      <c r="D599" s="1" t="s">
        <v>137</v>
      </c>
      <c r="E599" s="1" t="s">
        <v>51</v>
      </c>
      <c r="F599" s="1" t="s">
        <v>52</v>
      </c>
      <c r="G599" s="1" t="s">
        <v>53</v>
      </c>
      <c r="H599" s="1" t="s">
        <v>22</v>
      </c>
      <c r="I599" s="1" t="s">
        <v>23</v>
      </c>
      <c r="J599" s="1">
        <v>0</v>
      </c>
      <c r="K599" s="1">
        <v>7936641438.6555996</v>
      </c>
      <c r="L599" s="1">
        <v>7936.6414386555998</v>
      </c>
      <c r="M599" s="1">
        <v>7936.6414386555998</v>
      </c>
    </row>
    <row r="600" spans="4:13">
      <c r="D600" s="1" t="s">
        <v>137</v>
      </c>
      <c r="E600" s="1" t="s">
        <v>54</v>
      </c>
      <c r="H600" s="1" t="s">
        <v>25</v>
      </c>
      <c r="I600" s="1" t="s">
        <v>23</v>
      </c>
      <c r="M600" s="1" t="b">
        <v>0</v>
      </c>
    </row>
    <row r="601" spans="4:13">
      <c r="D601" s="1" t="s">
        <v>137</v>
      </c>
      <c r="E601" s="1" t="s">
        <v>55</v>
      </c>
      <c r="F601" s="1" t="s">
        <v>56</v>
      </c>
      <c r="G601" s="1" t="s">
        <v>57</v>
      </c>
      <c r="H601" s="1" t="s">
        <v>22</v>
      </c>
      <c r="I601" s="1" t="s">
        <v>23</v>
      </c>
      <c r="J601" s="1">
        <v>0</v>
      </c>
      <c r="K601" s="1">
        <v>9427.4529524635982</v>
      </c>
      <c r="L601" s="1">
        <v>50.713895374744951</v>
      </c>
      <c r="M601" s="1">
        <v>50.763208205573221</v>
      </c>
    </row>
    <row r="602" spans="4:13">
      <c r="D602" s="1" t="s">
        <v>137</v>
      </c>
      <c r="E602" s="1" t="s">
        <v>58</v>
      </c>
      <c r="H602" s="1" t="s">
        <v>25</v>
      </c>
      <c r="I602" s="1" t="s">
        <v>23</v>
      </c>
      <c r="M602" s="1" t="b">
        <v>0</v>
      </c>
    </row>
    <row r="603" spans="4:13">
      <c r="D603" s="1" t="s">
        <v>137</v>
      </c>
      <c r="E603" s="1" t="s">
        <v>59</v>
      </c>
      <c r="F603" s="1" t="s">
        <v>60</v>
      </c>
      <c r="G603" s="1" t="s">
        <v>61</v>
      </c>
      <c r="H603" s="1" t="s">
        <v>22</v>
      </c>
      <c r="I603" s="1" t="s">
        <v>23</v>
      </c>
      <c r="J603" s="1">
        <v>-9.5538358650799999</v>
      </c>
      <c r="K603" s="1">
        <v>9.5538358650799999</v>
      </c>
      <c r="L603" s="1">
        <v>0.23884589662700001</v>
      </c>
      <c r="M603" s="1">
        <v>0.23884589662700001</v>
      </c>
    </row>
    <row r="604" spans="4:13">
      <c r="D604" s="1" t="s">
        <v>137</v>
      </c>
      <c r="E604" s="1" t="s">
        <v>62</v>
      </c>
      <c r="H604" s="1" t="s">
        <v>63</v>
      </c>
      <c r="I604" s="1" t="s">
        <v>23</v>
      </c>
      <c r="M604" s="1">
        <v>1</v>
      </c>
    </row>
    <row r="605" spans="4:13">
      <c r="D605" s="1" t="s">
        <v>137</v>
      </c>
      <c r="E605" s="1" t="s">
        <v>64</v>
      </c>
      <c r="F605" s="1" t="s">
        <v>35</v>
      </c>
      <c r="G605" s="1" t="s">
        <v>36</v>
      </c>
      <c r="H605" s="1" t="s">
        <v>22</v>
      </c>
      <c r="I605" s="1" t="s">
        <v>65</v>
      </c>
      <c r="J605" s="1">
        <v>-459.67</v>
      </c>
      <c r="L605" s="1">
        <v>80.329999999999984</v>
      </c>
    </row>
    <row r="606" spans="4:13">
      <c r="D606" s="1" t="s">
        <v>137</v>
      </c>
      <c r="E606" s="1" t="s">
        <v>66</v>
      </c>
      <c r="F606" s="1" t="s">
        <v>35</v>
      </c>
      <c r="G606" s="1" t="s">
        <v>36</v>
      </c>
      <c r="H606" s="1" t="s">
        <v>22</v>
      </c>
      <c r="I606" s="1" t="s">
        <v>65</v>
      </c>
      <c r="J606" s="1">
        <v>-459.67</v>
      </c>
      <c r="L606" s="1">
        <v>80.329999999999984</v>
      </c>
    </row>
    <row r="607" spans="4:13">
      <c r="D607" s="1" t="s">
        <v>137</v>
      </c>
      <c r="E607" s="1" t="s">
        <v>67</v>
      </c>
      <c r="F607" s="1" t="s">
        <v>41</v>
      </c>
      <c r="G607" s="1" t="s">
        <v>42</v>
      </c>
      <c r="H607" s="1" t="s">
        <v>22</v>
      </c>
      <c r="I607" s="1" t="s">
        <v>65</v>
      </c>
      <c r="L607" s="1">
        <v>1.8</v>
      </c>
    </row>
    <row r="608" spans="4:13">
      <c r="D608" s="1" t="s">
        <v>137</v>
      </c>
      <c r="E608" s="1" t="s">
        <v>68</v>
      </c>
      <c r="F608" s="1" t="s">
        <v>45</v>
      </c>
      <c r="G608" s="1" t="s">
        <v>46</v>
      </c>
      <c r="H608" s="1" t="s">
        <v>22</v>
      </c>
      <c r="I608" s="1" t="s">
        <v>65</v>
      </c>
      <c r="L608" s="1">
        <v>4.2992261378713571E-4</v>
      </c>
    </row>
    <row r="609" spans="4:13">
      <c r="D609" s="1" t="s">
        <v>137</v>
      </c>
      <c r="E609" s="1" t="s">
        <v>69</v>
      </c>
      <c r="H609" s="1" t="s">
        <v>25</v>
      </c>
      <c r="I609" s="1" t="s">
        <v>70</v>
      </c>
    </row>
    <row r="610" spans="4:13">
      <c r="D610" s="1" t="s">
        <v>137</v>
      </c>
      <c r="E610" s="1" t="s">
        <v>71</v>
      </c>
      <c r="F610" s="1" t="s">
        <v>52</v>
      </c>
      <c r="G610" s="1" t="s">
        <v>53</v>
      </c>
      <c r="H610" s="1" t="s">
        <v>22</v>
      </c>
      <c r="I610" s="1" t="s">
        <v>65</v>
      </c>
      <c r="L610" s="1">
        <v>7936.6414386555998</v>
      </c>
    </row>
    <row r="611" spans="4:13">
      <c r="D611" s="1" t="s">
        <v>137</v>
      </c>
      <c r="E611" s="1" t="s">
        <v>72</v>
      </c>
      <c r="F611" s="1" t="s">
        <v>56</v>
      </c>
      <c r="G611" s="1" t="s">
        <v>57</v>
      </c>
      <c r="H611" s="1" t="s">
        <v>22</v>
      </c>
      <c r="I611" s="1" t="s">
        <v>65</v>
      </c>
      <c r="J611" s="1">
        <v>0</v>
      </c>
      <c r="L611" s="1">
        <v>14.503773773020921</v>
      </c>
    </row>
    <row r="612" spans="4:13">
      <c r="D612" s="1" t="s">
        <v>137</v>
      </c>
      <c r="E612" s="1" t="s">
        <v>73</v>
      </c>
      <c r="F612" s="1" t="s">
        <v>60</v>
      </c>
      <c r="G612" s="1" t="s">
        <v>61</v>
      </c>
      <c r="H612" s="1" t="s">
        <v>22</v>
      </c>
      <c r="I612" s="1" t="s">
        <v>65</v>
      </c>
      <c r="L612" s="1">
        <v>2.38845896627E-4</v>
      </c>
    </row>
    <row r="613" spans="4:13">
      <c r="D613" s="1" t="s">
        <v>137</v>
      </c>
      <c r="E613" s="1" t="s">
        <v>74</v>
      </c>
      <c r="F613" s="1" t="s">
        <v>75</v>
      </c>
      <c r="G613" s="1" t="s">
        <v>76</v>
      </c>
      <c r="H613" s="1" t="s">
        <v>22</v>
      </c>
      <c r="I613" s="1" t="s">
        <v>65</v>
      </c>
      <c r="J613" s="1">
        <v>0</v>
      </c>
      <c r="L613" s="1">
        <v>16.018463521800001</v>
      </c>
    </row>
    <row r="614" spans="4:13">
      <c r="D614" s="1" t="s">
        <v>137</v>
      </c>
      <c r="E614" s="1" t="s">
        <v>77</v>
      </c>
      <c r="H614" s="1" t="s">
        <v>22</v>
      </c>
      <c r="I614" s="1" t="s">
        <v>65</v>
      </c>
      <c r="L614" s="1">
        <v>1</v>
      </c>
    </row>
    <row r="615" spans="4:13">
      <c r="D615" s="1" t="s">
        <v>137</v>
      </c>
      <c r="E615" s="1" t="s">
        <v>78</v>
      </c>
      <c r="H615" s="1" t="s">
        <v>25</v>
      </c>
      <c r="I615" s="1" t="s">
        <v>23</v>
      </c>
      <c r="M615" s="1" t="b">
        <v>0</v>
      </c>
    </row>
    <row r="616" spans="4:13">
      <c r="D616" s="1" t="s">
        <v>137</v>
      </c>
      <c r="E616" s="1" t="s">
        <v>79</v>
      </c>
      <c r="F616" s="1" t="s">
        <v>75</v>
      </c>
      <c r="G616" s="1" t="s">
        <v>76</v>
      </c>
      <c r="H616" s="1" t="s">
        <v>22</v>
      </c>
      <c r="I616" s="1" t="s">
        <v>23</v>
      </c>
      <c r="J616" s="1">
        <v>0</v>
      </c>
      <c r="K616" s="1">
        <v>96.110781130800007</v>
      </c>
      <c r="L616" s="1">
        <v>16.018463521800001</v>
      </c>
      <c r="M616" s="1">
        <v>1.6018463521800002</v>
      </c>
    </row>
    <row r="617" spans="4:13">
      <c r="D617" s="1" t="s">
        <v>137</v>
      </c>
      <c r="E617" s="1" t="s">
        <v>80</v>
      </c>
      <c r="H617" s="1" t="s">
        <v>25</v>
      </c>
      <c r="I617" s="1" t="s">
        <v>23</v>
      </c>
      <c r="M617" s="1" t="b">
        <v>0</v>
      </c>
    </row>
    <row r="618" spans="4:13">
      <c r="D618" s="1" t="s">
        <v>137</v>
      </c>
      <c r="E618" s="1" t="s">
        <v>81</v>
      </c>
      <c r="H618" s="1" t="s">
        <v>25</v>
      </c>
      <c r="I618" s="1" t="s">
        <v>23</v>
      </c>
      <c r="M618" s="1" t="b">
        <v>0</v>
      </c>
    </row>
    <row r="619" spans="4:13">
      <c r="D619" s="1" t="s">
        <v>137</v>
      </c>
      <c r="E619" s="1" t="s">
        <v>82</v>
      </c>
      <c r="H619" s="1" t="s">
        <v>22</v>
      </c>
      <c r="I619" s="1" t="s">
        <v>23</v>
      </c>
      <c r="J619" s="1">
        <v>-1</v>
      </c>
      <c r="K619" s="1">
        <v>3</v>
      </c>
      <c r="L619" s="1">
        <v>1</v>
      </c>
      <c r="M619" s="1">
        <v>1.01</v>
      </c>
    </row>
    <row r="620" spans="4:13">
      <c r="D620" s="1" t="s">
        <v>138</v>
      </c>
      <c r="E620" s="1" t="s">
        <v>28</v>
      </c>
      <c r="H620" s="1" t="s">
        <v>22</v>
      </c>
      <c r="I620" s="1" t="s">
        <v>29</v>
      </c>
      <c r="J620" s="1">
        <v>34000</v>
      </c>
      <c r="K620" s="1">
        <v>4300000</v>
      </c>
      <c r="L620" s="1">
        <v>349660</v>
      </c>
    </row>
    <row r="621" spans="4:13">
      <c r="D621" s="1" t="s">
        <v>138</v>
      </c>
      <c r="E621" s="1" t="s">
        <v>30</v>
      </c>
      <c r="H621" s="1" t="s">
        <v>22</v>
      </c>
      <c r="I621" s="1" t="s">
        <v>29</v>
      </c>
      <c r="J621" s="1">
        <v>-3.94</v>
      </c>
      <c r="K621" s="1">
        <v>3.66</v>
      </c>
      <c r="L621" s="1">
        <v>1</v>
      </c>
    </row>
    <row r="622" spans="4:13">
      <c r="D622" s="1" t="s">
        <v>138</v>
      </c>
      <c r="E622" s="1" t="s">
        <v>31</v>
      </c>
      <c r="H622" s="1" t="s">
        <v>22</v>
      </c>
      <c r="I622" s="1" t="s">
        <v>29</v>
      </c>
      <c r="J622" s="1">
        <v>0</v>
      </c>
      <c r="K622" s="1">
        <v>100</v>
      </c>
      <c r="L622" s="1">
        <v>1</v>
      </c>
    </row>
    <row r="623" spans="4:13">
      <c r="D623" s="1" t="s">
        <v>138</v>
      </c>
      <c r="E623" s="1" t="s">
        <v>32</v>
      </c>
      <c r="H623" s="1" t="s">
        <v>22</v>
      </c>
      <c r="I623" s="1" t="s">
        <v>29</v>
      </c>
      <c r="J623" s="1">
        <v>-3.94</v>
      </c>
      <c r="K623" s="1">
        <v>3.66</v>
      </c>
      <c r="L623" s="1">
        <v>1</v>
      </c>
    </row>
    <row r="624" spans="4:13">
      <c r="D624" s="1" t="s">
        <v>138</v>
      </c>
      <c r="E624" s="1" t="s">
        <v>33</v>
      </c>
      <c r="H624" s="1" t="s">
        <v>25</v>
      </c>
      <c r="I624" s="1" t="s">
        <v>23</v>
      </c>
      <c r="M624" s="1" t="b">
        <v>0</v>
      </c>
    </row>
    <row r="625" spans="4:13">
      <c r="D625" s="1" t="s">
        <v>138</v>
      </c>
      <c r="E625" s="1" t="s">
        <v>34</v>
      </c>
      <c r="F625" s="1" t="s">
        <v>35</v>
      </c>
      <c r="G625" s="1" t="s">
        <v>36</v>
      </c>
      <c r="H625" s="1" t="s">
        <v>22</v>
      </c>
      <c r="I625" s="1" t="s">
        <v>23</v>
      </c>
      <c r="J625" s="1">
        <v>-459.67</v>
      </c>
      <c r="K625" s="1">
        <v>980.32999999999993</v>
      </c>
      <c r="L625" s="1">
        <v>80.329999999999984</v>
      </c>
      <c r="M625" s="1">
        <v>67.999999999999943</v>
      </c>
    </row>
    <row r="626" spans="4:13">
      <c r="D626" s="1" t="s">
        <v>138</v>
      </c>
      <c r="E626" s="1" t="s">
        <v>37</v>
      </c>
      <c r="H626" s="1" t="s">
        <v>25</v>
      </c>
      <c r="I626" s="1" t="s">
        <v>23</v>
      </c>
      <c r="M626" s="1" t="b">
        <v>0</v>
      </c>
    </row>
    <row r="627" spans="4:13">
      <c r="D627" s="1" t="s">
        <v>138</v>
      </c>
      <c r="E627" s="1" t="s">
        <v>38</v>
      </c>
      <c r="F627" s="1" t="s">
        <v>35</v>
      </c>
      <c r="G627" s="1" t="s">
        <v>36</v>
      </c>
      <c r="H627" s="1" t="s">
        <v>22</v>
      </c>
      <c r="I627" s="1" t="s">
        <v>23</v>
      </c>
      <c r="J627" s="1">
        <v>-99.670000000000016</v>
      </c>
      <c r="K627" s="1">
        <v>980.32999999999993</v>
      </c>
      <c r="L627" s="1">
        <v>80.329999999999984</v>
      </c>
      <c r="M627" s="1">
        <v>13.999999999999943</v>
      </c>
    </row>
    <row r="628" spans="4:13">
      <c r="D628" s="1" t="s">
        <v>138</v>
      </c>
      <c r="E628" s="1" t="s">
        <v>39</v>
      </c>
      <c r="H628" s="1" t="s">
        <v>25</v>
      </c>
      <c r="I628" s="1" t="s">
        <v>23</v>
      </c>
      <c r="M628" s="1" t="b">
        <v>0</v>
      </c>
    </row>
    <row r="629" spans="4:13">
      <c r="D629" s="1" t="s">
        <v>138</v>
      </c>
      <c r="E629" s="1" t="s">
        <v>40</v>
      </c>
      <c r="F629" s="1" t="s">
        <v>41</v>
      </c>
      <c r="G629" s="1" t="s">
        <v>42</v>
      </c>
      <c r="H629" s="1" t="s">
        <v>22</v>
      </c>
      <c r="I629" s="1" t="s">
        <v>23</v>
      </c>
      <c r="J629" s="1">
        <v>-900</v>
      </c>
      <c r="K629" s="1">
        <v>900</v>
      </c>
      <c r="L629" s="1">
        <v>1.8</v>
      </c>
      <c r="M629" s="1">
        <v>9</v>
      </c>
    </row>
    <row r="630" spans="4:13">
      <c r="D630" s="1" t="s">
        <v>138</v>
      </c>
      <c r="E630" s="1" t="s">
        <v>43</v>
      </c>
      <c r="H630" s="1" t="s">
        <v>25</v>
      </c>
      <c r="I630" s="1" t="s">
        <v>23</v>
      </c>
      <c r="M630" s="1" t="b">
        <v>0</v>
      </c>
    </row>
    <row r="631" spans="4:13">
      <c r="D631" s="1" t="s">
        <v>138</v>
      </c>
      <c r="E631" s="1" t="s">
        <v>44</v>
      </c>
      <c r="F631" s="1" t="s">
        <v>45</v>
      </c>
      <c r="G631" s="1" t="s">
        <v>46</v>
      </c>
      <c r="H631" s="1" t="s">
        <v>22</v>
      </c>
      <c r="I631" s="1" t="s">
        <v>23</v>
      </c>
      <c r="J631" s="1">
        <v>-85.984522757427143</v>
      </c>
      <c r="K631" s="1">
        <v>8598.4522757427148</v>
      </c>
      <c r="L631" s="1">
        <v>114.79148749423418</v>
      </c>
      <c r="M631" s="1">
        <v>128.97678413614071</v>
      </c>
    </row>
    <row r="632" spans="4:13">
      <c r="D632" s="1" t="s">
        <v>138</v>
      </c>
      <c r="E632" s="1" t="s">
        <v>47</v>
      </c>
      <c r="H632" s="1" t="s">
        <v>25</v>
      </c>
      <c r="I632" s="1" t="s">
        <v>23</v>
      </c>
      <c r="M632" s="1" t="b">
        <v>0</v>
      </c>
    </row>
    <row r="633" spans="4:13">
      <c r="D633" s="1" t="s">
        <v>138</v>
      </c>
      <c r="E633" s="1" t="s">
        <v>48</v>
      </c>
      <c r="H633" s="1" t="s">
        <v>25</v>
      </c>
      <c r="I633" s="1" t="s">
        <v>23</v>
      </c>
      <c r="M633" s="1" t="b">
        <v>0</v>
      </c>
    </row>
    <row r="634" spans="4:13">
      <c r="D634" s="1" t="s">
        <v>138</v>
      </c>
      <c r="E634" s="1" t="s">
        <v>49</v>
      </c>
      <c r="H634" s="1" t="s">
        <v>25</v>
      </c>
      <c r="I634" s="1" t="s">
        <v>23</v>
      </c>
      <c r="M634" s="1" t="b">
        <v>0</v>
      </c>
    </row>
    <row r="635" spans="4:13">
      <c r="D635" s="1" t="s">
        <v>138</v>
      </c>
      <c r="E635" s="1" t="s">
        <v>50</v>
      </c>
      <c r="H635" s="1" t="s">
        <v>25</v>
      </c>
      <c r="I635" s="1" t="s">
        <v>23</v>
      </c>
      <c r="M635" s="1" t="b">
        <v>0</v>
      </c>
    </row>
    <row r="636" spans="4:13">
      <c r="D636" s="1" t="s">
        <v>138</v>
      </c>
      <c r="E636" s="1" t="s">
        <v>51</v>
      </c>
      <c r="F636" s="1" t="s">
        <v>52</v>
      </c>
      <c r="G636" s="1" t="s">
        <v>53</v>
      </c>
      <c r="H636" s="1" t="s">
        <v>22</v>
      </c>
      <c r="I636" s="1" t="s">
        <v>23</v>
      </c>
      <c r="J636" s="1">
        <v>0</v>
      </c>
      <c r="K636" s="1">
        <v>7936641438.6555996</v>
      </c>
      <c r="L636" s="1">
        <v>7936.6414386555998</v>
      </c>
      <c r="M636" s="1">
        <v>7936.6414386555998</v>
      </c>
    </row>
    <row r="637" spans="4:13">
      <c r="D637" s="1" t="s">
        <v>138</v>
      </c>
      <c r="E637" s="1" t="s">
        <v>54</v>
      </c>
      <c r="H637" s="1" t="s">
        <v>25</v>
      </c>
      <c r="I637" s="1" t="s">
        <v>23</v>
      </c>
      <c r="M637" s="1" t="b">
        <v>0</v>
      </c>
    </row>
    <row r="638" spans="4:13">
      <c r="D638" s="1" t="s">
        <v>138</v>
      </c>
      <c r="E638" s="1" t="s">
        <v>55</v>
      </c>
      <c r="F638" s="1" t="s">
        <v>56</v>
      </c>
      <c r="G638" s="1" t="s">
        <v>57</v>
      </c>
      <c r="H638" s="1" t="s">
        <v>22</v>
      </c>
      <c r="I638" s="1" t="s">
        <v>23</v>
      </c>
      <c r="J638" s="1">
        <v>0</v>
      </c>
      <c r="K638" s="1">
        <v>9427.4529524635982</v>
      </c>
      <c r="L638" s="1">
        <v>50.713895374744951</v>
      </c>
      <c r="M638" s="1">
        <v>50.763208205573221</v>
      </c>
    </row>
    <row r="639" spans="4:13">
      <c r="D639" s="1" t="s">
        <v>138</v>
      </c>
      <c r="E639" s="1" t="s">
        <v>58</v>
      </c>
      <c r="H639" s="1" t="s">
        <v>25</v>
      </c>
      <c r="I639" s="1" t="s">
        <v>23</v>
      </c>
      <c r="M639" s="1" t="b">
        <v>0</v>
      </c>
    </row>
    <row r="640" spans="4:13">
      <c r="D640" s="1" t="s">
        <v>138</v>
      </c>
      <c r="E640" s="1" t="s">
        <v>59</v>
      </c>
      <c r="F640" s="1" t="s">
        <v>60</v>
      </c>
      <c r="G640" s="1" t="s">
        <v>61</v>
      </c>
      <c r="H640" s="1" t="s">
        <v>22</v>
      </c>
      <c r="I640" s="1" t="s">
        <v>23</v>
      </c>
      <c r="J640" s="1">
        <v>-9.5538358650799999</v>
      </c>
      <c r="K640" s="1">
        <v>9.5538358650799999</v>
      </c>
      <c r="L640" s="1">
        <v>0.23884589662700001</v>
      </c>
      <c r="M640" s="1">
        <v>0.23884589662700001</v>
      </c>
    </row>
    <row r="641" spans="4:13">
      <c r="D641" s="1" t="s">
        <v>138</v>
      </c>
      <c r="E641" s="1" t="s">
        <v>62</v>
      </c>
      <c r="H641" s="1" t="s">
        <v>63</v>
      </c>
      <c r="I641" s="1" t="s">
        <v>23</v>
      </c>
      <c r="M641" s="1">
        <v>1</v>
      </c>
    </row>
    <row r="642" spans="4:13">
      <c r="D642" s="1" t="s">
        <v>138</v>
      </c>
      <c r="E642" s="1" t="s">
        <v>64</v>
      </c>
      <c r="F642" s="1" t="s">
        <v>35</v>
      </c>
      <c r="G642" s="1" t="s">
        <v>36</v>
      </c>
      <c r="H642" s="1" t="s">
        <v>22</v>
      </c>
      <c r="I642" s="1" t="s">
        <v>65</v>
      </c>
      <c r="J642" s="1">
        <v>-459.67</v>
      </c>
      <c r="L642" s="1">
        <v>80.329999999999984</v>
      </c>
    </row>
    <row r="643" spans="4:13">
      <c r="D643" s="1" t="s">
        <v>138</v>
      </c>
      <c r="E643" s="1" t="s">
        <v>66</v>
      </c>
      <c r="F643" s="1" t="s">
        <v>35</v>
      </c>
      <c r="G643" s="1" t="s">
        <v>36</v>
      </c>
      <c r="H643" s="1" t="s">
        <v>22</v>
      </c>
      <c r="I643" s="1" t="s">
        <v>65</v>
      </c>
      <c r="J643" s="1">
        <v>-459.67</v>
      </c>
      <c r="L643" s="1">
        <v>80.329999999999984</v>
      </c>
    </row>
    <row r="644" spans="4:13">
      <c r="D644" s="1" t="s">
        <v>138</v>
      </c>
      <c r="E644" s="1" t="s">
        <v>67</v>
      </c>
      <c r="F644" s="1" t="s">
        <v>41</v>
      </c>
      <c r="G644" s="1" t="s">
        <v>42</v>
      </c>
      <c r="H644" s="1" t="s">
        <v>22</v>
      </c>
      <c r="I644" s="1" t="s">
        <v>65</v>
      </c>
      <c r="L644" s="1">
        <v>1.8</v>
      </c>
    </row>
    <row r="645" spans="4:13">
      <c r="D645" s="1" t="s">
        <v>138</v>
      </c>
      <c r="E645" s="1" t="s">
        <v>68</v>
      </c>
      <c r="F645" s="1" t="s">
        <v>45</v>
      </c>
      <c r="G645" s="1" t="s">
        <v>46</v>
      </c>
      <c r="H645" s="1" t="s">
        <v>22</v>
      </c>
      <c r="I645" s="1" t="s">
        <v>65</v>
      </c>
      <c r="L645" s="1">
        <v>4.2992261378713571E-4</v>
      </c>
    </row>
    <row r="646" spans="4:13">
      <c r="D646" s="1" t="s">
        <v>138</v>
      </c>
      <c r="E646" s="1" t="s">
        <v>69</v>
      </c>
      <c r="H646" s="1" t="s">
        <v>25</v>
      </c>
      <c r="I646" s="1" t="s">
        <v>70</v>
      </c>
    </row>
    <row r="647" spans="4:13">
      <c r="D647" s="1" t="s">
        <v>138</v>
      </c>
      <c r="E647" s="1" t="s">
        <v>71</v>
      </c>
      <c r="F647" s="1" t="s">
        <v>52</v>
      </c>
      <c r="G647" s="1" t="s">
        <v>53</v>
      </c>
      <c r="H647" s="1" t="s">
        <v>22</v>
      </c>
      <c r="I647" s="1" t="s">
        <v>65</v>
      </c>
      <c r="L647" s="1">
        <v>7936.6414386555998</v>
      </c>
    </row>
    <row r="648" spans="4:13">
      <c r="D648" s="1" t="s">
        <v>138</v>
      </c>
      <c r="E648" s="1" t="s">
        <v>72</v>
      </c>
      <c r="F648" s="1" t="s">
        <v>56</v>
      </c>
      <c r="G648" s="1" t="s">
        <v>57</v>
      </c>
      <c r="H648" s="1" t="s">
        <v>22</v>
      </c>
      <c r="I648" s="1" t="s">
        <v>65</v>
      </c>
      <c r="J648" s="1">
        <v>0</v>
      </c>
      <c r="L648" s="1">
        <v>14.503773773020921</v>
      </c>
    </row>
    <row r="649" spans="4:13">
      <c r="D649" s="1" t="s">
        <v>138</v>
      </c>
      <c r="E649" s="1" t="s">
        <v>73</v>
      </c>
      <c r="F649" s="1" t="s">
        <v>60</v>
      </c>
      <c r="G649" s="1" t="s">
        <v>61</v>
      </c>
      <c r="H649" s="1" t="s">
        <v>22</v>
      </c>
      <c r="I649" s="1" t="s">
        <v>65</v>
      </c>
      <c r="L649" s="1">
        <v>2.38845896627E-4</v>
      </c>
    </row>
    <row r="650" spans="4:13">
      <c r="D650" s="1" t="s">
        <v>138</v>
      </c>
      <c r="E650" s="1" t="s">
        <v>74</v>
      </c>
      <c r="F650" s="1" t="s">
        <v>75</v>
      </c>
      <c r="G650" s="1" t="s">
        <v>76</v>
      </c>
      <c r="H650" s="1" t="s">
        <v>22</v>
      </c>
      <c r="I650" s="1" t="s">
        <v>65</v>
      </c>
      <c r="J650" s="1">
        <v>0</v>
      </c>
      <c r="L650" s="1">
        <v>16.018463521800001</v>
      </c>
    </row>
    <row r="651" spans="4:13">
      <c r="D651" s="1" t="s">
        <v>138</v>
      </c>
      <c r="E651" s="1" t="s">
        <v>77</v>
      </c>
      <c r="H651" s="1" t="s">
        <v>22</v>
      </c>
      <c r="I651" s="1" t="s">
        <v>65</v>
      </c>
      <c r="L651" s="1">
        <v>1</v>
      </c>
    </row>
    <row r="652" spans="4:13">
      <c r="D652" s="1" t="s">
        <v>138</v>
      </c>
      <c r="E652" s="1" t="s">
        <v>78</v>
      </c>
      <c r="H652" s="1" t="s">
        <v>25</v>
      </c>
      <c r="I652" s="1" t="s">
        <v>23</v>
      </c>
      <c r="M652" s="1" t="b">
        <v>0</v>
      </c>
    </row>
    <row r="653" spans="4:13">
      <c r="D653" s="1" t="s">
        <v>138</v>
      </c>
      <c r="E653" s="1" t="s">
        <v>79</v>
      </c>
      <c r="F653" s="1" t="s">
        <v>75</v>
      </c>
      <c r="G653" s="1" t="s">
        <v>76</v>
      </c>
      <c r="H653" s="1" t="s">
        <v>22</v>
      </c>
      <c r="I653" s="1" t="s">
        <v>23</v>
      </c>
      <c r="J653" s="1">
        <v>0</v>
      </c>
      <c r="K653" s="1">
        <v>96.110781130800007</v>
      </c>
      <c r="L653" s="1">
        <v>16.018463521800001</v>
      </c>
      <c r="M653" s="1">
        <v>1.6018463521800002</v>
      </c>
    </row>
    <row r="654" spans="4:13">
      <c r="D654" s="1" t="s">
        <v>138</v>
      </c>
      <c r="E654" s="1" t="s">
        <v>80</v>
      </c>
      <c r="H654" s="1" t="s">
        <v>25</v>
      </c>
      <c r="I654" s="1" t="s">
        <v>23</v>
      </c>
      <c r="M654" s="1" t="b">
        <v>0</v>
      </c>
    </row>
    <row r="655" spans="4:13">
      <c r="D655" s="1" t="s">
        <v>138</v>
      </c>
      <c r="E655" s="1" t="s">
        <v>81</v>
      </c>
      <c r="H655" s="1" t="s">
        <v>25</v>
      </c>
      <c r="I655" s="1" t="s">
        <v>23</v>
      </c>
      <c r="M655" s="1" t="b">
        <v>0</v>
      </c>
    </row>
    <row r="656" spans="4:13">
      <c r="D656" s="1" t="s">
        <v>138</v>
      </c>
      <c r="E656" s="1" t="s">
        <v>82</v>
      </c>
      <c r="H656" s="1" t="s">
        <v>22</v>
      </c>
      <c r="I656" s="1" t="s">
        <v>23</v>
      </c>
      <c r="J656" s="1">
        <v>-1</v>
      </c>
      <c r="K656" s="1">
        <v>3</v>
      </c>
      <c r="L656" s="1">
        <v>1</v>
      </c>
      <c r="M656" s="1">
        <v>1.01</v>
      </c>
    </row>
    <row r="657" spans="4:13">
      <c r="D657" s="1" t="s">
        <v>139</v>
      </c>
      <c r="E657" s="1" t="s">
        <v>99</v>
      </c>
      <c r="H657" s="1" t="s">
        <v>25</v>
      </c>
      <c r="I657" s="1" t="s">
        <v>23</v>
      </c>
      <c r="M657" s="1" t="b">
        <v>0</v>
      </c>
    </row>
    <row r="658" spans="4:13">
      <c r="D658" s="1" t="s">
        <v>139</v>
      </c>
      <c r="E658" s="1" t="s">
        <v>100</v>
      </c>
      <c r="H658" s="1" t="s">
        <v>22</v>
      </c>
      <c r="I658" s="1" t="s">
        <v>23</v>
      </c>
      <c r="L658" s="1">
        <v>1</v>
      </c>
      <c r="M658" s="1">
        <v>100</v>
      </c>
    </row>
    <row r="659" spans="4:13">
      <c r="D659" s="1" t="s">
        <v>139</v>
      </c>
      <c r="E659" s="1" t="s">
        <v>101</v>
      </c>
      <c r="H659" s="1" t="s">
        <v>22</v>
      </c>
      <c r="I659" s="1" t="s">
        <v>23</v>
      </c>
      <c r="L659" s="1">
        <v>1</v>
      </c>
      <c r="M659" s="1">
        <v>0</v>
      </c>
    </row>
    <row r="660" spans="4:13">
      <c r="D660" s="1" t="s">
        <v>139</v>
      </c>
      <c r="E660" s="1" t="s">
        <v>102</v>
      </c>
      <c r="H660" s="1" t="s">
        <v>22</v>
      </c>
      <c r="I660" s="1" t="s">
        <v>23</v>
      </c>
      <c r="L660" s="1">
        <v>1</v>
      </c>
      <c r="M660" s="1">
        <v>20</v>
      </c>
    </row>
    <row r="661" spans="4:13">
      <c r="D661" s="1" t="s">
        <v>139</v>
      </c>
      <c r="E661" s="1" t="s">
        <v>103</v>
      </c>
      <c r="H661" s="1" t="s">
        <v>22</v>
      </c>
      <c r="I661" s="1" t="s">
        <v>29</v>
      </c>
      <c r="J661" s="1">
        <v>0</v>
      </c>
      <c r="K661" s="1">
        <v>100</v>
      </c>
      <c r="L661" s="1">
        <v>50</v>
      </c>
    </row>
    <row r="662" spans="4:13">
      <c r="D662" s="1" t="s">
        <v>140</v>
      </c>
      <c r="H662" s="1" t="s">
        <v>22</v>
      </c>
      <c r="I662" s="1" t="s">
        <v>23</v>
      </c>
      <c r="L662" s="1">
        <v>1</v>
      </c>
      <c r="M662" s="1">
        <v>0.55000000000000004</v>
      </c>
    </row>
    <row r="663" spans="4:13">
      <c r="D663" s="1" t="s">
        <v>141</v>
      </c>
      <c r="E663" s="1" t="s">
        <v>142</v>
      </c>
      <c r="F663" s="1" t="s">
        <v>143</v>
      </c>
      <c r="G663" s="1" t="s">
        <v>144</v>
      </c>
      <c r="H663" s="1" t="s">
        <v>22</v>
      </c>
      <c r="I663" s="1" t="s">
        <v>23</v>
      </c>
      <c r="L663" s="1">
        <v>5.6782633429906824</v>
      </c>
      <c r="M663" s="1">
        <v>2.5000000000000001E-4</v>
      </c>
    </row>
    <row r="664" spans="4:13">
      <c r="D664" s="1" t="s">
        <v>141</v>
      </c>
      <c r="E664" s="1" t="s">
        <v>145</v>
      </c>
      <c r="F664" s="1" t="s">
        <v>143</v>
      </c>
      <c r="G664" s="1" t="s">
        <v>144</v>
      </c>
      <c r="H664" s="1" t="s">
        <v>22</v>
      </c>
      <c r="I664" s="1" t="s">
        <v>23</v>
      </c>
      <c r="L664" s="1">
        <v>5.6782633429906824</v>
      </c>
      <c r="M664" s="1">
        <v>9.9999999999999978E-5</v>
      </c>
    </row>
    <row r="665" spans="4:13">
      <c r="D665" s="1" t="s">
        <v>141</v>
      </c>
      <c r="E665" s="1" t="s">
        <v>146</v>
      </c>
      <c r="F665" s="1" t="s">
        <v>147</v>
      </c>
      <c r="G665" s="1" t="s">
        <v>148</v>
      </c>
      <c r="H665" s="1" t="s">
        <v>22</v>
      </c>
      <c r="I665" s="1" t="s">
        <v>23</v>
      </c>
      <c r="L665" s="1">
        <v>3.4121416351331</v>
      </c>
      <c r="M665" s="1">
        <v>10799836.354944</v>
      </c>
    </row>
    <row r="666" spans="4:13">
      <c r="D666" s="1" t="s">
        <v>141</v>
      </c>
      <c r="E666" s="1" t="s">
        <v>149</v>
      </c>
      <c r="H666" s="1" t="s">
        <v>150</v>
      </c>
      <c r="I666" s="1" t="s">
        <v>23</v>
      </c>
      <c r="M666" s="1" t="s">
        <v>151</v>
      </c>
    </row>
    <row r="667" spans="4:13">
      <c r="D667" s="1" t="s">
        <v>141</v>
      </c>
      <c r="E667" s="1" t="s">
        <v>152</v>
      </c>
      <c r="H667" s="1" t="s">
        <v>150</v>
      </c>
      <c r="I667" s="1" t="s">
        <v>23</v>
      </c>
      <c r="M667" s="1" t="s">
        <v>153</v>
      </c>
    </row>
    <row r="668" spans="4:13">
      <c r="D668" s="1" t="s">
        <v>141</v>
      </c>
      <c r="E668" s="1" t="s">
        <v>154</v>
      </c>
      <c r="H668" s="1" t="s">
        <v>150</v>
      </c>
      <c r="I668" s="1" t="s">
        <v>23</v>
      </c>
      <c r="M668" s="1" t="s">
        <v>155</v>
      </c>
    </row>
    <row r="669" spans="4:13">
      <c r="D669" s="1" t="s">
        <v>141</v>
      </c>
      <c r="E669" s="1" t="s">
        <v>156</v>
      </c>
      <c r="H669" s="1" t="s">
        <v>150</v>
      </c>
      <c r="I669" s="1" t="s">
        <v>23</v>
      </c>
      <c r="M669" s="1" t="s">
        <v>157</v>
      </c>
    </row>
    <row r="670" spans="4:13">
      <c r="D670" s="1" t="s">
        <v>151</v>
      </c>
      <c r="E670" s="1" t="s">
        <v>33</v>
      </c>
      <c r="H670" s="1" t="s">
        <v>25</v>
      </c>
      <c r="I670" s="1" t="s">
        <v>23</v>
      </c>
      <c r="M670" s="1" t="b">
        <v>1</v>
      </c>
    </row>
    <row r="671" spans="4:13">
      <c r="D671" s="1" t="s">
        <v>151</v>
      </c>
      <c r="E671" s="1" t="s">
        <v>158</v>
      </c>
      <c r="H671" s="1" t="s">
        <v>22</v>
      </c>
      <c r="I671" s="1" t="s">
        <v>29</v>
      </c>
      <c r="J671" s="1">
        <v>238.14</v>
      </c>
      <c r="K671" s="1">
        <v>398.15</v>
      </c>
      <c r="L671" s="1">
        <v>300</v>
      </c>
    </row>
    <row r="672" spans="4:13">
      <c r="D672" s="1" t="s">
        <v>151</v>
      </c>
      <c r="E672" s="1" t="s">
        <v>34</v>
      </c>
      <c r="F672" s="1" t="s">
        <v>35</v>
      </c>
      <c r="G672" s="1" t="s">
        <v>36</v>
      </c>
      <c r="H672" s="1" t="s">
        <v>22</v>
      </c>
      <c r="I672" s="1" t="s">
        <v>23</v>
      </c>
      <c r="J672" s="1">
        <v>-99.670000000000016</v>
      </c>
      <c r="K672" s="1">
        <v>980.32999999999993</v>
      </c>
      <c r="L672" s="1">
        <v>80.329999999999984</v>
      </c>
      <c r="M672" s="1">
        <v>94.299999999997965</v>
      </c>
    </row>
    <row r="673" spans="4:13">
      <c r="D673" s="1" t="s">
        <v>151</v>
      </c>
      <c r="E673" s="1" t="s">
        <v>159</v>
      </c>
      <c r="H673" s="1" t="s">
        <v>25</v>
      </c>
      <c r="I673" s="1" t="s">
        <v>23</v>
      </c>
      <c r="M673" s="1" t="b">
        <v>0</v>
      </c>
    </row>
    <row r="674" spans="4:13">
      <c r="D674" s="1" t="s">
        <v>151</v>
      </c>
      <c r="E674" s="1" t="s">
        <v>160</v>
      </c>
      <c r="F674" s="1" t="s">
        <v>161</v>
      </c>
      <c r="G674" s="1" t="s">
        <v>162</v>
      </c>
      <c r="H674" s="1" t="s">
        <v>22</v>
      </c>
      <c r="I674" s="1" t="s">
        <v>23</v>
      </c>
      <c r="J674" s="1">
        <v>0</v>
      </c>
      <c r="K674" s="1">
        <v>9510193342.230648</v>
      </c>
      <c r="L674" s="1">
        <v>15850.322237051079</v>
      </c>
      <c r="M674" s="1">
        <v>1585.032223705108</v>
      </c>
    </row>
    <row r="675" spans="4:13">
      <c r="D675" s="1" t="s">
        <v>151</v>
      </c>
      <c r="E675" s="1" t="s">
        <v>163</v>
      </c>
      <c r="H675" s="1" t="s">
        <v>22</v>
      </c>
      <c r="I675" s="1" t="s">
        <v>23</v>
      </c>
      <c r="J675" s="1">
        <v>0</v>
      </c>
      <c r="K675" s="1">
        <v>1</v>
      </c>
      <c r="L675" s="1">
        <v>0.1</v>
      </c>
      <c r="M675" s="1">
        <v>0.2</v>
      </c>
    </row>
    <row r="676" spans="4:13">
      <c r="D676" s="1" t="s">
        <v>151</v>
      </c>
      <c r="E676" s="1" t="s">
        <v>164</v>
      </c>
      <c r="F676" s="1" t="s">
        <v>35</v>
      </c>
      <c r="G676" s="1" t="s">
        <v>36</v>
      </c>
      <c r="H676" s="1" t="s">
        <v>22</v>
      </c>
      <c r="I676" s="1" t="s">
        <v>29</v>
      </c>
      <c r="J676" s="1">
        <v>-31.018000000000029</v>
      </c>
      <c r="K676" s="1">
        <v>256.99999999999994</v>
      </c>
      <c r="L676" s="1">
        <v>80.329999999999984</v>
      </c>
    </row>
    <row r="677" spans="4:13">
      <c r="D677" s="1" t="s">
        <v>151</v>
      </c>
      <c r="E677" s="1" t="s">
        <v>43</v>
      </c>
      <c r="H677" s="1" t="s">
        <v>25</v>
      </c>
      <c r="I677" s="1" t="s">
        <v>23</v>
      </c>
      <c r="M677" s="1" t="b">
        <v>0</v>
      </c>
    </row>
    <row r="678" spans="4:13">
      <c r="D678" s="1" t="s">
        <v>151</v>
      </c>
      <c r="E678" s="1" t="s">
        <v>44</v>
      </c>
      <c r="F678" s="1" t="s">
        <v>45</v>
      </c>
      <c r="G678" s="1" t="s">
        <v>46</v>
      </c>
      <c r="H678" s="1" t="s">
        <v>22</v>
      </c>
      <c r="I678" s="1" t="s">
        <v>23</v>
      </c>
      <c r="J678" s="1">
        <v>-85.984522757427143</v>
      </c>
      <c r="K678" s="1">
        <v>859.84522757427146</v>
      </c>
      <c r="L678" s="1">
        <v>429.92261378713573</v>
      </c>
      <c r="M678" s="1">
        <v>128.97678413614071</v>
      </c>
    </row>
    <row r="679" spans="4:13">
      <c r="D679" s="1" t="s">
        <v>151</v>
      </c>
      <c r="E679" s="1" t="s">
        <v>47</v>
      </c>
      <c r="H679" s="1" t="s">
        <v>25</v>
      </c>
      <c r="I679" s="1" t="s">
        <v>23</v>
      </c>
      <c r="M679" s="1" t="b">
        <v>0</v>
      </c>
    </row>
    <row r="680" spans="4:13">
      <c r="D680" s="1" t="s">
        <v>151</v>
      </c>
      <c r="E680" s="1" t="s">
        <v>54</v>
      </c>
      <c r="H680" s="1" t="s">
        <v>25</v>
      </c>
      <c r="I680" s="1" t="s">
        <v>23</v>
      </c>
      <c r="M680" s="1" t="b">
        <v>1</v>
      </c>
    </row>
    <row r="681" spans="4:13">
      <c r="D681" s="1" t="s">
        <v>151</v>
      </c>
      <c r="E681" s="1" t="s">
        <v>165</v>
      </c>
      <c r="H681" s="1" t="s">
        <v>22</v>
      </c>
      <c r="I681" s="1" t="s">
        <v>29</v>
      </c>
      <c r="J681" s="1">
        <v>1000</v>
      </c>
      <c r="K681" s="1">
        <v>10000000</v>
      </c>
      <c r="L681" s="1">
        <v>100000</v>
      </c>
    </row>
    <row r="682" spans="4:13">
      <c r="D682" s="1" t="s">
        <v>151</v>
      </c>
      <c r="E682" s="1" t="s">
        <v>55</v>
      </c>
      <c r="F682" s="1" t="s">
        <v>56</v>
      </c>
      <c r="G682" s="1" t="s">
        <v>57</v>
      </c>
      <c r="H682" s="1" t="s">
        <v>22</v>
      </c>
      <c r="I682" s="1" t="s">
        <v>23</v>
      </c>
      <c r="J682" s="1">
        <v>0</v>
      </c>
      <c r="K682" s="1">
        <v>942.74529524635989</v>
      </c>
      <c r="L682" s="1">
        <v>14.503773773020921</v>
      </c>
      <c r="M682" s="1">
        <v>14.503773773020921</v>
      </c>
    </row>
    <row r="683" spans="4:13">
      <c r="D683" s="1" t="s">
        <v>151</v>
      </c>
      <c r="E683" s="1" t="s">
        <v>58</v>
      </c>
      <c r="H683" s="1" t="s">
        <v>25</v>
      </c>
      <c r="I683" s="1" t="s">
        <v>23</v>
      </c>
      <c r="M683" s="1" t="b">
        <v>0</v>
      </c>
    </row>
    <row r="684" spans="4:13">
      <c r="D684" s="1" t="s">
        <v>151</v>
      </c>
      <c r="E684" s="1" t="s">
        <v>59</v>
      </c>
      <c r="F684" s="1" t="s">
        <v>60</v>
      </c>
      <c r="G684" s="1" t="s">
        <v>61</v>
      </c>
      <c r="H684" s="1" t="s">
        <v>22</v>
      </c>
      <c r="I684" s="1" t="s">
        <v>23</v>
      </c>
      <c r="J684" s="1">
        <v>-0.95538358650800004</v>
      </c>
      <c r="K684" s="1">
        <v>9.5538358650799999</v>
      </c>
      <c r="L684" s="1">
        <v>0.23884589662700001</v>
      </c>
      <c r="M684" s="1">
        <v>0.23884589662700001</v>
      </c>
    </row>
    <row r="685" spans="4:13">
      <c r="D685" s="1" t="s">
        <v>151</v>
      </c>
      <c r="E685" s="1" t="s">
        <v>64</v>
      </c>
      <c r="F685" s="1" t="s">
        <v>35</v>
      </c>
      <c r="G685" s="1" t="s">
        <v>36</v>
      </c>
      <c r="H685" s="1" t="s">
        <v>22</v>
      </c>
      <c r="I685" s="1" t="s">
        <v>65</v>
      </c>
      <c r="J685" s="1">
        <v>-459.67</v>
      </c>
      <c r="L685" s="1">
        <v>80.329999999999984</v>
      </c>
    </row>
    <row r="686" spans="4:13">
      <c r="D686" s="1" t="s">
        <v>151</v>
      </c>
      <c r="E686" s="1" t="s">
        <v>166</v>
      </c>
      <c r="F686" s="1" t="s">
        <v>161</v>
      </c>
      <c r="G686" s="1" t="s">
        <v>162</v>
      </c>
      <c r="H686" s="1" t="s">
        <v>22</v>
      </c>
      <c r="I686" s="1" t="s">
        <v>65</v>
      </c>
      <c r="L686" s="1">
        <v>15850.322237051079</v>
      </c>
    </row>
    <row r="687" spans="4:13">
      <c r="D687" s="1" t="s">
        <v>151</v>
      </c>
      <c r="E687" s="1" t="s">
        <v>68</v>
      </c>
      <c r="F687" s="1" t="s">
        <v>45</v>
      </c>
      <c r="G687" s="1" t="s">
        <v>46</v>
      </c>
      <c r="H687" s="1" t="s">
        <v>22</v>
      </c>
      <c r="I687" s="1" t="s">
        <v>65</v>
      </c>
      <c r="L687" s="1">
        <v>4.2992261378713571E-4</v>
      </c>
    </row>
    <row r="688" spans="4:13">
      <c r="D688" s="1" t="s">
        <v>151</v>
      </c>
      <c r="E688" s="1" t="s">
        <v>69</v>
      </c>
      <c r="H688" s="1" t="s">
        <v>25</v>
      </c>
      <c r="I688" s="1" t="s">
        <v>70</v>
      </c>
    </row>
    <row r="689" spans="4:13">
      <c r="D689" s="1" t="s">
        <v>151</v>
      </c>
      <c r="E689" s="1" t="s">
        <v>72</v>
      </c>
      <c r="F689" s="1" t="s">
        <v>56</v>
      </c>
      <c r="G689" s="1" t="s">
        <v>57</v>
      </c>
      <c r="H689" s="1" t="s">
        <v>22</v>
      </c>
      <c r="I689" s="1" t="s">
        <v>65</v>
      </c>
      <c r="J689" s="1">
        <v>0</v>
      </c>
      <c r="L689" s="1">
        <v>14.503773773020921</v>
      </c>
    </row>
    <row r="690" spans="4:13">
      <c r="D690" s="1" t="s">
        <v>151</v>
      </c>
      <c r="E690" s="1" t="s">
        <v>73</v>
      </c>
      <c r="F690" s="1" t="s">
        <v>60</v>
      </c>
      <c r="G690" s="1" t="s">
        <v>61</v>
      </c>
      <c r="H690" s="1" t="s">
        <v>22</v>
      </c>
      <c r="I690" s="1" t="s">
        <v>65</v>
      </c>
      <c r="L690" s="1">
        <v>2.38845896627E-4</v>
      </c>
    </row>
    <row r="691" spans="4:13">
      <c r="D691" s="1" t="s">
        <v>151</v>
      </c>
      <c r="E691" s="1" t="s">
        <v>74</v>
      </c>
      <c r="F691" s="1" t="s">
        <v>75</v>
      </c>
      <c r="G691" s="1" t="s">
        <v>76</v>
      </c>
      <c r="H691" s="1" t="s">
        <v>22</v>
      </c>
      <c r="I691" s="1" t="s">
        <v>65</v>
      </c>
      <c r="J691" s="1">
        <v>0</v>
      </c>
      <c r="L691" s="1">
        <v>16.018463521800001</v>
      </c>
    </row>
    <row r="692" spans="4:13">
      <c r="D692" s="1" t="s">
        <v>151</v>
      </c>
      <c r="E692" s="1" t="s">
        <v>78</v>
      </c>
      <c r="H692" s="1" t="s">
        <v>25</v>
      </c>
      <c r="I692" s="1" t="s">
        <v>23</v>
      </c>
      <c r="M692" s="1" t="b">
        <v>0</v>
      </c>
    </row>
    <row r="693" spans="4:13">
      <c r="D693" s="1" t="s">
        <v>151</v>
      </c>
      <c r="E693" s="1" t="s">
        <v>79</v>
      </c>
      <c r="F693" s="1" t="s">
        <v>75</v>
      </c>
      <c r="G693" s="1" t="s">
        <v>76</v>
      </c>
      <c r="H693" s="1" t="s">
        <v>22</v>
      </c>
      <c r="I693" s="1" t="s">
        <v>23</v>
      </c>
      <c r="J693" s="1">
        <v>0</v>
      </c>
      <c r="K693" s="1">
        <v>0.96110781130800005</v>
      </c>
      <c r="L693" s="1">
        <v>16.018463521800001</v>
      </c>
      <c r="M693" s="1">
        <v>1.6018463521800002</v>
      </c>
    </row>
    <row r="694" spans="4:13">
      <c r="D694" s="1" t="s">
        <v>153</v>
      </c>
      <c r="E694" s="1" t="s">
        <v>33</v>
      </c>
      <c r="H694" s="1" t="s">
        <v>25</v>
      </c>
      <c r="I694" s="1" t="s">
        <v>23</v>
      </c>
      <c r="M694" s="1" t="b">
        <v>1</v>
      </c>
    </row>
    <row r="695" spans="4:13">
      <c r="D695" s="1" t="s">
        <v>153</v>
      </c>
      <c r="E695" s="1" t="s">
        <v>158</v>
      </c>
      <c r="H695" s="1" t="s">
        <v>22</v>
      </c>
      <c r="I695" s="1" t="s">
        <v>29</v>
      </c>
      <c r="J695" s="1">
        <v>238.14</v>
      </c>
      <c r="K695" s="1">
        <v>398.15</v>
      </c>
      <c r="L695" s="1">
        <v>300</v>
      </c>
    </row>
    <row r="696" spans="4:13">
      <c r="D696" s="1" t="s">
        <v>153</v>
      </c>
      <c r="E696" s="1" t="s">
        <v>34</v>
      </c>
      <c r="F696" s="1" t="s">
        <v>35</v>
      </c>
      <c r="G696" s="1" t="s">
        <v>36</v>
      </c>
      <c r="H696" s="1" t="s">
        <v>22</v>
      </c>
      <c r="I696" s="1" t="s">
        <v>23</v>
      </c>
      <c r="J696" s="1">
        <v>-99.670000000000016</v>
      </c>
      <c r="K696" s="1">
        <v>980.32999999999993</v>
      </c>
      <c r="L696" s="1">
        <v>80.329999999999984</v>
      </c>
      <c r="M696" s="1">
        <v>44.000000000006025</v>
      </c>
    </row>
    <row r="697" spans="4:13">
      <c r="D697" s="1" t="s">
        <v>153</v>
      </c>
      <c r="E697" s="1" t="s">
        <v>159</v>
      </c>
      <c r="H697" s="1" t="s">
        <v>25</v>
      </c>
      <c r="I697" s="1" t="s">
        <v>23</v>
      </c>
      <c r="M697" s="1" t="b">
        <v>0</v>
      </c>
    </row>
    <row r="698" spans="4:13">
      <c r="D698" s="1" t="s">
        <v>153</v>
      </c>
      <c r="E698" s="1" t="s">
        <v>160</v>
      </c>
      <c r="F698" s="1" t="s">
        <v>161</v>
      </c>
      <c r="G698" s="1" t="s">
        <v>162</v>
      </c>
      <c r="H698" s="1" t="s">
        <v>22</v>
      </c>
      <c r="I698" s="1" t="s">
        <v>23</v>
      </c>
      <c r="J698" s="1">
        <v>0</v>
      </c>
      <c r="K698" s="1">
        <v>9510193342.230648</v>
      </c>
      <c r="L698" s="1">
        <v>15850.322237051079</v>
      </c>
      <c r="M698" s="1">
        <v>1585.032223705108</v>
      </c>
    </row>
    <row r="699" spans="4:13">
      <c r="D699" s="1" t="s">
        <v>153</v>
      </c>
      <c r="E699" s="1" t="s">
        <v>163</v>
      </c>
      <c r="H699" s="1" t="s">
        <v>22</v>
      </c>
      <c r="I699" s="1" t="s">
        <v>23</v>
      </c>
      <c r="J699" s="1">
        <v>0</v>
      </c>
      <c r="K699" s="1">
        <v>1</v>
      </c>
      <c r="L699" s="1">
        <v>0.1</v>
      </c>
      <c r="M699" s="1">
        <v>0.2</v>
      </c>
    </row>
    <row r="700" spans="4:13">
      <c r="D700" s="1" t="s">
        <v>153</v>
      </c>
      <c r="E700" s="1" t="s">
        <v>164</v>
      </c>
      <c r="F700" s="1" t="s">
        <v>35</v>
      </c>
      <c r="G700" s="1" t="s">
        <v>36</v>
      </c>
      <c r="H700" s="1" t="s">
        <v>22</v>
      </c>
      <c r="I700" s="1" t="s">
        <v>29</v>
      </c>
      <c r="J700" s="1">
        <v>-31.018000000000029</v>
      </c>
      <c r="K700" s="1">
        <v>256.99999999999994</v>
      </c>
      <c r="L700" s="1">
        <v>80.329999999999984</v>
      </c>
    </row>
    <row r="701" spans="4:13">
      <c r="D701" s="1" t="s">
        <v>153</v>
      </c>
      <c r="E701" s="1" t="s">
        <v>43</v>
      </c>
      <c r="H701" s="1" t="s">
        <v>25</v>
      </c>
      <c r="I701" s="1" t="s">
        <v>23</v>
      </c>
      <c r="M701" s="1" t="b">
        <v>0</v>
      </c>
    </row>
    <row r="702" spans="4:13">
      <c r="D702" s="1" t="s">
        <v>153</v>
      </c>
      <c r="E702" s="1" t="s">
        <v>44</v>
      </c>
      <c r="F702" s="1" t="s">
        <v>45</v>
      </c>
      <c r="G702" s="1" t="s">
        <v>46</v>
      </c>
      <c r="H702" s="1" t="s">
        <v>22</v>
      </c>
      <c r="I702" s="1" t="s">
        <v>23</v>
      </c>
      <c r="J702" s="1">
        <v>-85.984522757427143</v>
      </c>
      <c r="K702" s="1">
        <v>859.84522757427146</v>
      </c>
      <c r="L702" s="1">
        <v>429.92261378713573</v>
      </c>
      <c r="M702" s="1">
        <v>128.97678413614071</v>
      </c>
    </row>
    <row r="703" spans="4:13">
      <c r="D703" s="1" t="s">
        <v>153</v>
      </c>
      <c r="E703" s="1" t="s">
        <v>47</v>
      </c>
      <c r="H703" s="1" t="s">
        <v>25</v>
      </c>
      <c r="I703" s="1" t="s">
        <v>23</v>
      </c>
      <c r="M703" s="1" t="b">
        <v>0</v>
      </c>
    </row>
    <row r="704" spans="4:13">
      <c r="D704" s="1" t="s">
        <v>153</v>
      </c>
      <c r="E704" s="1" t="s">
        <v>54</v>
      </c>
      <c r="H704" s="1" t="s">
        <v>25</v>
      </c>
      <c r="I704" s="1" t="s">
        <v>23</v>
      </c>
      <c r="M704" s="1" t="b">
        <v>1</v>
      </c>
    </row>
    <row r="705" spans="4:13">
      <c r="D705" s="1" t="s">
        <v>153</v>
      </c>
      <c r="E705" s="1" t="s">
        <v>165</v>
      </c>
      <c r="H705" s="1" t="s">
        <v>22</v>
      </c>
      <c r="I705" s="1" t="s">
        <v>29</v>
      </c>
      <c r="J705" s="1">
        <v>1000</v>
      </c>
      <c r="K705" s="1">
        <v>10000000</v>
      </c>
      <c r="L705" s="1">
        <v>100000</v>
      </c>
    </row>
    <row r="706" spans="4:13">
      <c r="D706" s="1" t="s">
        <v>153</v>
      </c>
      <c r="E706" s="1" t="s">
        <v>55</v>
      </c>
      <c r="F706" s="1" t="s">
        <v>56</v>
      </c>
      <c r="G706" s="1" t="s">
        <v>57</v>
      </c>
      <c r="H706" s="1" t="s">
        <v>22</v>
      </c>
      <c r="I706" s="1" t="s">
        <v>23</v>
      </c>
      <c r="J706" s="1">
        <v>0</v>
      </c>
      <c r="K706" s="1">
        <v>942.74529524635989</v>
      </c>
      <c r="L706" s="1">
        <v>14.503773773020921</v>
      </c>
      <c r="M706" s="1">
        <v>14.503773773020921</v>
      </c>
    </row>
    <row r="707" spans="4:13">
      <c r="D707" s="1" t="s">
        <v>153</v>
      </c>
      <c r="E707" s="1" t="s">
        <v>58</v>
      </c>
      <c r="H707" s="1" t="s">
        <v>25</v>
      </c>
      <c r="I707" s="1" t="s">
        <v>23</v>
      </c>
      <c r="M707" s="1" t="b">
        <v>0</v>
      </c>
    </row>
    <row r="708" spans="4:13">
      <c r="D708" s="1" t="s">
        <v>153</v>
      </c>
      <c r="E708" s="1" t="s">
        <v>59</v>
      </c>
      <c r="F708" s="1" t="s">
        <v>60</v>
      </c>
      <c r="G708" s="1" t="s">
        <v>61</v>
      </c>
      <c r="H708" s="1" t="s">
        <v>22</v>
      </c>
      <c r="I708" s="1" t="s">
        <v>23</v>
      </c>
      <c r="J708" s="1">
        <v>-0.95538358650800004</v>
      </c>
      <c r="K708" s="1">
        <v>9.5538358650799999</v>
      </c>
      <c r="L708" s="1">
        <v>0.23884589662700001</v>
      </c>
      <c r="M708" s="1">
        <v>0.23884589662700001</v>
      </c>
    </row>
    <row r="709" spans="4:13">
      <c r="D709" s="1" t="s">
        <v>153</v>
      </c>
      <c r="E709" s="1" t="s">
        <v>64</v>
      </c>
      <c r="F709" s="1" t="s">
        <v>35</v>
      </c>
      <c r="G709" s="1" t="s">
        <v>36</v>
      </c>
      <c r="H709" s="1" t="s">
        <v>22</v>
      </c>
      <c r="I709" s="1" t="s">
        <v>65</v>
      </c>
      <c r="J709" s="1">
        <v>-459.67</v>
      </c>
      <c r="L709" s="1">
        <v>80.329999999999984</v>
      </c>
    </row>
    <row r="710" spans="4:13">
      <c r="D710" s="1" t="s">
        <v>153</v>
      </c>
      <c r="E710" s="1" t="s">
        <v>166</v>
      </c>
      <c r="F710" s="1" t="s">
        <v>161</v>
      </c>
      <c r="G710" s="1" t="s">
        <v>162</v>
      </c>
      <c r="H710" s="1" t="s">
        <v>22</v>
      </c>
      <c r="I710" s="1" t="s">
        <v>65</v>
      </c>
      <c r="L710" s="1">
        <v>15850.322237051079</v>
      </c>
    </row>
    <row r="711" spans="4:13">
      <c r="D711" s="1" t="s">
        <v>153</v>
      </c>
      <c r="E711" s="1" t="s">
        <v>68</v>
      </c>
      <c r="F711" s="1" t="s">
        <v>45</v>
      </c>
      <c r="G711" s="1" t="s">
        <v>46</v>
      </c>
      <c r="H711" s="1" t="s">
        <v>22</v>
      </c>
      <c r="I711" s="1" t="s">
        <v>65</v>
      </c>
      <c r="L711" s="1">
        <v>4.2992261378713571E-4</v>
      </c>
    </row>
    <row r="712" spans="4:13">
      <c r="D712" s="1" t="s">
        <v>153</v>
      </c>
      <c r="E712" s="1" t="s">
        <v>69</v>
      </c>
      <c r="H712" s="1" t="s">
        <v>25</v>
      </c>
      <c r="I712" s="1" t="s">
        <v>70</v>
      </c>
    </row>
    <row r="713" spans="4:13">
      <c r="D713" s="1" t="s">
        <v>153</v>
      </c>
      <c r="E713" s="1" t="s">
        <v>72</v>
      </c>
      <c r="F713" s="1" t="s">
        <v>56</v>
      </c>
      <c r="G713" s="1" t="s">
        <v>57</v>
      </c>
      <c r="H713" s="1" t="s">
        <v>22</v>
      </c>
      <c r="I713" s="1" t="s">
        <v>65</v>
      </c>
      <c r="J713" s="1">
        <v>0</v>
      </c>
      <c r="L713" s="1">
        <v>14.503773773020921</v>
      </c>
    </row>
    <row r="714" spans="4:13">
      <c r="D714" s="1" t="s">
        <v>153</v>
      </c>
      <c r="E714" s="1" t="s">
        <v>73</v>
      </c>
      <c r="F714" s="1" t="s">
        <v>60</v>
      </c>
      <c r="G714" s="1" t="s">
        <v>61</v>
      </c>
      <c r="H714" s="1" t="s">
        <v>22</v>
      </c>
      <c r="I714" s="1" t="s">
        <v>65</v>
      </c>
      <c r="L714" s="1">
        <v>2.38845896627E-4</v>
      </c>
    </row>
    <row r="715" spans="4:13">
      <c r="D715" s="1" t="s">
        <v>153</v>
      </c>
      <c r="E715" s="1" t="s">
        <v>74</v>
      </c>
      <c r="F715" s="1" t="s">
        <v>75</v>
      </c>
      <c r="G715" s="1" t="s">
        <v>76</v>
      </c>
      <c r="H715" s="1" t="s">
        <v>22</v>
      </c>
      <c r="I715" s="1" t="s">
        <v>65</v>
      </c>
      <c r="J715" s="1">
        <v>0</v>
      </c>
      <c r="L715" s="1">
        <v>16.018463521800001</v>
      </c>
    </row>
    <row r="716" spans="4:13">
      <c r="D716" s="1" t="s">
        <v>153</v>
      </c>
      <c r="E716" s="1" t="s">
        <v>78</v>
      </c>
      <c r="H716" s="1" t="s">
        <v>25</v>
      </c>
      <c r="I716" s="1" t="s">
        <v>23</v>
      </c>
      <c r="M716" s="1" t="b">
        <v>0</v>
      </c>
    </row>
    <row r="717" spans="4:13">
      <c r="D717" s="1" t="s">
        <v>153</v>
      </c>
      <c r="E717" s="1" t="s">
        <v>79</v>
      </c>
      <c r="F717" s="1" t="s">
        <v>75</v>
      </c>
      <c r="G717" s="1" t="s">
        <v>76</v>
      </c>
      <c r="H717" s="1" t="s">
        <v>22</v>
      </c>
      <c r="I717" s="1" t="s">
        <v>23</v>
      </c>
      <c r="J717" s="1">
        <v>0</v>
      </c>
      <c r="K717" s="1">
        <v>0.96110781130800005</v>
      </c>
      <c r="L717" s="1">
        <v>16.018463521800001</v>
      </c>
      <c r="M717" s="1">
        <v>1.6018463521800002</v>
      </c>
    </row>
    <row r="718" spans="4:13">
      <c r="D718" s="1" t="s">
        <v>155</v>
      </c>
      <c r="E718" s="1" t="s">
        <v>33</v>
      </c>
      <c r="H718" s="1" t="s">
        <v>25</v>
      </c>
      <c r="I718" s="1" t="s">
        <v>23</v>
      </c>
      <c r="M718" s="1" t="b">
        <v>1</v>
      </c>
    </row>
    <row r="719" spans="4:13">
      <c r="D719" s="1" t="s">
        <v>155</v>
      </c>
      <c r="E719" s="1" t="s">
        <v>158</v>
      </c>
      <c r="H719" s="1" t="s">
        <v>22</v>
      </c>
      <c r="I719" s="1" t="s">
        <v>29</v>
      </c>
      <c r="J719" s="1">
        <v>238.14</v>
      </c>
      <c r="K719" s="1">
        <v>398.15</v>
      </c>
      <c r="L719" s="1">
        <v>300</v>
      </c>
    </row>
    <row r="720" spans="4:13">
      <c r="D720" s="1" t="s">
        <v>155</v>
      </c>
      <c r="E720" s="1" t="s">
        <v>34</v>
      </c>
      <c r="F720" s="1" t="s">
        <v>35</v>
      </c>
      <c r="G720" s="1" t="s">
        <v>36</v>
      </c>
      <c r="H720" s="1" t="s">
        <v>22</v>
      </c>
      <c r="I720" s="1" t="s">
        <v>23</v>
      </c>
      <c r="J720" s="1">
        <v>-99.670000000000016</v>
      </c>
      <c r="K720" s="1">
        <v>980.32999999999993</v>
      </c>
      <c r="L720" s="1">
        <v>80.329999999999984</v>
      </c>
      <c r="M720" s="1">
        <v>84.999999999991985</v>
      </c>
    </row>
    <row r="721" spans="4:13">
      <c r="D721" s="1" t="s">
        <v>155</v>
      </c>
      <c r="E721" s="1" t="s">
        <v>159</v>
      </c>
      <c r="H721" s="1" t="s">
        <v>25</v>
      </c>
      <c r="I721" s="1" t="s">
        <v>23</v>
      </c>
      <c r="M721" s="1" t="b">
        <v>0</v>
      </c>
    </row>
    <row r="722" spans="4:13">
      <c r="D722" s="1" t="s">
        <v>155</v>
      </c>
      <c r="E722" s="1" t="s">
        <v>167</v>
      </c>
      <c r="H722" s="1" t="s">
        <v>22</v>
      </c>
      <c r="I722" s="1" t="s">
        <v>29</v>
      </c>
      <c r="J722" s="1">
        <v>9.9999999999999995E-8</v>
      </c>
      <c r="K722" s="1">
        <v>100</v>
      </c>
      <c r="L722" s="1">
        <v>0.2</v>
      </c>
    </row>
    <row r="723" spans="4:13">
      <c r="D723" s="1" t="s">
        <v>155</v>
      </c>
      <c r="E723" s="1" t="s">
        <v>160</v>
      </c>
      <c r="F723" s="1" t="s">
        <v>161</v>
      </c>
      <c r="G723" s="1" t="s">
        <v>162</v>
      </c>
      <c r="H723" s="1" t="s">
        <v>22</v>
      </c>
      <c r="I723" s="1" t="s">
        <v>23</v>
      </c>
      <c r="J723" s="1">
        <v>0</v>
      </c>
      <c r="K723" s="1">
        <v>9510193342.230648</v>
      </c>
      <c r="L723" s="1">
        <v>15850.322237051079</v>
      </c>
      <c r="M723" s="1">
        <v>1756.3001068311719</v>
      </c>
    </row>
    <row r="724" spans="4:13">
      <c r="D724" s="1" t="s">
        <v>155</v>
      </c>
      <c r="E724" s="1" t="s">
        <v>163</v>
      </c>
      <c r="H724" s="1" t="s">
        <v>22</v>
      </c>
      <c r="I724" s="1" t="s">
        <v>23</v>
      </c>
      <c r="J724" s="1">
        <v>0</v>
      </c>
      <c r="K724" s="1">
        <v>1</v>
      </c>
      <c r="L724" s="1">
        <v>0.1</v>
      </c>
      <c r="M724" s="1">
        <v>0.2</v>
      </c>
    </row>
    <row r="725" spans="4:13">
      <c r="D725" s="1" t="s">
        <v>155</v>
      </c>
      <c r="E725" s="1" t="s">
        <v>164</v>
      </c>
      <c r="F725" s="1" t="s">
        <v>35</v>
      </c>
      <c r="G725" s="1" t="s">
        <v>36</v>
      </c>
      <c r="H725" s="1" t="s">
        <v>22</v>
      </c>
      <c r="I725" s="1" t="s">
        <v>29</v>
      </c>
      <c r="J725" s="1">
        <v>-31.018000000000029</v>
      </c>
      <c r="K725" s="1">
        <v>256.99999999999994</v>
      </c>
      <c r="L725" s="1">
        <v>80.329999999999984</v>
      </c>
    </row>
    <row r="726" spans="4:13">
      <c r="D726" s="1" t="s">
        <v>155</v>
      </c>
      <c r="E726" s="1" t="s">
        <v>43</v>
      </c>
      <c r="H726" s="1" t="s">
        <v>25</v>
      </c>
      <c r="I726" s="1" t="s">
        <v>23</v>
      </c>
      <c r="M726" s="1" t="b">
        <v>0</v>
      </c>
    </row>
    <row r="727" spans="4:13">
      <c r="D727" s="1" t="s">
        <v>155</v>
      </c>
      <c r="E727" s="1" t="s">
        <v>44</v>
      </c>
      <c r="F727" s="1" t="s">
        <v>45</v>
      </c>
      <c r="G727" s="1" t="s">
        <v>46</v>
      </c>
      <c r="H727" s="1" t="s">
        <v>22</v>
      </c>
      <c r="I727" s="1" t="s">
        <v>23</v>
      </c>
      <c r="J727" s="1">
        <v>-85.984522757427143</v>
      </c>
      <c r="K727" s="1">
        <v>859.84522757427146</v>
      </c>
      <c r="L727" s="1">
        <v>429.92261378713573</v>
      </c>
      <c r="M727" s="1">
        <v>128.97678413614071</v>
      </c>
    </row>
    <row r="728" spans="4:13">
      <c r="D728" s="1" t="s">
        <v>155</v>
      </c>
      <c r="E728" s="1" t="s">
        <v>47</v>
      </c>
      <c r="H728" s="1" t="s">
        <v>25</v>
      </c>
      <c r="I728" s="1" t="s">
        <v>23</v>
      </c>
      <c r="M728" s="1" t="b">
        <v>0</v>
      </c>
    </row>
    <row r="729" spans="4:13">
      <c r="D729" s="1" t="s">
        <v>155</v>
      </c>
      <c r="E729" s="1" t="s">
        <v>54</v>
      </c>
      <c r="H729" s="1" t="s">
        <v>25</v>
      </c>
      <c r="I729" s="1" t="s">
        <v>23</v>
      </c>
      <c r="M729" s="1" t="b">
        <v>0</v>
      </c>
    </row>
    <row r="730" spans="4:13">
      <c r="D730" s="1" t="s">
        <v>155</v>
      </c>
      <c r="E730" s="1" t="s">
        <v>55</v>
      </c>
      <c r="F730" s="1" t="s">
        <v>56</v>
      </c>
      <c r="G730" s="1" t="s">
        <v>57</v>
      </c>
      <c r="H730" s="1" t="s">
        <v>22</v>
      </c>
      <c r="I730" s="1" t="s">
        <v>23</v>
      </c>
      <c r="J730" s="1">
        <v>0</v>
      </c>
      <c r="K730" s="1">
        <v>942.74529524635989</v>
      </c>
      <c r="L730" s="1">
        <v>14.503773773020921</v>
      </c>
      <c r="M730" s="1">
        <v>39.999998299180966</v>
      </c>
    </row>
    <row r="731" spans="4:13">
      <c r="D731" s="1" t="s">
        <v>155</v>
      </c>
      <c r="E731" s="1" t="s">
        <v>58</v>
      </c>
      <c r="H731" s="1" t="s">
        <v>25</v>
      </c>
      <c r="I731" s="1" t="s">
        <v>23</v>
      </c>
      <c r="M731" s="1" t="b">
        <v>0</v>
      </c>
    </row>
    <row r="732" spans="4:13">
      <c r="D732" s="1" t="s">
        <v>155</v>
      </c>
      <c r="E732" s="1" t="s">
        <v>59</v>
      </c>
      <c r="F732" s="1" t="s">
        <v>60</v>
      </c>
      <c r="G732" s="1" t="s">
        <v>61</v>
      </c>
      <c r="H732" s="1" t="s">
        <v>22</v>
      </c>
      <c r="I732" s="1" t="s">
        <v>23</v>
      </c>
      <c r="J732" s="1">
        <v>-0.95538358650800004</v>
      </c>
      <c r="K732" s="1">
        <v>9.5538358650799999</v>
      </c>
      <c r="L732" s="1">
        <v>0.23884589662700001</v>
      </c>
      <c r="M732" s="1">
        <v>0.23884589662700001</v>
      </c>
    </row>
    <row r="733" spans="4:13">
      <c r="D733" s="1" t="s">
        <v>155</v>
      </c>
      <c r="E733" s="1" t="s">
        <v>64</v>
      </c>
      <c r="F733" s="1" t="s">
        <v>35</v>
      </c>
      <c r="G733" s="1" t="s">
        <v>36</v>
      </c>
      <c r="H733" s="1" t="s">
        <v>22</v>
      </c>
      <c r="I733" s="1" t="s">
        <v>65</v>
      </c>
      <c r="J733" s="1">
        <v>-459.67</v>
      </c>
      <c r="L733" s="1">
        <v>80.329999999999984</v>
      </c>
    </row>
    <row r="734" spans="4:13">
      <c r="D734" s="1" t="s">
        <v>155</v>
      </c>
      <c r="E734" s="1" t="s">
        <v>166</v>
      </c>
      <c r="F734" s="1" t="s">
        <v>161</v>
      </c>
      <c r="G734" s="1" t="s">
        <v>162</v>
      </c>
      <c r="H734" s="1" t="s">
        <v>22</v>
      </c>
      <c r="I734" s="1" t="s">
        <v>65</v>
      </c>
      <c r="L734" s="1">
        <v>15850.322237051079</v>
      </c>
    </row>
    <row r="735" spans="4:13">
      <c r="D735" s="1" t="s">
        <v>155</v>
      </c>
      <c r="E735" s="1" t="s">
        <v>68</v>
      </c>
      <c r="F735" s="1" t="s">
        <v>45</v>
      </c>
      <c r="G735" s="1" t="s">
        <v>46</v>
      </c>
      <c r="H735" s="1" t="s">
        <v>22</v>
      </c>
      <c r="I735" s="1" t="s">
        <v>65</v>
      </c>
      <c r="L735" s="1">
        <v>4.2992261378713571E-4</v>
      </c>
    </row>
    <row r="736" spans="4:13">
      <c r="D736" s="1" t="s">
        <v>155</v>
      </c>
      <c r="E736" s="1" t="s">
        <v>69</v>
      </c>
      <c r="H736" s="1" t="s">
        <v>25</v>
      </c>
      <c r="I736" s="1" t="s">
        <v>70</v>
      </c>
    </row>
    <row r="737" spans="4:13">
      <c r="D737" s="1" t="s">
        <v>155</v>
      </c>
      <c r="E737" s="1" t="s">
        <v>72</v>
      </c>
      <c r="F737" s="1" t="s">
        <v>56</v>
      </c>
      <c r="G737" s="1" t="s">
        <v>57</v>
      </c>
      <c r="H737" s="1" t="s">
        <v>22</v>
      </c>
      <c r="I737" s="1" t="s">
        <v>65</v>
      </c>
      <c r="J737" s="1">
        <v>0</v>
      </c>
      <c r="L737" s="1">
        <v>14.503773773020921</v>
      </c>
    </row>
    <row r="738" spans="4:13">
      <c r="D738" s="1" t="s">
        <v>155</v>
      </c>
      <c r="E738" s="1" t="s">
        <v>73</v>
      </c>
      <c r="F738" s="1" t="s">
        <v>60</v>
      </c>
      <c r="G738" s="1" t="s">
        <v>61</v>
      </c>
      <c r="H738" s="1" t="s">
        <v>22</v>
      </c>
      <c r="I738" s="1" t="s">
        <v>65</v>
      </c>
      <c r="L738" s="1">
        <v>2.38845896627E-4</v>
      </c>
    </row>
    <row r="739" spans="4:13">
      <c r="D739" s="1" t="s">
        <v>155</v>
      </c>
      <c r="E739" s="1" t="s">
        <v>74</v>
      </c>
      <c r="F739" s="1" t="s">
        <v>75</v>
      </c>
      <c r="G739" s="1" t="s">
        <v>76</v>
      </c>
      <c r="H739" s="1" t="s">
        <v>22</v>
      </c>
      <c r="I739" s="1" t="s">
        <v>65</v>
      </c>
      <c r="J739" s="1">
        <v>0</v>
      </c>
      <c r="L739" s="1">
        <v>16.018463521800001</v>
      </c>
    </row>
    <row r="740" spans="4:13">
      <c r="D740" s="1" t="s">
        <v>155</v>
      </c>
      <c r="E740" s="1" t="s">
        <v>78</v>
      </c>
      <c r="H740" s="1" t="s">
        <v>25</v>
      </c>
      <c r="I740" s="1" t="s">
        <v>23</v>
      </c>
      <c r="M740" s="1" t="b">
        <v>0</v>
      </c>
    </row>
    <row r="741" spans="4:13">
      <c r="D741" s="1" t="s">
        <v>155</v>
      </c>
      <c r="E741" s="1" t="s">
        <v>79</v>
      </c>
      <c r="F741" s="1" t="s">
        <v>75</v>
      </c>
      <c r="G741" s="1" t="s">
        <v>76</v>
      </c>
      <c r="H741" s="1" t="s">
        <v>22</v>
      </c>
      <c r="I741" s="1" t="s">
        <v>23</v>
      </c>
      <c r="J741" s="1">
        <v>0</v>
      </c>
      <c r="K741" s="1">
        <v>0.96110781130800005</v>
      </c>
      <c r="L741" s="1">
        <v>16.018463521800001</v>
      </c>
      <c r="M741" s="1">
        <v>1.6018463521800003E-2</v>
      </c>
    </row>
    <row r="742" spans="4:13">
      <c r="D742" s="1" t="s">
        <v>157</v>
      </c>
      <c r="E742" s="1" t="s">
        <v>33</v>
      </c>
      <c r="H742" s="1" t="s">
        <v>25</v>
      </c>
      <c r="I742" s="1" t="s">
        <v>23</v>
      </c>
      <c r="M742" s="1" t="b">
        <v>1</v>
      </c>
    </row>
    <row r="743" spans="4:13">
      <c r="D743" s="1" t="s">
        <v>157</v>
      </c>
      <c r="E743" s="1" t="s">
        <v>158</v>
      </c>
      <c r="H743" s="1" t="s">
        <v>22</v>
      </c>
      <c r="I743" s="1" t="s">
        <v>29</v>
      </c>
      <c r="J743" s="1">
        <v>238.14</v>
      </c>
      <c r="K743" s="1">
        <v>398.15</v>
      </c>
      <c r="L743" s="1">
        <v>300</v>
      </c>
    </row>
    <row r="744" spans="4:13">
      <c r="D744" s="1" t="s">
        <v>157</v>
      </c>
      <c r="E744" s="1" t="s">
        <v>34</v>
      </c>
      <c r="F744" s="1" t="s">
        <v>35</v>
      </c>
      <c r="G744" s="1" t="s">
        <v>36</v>
      </c>
      <c r="H744" s="1" t="s">
        <v>22</v>
      </c>
      <c r="I744" s="1" t="s">
        <v>23</v>
      </c>
      <c r="J744" s="1">
        <v>-99.670000000000016</v>
      </c>
      <c r="K744" s="1">
        <v>980.32999999999993</v>
      </c>
      <c r="L744" s="1">
        <v>80.329999999999984</v>
      </c>
      <c r="M744" s="1">
        <v>53.999999999995964</v>
      </c>
    </row>
    <row r="745" spans="4:13">
      <c r="D745" s="1" t="s">
        <v>157</v>
      </c>
      <c r="E745" s="1" t="s">
        <v>159</v>
      </c>
      <c r="H745" s="1" t="s">
        <v>25</v>
      </c>
      <c r="I745" s="1" t="s">
        <v>23</v>
      </c>
      <c r="M745" s="1" t="b">
        <v>0</v>
      </c>
    </row>
    <row r="746" spans="4:13">
      <c r="D746" s="1" t="s">
        <v>157</v>
      </c>
      <c r="E746" s="1" t="s">
        <v>167</v>
      </c>
      <c r="H746" s="1" t="s">
        <v>22</v>
      </c>
      <c r="I746" s="1" t="s">
        <v>29</v>
      </c>
      <c r="J746" s="1">
        <v>9.9999999999999995E-8</v>
      </c>
      <c r="K746" s="1">
        <v>100</v>
      </c>
      <c r="L746" s="1">
        <v>0.2</v>
      </c>
    </row>
    <row r="747" spans="4:13">
      <c r="D747" s="1" t="s">
        <v>157</v>
      </c>
      <c r="E747" s="1" t="s">
        <v>160</v>
      </c>
      <c r="F747" s="1" t="s">
        <v>161</v>
      </c>
      <c r="G747" s="1" t="s">
        <v>162</v>
      </c>
      <c r="H747" s="1" t="s">
        <v>22</v>
      </c>
      <c r="I747" s="1" t="s">
        <v>23</v>
      </c>
      <c r="J747" s="1">
        <v>0</v>
      </c>
      <c r="K747" s="1">
        <v>9510193342.230648</v>
      </c>
      <c r="L747" s="1">
        <v>15850.322237051079</v>
      </c>
      <c r="M747" s="1">
        <v>1438.0607923259079</v>
      </c>
    </row>
    <row r="748" spans="4:13">
      <c r="D748" s="1" t="s">
        <v>157</v>
      </c>
      <c r="E748" s="1" t="s">
        <v>163</v>
      </c>
      <c r="H748" s="1" t="s">
        <v>22</v>
      </c>
      <c r="I748" s="1" t="s">
        <v>23</v>
      </c>
      <c r="J748" s="1">
        <v>0</v>
      </c>
      <c r="K748" s="1">
        <v>1</v>
      </c>
      <c r="L748" s="1">
        <v>0.1</v>
      </c>
      <c r="M748" s="1">
        <v>0.2</v>
      </c>
    </row>
    <row r="749" spans="4:13">
      <c r="D749" s="1" t="s">
        <v>157</v>
      </c>
      <c r="E749" s="1" t="s">
        <v>164</v>
      </c>
      <c r="F749" s="1" t="s">
        <v>35</v>
      </c>
      <c r="G749" s="1" t="s">
        <v>36</v>
      </c>
      <c r="H749" s="1" t="s">
        <v>22</v>
      </c>
      <c r="I749" s="1" t="s">
        <v>29</v>
      </c>
      <c r="J749" s="1">
        <v>-31.018000000000029</v>
      </c>
      <c r="K749" s="1">
        <v>256.99999999999994</v>
      </c>
      <c r="L749" s="1">
        <v>80.329999999999984</v>
      </c>
    </row>
    <row r="750" spans="4:13">
      <c r="D750" s="1" t="s">
        <v>157</v>
      </c>
      <c r="E750" s="1" t="s">
        <v>43</v>
      </c>
      <c r="H750" s="1" t="s">
        <v>25</v>
      </c>
      <c r="I750" s="1" t="s">
        <v>23</v>
      </c>
      <c r="M750" s="1" t="b">
        <v>0</v>
      </c>
    </row>
    <row r="751" spans="4:13">
      <c r="D751" s="1" t="s">
        <v>157</v>
      </c>
      <c r="E751" s="1" t="s">
        <v>44</v>
      </c>
      <c r="F751" s="1" t="s">
        <v>45</v>
      </c>
      <c r="G751" s="1" t="s">
        <v>46</v>
      </c>
      <c r="H751" s="1" t="s">
        <v>22</v>
      </c>
      <c r="I751" s="1" t="s">
        <v>23</v>
      </c>
      <c r="J751" s="1">
        <v>-85.984522757427143</v>
      </c>
      <c r="K751" s="1">
        <v>859.84522757427146</v>
      </c>
      <c r="L751" s="1">
        <v>429.92261378713573</v>
      </c>
      <c r="M751" s="1">
        <v>128.97678413614071</v>
      </c>
    </row>
    <row r="752" spans="4:13">
      <c r="D752" s="1" t="s">
        <v>157</v>
      </c>
      <c r="E752" s="1" t="s">
        <v>47</v>
      </c>
      <c r="H752" s="1" t="s">
        <v>25</v>
      </c>
      <c r="I752" s="1" t="s">
        <v>23</v>
      </c>
      <c r="M752" s="1" t="b">
        <v>0</v>
      </c>
    </row>
    <row r="753" spans="4:13">
      <c r="D753" s="1" t="s">
        <v>157</v>
      </c>
      <c r="E753" s="1" t="s">
        <v>54</v>
      </c>
      <c r="H753" s="1" t="s">
        <v>25</v>
      </c>
      <c r="I753" s="1" t="s">
        <v>23</v>
      </c>
      <c r="M753" s="1" t="b">
        <v>0</v>
      </c>
    </row>
    <row r="754" spans="4:13">
      <c r="D754" s="1" t="s">
        <v>157</v>
      </c>
      <c r="E754" s="1" t="s">
        <v>55</v>
      </c>
      <c r="F754" s="1" t="s">
        <v>56</v>
      </c>
      <c r="G754" s="1" t="s">
        <v>57</v>
      </c>
      <c r="H754" s="1" t="s">
        <v>22</v>
      </c>
      <c r="I754" s="1" t="s">
        <v>23</v>
      </c>
      <c r="J754" s="1">
        <v>0</v>
      </c>
      <c r="K754" s="1">
        <v>942.74529524635989</v>
      </c>
      <c r="L754" s="1">
        <v>14.503773773020921</v>
      </c>
      <c r="M754" s="1">
        <v>39.999998299180966</v>
      </c>
    </row>
    <row r="755" spans="4:13">
      <c r="D755" s="1" t="s">
        <v>157</v>
      </c>
      <c r="E755" s="1" t="s">
        <v>58</v>
      </c>
      <c r="H755" s="1" t="s">
        <v>25</v>
      </c>
      <c r="I755" s="1" t="s">
        <v>23</v>
      </c>
      <c r="M755" s="1" t="b">
        <v>0</v>
      </c>
    </row>
    <row r="756" spans="4:13">
      <c r="D756" s="1" t="s">
        <v>157</v>
      </c>
      <c r="E756" s="1" t="s">
        <v>59</v>
      </c>
      <c r="F756" s="1" t="s">
        <v>60</v>
      </c>
      <c r="G756" s="1" t="s">
        <v>61</v>
      </c>
      <c r="H756" s="1" t="s">
        <v>22</v>
      </c>
      <c r="I756" s="1" t="s">
        <v>23</v>
      </c>
      <c r="J756" s="1">
        <v>-0.95538358650800004</v>
      </c>
      <c r="K756" s="1">
        <v>9.5538358650799999</v>
      </c>
      <c r="L756" s="1">
        <v>0.23884589662700001</v>
      </c>
      <c r="M756" s="1">
        <v>0.23884589662700001</v>
      </c>
    </row>
    <row r="757" spans="4:13">
      <c r="D757" s="1" t="s">
        <v>157</v>
      </c>
      <c r="E757" s="1" t="s">
        <v>64</v>
      </c>
      <c r="F757" s="1" t="s">
        <v>35</v>
      </c>
      <c r="G757" s="1" t="s">
        <v>36</v>
      </c>
      <c r="H757" s="1" t="s">
        <v>22</v>
      </c>
      <c r="I757" s="1" t="s">
        <v>65</v>
      </c>
      <c r="J757" s="1">
        <v>-459.67</v>
      </c>
      <c r="L757" s="1">
        <v>80.329999999999984</v>
      </c>
    </row>
    <row r="758" spans="4:13">
      <c r="D758" s="1" t="s">
        <v>157</v>
      </c>
      <c r="E758" s="1" t="s">
        <v>166</v>
      </c>
      <c r="F758" s="1" t="s">
        <v>161</v>
      </c>
      <c r="G758" s="1" t="s">
        <v>162</v>
      </c>
      <c r="H758" s="1" t="s">
        <v>22</v>
      </c>
      <c r="I758" s="1" t="s">
        <v>65</v>
      </c>
      <c r="L758" s="1">
        <v>15850.322237051079</v>
      </c>
    </row>
    <row r="759" spans="4:13">
      <c r="D759" s="1" t="s">
        <v>157</v>
      </c>
      <c r="E759" s="1" t="s">
        <v>68</v>
      </c>
      <c r="F759" s="1" t="s">
        <v>45</v>
      </c>
      <c r="G759" s="1" t="s">
        <v>46</v>
      </c>
      <c r="H759" s="1" t="s">
        <v>22</v>
      </c>
      <c r="I759" s="1" t="s">
        <v>65</v>
      </c>
      <c r="L759" s="1">
        <v>4.2992261378713571E-4</v>
      </c>
    </row>
    <row r="760" spans="4:13">
      <c r="D760" s="1" t="s">
        <v>157</v>
      </c>
      <c r="E760" s="1" t="s">
        <v>69</v>
      </c>
      <c r="H760" s="1" t="s">
        <v>25</v>
      </c>
      <c r="I760" s="1" t="s">
        <v>70</v>
      </c>
    </row>
    <row r="761" spans="4:13">
      <c r="D761" s="1" t="s">
        <v>157</v>
      </c>
      <c r="E761" s="1" t="s">
        <v>72</v>
      </c>
      <c r="F761" s="1" t="s">
        <v>56</v>
      </c>
      <c r="G761" s="1" t="s">
        <v>57</v>
      </c>
      <c r="H761" s="1" t="s">
        <v>22</v>
      </c>
      <c r="I761" s="1" t="s">
        <v>65</v>
      </c>
      <c r="J761" s="1">
        <v>0</v>
      </c>
      <c r="L761" s="1">
        <v>14.503773773020921</v>
      </c>
    </row>
    <row r="762" spans="4:13">
      <c r="D762" s="1" t="s">
        <v>157</v>
      </c>
      <c r="E762" s="1" t="s">
        <v>73</v>
      </c>
      <c r="F762" s="1" t="s">
        <v>60</v>
      </c>
      <c r="G762" s="1" t="s">
        <v>61</v>
      </c>
      <c r="H762" s="1" t="s">
        <v>22</v>
      </c>
      <c r="I762" s="1" t="s">
        <v>65</v>
      </c>
      <c r="L762" s="1">
        <v>2.38845896627E-4</v>
      </c>
    </row>
    <row r="763" spans="4:13">
      <c r="D763" s="1" t="s">
        <v>157</v>
      </c>
      <c r="E763" s="1" t="s">
        <v>74</v>
      </c>
      <c r="F763" s="1" t="s">
        <v>75</v>
      </c>
      <c r="G763" s="1" t="s">
        <v>76</v>
      </c>
      <c r="H763" s="1" t="s">
        <v>22</v>
      </c>
      <c r="I763" s="1" t="s">
        <v>65</v>
      </c>
      <c r="J763" s="1">
        <v>0</v>
      </c>
      <c r="L763" s="1">
        <v>16.018463521800001</v>
      </c>
    </row>
    <row r="764" spans="4:13">
      <c r="D764" s="1" t="s">
        <v>157</v>
      </c>
      <c r="E764" s="1" t="s">
        <v>78</v>
      </c>
      <c r="H764" s="1" t="s">
        <v>25</v>
      </c>
      <c r="I764" s="1" t="s">
        <v>23</v>
      </c>
      <c r="M764" s="1" t="b">
        <v>0</v>
      </c>
    </row>
    <row r="765" spans="4:13">
      <c r="D765" s="1" t="s">
        <v>157</v>
      </c>
      <c r="E765" s="1" t="s">
        <v>79</v>
      </c>
      <c r="F765" s="1" t="s">
        <v>75</v>
      </c>
      <c r="G765" s="1" t="s">
        <v>76</v>
      </c>
      <c r="H765" s="1" t="s">
        <v>22</v>
      </c>
      <c r="I765" s="1" t="s">
        <v>23</v>
      </c>
      <c r="J765" s="1">
        <v>0</v>
      </c>
      <c r="K765" s="1">
        <v>0.96110781130800005</v>
      </c>
      <c r="L765" s="1">
        <v>16.018463521800001</v>
      </c>
      <c r="M765" s="1">
        <v>1.6018463521800003E-2</v>
      </c>
    </row>
    <row r="766" spans="4:13">
      <c r="D766" s="1" t="s">
        <v>168</v>
      </c>
      <c r="E766" s="1" t="s">
        <v>169</v>
      </c>
      <c r="H766" s="1" t="s">
        <v>25</v>
      </c>
      <c r="I766" s="1" t="s">
        <v>23</v>
      </c>
      <c r="M766" s="1" t="b">
        <v>1</v>
      </c>
    </row>
    <row r="767" spans="4:13">
      <c r="D767" s="1" t="s">
        <v>170</v>
      </c>
      <c r="E767" s="1" t="s">
        <v>171</v>
      </c>
      <c r="H767" s="1" t="s">
        <v>22</v>
      </c>
      <c r="I767" s="1" t="s">
        <v>23</v>
      </c>
      <c r="L767" s="1">
        <v>1</v>
      </c>
      <c r="M767" s="1">
        <v>3.0558000000000001</v>
      </c>
    </row>
    <row r="768" spans="4:13">
      <c r="D768" s="1" t="s">
        <v>170</v>
      </c>
      <c r="E768" s="1" t="s">
        <v>172</v>
      </c>
      <c r="H768" s="1" t="s">
        <v>22</v>
      </c>
      <c r="I768" s="1" t="s">
        <v>29</v>
      </c>
      <c r="J768" s="1">
        <v>0</v>
      </c>
      <c r="K768" s="1">
        <v>10000</v>
      </c>
      <c r="L768" s="1">
        <v>5000</v>
      </c>
    </row>
    <row r="769" spans="4:13">
      <c r="D769" s="1" t="s">
        <v>170</v>
      </c>
      <c r="E769" s="1" t="s">
        <v>173</v>
      </c>
      <c r="H769" s="1" t="s">
        <v>22</v>
      </c>
      <c r="I769" s="1" t="s">
        <v>29</v>
      </c>
      <c r="J769" s="1">
        <v>9.9999999999999995E-7</v>
      </c>
      <c r="K769" s="1">
        <v>0.01</v>
      </c>
      <c r="L769" s="1">
        <v>5.0004999999999997E-3</v>
      </c>
    </row>
    <row r="770" spans="4:13">
      <c r="D770" s="1" t="s">
        <v>170</v>
      </c>
      <c r="E770" s="1" t="s">
        <v>174</v>
      </c>
      <c r="H770" s="1" t="s">
        <v>25</v>
      </c>
      <c r="I770" s="1" t="s">
        <v>23</v>
      </c>
      <c r="M770" s="1" t="b">
        <v>1</v>
      </c>
    </row>
    <row r="771" spans="4:13">
      <c r="D771" s="1" t="s">
        <v>170</v>
      </c>
      <c r="E771" s="1" t="s">
        <v>175</v>
      </c>
      <c r="F771" s="1" t="s">
        <v>176</v>
      </c>
      <c r="G771" s="1" t="s">
        <v>177</v>
      </c>
      <c r="H771" s="1" t="s">
        <v>22</v>
      </c>
      <c r="I771" s="1" t="s">
        <v>23</v>
      </c>
      <c r="L771" s="1">
        <v>39.370078740157467</v>
      </c>
      <c r="M771" s="1">
        <v>6.0649999999999977</v>
      </c>
    </row>
    <row r="772" spans="4:13">
      <c r="D772" s="1" t="s">
        <v>170</v>
      </c>
      <c r="E772" s="1" t="s">
        <v>178</v>
      </c>
      <c r="H772" s="1" t="s">
        <v>25</v>
      </c>
      <c r="I772" s="1" t="s">
        <v>23</v>
      </c>
      <c r="M772" s="1" t="b">
        <v>0</v>
      </c>
    </row>
    <row r="773" spans="4:13">
      <c r="D773" s="1" t="s">
        <v>170</v>
      </c>
      <c r="E773" s="1" t="s">
        <v>111</v>
      </c>
      <c r="F773" s="1" t="s">
        <v>56</v>
      </c>
      <c r="G773" s="1" t="s">
        <v>57</v>
      </c>
      <c r="H773" s="1" t="s">
        <v>22</v>
      </c>
      <c r="I773" s="1" t="s">
        <v>23</v>
      </c>
      <c r="L773" s="1">
        <v>1.4503773773020921E-4</v>
      </c>
      <c r="M773" s="1">
        <v>7.2518868865104604E-3</v>
      </c>
    </row>
    <row r="774" spans="4:13">
      <c r="D774" s="1" t="s">
        <v>170</v>
      </c>
      <c r="E774" s="1" t="s">
        <v>179</v>
      </c>
      <c r="H774" s="1" t="s">
        <v>22</v>
      </c>
      <c r="I774" s="1" t="s">
        <v>23</v>
      </c>
      <c r="L774" s="1">
        <v>1</v>
      </c>
      <c r="M774" s="1">
        <v>10000</v>
      </c>
    </row>
    <row r="775" spans="4:13">
      <c r="D775" s="1" t="s">
        <v>170</v>
      </c>
      <c r="E775" s="1" t="s">
        <v>180</v>
      </c>
      <c r="H775" s="1" t="s">
        <v>181</v>
      </c>
      <c r="I775" s="1" t="s">
        <v>23</v>
      </c>
      <c r="J775" s="1">
        <v>1</v>
      </c>
      <c r="K775" s="1">
        <v>3</v>
      </c>
      <c r="M775" s="1" t="s">
        <v>182</v>
      </c>
    </row>
    <row r="776" spans="4:13">
      <c r="D776" s="1" t="s">
        <v>170</v>
      </c>
      <c r="E776" s="1" t="s">
        <v>47</v>
      </c>
      <c r="H776" s="1" t="s">
        <v>25</v>
      </c>
      <c r="I776" s="1" t="s">
        <v>23</v>
      </c>
      <c r="M776" s="1" t="b">
        <v>0</v>
      </c>
    </row>
    <row r="777" spans="4:13">
      <c r="D777" s="1" t="s">
        <v>170</v>
      </c>
      <c r="E777" s="1" t="s">
        <v>183</v>
      </c>
      <c r="H777" s="1" t="s">
        <v>25</v>
      </c>
      <c r="I777" s="1" t="s">
        <v>23</v>
      </c>
      <c r="M777" s="1" t="b">
        <v>1</v>
      </c>
    </row>
    <row r="778" spans="4:13">
      <c r="D778" s="1" t="s">
        <v>170</v>
      </c>
      <c r="E778" s="1" t="s">
        <v>112</v>
      </c>
      <c r="F778" s="1" t="s">
        <v>56</v>
      </c>
      <c r="G778" s="1" t="s">
        <v>57</v>
      </c>
      <c r="H778" s="1" t="s">
        <v>22</v>
      </c>
      <c r="I778" s="1" t="s">
        <v>29</v>
      </c>
      <c r="J778" s="1">
        <v>4.9312830828271128</v>
      </c>
      <c r="K778" s="1">
        <v>623.66227223989961</v>
      </c>
      <c r="L778" s="1">
        <v>50.713895374744951</v>
      </c>
    </row>
    <row r="779" spans="4:13">
      <c r="D779" s="1" t="s">
        <v>170</v>
      </c>
      <c r="E779" s="1" t="s">
        <v>62</v>
      </c>
      <c r="H779" s="1" t="s">
        <v>63</v>
      </c>
      <c r="I779" s="1" t="s">
        <v>23</v>
      </c>
      <c r="M779" s="1">
        <v>1</v>
      </c>
    </row>
    <row r="780" spans="4:13">
      <c r="D780" s="1" t="s">
        <v>170</v>
      </c>
      <c r="E780" s="1" t="s">
        <v>184</v>
      </c>
      <c r="H780" s="1" t="s">
        <v>22</v>
      </c>
      <c r="I780" s="1" t="s">
        <v>120</v>
      </c>
      <c r="L780" s="1">
        <v>1</v>
      </c>
    </row>
    <row r="781" spans="4:13">
      <c r="D781" s="1" t="s">
        <v>170</v>
      </c>
      <c r="E781" s="1" t="s">
        <v>185</v>
      </c>
      <c r="F781" s="1" t="s">
        <v>176</v>
      </c>
      <c r="G781" s="1" t="s">
        <v>177</v>
      </c>
      <c r="H781" s="1" t="s">
        <v>22</v>
      </c>
      <c r="I781" s="1" t="s">
        <v>65</v>
      </c>
      <c r="L781" s="1">
        <v>39.370078740157467</v>
      </c>
    </row>
    <row r="782" spans="4:13">
      <c r="D782" s="1" t="s">
        <v>170</v>
      </c>
      <c r="E782" s="1" t="s">
        <v>115</v>
      </c>
      <c r="F782" s="1" t="s">
        <v>56</v>
      </c>
      <c r="G782" s="1" t="s">
        <v>57</v>
      </c>
      <c r="H782" s="1" t="s">
        <v>22</v>
      </c>
      <c r="I782" s="1" t="s">
        <v>65</v>
      </c>
      <c r="L782" s="1">
        <v>1.4503773773020921E-4</v>
      </c>
    </row>
    <row r="783" spans="4:13">
      <c r="D783" s="1" t="s">
        <v>170</v>
      </c>
      <c r="E783" s="1" t="s">
        <v>69</v>
      </c>
      <c r="H783" s="1" t="s">
        <v>25</v>
      </c>
      <c r="I783" s="1" t="s">
        <v>70</v>
      </c>
    </row>
    <row r="784" spans="4:13">
      <c r="D784" s="1" t="s">
        <v>170</v>
      </c>
      <c r="E784" s="1" t="s">
        <v>186</v>
      </c>
      <c r="H784" s="1" t="s">
        <v>22</v>
      </c>
      <c r="I784" s="1" t="s">
        <v>65</v>
      </c>
      <c r="L784" s="1">
        <v>1</v>
      </c>
    </row>
    <row r="785" spans="4:13">
      <c r="D785" s="1" t="s">
        <v>170</v>
      </c>
      <c r="E785" s="1" t="s">
        <v>71</v>
      </c>
      <c r="F785" s="1" t="s">
        <v>52</v>
      </c>
      <c r="G785" s="1" t="s">
        <v>53</v>
      </c>
      <c r="H785" s="1" t="s">
        <v>22</v>
      </c>
      <c r="I785" s="1" t="s">
        <v>65</v>
      </c>
      <c r="L785" s="1">
        <v>7936.6414386555998</v>
      </c>
    </row>
    <row r="786" spans="4:13">
      <c r="D786" s="1" t="s">
        <v>170</v>
      </c>
      <c r="E786" s="1" t="s">
        <v>117</v>
      </c>
      <c r="F786" s="1" t="s">
        <v>118</v>
      </c>
      <c r="G786" s="1" t="s">
        <v>119</v>
      </c>
      <c r="H786" s="1" t="s">
        <v>22</v>
      </c>
      <c r="I786" s="1" t="s">
        <v>120</v>
      </c>
      <c r="J786" s="1">
        <v>0</v>
      </c>
      <c r="L786" s="1">
        <v>2.20462262185</v>
      </c>
    </row>
    <row r="787" spans="4:13">
      <c r="D787" s="1" t="s">
        <v>170</v>
      </c>
      <c r="E787" s="1" t="s">
        <v>123</v>
      </c>
      <c r="F787" s="1" t="s">
        <v>124</v>
      </c>
      <c r="G787" s="1" t="s">
        <v>125</v>
      </c>
      <c r="H787" s="1" t="s">
        <v>22</v>
      </c>
      <c r="I787" s="1" t="s">
        <v>120</v>
      </c>
      <c r="L787" s="1">
        <v>35.314666699999997</v>
      </c>
    </row>
    <row r="788" spans="4:13">
      <c r="D788" s="1" t="s">
        <v>170</v>
      </c>
      <c r="E788" s="1" t="s">
        <v>126</v>
      </c>
      <c r="H788" s="1" t="s">
        <v>22</v>
      </c>
      <c r="I788" s="1" t="s">
        <v>65</v>
      </c>
      <c r="L788" s="1">
        <v>1</v>
      </c>
    </row>
    <row r="789" spans="4:13">
      <c r="D789" s="1" t="s">
        <v>187</v>
      </c>
      <c r="E789" s="1" t="s">
        <v>28</v>
      </c>
      <c r="H789" s="1" t="s">
        <v>22</v>
      </c>
      <c r="I789" s="1" t="s">
        <v>29</v>
      </c>
      <c r="J789" s="1">
        <v>34000</v>
      </c>
      <c r="K789" s="1">
        <v>4300000</v>
      </c>
      <c r="L789" s="1">
        <v>349660</v>
      </c>
    </row>
    <row r="790" spans="4:13">
      <c r="D790" s="1" t="s">
        <v>187</v>
      </c>
      <c r="E790" s="1" t="s">
        <v>30</v>
      </c>
      <c r="H790" s="1" t="s">
        <v>22</v>
      </c>
      <c r="I790" s="1" t="s">
        <v>29</v>
      </c>
      <c r="J790" s="1">
        <v>-3.94</v>
      </c>
      <c r="K790" s="1">
        <v>3.66</v>
      </c>
      <c r="L790" s="1">
        <v>1</v>
      </c>
    </row>
    <row r="791" spans="4:13">
      <c r="D791" s="1" t="s">
        <v>187</v>
      </c>
      <c r="E791" s="1" t="s">
        <v>31</v>
      </c>
      <c r="H791" s="1" t="s">
        <v>22</v>
      </c>
      <c r="I791" s="1" t="s">
        <v>29</v>
      </c>
      <c r="J791" s="1">
        <v>0</v>
      </c>
      <c r="K791" s="1">
        <v>100</v>
      </c>
      <c r="L791" s="1">
        <v>1</v>
      </c>
    </row>
    <row r="792" spans="4:13">
      <c r="D792" s="1" t="s">
        <v>187</v>
      </c>
      <c r="E792" s="1" t="s">
        <v>32</v>
      </c>
      <c r="H792" s="1" t="s">
        <v>22</v>
      </c>
      <c r="I792" s="1" t="s">
        <v>29</v>
      </c>
      <c r="J792" s="1">
        <v>-3.94</v>
      </c>
      <c r="K792" s="1">
        <v>3.66</v>
      </c>
      <c r="L792" s="1">
        <v>1</v>
      </c>
    </row>
    <row r="793" spans="4:13">
      <c r="D793" s="1" t="s">
        <v>187</v>
      </c>
      <c r="E793" s="1" t="s">
        <v>33</v>
      </c>
      <c r="H793" s="1" t="s">
        <v>25</v>
      </c>
      <c r="I793" s="1" t="s">
        <v>23</v>
      </c>
      <c r="M793" s="1" t="b">
        <v>0</v>
      </c>
    </row>
    <row r="794" spans="4:13">
      <c r="D794" s="1" t="s">
        <v>187</v>
      </c>
      <c r="E794" s="1" t="s">
        <v>34</v>
      </c>
      <c r="F794" s="1" t="s">
        <v>35</v>
      </c>
      <c r="G794" s="1" t="s">
        <v>36</v>
      </c>
      <c r="H794" s="1" t="s">
        <v>22</v>
      </c>
      <c r="I794" s="1" t="s">
        <v>23</v>
      </c>
      <c r="J794" s="1">
        <v>-459.67</v>
      </c>
      <c r="K794" s="1">
        <v>980.32999999999993</v>
      </c>
      <c r="L794" s="1">
        <v>80.329999999999984</v>
      </c>
      <c r="M794" s="1">
        <v>67.999999999999943</v>
      </c>
    </row>
    <row r="795" spans="4:13">
      <c r="D795" s="1" t="s">
        <v>187</v>
      </c>
      <c r="E795" s="1" t="s">
        <v>37</v>
      </c>
      <c r="H795" s="1" t="s">
        <v>25</v>
      </c>
      <c r="I795" s="1" t="s">
        <v>23</v>
      </c>
      <c r="M795" s="1" t="b">
        <v>0</v>
      </c>
    </row>
    <row r="796" spans="4:13">
      <c r="D796" s="1" t="s">
        <v>187</v>
      </c>
      <c r="E796" s="1" t="s">
        <v>38</v>
      </c>
      <c r="F796" s="1" t="s">
        <v>35</v>
      </c>
      <c r="G796" s="1" t="s">
        <v>36</v>
      </c>
      <c r="H796" s="1" t="s">
        <v>22</v>
      </c>
      <c r="I796" s="1" t="s">
        <v>23</v>
      </c>
      <c r="J796" s="1">
        <v>-99.670000000000016</v>
      </c>
      <c r="K796" s="1">
        <v>980.32999999999993</v>
      </c>
      <c r="L796" s="1">
        <v>80.329999999999984</v>
      </c>
      <c r="M796" s="1">
        <v>13.999999999999943</v>
      </c>
    </row>
    <row r="797" spans="4:13">
      <c r="D797" s="1" t="s">
        <v>187</v>
      </c>
      <c r="E797" s="1" t="s">
        <v>39</v>
      </c>
      <c r="H797" s="1" t="s">
        <v>25</v>
      </c>
      <c r="I797" s="1" t="s">
        <v>23</v>
      </c>
      <c r="M797" s="1" t="b">
        <v>0</v>
      </c>
    </row>
    <row r="798" spans="4:13">
      <c r="D798" s="1" t="s">
        <v>187</v>
      </c>
      <c r="E798" s="1" t="s">
        <v>40</v>
      </c>
      <c r="F798" s="1" t="s">
        <v>41</v>
      </c>
      <c r="G798" s="1" t="s">
        <v>42</v>
      </c>
      <c r="H798" s="1" t="s">
        <v>22</v>
      </c>
      <c r="I798" s="1" t="s">
        <v>23</v>
      </c>
      <c r="J798" s="1">
        <v>-900</v>
      </c>
      <c r="K798" s="1">
        <v>900</v>
      </c>
      <c r="L798" s="1">
        <v>1.8</v>
      </c>
      <c r="M798" s="1">
        <v>9</v>
      </c>
    </row>
    <row r="799" spans="4:13">
      <c r="D799" s="1" t="s">
        <v>187</v>
      </c>
      <c r="E799" s="1" t="s">
        <v>43</v>
      </c>
      <c r="H799" s="1" t="s">
        <v>25</v>
      </c>
      <c r="I799" s="1" t="s">
        <v>23</v>
      </c>
      <c r="M799" s="1" t="b">
        <v>0</v>
      </c>
    </row>
    <row r="800" spans="4:13">
      <c r="D800" s="1" t="s">
        <v>187</v>
      </c>
      <c r="E800" s="1" t="s">
        <v>44</v>
      </c>
      <c r="F800" s="1" t="s">
        <v>45</v>
      </c>
      <c r="G800" s="1" t="s">
        <v>46</v>
      </c>
      <c r="H800" s="1" t="s">
        <v>22</v>
      </c>
      <c r="I800" s="1" t="s">
        <v>23</v>
      </c>
      <c r="J800" s="1">
        <v>-85.984522757427143</v>
      </c>
      <c r="K800" s="1">
        <v>8598.4522757427148</v>
      </c>
      <c r="L800" s="1">
        <v>114.79148749423418</v>
      </c>
      <c r="M800" s="1">
        <v>128.97678413614071</v>
      </c>
    </row>
    <row r="801" spans="4:13">
      <c r="D801" s="1" t="s">
        <v>187</v>
      </c>
      <c r="E801" s="1" t="s">
        <v>47</v>
      </c>
      <c r="H801" s="1" t="s">
        <v>25</v>
      </c>
      <c r="I801" s="1" t="s">
        <v>23</v>
      </c>
      <c r="M801" s="1" t="b">
        <v>0</v>
      </c>
    </row>
    <row r="802" spans="4:13">
      <c r="D802" s="1" t="s">
        <v>187</v>
      </c>
      <c r="E802" s="1" t="s">
        <v>48</v>
      </c>
      <c r="H802" s="1" t="s">
        <v>25</v>
      </c>
      <c r="I802" s="1" t="s">
        <v>23</v>
      </c>
      <c r="M802" s="1" t="b">
        <v>0</v>
      </c>
    </row>
    <row r="803" spans="4:13">
      <c r="D803" s="1" t="s">
        <v>187</v>
      </c>
      <c r="E803" s="1" t="s">
        <v>49</v>
      </c>
      <c r="H803" s="1" t="s">
        <v>25</v>
      </c>
      <c r="I803" s="1" t="s">
        <v>23</v>
      </c>
      <c r="M803" s="1" t="b">
        <v>0</v>
      </c>
    </row>
    <row r="804" spans="4:13">
      <c r="D804" s="1" t="s">
        <v>187</v>
      </c>
      <c r="E804" s="1" t="s">
        <v>50</v>
      </c>
      <c r="H804" s="1" t="s">
        <v>25</v>
      </c>
      <c r="I804" s="1" t="s">
        <v>23</v>
      </c>
      <c r="M804" s="1" t="b">
        <v>0</v>
      </c>
    </row>
    <row r="805" spans="4:13">
      <c r="D805" s="1" t="s">
        <v>187</v>
      </c>
      <c r="E805" s="1" t="s">
        <v>51</v>
      </c>
      <c r="F805" s="1" t="s">
        <v>52</v>
      </c>
      <c r="G805" s="1" t="s">
        <v>53</v>
      </c>
      <c r="H805" s="1" t="s">
        <v>22</v>
      </c>
      <c r="I805" s="1" t="s">
        <v>23</v>
      </c>
      <c r="J805" s="1">
        <v>0</v>
      </c>
      <c r="K805" s="1">
        <v>7936641438.6555996</v>
      </c>
      <c r="L805" s="1">
        <v>7936.6414386555998</v>
      </c>
      <c r="M805" s="1">
        <v>7936.6414386555998</v>
      </c>
    </row>
    <row r="806" spans="4:13">
      <c r="D806" s="1" t="s">
        <v>187</v>
      </c>
      <c r="E806" s="1" t="s">
        <v>54</v>
      </c>
      <c r="H806" s="1" t="s">
        <v>25</v>
      </c>
      <c r="I806" s="1" t="s">
        <v>23</v>
      </c>
      <c r="M806" s="1" t="b">
        <v>0</v>
      </c>
    </row>
    <row r="807" spans="4:13">
      <c r="D807" s="1" t="s">
        <v>187</v>
      </c>
      <c r="E807" s="1" t="s">
        <v>55</v>
      </c>
      <c r="F807" s="1" t="s">
        <v>56</v>
      </c>
      <c r="G807" s="1" t="s">
        <v>57</v>
      </c>
      <c r="H807" s="1" t="s">
        <v>22</v>
      </c>
      <c r="I807" s="1" t="s">
        <v>23</v>
      </c>
      <c r="J807" s="1">
        <v>0</v>
      </c>
      <c r="K807" s="1">
        <v>9427.4529524635982</v>
      </c>
      <c r="L807" s="1">
        <v>50.713895374744951</v>
      </c>
      <c r="M807" s="1">
        <v>50.763208205573221</v>
      </c>
    </row>
    <row r="808" spans="4:13">
      <c r="D808" s="1" t="s">
        <v>187</v>
      </c>
      <c r="E808" s="1" t="s">
        <v>58</v>
      </c>
      <c r="H808" s="1" t="s">
        <v>25</v>
      </c>
      <c r="I808" s="1" t="s">
        <v>23</v>
      </c>
      <c r="M808" s="1" t="b">
        <v>0</v>
      </c>
    </row>
    <row r="809" spans="4:13">
      <c r="D809" s="1" t="s">
        <v>187</v>
      </c>
      <c r="E809" s="1" t="s">
        <v>59</v>
      </c>
      <c r="F809" s="1" t="s">
        <v>60</v>
      </c>
      <c r="G809" s="1" t="s">
        <v>61</v>
      </c>
      <c r="H809" s="1" t="s">
        <v>22</v>
      </c>
      <c r="I809" s="1" t="s">
        <v>23</v>
      </c>
      <c r="J809" s="1">
        <v>-9.5538358650799999</v>
      </c>
      <c r="K809" s="1">
        <v>9.5538358650799999</v>
      </c>
      <c r="L809" s="1">
        <v>0.23884589662700001</v>
      </c>
      <c r="M809" s="1">
        <v>0.23884589662700001</v>
      </c>
    </row>
    <row r="810" spans="4:13">
      <c r="D810" s="1" t="s">
        <v>187</v>
      </c>
      <c r="E810" s="1" t="s">
        <v>62</v>
      </c>
      <c r="H810" s="1" t="s">
        <v>63</v>
      </c>
      <c r="I810" s="1" t="s">
        <v>23</v>
      </c>
      <c r="M810" s="1">
        <v>1</v>
      </c>
    </row>
    <row r="811" spans="4:13">
      <c r="D811" s="1" t="s">
        <v>187</v>
      </c>
      <c r="E811" s="1" t="s">
        <v>64</v>
      </c>
      <c r="F811" s="1" t="s">
        <v>35</v>
      </c>
      <c r="G811" s="1" t="s">
        <v>36</v>
      </c>
      <c r="H811" s="1" t="s">
        <v>22</v>
      </c>
      <c r="I811" s="1" t="s">
        <v>65</v>
      </c>
      <c r="J811" s="1">
        <v>-459.67</v>
      </c>
      <c r="L811" s="1">
        <v>80.329999999999984</v>
      </c>
    </row>
    <row r="812" spans="4:13">
      <c r="D812" s="1" t="s">
        <v>187</v>
      </c>
      <c r="E812" s="1" t="s">
        <v>66</v>
      </c>
      <c r="F812" s="1" t="s">
        <v>35</v>
      </c>
      <c r="G812" s="1" t="s">
        <v>36</v>
      </c>
      <c r="H812" s="1" t="s">
        <v>22</v>
      </c>
      <c r="I812" s="1" t="s">
        <v>65</v>
      </c>
      <c r="J812" s="1">
        <v>-459.67</v>
      </c>
      <c r="L812" s="1">
        <v>80.329999999999984</v>
      </c>
    </row>
    <row r="813" spans="4:13">
      <c r="D813" s="1" t="s">
        <v>187</v>
      </c>
      <c r="E813" s="1" t="s">
        <v>67</v>
      </c>
      <c r="F813" s="1" t="s">
        <v>41</v>
      </c>
      <c r="G813" s="1" t="s">
        <v>42</v>
      </c>
      <c r="H813" s="1" t="s">
        <v>22</v>
      </c>
      <c r="I813" s="1" t="s">
        <v>65</v>
      </c>
      <c r="L813" s="1">
        <v>1.8</v>
      </c>
    </row>
    <row r="814" spans="4:13">
      <c r="D814" s="1" t="s">
        <v>187</v>
      </c>
      <c r="E814" s="1" t="s">
        <v>68</v>
      </c>
      <c r="F814" s="1" t="s">
        <v>45</v>
      </c>
      <c r="G814" s="1" t="s">
        <v>46</v>
      </c>
      <c r="H814" s="1" t="s">
        <v>22</v>
      </c>
      <c r="I814" s="1" t="s">
        <v>65</v>
      </c>
      <c r="L814" s="1">
        <v>4.2992261378713571E-4</v>
      </c>
    </row>
    <row r="815" spans="4:13">
      <c r="D815" s="1" t="s">
        <v>187</v>
      </c>
      <c r="E815" s="1" t="s">
        <v>69</v>
      </c>
      <c r="H815" s="1" t="s">
        <v>25</v>
      </c>
      <c r="I815" s="1" t="s">
        <v>70</v>
      </c>
    </row>
    <row r="816" spans="4:13">
      <c r="D816" s="1" t="s">
        <v>187</v>
      </c>
      <c r="E816" s="1" t="s">
        <v>71</v>
      </c>
      <c r="F816" s="1" t="s">
        <v>52</v>
      </c>
      <c r="G816" s="1" t="s">
        <v>53</v>
      </c>
      <c r="H816" s="1" t="s">
        <v>22</v>
      </c>
      <c r="I816" s="1" t="s">
        <v>65</v>
      </c>
      <c r="L816" s="1">
        <v>7936.6414386555998</v>
      </c>
    </row>
    <row r="817" spans="4:13">
      <c r="D817" s="1" t="s">
        <v>187</v>
      </c>
      <c r="E817" s="1" t="s">
        <v>72</v>
      </c>
      <c r="F817" s="1" t="s">
        <v>56</v>
      </c>
      <c r="G817" s="1" t="s">
        <v>57</v>
      </c>
      <c r="H817" s="1" t="s">
        <v>22</v>
      </c>
      <c r="I817" s="1" t="s">
        <v>65</v>
      </c>
      <c r="J817" s="1">
        <v>0</v>
      </c>
      <c r="L817" s="1">
        <v>14.503773773020921</v>
      </c>
    </row>
    <row r="818" spans="4:13">
      <c r="D818" s="1" t="s">
        <v>187</v>
      </c>
      <c r="E818" s="1" t="s">
        <v>73</v>
      </c>
      <c r="F818" s="1" t="s">
        <v>60</v>
      </c>
      <c r="G818" s="1" t="s">
        <v>61</v>
      </c>
      <c r="H818" s="1" t="s">
        <v>22</v>
      </c>
      <c r="I818" s="1" t="s">
        <v>65</v>
      </c>
      <c r="L818" s="1">
        <v>2.38845896627E-4</v>
      </c>
    </row>
    <row r="819" spans="4:13">
      <c r="D819" s="1" t="s">
        <v>187</v>
      </c>
      <c r="E819" s="1" t="s">
        <v>74</v>
      </c>
      <c r="F819" s="1" t="s">
        <v>75</v>
      </c>
      <c r="G819" s="1" t="s">
        <v>76</v>
      </c>
      <c r="H819" s="1" t="s">
        <v>22</v>
      </c>
      <c r="I819" s="1" t="s">
        <v>65</v>
      </c>
      <c r="J819" s="1">
        <v>0</v>
      </c>
      <c r="L819" s="1">
        <v>16.018463521800001</v>
      </c>
    </row>
    <row r="820" spans="4:13">
      <c r="D820" s="1" t="s">
        <v>187</v>
      </c>
      <c r="E820" s="1" t="s">
        <v>77</v>
      </c>
      <c r="H820" s="1" t="s">
        <v>22</v>
      </c>
      <c r="I820" s="1" t="s">
        <v>65</v>
      </c>
      <c r="L820" s="1">
        <v>1</v>
      </c>
    </row>
    <row r="821" spans="4:13">
      <c r="D821" s="1" t="s">
        <v>187</v>
      </c>
      <c r="E821" s="1" t="s">
        <v>78</v>
      </c>
      <c r="H821" s="1" t="s">
        <v>25</v>
      </c>
      <c r="I821" s="1" t="s">
        <v>23</v>
      </c>
      <c r="M821" s="1" t="b">
        <v>0</v>
      </c>
    </row>
    <row r="822" spans="4:13">
      <c r="D822" s="1" t="s">
        <v>187</v>
      </c>
      <c r="E822" s="1" t="s">
        <v>79</v>
      </c>
      <c r="F822" s="1" t="s">
        <v>75</v>
      </c>
      <c r="G822" s="1" t="s">
        <v>76</v>
      </c>
      <c r="H822" s="1" t="s">
        <v>22</v>
      </c>
      <c r="I822" s="1" t="s">
        <v>23</v>
      </c>
      <c r="J822" s="1">
        <v>0</v>
      </c>
      <c r="K822" s="1">
        <v>96.110781130800007</v>
      </c>
      <c r="L822" s="1">
        <v>16.018463521800001</v>
      </c>
      <c r="M822" s="1">
        <v>1.6018463521800002</v>
      </c>
    </row>
    <row r="823" spans="4:13">
      <c r="D823" s="1" t="s">
        <v>187</v>
      </c>
      <c r="E823" s="1" t="s">
        <v>80</v>
      </c>
      <c r="H823" s="1" t="s">
        <v>25</v>
      </c>
      <c r="I823" s="1" t="s">
        <v>23</v>
      </c>
      <c r="M823" s="1" t="b">
        <v>0</v>
      </c>
    </row>
    <row r="824" spans="4:13">
      <c r="D824" s="1" t="s">
        <v>187</v>
      </c>
      <c r="E824" s="1" t="s">
        <v>81</v>
      </c>
      <c r="H824" s="1" t="s">
        <v>25</v>
      </c>
      <c r="I824" s="1" t="s">
        <v>23</v>
      </c>
      <c r="M824" s="1" t="b">
        <v>0</v>
      </c>
    </row>
    <row r="825" spans="4:13">
      <c r="D825" s="1" t="s">
        <v>187</v>
      </c>
      <c r="E825" s="1" t="s">
        <v>82</v>
      </c>
      <c r="H825" s="1" t="s">
        <v>22</v>
      </c>
      <c r="I825" s="1" t="s">
        <v>23</v>
      </c>
      <c r="J825" s="1">
        <v>-1</v>
      </c>
      <c r="K825" s="1">
        <v>3</v>
      </c>
      <c r="L825" s="1">
        <v>1</v>
      </c>
      <c r="M825" s="1">
        <v>1.01</v>
      </c>
    </row>
    <row r="826" spans="4:13">
      <c r="D826" s="1" t="s">
        <v>188</v>
      </c>
      <c r="E826" s="1" t="s">
        <v>171</v>
      </c>
      <c r="H826" s="1" t="s">
        <v>22</v>
      </c>
      <c r="I826" s="1" t="s">
        <v>23</v>
      </c>
      <c r="L826" s="1">
        <v>1</v>
      </c>
      <c r="M826" s="1">
        <v>3.0558000000000001</v>
      </c>
    </row>
    <row r="827" spans="4:13">
      <c r="D827" s="1" t="s">
        <v>188</v>
      </c>
      <c r="E827" s="1" t="s">
        <v>172</v>
      </c>
      <c r="H827" s="1" t="s">
        <v>22</v>
      </c>
      <c r="I827" s="1" t="s">
        <v>29</v>
      </c>
      <c r="J827" s="1">
        <v>0</v>
      </c>
      <c r="K827" s="1">
        <v>10000</v>
      </c>
      <c r="L827" s="1">
        <v>5000</v>
      </c>
    </row>
    <row r="828" spans="4:13">
      <c r="D828" s="1" t="s">
        <v>188</v>
      </c>
      <c r="E828" s="1" t="s">
        <v>173</v>
      </c>
      <c r="H828" s="1" t="s">
        <v>22</v>
      </c>
      <c r="I828" s="1" t="s">
        <v>29</v>
      </c>
      <c r="J828" s="1">
        <v>9.9999999999999995E-7</v>
      </c>
      <c r="K828" s="1">
        <v>0.01</v>
      </c>
      <c r="L828" s="1">
        <v>5.0004999999999997E-3</v>
      </c>
    </row>
    <row r="829" spans="4:13">
      <c r="D829" s="1" t="s">
        <v>188</v>
      </c>
      <c r="E829" s="1" t="s">
        <v>174</v>
      </c>
      <c r="H829" s="1" t="s">
        <v>25</v>
      </c>
      <c r="I829" s="1" t="s">
        <v>23</v>
      </c>
      <c r="M829" s="1" t="b">
        <v>1</v>
      </c>
    </row>
    <row r="830" spans="4:13">
      <c r="D830" s="1" t="s">
        <v>188</v>
      </c>
      <c r="E830" s="1" t="s">
        <v>175</v>
      </c>
      <c r="F830" s="1" t="s">
        <v>176</v>
      </c>
      <c r="G830" s="1" t="s">
        <v>177</v>
      </c>
      <c r="H830" s="1" t="s">
        <v>22</v>
      </c>
      <c r="I830" s="1" t="s">
        <v>23</v>
      </c>
      <c r="L830" s="1">
        <v>39.370078740157467</v>
      </c>
      <c r="M830" s="1">
        <v>6.0649999999999977</v>
      </c>
    </row>
    <row r="831" spans="4:13">
      <c r="D831" s="1" t="s">
        <v>188</v>
      </c>
      <c r="E831" s="1" t="s">
        <v>178</v>
      </c>
      <c r="H831" s="1" t="s">
        <v>25</v>
      </c>
      <c r="I831" s="1" t="s">
        <v>23</v>
      </c>
      <c r="M831" s="1" t="b">
        <v>0</v>
      </c>
    </row>
    <row r="832" spans="4:13">
      <c r="D832" s="1" t="s">
        <v>188</v>
      </c>
      <c r="E832" s="1" t="s">
        <v>111</v>
      </c>
      <c r="F832" s="1" t="s">
        <v>56</v>
      </c>
      <c r="G832" s="1" t="s">
        <v>57</v>
      </c>
      <c r="H832" s="1" t="s">
        <v>22</v>
      </c>
      <c r="I832" s="1" t="s">
        <v>23</v>
      </c>
      <c r="L832" s="1">
        <v>1.4503773773020921E-4</v>
      </c>
      <c r="M832" s="1">
        <v>7.2518868865104604E-3</v>
      </c>
    </row>
    <row r="833" spans="4:13">
      <c r="D833" s="1" t="s">
        <v>188</v>
      </c>
      <c r="E833" s="1" t="s">
        <v>179</v>
      </c>
      <c r="H833" s="1" t="s">
        <v>22</v>
      </c>
      <c r="I833" s="1" t="s">
        <v>23</v>
      </c>
      <c r="L833" s="1">
        <v>1</v>
      </c>
      <c r="M833" s="1">
        <v>10000</v>
      </c>
    </row>
    <row r="834" spans="4:13">
      <c r="D834" s="1" t="s">
        <v>188</v>
      </c>
      <c r="E834" s="1" t="s">
        <v>180</v>
      </c>
      <c r="H834" s="1" t="s">
        <v>181</v>
      </c>
      <c r="I834" s="1" t="s">
        <v>23</v>
      </c>
      <c r="J834" s="1">
        <v>1</v>
      </c>
      <c r="K834" s="1">
        <v>3</v>
      </c>
      <c r="M834" s="1" t="s">
        <v>182</v>
      </c>
    </row>
    <row r="835" spans="4:13">
      <c r="D835" s="1" t="s">
        <v>188</v>
      </c>
      <c r="E835" s="1" t="s">
        <v>47</v>
      </c>
      <c r="H835" s="1" t="s">
        <v>25</v>
      </c>
      <c r="I835" s="1" t="s">
        <v>23</v>
      </c>
      <c r="M835" s="1" t="b">
        <v>0</v>
      </c>
    </row>
    <row r="836" spans="4:13">
      <c r="D836" s="1" t="s">
        <v>188</v>
      </c>
      <c r="E836" s="1" t="s">
        <v>183</v>
      </c>
      <c r="H836" s="1" t="s">
        <v>25</v>
      </c>
      <c r="I836" s="1" t="s">
        <v>23</v>
      </c>
      <c r="M836" s="1" t="b">
        <v>1</v>
      </c>
    </row>
    <row r="837" spans="4:13">
      <c r="D837" s="1" t="s">
        <v>188</v>
      </c>
      <c r="E837" s="1" t="s">
        <v>189</v>
      </c>
      <c r="H837" s="1" t="s">
        <v>22</v>
      </c>
      <c r="I837" s="1" t="s">
        <v>23</v>
      </c>
      <c r="L837" s="1">
        <v>1</v>
      </c>
      <c r="M837" s="1">
        <v>1.1900000000000001E-4</v>
      </c>
    </row>
    <row r="838" spans="4:13">
      <c r="D838" s="1" t="s">
        <v>188</v>
      </c>
      <c r="E838" s="1" t="s">
        <v>112</v>
      </c>
      <c r="F838" s="1" t="s">
        <v>56</v>
      </c>
      <c r="G838" s="1" t="s">
        <v>57</v>
      </c>
      <c r="H838" s="1" t="s">
        <v>22</v>
      </c>
      <c r="I838" s="1" t="s">
        <v>29</v>
      </c>
      <c r="J838" s="1">
        <v>4.9312830828271128</v>
      </c>
      <c r="K838" s="1">
        <v>623.66227223989961</v>
      </c>
      <c r="L838" s="1">
        <v>50.713895374744951</v>
      </c>
    </row>
    <row r="839" spans="4:13">
      <c r="D839" s="1" t="s">
        <v>188</v>
      </c>
      <c r="E839" s="1" t="s">
        <v>62</v>
      </c>
      <c r="H839" s="1" t="s">
        <v>63</v>
      </c>
      <c r="I839" s="1" t="s">
        <v>23</v>
      </c>
      <c r="M839" s="1">
        <v>1</v>
      </c>
    </row>
    <row r="840" spans="4:13">
      <c r="D840" s="1" t="s">
        <v>188</v>
      </c>
      <c r="E840" s="1" t="s">
        <v>184</v>
      </c>
      <c r="H840" s="1" t="s">
        <v>22</v>
      </c>
      <c r="I840" s="1" t="s">
        <v>120</v>
      </c>
      <c r="L840" s="1">
        <v>1</v>
      </c>
    </row>
    <row r="841" spans="4:13">
      <c r="D841" s="1" t="s">
        <v>188</v>
      </c>
      <c r="E841" s="1" t="s">
        <v>185</v>
      </c>
      <c r="F841" s="1" t="s">
        <v>176</v>
      </c>
      <c r="G841" s="1" t="s">
        <v>177</v>
      </c>
      <c r="H841" s="1" t="s">
        <v>22</v>
      </c>
      <c r="I841" s="1" t="s">
        <v>65</v>
      </c>
      <c r="L841" s="1">
        <v>39.370078740157467</v>
      </c>
    </row>
    <row r="842" spans="4:13">
      <c r="D842" s="1" t="s">
        <v>188</v>
      </c>
      <c r="E842" s="1" t="s">
        <v>115</v>
      </c>
      <c r="F842" s="1" t="s">
        <v>56</v>
      </c>
      <c r="G842" s="1" t="s">
        <v>57</v>
      </c>
      <c r="H842" s="1" t="s">
        <v>22</v>
      </c>
      <c r="I842" s="1" t="s">
        <v>65</v>
      </c>
      <c r="L842" s="1">
        <v>1.4503773773020921E-4</v>
      </c>
    </row>
    <row r="843" spans="4:13">
      <c r="D843" s="1" t="s">
        <v>188</v>
      </c>
      <c r="E843" s="1" t="s">
        <v>69</v>
      </c>
      <c r="H843" s="1" t="s">
        <v>25</v>
      </c>
      <c r="I843" s="1" t="s">
        <v>70</v>
      </c>
    </row>
    <row r="844" spans="4:13">
      <c r="D844" s="1" t="s">
        <v>188</v>
      </c>
      <c r="E844" s="1" t="s">
        <v>186</v>
      </c>
      <c r="H844" s="1" t="s">
        <v>22</v>
      </c>
      <c r="I844" s="1" t="s">
        <v>65</v>
      </c>
      <c r="L844" s="1">
        <v>1</v>
      </c>
    </row>
    <row r="845" spans="4:13">
      <c r="D845" s="1" t="s">
        <v>188</v>
      </c>
      <c r="E845" s="1" t="s">
        <v>71</v>
      </c>
      <c r="F845" s="1" t="s">
        <v>52</v>
      </c>
      <c r="G845" s="1" t="s">
        <v>53</v>
      </c>
      <c r="H845" s="1" t="s">
        <v>22</v>
      </c>
      <c r="I845" s="1" t="s">
        <v>65</v>
      </c>
      <c r="L845" s="1">
        <v>7936.6414386555998</v>
      </c>
    </row>
    <row r="846" spans="4:13">
      <c r="D846" s="1" t="s">
        <v>188</v>
      </c>
      <c r="E846" s="1" t="s">
        <v>117</v>
      </c>
      <c r="F846" s="1" t="s">
        <v>118</v>
      </c>
      <c r="G846" s="1" t="s">
        <v>119</v>
      </c>
      <c r="H846" s="1" t="s">
        <v>22</v>
      </c>
      <c r="I846" s="1" t="s">
        <v>120</v>
      </c>
      <c r="J846" s="1">
        <v>0</v>
      </c>
      <c r="L846" s="1">
        <v>2.20462262185</v>
      </c>
    </row>
    <row r="847" spans="4:13">
      <c r="D847" s="1" t="s">
        <v>188</v>
      </c>
      <c r="E847" s="1" t="s">
        <v>123</v>
      </c>
      <c r="F847" s="1" t="s">
        <v>124</v>
      </c>
      <c r="G847" s="1" t="s">
        <v>125</v>
      </c>
      <c r="H847" s="1" t="s">
        <v>22</v>
      </c>
      <c r="I847" s="1" t="s">
        <v>120</v>
      </c>
      <c r="L847" s="1">
        <v>35.314666699999997</v>
      </c>
    </row>
    <row r="848" spans="4:13">
      <c r="D848" s="1" t="s">
        <v>188</v>
      </c>
      <c r="E848" s="1" t="s">
        <v>126</v>
      </c>
      <c r="H848" s="1" t="s">
        <v>22</v>
      </c>
      <c r="I848" s="1" t="s">
        <v>65</v>
      </c>
      <c r="L848" s="1">
        <v>1</v>
      </c>
    </row>
    <row r="849" spans="4:13">
      <c r="D849" s="1" t="s">
        <v>190</v>
      </c>
      <c r="E849" s="1" t="s">
        <v>28</v>
      </c>
      <c r="H849" s="1" t="s">
        <v>22</v>
      </c>
      <c r="I849" s="1" t="s">
        <v>29</v>
      </c>
      <c r="J849" s="1">
        <v>34000</v>
      </c>
      <c r="K849" s="1">
        <v>4300000</v>
      </c>
      <c r="L849" s="1">
        <v>349660</v>
      </c>
    </row>
    <row r="850" spans="4:13">
      <c r="D850" s="1" t="s">
        <v>190</v>
      </c>
      <c r="E850" s="1" t="s">
        <v>30</v>
      </c>
      <c r="H850" s="1" t="s">
        <v>22</v>
      </c>
      <c r="I850" s="1" t="s">
        <v>29</v>
      </c>
      <c r="J850" s="1">
        <v>-3.94</v>
      </c>
      <c r="K850" s="1">
        <v>3.66</v>
      </c>
      <c r="L850" s="1">
        <v>1</v>
      </c>
    </row>
    <row r="851" spans="4:13">
      <c r="D851" s="1" t="s">
        <v>190</v>
      </c>
      <c r="E851" s="1" t="s">
        <v>31</v>
      </c>
      <c r="H851" s="1" t="s">
        <v>22</v>
      </c>
      <c r="I851" s="1" t="s">
        <v>29</v>
      </c>
      <c r="J851" s="1">
        <v>0</v>
      </c>
      <c r="K851" s="1">
        <v>100</v>
      </c>
      <c r="L851" s="1">
        <v>1</v>
      </c>
    </row>
    <row r="852" spans="4:13">
      <c r="D852" s="1" t="s">
        <v>190</v>
      </c>
      <c r="E852" s="1" t="s">
        <v>32</v>
      </c>
      <c r="H852" s="1" t="s">
        <v>22</v>
      </c>
      <c r="I852" s="1" t="s">
        <v>29</v>
      </c>
      <c r="J852" s="1">
        <v>-3.94</v>
      </c>
      <c r="K852" s="1">
        <v>3.66</v>
      </c>
      <c r="L852" s="1">
        <v>1</v>
      </c>
    </row>
    <row r="853" spans="4:13">
      <c r="D853" s="1" t="s">
        <v>190</v>
      </c>
      <c r="E853" s="1" t="s">
        <v>33</v>
      </c>
      <c r="H853" s="1" t="s">
        <v>25</v>
      </c>
      <c r="I853" s="1" t="s">
        <v>23</v>
      </c>
      <c r="M853" s="1" t="b">
        <v>0</v>
      </c>
    </row>
    <row r="854" spans="4:13">
      <c r="D854" s="1" t="s">
        <v>190</v>
      </c>
      <c r="E854" s="1" t="s">
        <v>34</v>
      </c>
      <c r="F854" s="1" t="s">
        <v>35</v>
      </c>
      <c r="G854" s="1" t="s">
        <v>36</v>
      </c>
      <c r="H854" s="1" t="s">
        <v>22</v>
      </c>
      <c r="I854" s="1" t="s">
        <v>23</v>
      </c>
      <c r="J854" s="1">
        <v>-459.67</v>
      </c>
      <c r="K854" s="1">
        <v>980.32999999999993</v>
      </c>
      <c r="L854" s="1">
        <v>80.329999999999984</v>
      </c>
      <c r="M854" s="1">
        <v>67.999999999999943</v>
      </c>
    </row>
    <row r="855" spans="4:13">
      <c r="D855" s="1" t="s">
        <v>190</v>
      </c>
      <c r="E855" s="1" t="s">
        <v>37</v>
      </c>
      <c r="H855" s="1" t="s">
        <v>25</v>
      </c>
      <c r="I855" s="1" t="s">
        <v>23</v>
      </c>
      <c r="M855" s="1" t="b">
        <v>0</v>
      </c>
    </row>
    <row r="856" spans="4:13">
      <c r="D856" s="1" t="s">
        <v>190</v>
      </c>
      <c r="E856" s="1" t="s">
        <v>38</v>
      </c>
      <c r="F856" s="1" t="s">
        <v>35</v>
      </c>
      <c r="G856" s="1" t="s">
        <v>36</v>
      </c>
      <c r="H856" s="1" t="s">
        <v>22</v>
      </c>
      <c r="I856" s="1" t="s">
        <v>23</v>
      </c>
      <c r="J856" s="1">
        <v>-99.670000000000016</v>
      </c>
      <c r="K856" s="1">
        <v>980.32999999999993</v>
      </c>
      <c r="L856" s="1">
        <v>80.329999999999984</v>
      </c>
      <c r="M856" s="1">
        <v>13.999999999999943</v>
      </c>
    </row>
    <row r="857" spans="4:13">
      <c r="D857" s="1" t="s">
        <v>190</v>
      </c>
      <c r="E857" s="1" t="s">
        <v>39</v>
      </c>
      <c r="H857" s="1" t="s">
        <v>25</v>
      </c>
      <c r="I857" s="1" t="s">
        <v>23</v>
      </c>
      <c r="M857" s="1" t="b">
        <v>0</v>
      </c>
    </row>
    <row r="858" spans="4:13">
      <c r="D858" s="1" t="s">
        <v>190</v>
      </c>
      <c r="E858" s="1" t="s">
        <v>40</v>
      </c>
      <c r="F858" s="1" t="s">
        <v>41</v>
      </c>
      <c r="G858" s="1" t="s">
        <v>42</v>
      </c>
      <c r="H858" s="1" t="s">
        <v>22</v>
      </c>
      <c r="I858" s="1" t="s">
        <v>23</v>
      </c>
      <c r="J858" s="1">
        <v>-900</v>
      </c>
      <c r="K858" s="1">
        <v>900</v>
      </c>
      <c r="L858" s="1">
        <v>1.8</v>
      </c>
      <c r="M858" s="1">
        <v>9</v>
      </c>
    </row>
    <row r="859" spans="4:13">
      <c r="D859" s="1" t="s">
        <v>190</v>
      </c>
      <c r="E859" s="1" t="s">
        <v>43</v>
      </c>
      <c r="H859" s="1" t="s">
        <v>25</v>
      </c>
      <c r="I859" s="1" t="s">
        <v>23</v>
      </c>
      <c r="M859" s="1" t="b">
        <v>0</v>
      </c>
    </row>
    <row r="860" spans="4:13">
      <c r="D860" s="1" t="s">
        <v>190</v>
      </c>
      <c r="E860" s="1" t="s">
        <v>44</v>
      </c>
      <c r="F860" s="1" t="s">
        <v>45</v>
      </c>
      <c r="G860" s="1" t="s">
        <v>46</v>
      </c>
      <c r="H860" s="1" t="s">
        <v>22</v>
      </c>
      <c r="I860" s="1" t="s">
        <v>23</v>
      </c>
      <c r="J860" s="1">
        <v>-85.984522757427143</v>
      </c>
      <c r="K860" s="1">
        <v>8598.4522757427148</v>
      </c>
      <c r="L860" s="1">
        <v>114.79148749423418</v>
      </c>
      <c r="M860" s="1">
        <v>128.97678413614071</v>
      </c>
    </row>
    <row r="861" spans="4:13">
      <c r="D861" s="1" t="s">
        <v>190</v>
      </c>
      <c r="E861" s="1" t="s">
        <v>47</v>
      </c>
      <c r="H861" s="1" t="s">
        <v>25</v>
      </c>
      <c r="I861" s="1" t="s">
        <v>23</v>
      </c>
      <c r="M861" s="1" t="b">
        <v>0</v>
      </c>
    </row>
    <row r="862" spans="4:13">
      <c r="D862" s="1" t="s">
        <v>190</v>
      </c>
      <c r="E862" s="1" t="s">
        <v>48</v>
      </c>
      <c r="H862" s="1" t="s">
        <v>25</v>
      </c>
      <c r="I862" s="1" t="s">
        <v>23</v>
      </c>
      <c r="M862" s="1" t="b">
        <v>0</v>
      </c>
    </row>
    <row r="863" spans="4:13">
      <c r="D863" s="1" t="s">
        <v>190</v>
      </c>
      <c r="E863" s="1" t="s">
        <v>49</v>
      </c>
      <c r="H863" s="1" t="s">
        <v>25</v>
      </c>
      <c r="I863" s="1" t="s">
        <v>23</v>
      </c>
      <c r="M863" s="1" t="b">
        <v>0</v>
      </c>
    </row>
    <row r="864" spans="4:13">
      <c r="D864" s="1" t="s">
        <v>190</v>
      </c>
      <c r="E864" s="1" t="s">
        <v>50</v>
      </c>
      <c r="H864" s="1" t="s">
        <v>25</v>
      </c>
      <c r="I864" s="1" t="s">
        <v>23</v>
      </c>
      <c r="M864" s="1" t="b">
        <v>0</v>
      </c>
    </row>
    <row r="865" spans="4:13">
      <c r="D865" s="1" t="s">
        <v>190</v>
      </c>
      <c r="E865" s="1" t="s">
        <v>51</v>
      </c>
      <c r="F865" s="1" t="s">
        <v>52</v>
      </c>
      <c r="G865" s="1" t="s">
        <v>53</v>
      </c>
      <c r="H865" s="1" t="s">
        <v>22</v>
      </c>
      <c r="I865" s="1" t="s">
        <v>23</v>
      </c>
      <c r="J865" s="1">
        <v>0</v>
      </c>
      <c r="K865" s="1">
        <v>7936641438.6555996</v>
      </c>
      <c r="L865" s="1">
        <v>7936.6414386555998</v>
      </c>
      <c r="M865" s="1">
        <v>7936.6414386555998</v>
      </c>
    </row>
    <row r="866" spans="4:13">
      <c r="D866" s="1" t="s">
        <v>190</v>
      </c>
      <c r="E866" s="1" t="s">
        <v>54</v>
      </c>
      <c r="H866" s="1" t="s">
        <v>25</v>
      </c>
      <c r="I866" s="1" t="s">
        <v>23</v>
      </c>
      <c r="M866" s="1" t="b">
        <v>0</v>
      </c>
    </row>
    <row r="867" spans="4:13">
      <c r="D867" s="1" t="s">
        <v>190</v>
      </c>
      <c r="E867" s="1" t="s">
        <v>55</v>
      </c>
      <c r="F867" s="1" t="s">
        <v>56</v>
      </c>
      <c r="G867" s="1" t="s">
        <v>57</v>
      </c>
      <c r="H867" s="1" t="s">
        <v>22</v>
      </c>
      <c r="I867" s="1" t="s">
        <v>23</v>
      </c>
      <c r="J867" s="1">
        <v>0</v>
      </c>
      <c r="K867" s="1">
        <v>9427.4529524635982</v>
      </c>
      <c r="L867" s="1">
        <v>50.713895374744951</v>
      </c>
      <c r="M867" s="1">
        <v>50.763208205573221</v>
      </c>
    </row>
    <row r="868" spans="4:13">
      <c r="D868" s="1" t="s">
        <v>190</v>
      </c>
      <c r="E868" s="1" t="s">
        <v>58</v>
      </c>
      <c r="H868" s="1" t="s">
        <v>25</v>
      </c>
      <c r="I868" s="1" t="s">
        <v>23</v>
      </c>
      <c r="M868" s="1" t="b">
        <v>0</v>
      </c>
    </row>
    <row r="869" spans="4:13">
      <c r="D869" s="1" t="s">
        <v>190</v>
      </c>
      <c r="E869" s="1" t="s">
        <v>59</v>
      </c>
      <c r="F869" s="1" t="s">
        <v>60</v>
      </c>
      <c r="G869" s="1" t="s">
        <v>61</v>
      </c>
      <c r="H869" s="1" t="s">
        <v>22</v>
      </c>
      <c r="I869" s="1" t="s">
        <v>23</v>
      </c>
      <c r="J869" s="1">
        <v>-9.5538358650799999</v>
      </c>
      <c r="K869" s="1">
        <v>9.5538358650799999</v>
      </c>
      <c r="L869" s="1">
        <v>0.23884589662700001</v>
      </c>
      <c r="M869" s="1">
        <v>0.23884589662700001</v>
      </c>
    </row>
    <row r="870" spans="4:13">
      <c r="D870" s="1" t="s">
        <v>190</v>
      </c>
      <c r="E870" s="1" t="s">
        <v>62</v>
      </c>
      <c r="H870" s="1" t="s">
        <v>63</v>
      </c>
      <c r="I870" s="1" t="s">
        <v>23</v>
      </c>
      <c r="M870" s="1">
        <v>1</v>
      </c>
    </row>
    <row r="871" spans="4:13">
      <c r="D871" s="1" t="s">
        <v>190</v>
      </c>
      <c r="E871" s="1" t="s">
        <v>64</v>
      </c>
      <c r="F871" s="1" t="s">
        <v>35</v>
      </c>
      <c r="G871" s="1" t="s">
        <v>36</v>
      </c>
      <c r="H871" s="1" t="s">
        <v>22</v>
      </c>
      <c r="I871" s="1" t="s">
        <v>65</v>
      </c>
      <c r="J871" s="1">
        <v>-459.67</v>
      </c>
      <c r="L871" s="1">
        <v>80.329999999999984</v>
      </c>
    </row>
    <row r="872" spans="4:13">
      <c r="D872" s="1" t="s">
        <v>190</v>
      </c>
      <c r="E872" s="1" t="s">
        <v>66</v>
      </c>
      <c r="F872" s="1" t="s">
        <v>35</v>
      </c>
      <c r="G872" s="1" t="s">
        <v>36</v>
      </c>
      <c r="H872" s="1" t="s">
        <v>22</v>
      </c>
      <c r="I872" s="1" t="s">
        <v>65</v>
      </c>
      <c r="J872" s="1">
        <v>-459.67</v>
      </c>
      <c r="L872" s="1">
        <v>80.329999999999984</v>
      </c>
    </row>
    <row r="873" spans="4:13">
      <c r="D873" s="1" t="s">
        <v>190</v>
      </c>
      <c r="E873" s="1" t="s">
        <v>67</v>
      </c>
      <c r="F873" s="1" t="s">
        <v>41</v>
      </c>
      <c r="G873" s="1" t="s">
        <v>42</v>
      </c>
      <c r="H873" s="1" t="s">
        <v>22</v>
      </c>
      <c r="I873" s="1" t="s">
        <v>65</v>
      </c>
      <c r="L873" s="1">
        <v>1.8</v>
      </c>
    </row>
    <row r="874" spans="4:13">
      <c r="D874" s="1" t="s">
        <v>190</v>
      </c>
      <c r="E874" s="1" t="s">
        <v>68</v>
      </c>
      <c r="F874" s="1" t="s">
        <v>45</v>
      </c>
      <c r="G874" s="1" t="s">
        <v>46</v>
      </c>
      <c r="H874" s="1" t="s">
        <v>22</v>
      </c>
      <c r="I874" s="1" t="s">
        <v>65</v>
      </c>
      <c r="L874" s="1">
        <v>4.2992261378713571E-4</v>
      </c>
    </row>
    <row r="875" spans="4:13">
      <c r="D875" s="1" t="s">
        <v>190</v>
      </c>
      <c r="E875" s="1" t="s">
        <v>69</v>
      </c>
      <c r="H875" s="1" t="s">
        <v>25</v>
      </c>
      <c r="I875" s="1" t="s">
        <v>70</v>
      </c>
    </row>
    <row r="876" spans="4:13">
      <c r="D876" s="1" t="s">
        <v>190</v>
      </c>
      <c r="E876" s="1" t="s">
        <v>71</v>
      </c>
      <c r="F876" s="1" t="s">
        <v>52</v>
      </c>
      <c r="G876" s="1" t="s">
        <v>53</v>
      </c>
      <c r="H876" s="1" t="s">
        <v>22</v>
      </c>
      <c r="I876" s="1" t="s">
        <v>65</v>
      </c>
      <c r="L876" s="1">
        <v>7936.6414386555998</v>
      </c>
    </row>
    <row r="877" spans="4:13">
      <c r="D877" s="1" t="s">
        <v>190</v>
      </c>
      <c r="E877" s="1" t="s">
        <v>72</v>
      </c>
      <c r="F877" s="1" t="s">
        <v>56</v>
      </c>
      <c r="G877" s="1" t="s">
        <v>57</v>
      </c>
      <c r="H877" s="1" t="s">
        <v>22</v>
      </c>
      <c r="I877" s="1" t="s">
        <v>65</v>
      </c>
      <c r="J877" s="1">
        <v>0</v>
      </c>
      <c r="L877" s="1">
        <v>14.503773773020921</v>
      </c>
    </row>
    <row r="878" spans="4:13">
      <c r="D878" s="1" t="s">
        <v>190</v>
      </c>
      <c r="E878" s="1" t="s">
        <v>73</v>
      </c>
      <c r="F878" s="1" t="s">
        <v>60</v>
      </c>
      <c r="G878" s="1" t="s">
        <v>61</v>
      </c>
      <c r="H878" s="1" t="s">
        <v>22</v>
      </c>
      <c r="I878" s="1" t="s">
        <v>65</v>
      </c>
      <c r="L878" s="1">
        <v>2.38845896627E-4</v>
      </c>
    </row>
    <row r="879" spans="4:13">
      <c r="D879" s="1" t="s">
        <v>190</v>
      </c>
      <c r="E879" s="1" t="s">
        <v>74</v>
      </c>
      <c r="F879" s="1" t="s">
        <v>75</v>
      </c>
      <c r="G879" s="1" t="s">
        <v>76</v>
      </c>
      <c r="H879" s="1" t="s">
        <v>22</v>
      </c>
      <c r="I879" s="1" t="s">
        <v>65</v>
      </c>
      <c r="J879" s="1">
        <v>0</v>
      </c>
      <c r="L879" s="1">
        <v>16.018463521800001</v>
      </c>
    </row>
    <row r="880" spans="4:13">
      <c r="D880" s="1" t="s">
        <v>190</v>
      </c>
      <c r="E880" s="1" t="s">
        <v>77</v>
      </c>
      <c r="H880" s="1" t="s">
        <v>22</v>
      </c>
      <c r="I880" s="1" t="s">
        <v>65</v>
      </c>
      <c r="L880" s="1">
        <v>1</v>
      </c>
    </row>
    <row r="881" spans="4:13">
      <c r="D881" s="1" t="s">
        <v>190</v>
      </c>
      <c r="E881" s="1" t="s">
        <v>78</v>
      </c>
      <c r="H881" s="1" t="s">
        <v>25</v>
      </c>
      <c r="I881" s="1" t="s">
        <v>23</v>
      </c>
      <c r="M881" s="1" t="b">
        <v>0</v>
      </c>
    </row>
    <row r="882" spans="4:13">
      <c r="D882" s="1" t="s">
        <v>190</v>
      </c>
      <c r="E882" s="1" t="s">
        <v>79</v>
      </c>
      <c r="F882" s="1" t="s">
        <v>75</v>
      </c>
      <c r="G882" s="1" t="s">
        <v>76</v>
      </c>
      <c r="H882" s="1" t="s">
        <v>22</v>
      </c>
      <c r="I882" s="1" t="s">
        <v>23</v>
      </c>
      <c r="J882" s="1">
        <v>0</v>
      </c>
      <c r="K882" s="1">
        <v>96.110781130800007</v>
      </c>
      <c r="L882" s="1">
        <v>16.018463521800001</v>
      </c>
      <c r="M882" s="1">
        <v>1.6018463521800002</v>
      </c>
    </row>
    <row r="883" spans="4:13">
      <c r="D883" s="1" t="s">
        <v>190</v>
      </c>
      <c r="E883" s="1" t="s">
        <v>80</v>
      </c>
      <c r="H883" s="1" t="s">
        <v>25</v>
      </c>
      <c r="I883" s="1" t="s">
        <v>23</v>
      </c>
      <c r="M883" s="1" t="b">
        <v>0</v>
      </c>
    </row>
    <row r="884" spans="4:13">
      <c r="D884" s="1" t="s">
        <v>190</v>
      </c>
      <c r="E884" s="1" t="s">
        <v>81</v>
      </c>
      <c r="H884" s="1" t="s">
        <v>25</v>
      </c>
      <c r="I884" s="1" t="s">
        <v>23</v>
      </c>
      <c r="M884" s="1" t="b">
        <v>0</v>
      </c>
    </row>
    <row r="885" spans="4:13">
      <c r="D885" s="1" t="s">
        <v>190</v>
      </c>
      <c r="E885" s="1" t="s">
        <v>82</v>
      </c>
      <c r="H885" s="1" t="s">
        <v>22</v>
      </c>
      <c r="I885" s="1" t="s">
        <v>23</v>
      </c>
      <c r="J885" s="1">
        <v>-1</v>
      </c>
      <c r="K885" s="1">
        <v>3</v>
      </c>
      <c r="L885" s="1">
        <v>1</v>
      </c>
      <c r="M885" s="1">
        <v>1.01</v>
      </c>
    </row>
    <row r="886" spans="4:13">
      <c r="D886" s="1" t="s">
        <v>191</v>
      </c>
      <c r="E886" s="1" t="s">
        <v>28</v>
      </c>
      <c r="H886" s="1" t="s">
        <v>22</v>
      </c>
      <c r="I886" s="1" t="s">
        <v>29</v>
      </c>
      <c r="J886" s="1">
        <v>34000</v>
      </c>
      <c r="K886" s="1">
        <v>4300000</v>
      </c>
      <c r="L886" s="1">
        <v>349660</v>
      </c>
    </row>
    <row r="887" spans="4:13">
      <c r="D887" s="1" t="s">
        <v>191</v>
      </c>
      <c r="E887" s="1" t="s">
        <v>30</v>
      </c>
      <c r="H887" s="1" t="s">
        <v>22</v>
      </c>
      <c r="I887" s="1" t="s">
        <v>29</v>
      </c>
      <c r="J887" s="1">
        <v>-3.94</v>
      </c>
      <c r="K887" s="1">
        <v>3.66</v>
      </c>
      <c r="L887" s="1">
        <v>1</v>
      </c>
    </row>
    <row r="888" spans="4:13">
      <c r="D888" s="1" t="s">
        <v>191</v>
      </c>
      <c r="E888" s="1" t="s">
        <v>31</v>
      </c>
      <c r="H888" s="1" t="s">
        <v>22</v>
      </c>
      <c r="I888" s="1" t="s">
        <v>29</v>
      </c>
      <c r="J888" s="1">
        <v>0</v>
      </c>
      <c r="K888" s="1">
        <v>100</v>
      </c>
      <c r="L888" s="1">
        <v>1</v>
      </c>
    </row>
    <row r="889" spans="4:13">
      <c r="D889" s="1" t="s">
        <v>191</v>
      </c>
      <c r="E889" s="1" t="s">
        <v>32</v>
      </c>
      <c r="H889" s="1" t="s">
        <v>22</v>
      </c>
      <c r="I889" s="1" t="s">
        <v>29</v>
      </c>
      <c r="J889" s="1">
        <v>-3.94</v>
      </c>
      <c r="K889" s="1">
        <v>3.66</v>
      </c>
      <c r="L889" s="1">
        <v>1</v>
      </c>
    </row>
    <row r="890" spans="4:13">
      <c r="D890" s="1" t="s">
        <v>191</v>
      </c>
      <c r="E890" s="1" t="s">
        <v>33</v>
      </c>
      <c r="H890" s="1" t="s">
        <v>25</v>
      </c>
      <c r="I890" s="1" t="s">
        <v>23</v>
      </c>
      <c r="M890" s="1" t="b">
        <v>0</v>
      </c>
    </row>
    <row r="891" spans="4:13">
      <c r="D891" s="1" t="s">
        <v>191</v>
      </c>
      <c r="E891" s="1" t="s">
        <v>34</v>
      </c>
      <c r="F891" s="1" t="s">
        <v>35</v>
      </c>
      <c r="G891" s="1" t="s">
        <v>36</v>
      </c>
      <c r="H891" s="1" t="s">
        <v>22</v>
      </c>
      <c r="I891" s="1" t="s">
        <v>23</v>
      </c>
      <c r="J891" s="1">
        <v>-459.67</v>
      </c>
      <c r="K891" s="1">
        <v>980.32999999999993</v>
      </c>
      <c r="L891" s="1">
        <v>80.329999999999984</v>
      </c>
      <c r="M891" s="1">
        <v>67.999999999999943</v>
      </c>
    </row>
    <row r="892" spans="4:13">
      <c r="D892" s="1" t="s">
        <v>191</v>
      </c>
      <c r="E892" s="1" t="s">
        <v>37</v>
      </c>
      <c r="H892" s="1" t="s">
        <v>25</v>
      </c>
      <c r="I892" s="1" t="s">
        <v>23</v>
      </c>
      <c r="M892" s="1" t="b">
        <v>0</v>
      </c>
    </row>
    <row r="893" spans="4:13">
      <c r="D893" s="1" t="s">
        <v>191</v>
      </c>
      <c r="E893" s="1" t="s">
        <v>38</v>
      </c>
      <c r="F893" s="1" t="s">
        <v>35</v>
      </c>
      <c r="G893" s="1" t="s">
        <v>36</v>
      </c>
      <c r="H893" s="1" t="s">
        <v>22</v>
      </c>
      <c r="I893" s="1" t="s">
        <v>23</v>
      </c>
      <c r="J893" s="1">
        <v>-99.670000000000016</v>
      </c>
      <c r="K893" s="1">
        <v>980.32999999999993</v>
      </c>
      <c r="L893" s="1">
        <v>80.329999999999984</v>
      </c>
      <c r="M893" s="1">
        <v>13.999999999999943</v>
      </c>
    </row>
    <row r="894" spans="4:13">
      <c r="D894" s="1" t="s">
        <v>191</v>
      </c>
      <c r="E894" s="1" t="s">
        <v>39</v>
      </c>
      <c r="H894" s="1" t="s">
        <v>25</v>
      </c>
      <c r="I894" s="1" t="s">
        <v>23</v>
      </c>
      <c r="M894" s="1" t="b">
        <v>0</v>
      </c>
    </row>
    <row r="895" spans="4:13">
      <c r="D895" s="1" t="s">
        <v>191</v>
      </c>
      <c r="E895" s="1" t="s">
        <v>40</v>
      </c>
      <c r="F895" s="1" t="s">
        <v>41</v>
      </c>
      <c r="G895" s="1" t="s">
        <v>42</v>
      </c>
      <c r="H895" s="1" t="s">
        <v>22</v>
      </c>
      <c r="I895" s="1" t="s">
        <v>23</v>
      </c>
      <c r="J895" s="1">
        <v>-900</v>
      </c>
      <c r="K895" s="1">
        <v>900</v>
      </c>
      <c r="L895" s="1">
        <v>1.8</v>
      </c>
      <c r="M895" s="1">
        <v>9</v>
      </c>
    </row>
    <row r="896" spans="4:13">
      <c r="D896" s="1" t="s">
        <v>191</v>
      </c>
      <c r="E896" s="1" t="s">
        <v>43</v>
      </c>
      <c r="H896" s="1" t="s">
        <v>25</v>
      </c>
      <c r="I896" s="1" t="s">
        <v>23</v>
      </c>
      <c r="M896" s="1" t="b">
        <v>0</v>
      </c>
    </row>
    <row r="897" spans="4:13">
      <c r="D897" s="1" t="s">
        <v>191</v>
      </c>
      <c r="E897" s="1" t="s">
        <v>44</v>
      </c>
      <c r="F897" s="1" t="s">
        <v>45</v>
      </c>
      <c r="G897" s="1" t="s">
        <v>46</v>
      </c>
      <c r="H897" s="1" t="s">
        <v>22</v>
      </c>
      <c r="I897" s="1" t="s">
        <v>23</v>
      </c>
      <c r="J897" s="1">
        <v>-85.984522757427143</v>
      </c>
      <c r="K897" s="1">
        <v>8598.4522757427148</v>
      </c>
      <c r="L897" s="1">
        <v>114.79148749423418</v>
      </c>
      <c r="M897" s="1">
        <v>128.97678413614071</v>
      </c>
    </row>
    <row r="898" spans="4:13">
      <c r="D898" s="1" t="s">
        <v>191</v>
      </c>
      <c r="E898" s="1" t="s">
        <v>47</v>
      </c>
      <c r="H898" s="1" t="s">
        <v>25</v>
      </c>
      <c r="I898" s="1" t="s">
        <v>23</v>
      </c>
      <c r="M898" s="1" t="b">
        <v>0</v>
      </c>
    </row>
    <row r="899" spans="4:13">
      <c r="D899" s="1" t="s">
        <v>191</v>
      </c>
      <c r="E899" s="1" t="s">
        <v>48</v>
      </c>
      <c r="H899" s="1" t="s">
        <v>25</v>
      </c>
      <c r="I899" s="1" t="s">
        <v>23</v>
      </c>
      <c r="M899" s="1" t="b">
        <v>0</v>
      </c>
    </row>
    <row r="900" spans="4:13">
      <c r="D900" s="1" t="s">
        <v>191</v>
      </c>
      <c r="E900" s="1" t="s">
        <v>49</v>
      </c>
      <c r="H900" s="1" t="s">
        <v>25</v>
      </c>
      <c r="I900" s="1" t="s">
        <v>23</v>
      </c>
      <c r="M900" s="1" t="b">
        <v>0</v>
      </c>
    </row>
    <row r="901" spans="4:13">
      <c r="D901" s="1" t="s">
        <v>191</v>
      </c>
      <c r="E901" s="1" t="s">
        <v>50</v>
      </c>
      <c r="H901" s="1" t="s">
        <v>25</v>
      </c>
      <c r="I901" s="1" t="s">
        <v>23</v>
      </c>
      <c r="M901" s="1" t="b">
        <v>0</v>
      </c>
    </row>
    <row r="902" spans="4:13">
      <c r="D902" s="1" t="s">
        <v>191</v>
      </c>
      <c r="E902" s="1" t="s">
        <v>51</v>
      </c>
      <c r="F902" s="1" t="s">
        <v>52</v>
      </c>
      <c r="G902" s="1" t="s">
        <v>53</v>
      </c>
      <c r="H902" s="1" t="s">
        <v>22</v>
      </c>
      <c r="I902" s="1" t="s">
        <v>23</v>
      </c>
      <c r="J902" s="1">
        <v>0</v>
      </c>
      <c r="K902" s="1">
        <v>7936641438.6555996</v>
      </c>
      <c r="L902" s="1">
        <v>7936.6414386555998</v>
      </c>
      <c r="M902" s="1">
        <v>7936.6414386555998</v>
      </c>
    </row>
    <row r="903" spans="4:13">
      <c r="D903" s="1" t="s">
        <v>191</v>
      </c>
      <c r="E903" s="1" t="s">
        <v>54</v>
      </c>
      <c r="H903" s="1" t="s">
        <v>25</v>
      </c>
      <c r="I903" s="1" t="s">
        <v>23</v>
      </c>
      <c r="M903" s="1" t="b">
        <v>0</v>
      </c>
    </row>
    <row r="904" spans="4:13">
      <c r="D904" s="1" t="s">
        <v>191</v>
      </c>
      <c r="E904" s="1" t="s">
        <v>55</v>
      </c>
      <c r="F904" s="1" t="s">
        <v>56</v>
      </c>
      <c r="G904" s="1" t="s">
        <v>57</v>
      </c>
      <c r="H904" s="1" t="s">
        <v>22</v>
      </c>
      <c r="I904" s="1" t="s">
        <v>23</v>
      </c>
      <c r="J904" s="1">
        <v>0</v>
      </c>
      <c r="K904" s="1">
        <v>9427.4529524635982</v>
      </c>
      <c r="L904" s="1">
        <v>50.713895374744951</v>
      </c>
      <c r="M904" s="1">
        <v>50.763208205573221</v>
      </c>
    </row>
    <row r="905" spans="4:13">
      <c r="D905" s="1" t="s">
        <v>191</v>
      </c>
      <c r="E905" s="1" t="s">
        <v>58</v>
      </c>
      <c r="H905" s="1" t="s">
        <v>25</v>
      </c>
      <c r="I905" s="1" t="s">
        <v>23</v>
      </c>
      <c r="M905" s="1" t="b">
        <v>0</v>
      </c>
    </row>
    <row r="906" spans="4:13">
      <c r="D906" s="1" t="s">
        <v>191</v>
      </c>
      <c r="E906" s="1" t="s">
        <v>59</v>
      </c>
      <c r="F906" s="1" t="s">
        <v>60</v>
      </c>
      <c r="G906" s="1" t="s">
        <v>61</v>
      </c>
      <c r="H906" s="1" t="s">
        <v>22</v>
      </c>
      <c r="I906" s="1" t="s">
        <v>23</v>
      </c>
      <c r="J906" s="1">
        <v>-9.5538358650799999</v>
      </c>
      <c r="K906" s="1">
        <v>9.5538358650799999</v>
      </c>
      <c r="L906" s="1">
        <v>0.23884589662700001</v>
      </c>
      <c r="M906" s="1">
        <v>0.23884589662700001</v>
      </c>
    </row>
    <row r="907" spans="4:13">
      <c r="D907" s="1" t="s">
        <v>191</v>
      </c>
      <c r="E907" s="1" t="s">
        <v>62</v>
      </c>
      <c r="H907" s="1" t="s">
        <v>63</v>
      </c>
      <c r="I907" s="1" t="s">
        <v>23</v>
      </c>
      <c r="M907" s="1">
        <v>1</v>
      </c>
    </row>
    <row r="908" spans="4:13">
      <c r="D908" s="1" t="s">
        <v>191</v>
      </c>
      <c r="E908" s="1" t="s">
        <v>64</v>
      </c>
      <c r="F908" s="1" t="s">
        <v>35</v>
      </c>
      <c r="G908" s="1" t="s">
        <v>36</v>
      </c>
      <c r="H908" s="1" t="s">
        <v>22</v>
      </c>
      <c r="I908" s="1" t="s">
        <v>65</v>
      </c>
      <c r="J908" s="1">
        <v>-459.67</v>
      </c>
      <c r="L908" s="1">
        <v>80.329999999999984</v>
      </c>
    </row>
    <row r="909" spans="4:13">
      <c r="D909" s="1" t="s">
        <v>191</v>
      </c>
      <c r="E909" s="1" t="s">
        <v>66</v>
      </c>
      <c r="F909" s="1" t="s">
        <v>35</v>
      </c>
      <c r="G909" s="1" t="s">
        <v>36</v>
      </c>
      <c r="H909" s="1" t="s">
        <v>22</v>
      </c>
      <c r="I909" s="1" t="s">
        <v>65</v>
      </c>
      <c r="J909" s="1">
        <v>-459.67</v>
      </c>
      <c r="L909" s="1">
        <v>80.329999999999984</v>
      </c>
    </row>
    <row r="910" spans="4:13">
      <c r="D910" s="1" t="s">
        <v>191</v>
      </c>
      <c r="E910" s="1" t="s">
        <v>67</v>
      </c>
      <c r="F910" s="1" t="s">
        <v>41</v>
      </c>
      <c r="G910" s="1" t="s">
        <v>42</v>
      </c>
      <c r="H910" s="1" t="s">
        <v>22</v>
      </c>
      <c r="I910" s="1" t="s">
        <v>65</v>
      </c>
      <c r="L910" s="1">
        <v>1.8</v>
      </c>
    </row>
    <row r="911" spans="4:13">
      <c r="D911" s="1" t="s">
        <v>191</v>
      </c>
      <c r="E911" s="1" t="s">
        <v>68</v>
      </c>
      <c r="F911" s="1" t="s">
        <v>45</v>
      </c>
      <c r="G911" s="1" t="s">
        <v>46</v>
      </c>
      <c r="H911" s="1" t="s">
        <v>22</v>
      </c>
      <c r="I911" s="1" t="s">
        <v>65</v>
      </c>
      <c r="L911" s="1">
        <v>4.2992261378713571E-4</v>
      </c>
    </row>
    <row r="912" spans="4:13">
      <c r="D912" s="1" t="s">
        <v>191</v>
      </c>
      <c r="E912" s="1" t="s">
        <v>69</v>
      </c>
      <c r="H912" s="1" t="s">
        <v>25</v>
      </c>
      <c r="I912" s="1" t="s">
        <v>70</v>
      </c>
    </row>
    <row r="913" spans="4:13">
      <c r="D913" s="1" t="s">
        <v>191</v>
      </c>
      <c r="E913" s="1" t="s">
        <v>71</v>
      </c>
      <c r="F913" s="1" t="s">
        <v>52</v>
      </c>
      <c r="G913" s="1" t="s">
        <v>53</v>
      </c>
      <c r="H913" s="1" t="s">
        <v>22</v>
      </c>
      <c r="I913" s="1" t="s">
        <v>65</v>
      </c>
      <c r="L913" s="1">
        <v>7936.6414386555998</v>
      </c>
    </row>
    <row r="914" spans="4:13">
      <c r="D914" s="1" t="s">
        <v>191</v>
      </c>
      <c r="E914" s="1" t="s">
        <v>72</v>
      </c>
      <c r="F914" s="1" t="s">
        <v>56</v>
      </c>
      <c r="G914" s="1" t="s">
        <v>57</v>
      </c>
      <c r="H914" s="1" t="s">
        <v>22</v>
      </c>
      <c r="I914" s="1" t="s">
        <v>65</v>
      </c>
      <c r="J914" s="1">
        <v>0</v>
      </c>
      <c r="L914" s="1">
        <v>14.503773773020921</v>
      </c>
    </row>
    <row r="915" spans="4:13">
      <c r="D915" s="1" t="s">
        <v>191</v>
      </c>
      <c r="E915" s="1" t="s">
        <v>73</v>
      </c>
      <c r="F915" s="1" t="s">
        <v>60</v>
      </c>
      <c r="G915" s="1" t="s">
        <v>61</v>
      </c>
      <c r="H915" s="1" t="s">
        <v>22</v>
      </c>
      <c r="I915" s="1" t="s">
        <v>65</v>
      </c>
      <c r="L915" s="1">
        <v>2.38845896627E-4</v>
      </c>
    </row>
    <row r="916" spans="4:13">
      <c r="D916" s="1" t="s">
        <v>191</v>
      </c>
      <c r="E916" s="1" t="s">
        <v>74</v>
      </c>
      <c r="F916" s="1" t="s">
        <v>75</v>
      </c>
      <c r="G916" s="1" t="s">
        <v>76</v>
      </c>
      <c r="H916" s="1" t="s">
        <v>22</v>
      </c>
      <c r="I916" s="1" t="s">
        <v>65</v>
      </c>
      <c r="J916" s="1">
        <v>0</v>
      </c>
      <c r="L916" s="1">
        <v>16.018463521800001</v>
      </c>
    </row>
    <row r="917" spans="4:13">
      <c r="D917" s="1" t="s">
        <v>191</v>
      </c>
      <c r="E917" s="1" t="s">
        <v>77</v>
      </c>
      <c r="H917" s="1" t="s">
        <v>22</v>
      </c>
      <c r="I917" s="1" t="s">
        <v>65</v>
      </c>
      <c r="L917" s="1">
        <v>1</v>
      </c>
    </row>
    <row r="918" spans="4:13">
      <c r="D918" s="1" t="s">
        <v>191</v>
      </c>
      <c r="E918" s="1" t="s">
        <v>78</v>
      </c>
      <c r="H918" s="1" t="s">
        <v>25</v>
      </c>
      <c r="I918" s="1" t="s">
        <v>23</v>
      </c>
      <c r="M918" s="1" t="b">
        <v>0</v>
      </c>
    </row>
    <row r="919" spans="4:13">
      <c r="D919" s="1" t="s">
        <v>191</v>
      </c>
      <c r="E919" s="1" t="s">
        <v>79</v>
      </c>
      <c r="F919" s="1" t="s">
        <v>75</v>
      </c>
      <c r="G919" s="1" t="s">
        <v>76</v>
      </c>
      <c r="H919" s="1" t="s">
        <v>22</v>
      </c>
      <c r="I919" s="1" t="s">
        <v>23</v>
      </c>
      <c r="J919" s="1">
        <v>0</v>
      </c>
      <c r="K919" s="1">
        <v>96.110781130800007</v>
      </c>
      <c r="L919" s="1">
        <v>16.018463521800001</v>
      </c>
      <c r="M919" s="1">
        <v>1.6018463521800002</v>
      </c>
    </row>
    <row r="920" spans="4:13">
      <c r="D920" s="1" t="s">
        <v>191</v>
      </c>
      <c r="E920" s="1" t="s">
        <v>80</v>
      </c>
      <c r="H920" s="1" t="s">
        <v>25</v>
      </c>
      <c r="I920" s="1" t="s">
        <v>23</v>
      </c>
      <c r="M920" s="1" t="b">
        <v>0</v>
      </c>
    </row>
    <row r="921" spans="4:13">
      <c r="D921" s="1" t="s">
        <v>191</v>
      </c>
      <c r="E921" s="1" t="s">
        <v>81</v>
      </c>
      <c r="H921" s="1" t="s">
        <v>25</v>
      </c>
      <c r="I921" s="1" t="s">
        <v>23</v>
      </c>
      <c r="M921" s="1" t="b">
        <v>0</v>
      </c>
    </row>
    <row r="922" spans="4:13">
      <c r="D922" s="1" t="s">
        <v>191</v>
      </c>
      <c r="E922" s="1" t="s">
        <v>82</v>
      </c>
      <c r="H922" s="1" t="s">
        <v>22</v>
      </c>
      <c r="I922" s="1" t="s">
        <v>23</v>
      </c>
      <c r="J922" s="1">
        <v>-1</v>
      </c>
      <c r="K922" s="1">
        <v>3</v>
      </c>
      <c r="L922" s="1">
        <v>1</v>
      </c>
      <c r="M922" s="1">
        <v>1.01</v>
      </c>
    </row>
    <row r="923" spans="4:13">
      <c r="D923" s="1" t="s">
        <v>192</v>
      </c>
      <c r="E923" s="1" t="s">
        <v>171</v>
      </c>
      <c r="H923" s="1" t="s">
        <v>22</v>
      </c>
      <c r="I923" s="1" t="s">
        <v>23</v>
      </c>
      <c r="L923" s="1">
        <v>1</v>
      </c>
      <c r="M923" s="1">
        <v>3.0558000000000001</v>
      </c>
    </row>
    <row r="924" spans="4:13">
      <c r="D924" s="1" t="s">
        <v>192</v>
      </c>
      <c r="E924" s="1" t="s">
        <v>172</v>
      </c>
      <c r="H924" s="1" t="s">
        <v>22</v>
      </c>
      <c r="I924" s="1" t="s">
        <v>29</v>
      </c>
      <c r="J924" s="1">
        <v>0</v>
      </c>
      <c r="K924" s="1">
        <v>10000</v>
      </c>
      <c r="L924" s="1">
        <v>5000</v>
      </c>
    </row>
    <row r="925" spans="4:13">
      <c r="D925" s="1" t="s">
        <v>192</v>
      </c>
      <c r="E925" s="1" t="s">
        <v>173</v>
      </c>
      <c r="H925" s="1" t="s">
        <v>22</v>
      </c>
      <c r="I925" s="1" t="s">
        <v>29</v>
      </c>
      <c r="J925" s="1">
        <v>9.9999999999999995E-7</v>
      </c>
      <c r="K925" s="1">
        <v>0.01</v>
      </c>
      <c r="L925" s="1">
        <v>5.0004999999999997E-3</v>
      </c>
    </row>
    <row r="926" spans="4:13">
      <c r="D926" s="1" t="s">
        <v>192</v>
      </c>
      <c r="E926" s="1" t="s">
        <v>174</v>
      </c>
      <c r="H926" s="1" t="s">
        <v>25</v>
      </c>
      <c r="I926" s="1" t="s">
        <v>23</v>
      </c>
      <c r="M926" s="1" t="b">
        <v>1</v>
      </c>
    </row>
    <row r="927" spans="4:13">
      <c r="D927" s="1" t="s">
        <v>192</v>
      </c>
      <c r="E927" s="1" t="s">
        <v>175</v>
      </c>
      <c r="F927" s="1" t="s">
        <v>176</v>
      </c>
      <c r="G927" s="1" t="s">
        <v>177</v>
      </c>
      <c r="H927" s="1" t="s">
        <v>22</v>
      </c>
      <c r="I927" s="1" t="s">
        <v>23</v>
      </c>
      <c r="L927" s="1">
        <v>39.370078740157467</v>
      </c>
      <c r="M927" s="1">
        <v>2.4349999999999992</v>
      </c>
    </row>
    <row r="928" spans="4:13">
      <c r="D928" s="1" t="s">
        <v>192</v>
      </c>
      <c r="E928" s="1" t="s">
        <v>178</v>
      </c>
      <c r="H928" s="1" t="s">
        <v>25</v>
      </c>
      <c r="I928" s="1" t="s">
        <v>23</v>
      </c>
      <c r="M928" s="1" t="b">
        <v>0</v>
      </c>
    </row>
    <row r="929" spans="4:13">
      <c r="D929" s="1" t="s">
        <v>192</v>
      </c>
      <c r="E929" s="1" t="s">
        <v>111</v>
      </c>
      <c r="F929" s="1" t="s">
        <v>56</v>
      </c>
      <c r="G929" s="1" t="s">
        <v>57</v>
      </c>
      <c r="H929" s="1" t="s">
        <v>22</v>
      </c>
      <c r="I929" s="1" t="s">
        <v>23</v>
      </c>
      <c r="L929" s="1">
        <v>1.4503773773020921E-4</v>
      </c>
      <c r="M929" s="1">
        <v>7.2518868865104604E-3</v>
      </c>
    </row>
    <row r="930" spans="4:13">
      <c r="D930" s="1" t="s">
        <v>192</v>
      </c>
      <c r="E930" s="1" t="s">
        <v>179</v>
      </c>
      <c r="H930" s="1" t="s">
        <v>22</v>
      </c>
      <c r="I930" s="1" t="s">
        <v>23</v>
      </c>
      <c r="L930" s="1">
        <v>1</v>
      </c>
      <c r="M930" s="1">
        <v>10000</v>
      </c>
    </row>
    <row r="931" spans="4:13">
      <c r="D931" s="1" t="s">
        <v>192</v>
      </c>
      <c r="E931" s="1" t="s">
        <v>180</v>
      </c>
      <c r="H931" s="1" t="s">
        <v>181</v>
      </c>
      <c r="I931" s="1" t="s">
        <v>23</v>
      </c>
      <c r="J931" s="1">
        <v>1</v>
      </c>
      <c r="K931" s="1">
        <v>3</v>
      </c>
      <c r="M931" s="1" t="s">
        <v>182</v>
      </c>
    </row>
    <row r="932" spans="4:13">
      <c r="D932" s="1" t="s">
        <v>192</v>
      </c>
      <c r="E932" s="1" t="s">
        <v>47</v>
      </c>
      <c r="H932" s="1" t="s">
        <v>25</v>
      </c>
      <c r="I932" s="1" t="s">
        <v>23</v>
      </c>
      <c r="M932" s="1" t="b">
        <v>0</v>
      </c>
    </row>
    <row r="933" spans="4:13">
      <c r="D933" s="1" t="s">
        <v>192</v>
      </c>
      <c r="E933" s="1" t="s">
        <v>183</v>
      </c>
      <c r="H933" s="1" t="s">
        <v>25</v>
      </c>
      <c r="I933" s="1" t="s">
        <v>23</v>
      </c>
      <c r="M933" s="1" t="b">
        <v>1</v>
      </c>
    </row>
    <row r="934" spans="4:13">
      <c r="D934" s="1" t="s">
        <v>192</v>
      </c>
      <c r="E934" s="1" t="s">
        <v>189</v>
      </c>
      <c r="H934" s="1" t="s">
        <v>22</v>
      </c>
      <c r="I934" s="1" t="s">
        <v>23</v>
      </c>
      <c r="L934" s="1">
        <v>1</v>
      </c>
      <c r="M934" s="1">
        <v>3.2400000000000001E-4</v>
      </c>
    </row>
    <row r="935" spans="4:13">
      <c r="D935" s="1" t="s">
        <v>192</v>
      </c>
      <c r="E935" s="1" t="s">
        <v>112</v>
      </c>
      <c r="F935" s="1" t="s">
        <v>56</v>
      </c>
      <c r="G935" s="1" t="s">
        <v>57</v>
      </c>
      <c r="H935" s="1" t="s">
        <v>22</v>
      </c>
      <c r="I935" s="1" t="s">
        <v>29</v>
      </c>
      <c r="J935" s="1">
        <v>4.9312830828271128</v>
      </c>
      <c r="K935" s="1">
        <v>623.66227223989961</v>
      </c>
      <c r="L935" s="1">
        <v>50.713895374744951</v>
      </c>
    </row>
    <row r="936" spans="4:13">
      <c r="D936" s="1" t="s">
        <v>192</v>
      </c>
      <c r="E936" s="1" t="s">
        <v>62</v>
      </c>
      <c r="H936" s="1" t="s">
        <v>63</v>
      </c>
      <c r="I936" s="1" t="s">
        <v>23</v>
      </c>
      <c r="M936" s="1">
        <v>1</v>
      </c>
    </row>
    <row r="937" spans="4:13">
      <c r="D937" s="1" t="s">
        <v>192</v>
      </c>
      <c r="E937" s="1" t="s">
        <v>184</v>
      </c>
      <c r="H937" s="1" t="s">
        <v>22</v>
      </c>
      <c r="I937" s="1" t="s">
        <v>120</v>
      </c>
      <c r="L937" s="1">
        <v>1</v>
      </c>
    </row>
    <row r="938" spans="4:13">
      <c r="D938" s="1" t="s">
        <v>192</v>
      </c>
      <c r="E938" s="1" t="s">
        <v>185</v>
      </c>
      <c r="F938" s="1" t="s">
        <v>176</v>
      </c>
      <c r="G938" s="1" t="s">
        <v>177</v>
      </c>
      <c r="H938" s="1" t="s">
        <v>22</v>
      </c>
      <c r="I938" s="1" t="s">
        <v>65</v>
      </c>
      <c r="L938" s="1">
        <v>39.370078740157467</v>
      </c>
    </row>
    <row r="939" spans="4:13">
      <c r="D939" s="1" t="s">
        <v>192</v>
      </c>
      <c r="E939" s="1" t="s">
        <v>115</v>
      </c>
      <c r="F939" s="1" t="s">
        <v>56</v>
      </c>
      <c r="G939" s="1" t="s">
        <v>57</v>
      </c>
      <c r="H939" s="1" t="s">
        <v>22</v>
      </c>
      <c r="I939" s="1" t="s">
        <v>65</v>
      </c>
      <c r="L939" s="1">
        <v>1.4503773773020921E-4</v>
      </c>
    </row>
    <row r="940" spans="4:13">
      <c r="D940" s="1" t="s">
        <v>192</v>
      </c>
      <c r="E940" s="1" t="s">
        <v>69</v>
      </c>
      <c r="H940" s="1" t="s">
        <v>25</v>
      </c>
      <c r="I940" s="1" t="s">
        <v>70</v>
      </c>
    </row>
    <row r="941" spans="4:13">
      <c r="D941" s="1" t="s">
        <v>192</v>
      </c>
      <c r="E941" s="1" t="s">
        <v>186</v>
      </c>
      <c r="H941" s="1" t="s">
        <v>22</v>
      </c>
      <c r="I941" s="1" t="s">
        <v>65</v>
      </c>
      <c r="L941" s="1">
        <v>1</v>
      </c>
    </row>
    <row r="942" spans="4:13">
      <c r="D942" s="1" t="s">
        <v>192</v>
      </c>
      <c r="E942" s="1" t="s">
        <v>71</v>
      </c>
      <c r="F942" s="1" t="s">
        <v>52</v>
      </c>
      <c r="G942" s="1" t="s">
        <v>53</v>
      </c>
      <c r="H942" s="1" t="s">
        <v>22</v>
      </c>
      <c r="I942" s="1" t="s">
        <v>65</v>
      </c>
      <c r="L942" s="1">
        <v>7936.6414386555998</v>
      </c>
    </row>
    <row r="943" spans="4:13">
      <c r="D943" s="1" t="s">
        <v>192</v>
      </c>
      <c r="E943" s="1" t="s">
        <v>117</v>
      </c>
      <c r="F943" s="1" t="s">
        <v>118</v>
      </c>
      <c r="G943" s="1" t="s">
        <v>119</v>
      </c>
      <c r="H943" s="1" t="s">
        <v>22</v>
      </c>
      <c r="I943" s="1" t="s">
        <v>120</v>
      </c>
      <c r="J943" s="1">
        <v>0</v>
      </c>
      <c r="L943" s="1">
        <v>2.20462262185</v>
      </c>
    </row>
    <row r="944" spans="4:13">
      <c r="D944" s="1" t="s">
        <v>192</v>
      </c>
      <c r="E944" s="1" t="s">
        <v>123</v>
      </c>
      <c r="F944" s="1" t="s">
        <v>124</v>
      </c>
      <c r="G944" s="1" t="s">
        <v>125</v>
      </c>
      <c r="H944" s="1" t="s">
        <v>22</v>
      </c>
      <c r="I944" s="1" t="s">
        <v>120</v>
      </c>
      <c r="L944" s="1">
        <v>35.314666699999997</v>
      </c>
    </row>
    <row r="945" spans="4:13">
      <c r="D945" s="1" t="s">
        <v>192</v>
      </c>
      <c r="E945" s="1" t="s">
        <v>126</v>
      </c>
      <c r="H945" s="1" t="s">
        <v>22</v>
      </c>
      <c r="I945" s="1" t="s">
        <v>65</v>
      </c>
      <c r="L945" s="1">
        <v>1</v>
      </c>
    </row>
    <row r="946" spans="4:13">
      <c r="D946" s="1" t="s">
        <v>193</v>
      </c>
      <c r="E946" s="1" t="s">
        <v>28</v>
      </c>
      <c r="H946" s="1" t="s">
        <v>22</v>
      </c>
      <c r="I946" s="1" t="s">
        <v>29</v>
      </c>
      <c r="J946" s="1">
        <v>34000</v>
      </c>
      <c r="K946" s="1">
        <v>4300000</v>
      </c>
      <c r="L946" s="1">
        <v>349660</v>
      </c>
    </row>
    <row r="947" spans="4:13">
      <c r="D947" s="1" t="s">
        <v>193</v>
      </c>
      <c r="E947" s="1" t="s">
        <v>30</v>
      </c>
      <c r="H947" s="1" t="s">
        <v>22</v>
      </c>
      <c r="I947" s="1" t="s">
        <v>29</v>
      </c>
      <c r="J947" s="1">
        <v>-3.94</v>
      </c>
      <c r="K947" s="1">
        <v>3.66</v>
      </c>
      <c r="L947" s="1">
        <v>1</v>
      </c>
    </row>
    <row r="948" spans="4:13">
      <c r="D948" s="1" t="s">
        <v>193</v>
      </c>
      <c r="E948" s="1" t="s">
        <v>31</v>
      </c>
      <c r="H948" s="1" t="s">
        <v>22</v>
      </c>
      <c r="I948" s="1" t="s">
        <v>29</v>
      </c>
      <c r="J948" s="1">
        <v>0</v>
      </c>
      <c r="K948" s="1">
        <v>100</v>
      </c>
      <c r="L948" s="1">
        <v>1</v>
      </c>
    </row>
    <row r="949" spans="4:13">
      <c r="D949" s="1" t="s">
        <v>193</v>
      </c>
      <c r="E949" s="1" t="s">
        <v>32</v>
      </c>
      <c r="H949" s="1" t="s">
        <v>22</v>
      </c>
      <c r="I949" s="1" t="s">
        <v>29</v>
      </c>
      <c r="J949" s="1">
        <v>-3.94</v>
      </c>
      <c r="K949" s="1">
        <v>3.66</v>
      </c>
      <c r="L949" s="1">
        <v>1</v>
      </c>
    </row>
    <row r="950" spans="4:13">
      <c r="D950" s="1" t="s">
        <v>193</v>
      </c>
      <c r="E950" s="1" t="s">
        <v>33</v>
      </c>
      <c r="H950" s="1" t="s">
        <v>25</v>
      </c>
      <c r="I950" s="1" t="s">
        <v>23</v>
      </c>
      <c r="M950" s="1" t="b">
        <v>0</v>
      </c>
    </row>
    <row r="951" spans="4:13">
      <c r="D951" s="1" t="s">
        <v>193</v>
      </c>
      <c r="E951" s="1" t="s">
        <v>34</v>
      </c>
      <c r="F951" s="1" t="s">
        <v>35</v>
      </c>
      <c r="G951" s="1" t="s">
        <v>36</v>
      </c>
      <c r="H951" s="1" t="s">
        <v>22</v>
      </c>
      <c r="I951" s="1" t="s">
        <v>23</v>
      </c>
      <c r="J951" s="1">
        <v>-459.67</v>
      </c>
      <c r="K951" s="1">
        <v>980.32999999999993</v>
      </c>
      <c r="L951" s="1">
        <v>80.329999999999984</v>
      </c>
      <c r="M951" s="1">
        <v>67.999999999999943</v>
      </c>
    </row>
    <row r="952" spans="4:13">
      <c r="D952" s="1" t="s">
        <v>193</v>
      </c>
      <c r="E952" s="1" t="s">
        <v>37</v>
      </c>
      <c r="H952" s="1" t="s">
        <v>25</v>
      </c>
      <c r="I952" s="1" t="s">
        <v>23</v>
      </c>
      <c r="M952" s="1" t="b">
        <v>0</v>
      </c>
    </row>
    <row r="953" spans="4:13">
      <c r="D953" s="1" t="s">
        <v>193</v>
      </c>
      <c r="E953" s="1" t="s">
        <v>38</v>
      </c>
      <c r="F953" s="1" t="s">
        <v>35</v>
      </c>
      <c r="G953" s="1" t="s">
        <v>36</v>
      </c>
      <c r="H953" s="1" t="s">
        <v>22</v>
      </c>
      <c r="I953" s="1" t="s">
        <v>23</v>
      </c>
      <c r="J953" s="1">
        <v>-99.670000000000016</v>
      </c>
      <c r="K953" s="1">
        <v>980.32999999999993</v>
      </c>
      <c r="L953" s="1">
        <v>80.329999999999984</v>
      </c>
      <c r="M953" s="1">
        <v>13.999999999999943</v>
      </c>
    </row>
    <row r="954" spans="4:13">
      <c r="D954" s="1" t="s">
        <v>193</v>
      </c>
      <c r="E954" s="1" t="s">
        <v>39</v>
      </c>
      <c r="H954" s="1" t="s">
        <v>25</v>
      </c>
      <c r="I954" s="1" t="s">
        <v>23</v>
      </c>
      <c r="M954" s="1" t="b">
        <v>0</v>
      </c>
    </row>
    <row r="955" spans="4:13">
      <c r="D955" s="1" t="s">
        <v>193</v>
      </c>
      <c r="E955" s="1" t="s">
        <v>40</v>
      </c>
      <c r="F955" s="1" t="s">
        <v>41</v>
      </c>
      <c r="G955" s="1" t="s">
        <v>42</v>
      </c>
      <c r="H955" s="1" t="s">
        <v>22</v>
      </c>
      <c r="I955" s="1" t="s">
        <v>23</v>
      </c>
      <c r="J955" s="1">
        <v>-900</v>
      </c>
      <c r="K955" s="1">
        <v>900</v>
      </c>
      <c r="L955" s="1">
        <v>1.8</v>
      </c>
      <c r="M955" s="1">
        <v>9</v>
      </c>
    </row>
    <row r="956" spans="4:13">
      <c r="D956" s="1" t="s">
        <v>193</v>
      </c>
      <c r="E956" s="1" t="s">
        <v>43</v>
      </c>
      <c r="H956" s="1" t="s">
        <v>25</v>
      </c>
      <c r="I956" s="1" t="s">
        <v>23</v>
      </c>
      <c r="M956" s="1" t="b">
        <v>0</v>
      </c>
    </row>
    <row r="957" spans="4:13">
      <c r="D957" s="1" t="s">
        <v>193</v>
      </c>
      <c r="E957" s="1" t="s">
        <v>44</v>
      </c>
      <c r="F957" s="1" t="s">
        <v>45</v>
      </c>
      <c r="G957" s="1" t="s">
        <v>46</v>
      </c>
      <c r="H957" s="1" t="s">
        <v>22</v>
      </c>
      <c r="I957" s="1" t="s">
        <v>23</v>
      </c>
      <c r="J957" s="1">
        <v>-85.984522757427143</v>
      </c>
      <c r="K957" s="1">
        <v>8598.4522757427148</v>
      </c>
      <c r="L957" s="1">
        <v>114.79148749423418</v>
      </c>
      <c r="M957" s="1">
        <v>128.97678413614071</v>
      </c>
    </row>
    <row r="958" spans="4:13">
      <c r="D958" s="1" t="s">
        <v>193</v>
      </c>
      <c r="E958" s="1" t="s">
        <v>47</v>
      </c>
      <c r="H958" s="1" t="s">
        <v>25</v>
      </c>
      <c r="I958" s="1" t="s">
        <v>23</v>
      </c>
      <c r="M958" s="1" t="b">
        <v>0</v>
      </c>
    </row>
    <row r="959" spans="4:13">
      <c r="D959" s="1" t="s">
        <v>193</v>
      </c>
      <c r="E959" s="1" t="s">
        <v>48</v>
      </c>
      <c r="H959" s="1" t="s">
        <v>25</v>
      </c>
      <c r="I959" s="1" t="s">
        <v>23</v>
      </c>
      <c r="M959" s="1" t="b">
        <v>0</v>
      </c>
    </row>
    <row r="960" spans="4:13">
      <c r="D960" s="1" t="s">
        <v>193</v>
      </c>
      <c r="E960" s="1" t="s">
        <v>49</v>
      </c>
      <c r="H960" s="1" t="s">
        <v>25</v>
      </c>
      <c r="I960" s="1" t="s">
        <v>23</v>
      </c>
      <c r="M960" s="1" t="b">
        <v>0</v>
      </c>
    </row>
    <row r="961" spans="4:13">
      <c r="D961" s="1" t="s">
        <v>193</v>
      </c>
      <c r="E961" s="1" t="s">
        <v>50</v>
      </c>
      <c r="H961" s="1" t="s">
        <v>25</v>
      </c>
      <c r="I961" s="1" t="s">
        <v>23</v>
      </c>
      <c r="M961" s="1" t="b">
        <v>0</v>
      </c>
    </row>
    <row r="962" spans="4:13">
      <c r="D962" s="1" t="s">
        <v>193</v>
      </c>
      <c r="E962" s="1" t="s">
        <v>51</v>
      </c>
      <c r="F962" s="1" t="s">
        <v>52</v>
      </c>
      <c r="G962" s="1" t="s">
        <v>53</v>
      </c>
      <c r="H962" s="1" t="s">
        <v>22</v>
      </c>
      <c r="I962" s="1" t="s">
        <v>23</v>
      </c>
      <c r="J962" s="1">
        <v>0</v>
      </c>
      <c r="K962" s="1">
        <v>7936641438.6555996</v>
      </c>
      <c r="L962" s="1">
        <v>7936.6414386555998</v>
      </c>
      <c r="M962" s="1">
        <v>7936.6414386555998</v>
      </c>
    </row>
    <row r="963" spans="4:13">
      <c r="D963" s="1" t="s">
        <v>193</v>
      </c>
      <c r="E963" s="1" t="s">
        <v>54</v>
      </c>
      <c r="H963" s="1" t="s">
        <v>25</v>
      </c>
      <c r="I963" s="1" t="s">
        <v>23</v>
      </c>
      <c r="M963" s="1" t="b">
        <v>0</v>
      </c>
    </row>
    <row r="964" spans="4:13">
      <c r="D964" s="1" t="s">
        <v>193</v>
      </c>
      <c r="E964" s="1" t="s">
        <v>55</v>
      </c>
      <c r="F964" s="1" t="s">
        <v>56</v>
      </c>
      <c r="G964" s="1" t="s">
        <v>57</v>
      </c>
      <c r="H964" s="1" t="s">
        <v>22</v>
      </c>
      <c r="I964" s="1" t="s">
        <v>23</v>
      </c>
      <c r="J964" s="1">
        <v>0</v>
      </c>
      <c r="K964" s="1">
        <v>9427.4529524635982</v>
      </c>
      <c r="L964" s="1">
        <v>50.713895374744951</v>
      </c>
      <c r="M964" s="1">
        <v>50.763208205573221</v>
      </c>
    </row>
    <row r="965" spans="4:13">
      <c r="D965" s="1" t="s">
        <v>193</v>
      </c>
      <c r="E965" s="1" t="s">
        <v>58</v>
      </c>
      <c r="H965" s="1" t="s">
        <v>25</v>
      </c>
      <c r="I965" s="1" t="s">
        <v>23</v>
      </c>
      <c r="M965" s="1" t="b">
        <v>0</v>
      </c>
    </row>
    <row r="966" spans="4:13">
      <c r="D966" s="1" t="s">
        <v>193</v>
      </c>
      <c r="E966" s="1" t="s">
        <v>59</v>
      </c>
      <c r="F966" s="1" t="s">
        <v>60</v>
      </c>
      <c r="G966" s="1" t="s">
        <v>61</v>
      </c>
      <c r="H966" s="1" t="s">
        <v>22</v>
      </c>
      <c r="I966" s="1" t="s">
        <v>23</v>
      </c>
      <c r="J966" s="1">
        <v>-9.5538358650799999</v>
      </c>
      <c r="K966" s="1">
        <v>9.5538358650799999</v>
      </c>
      <c r="L966" s="1">
        <v>0.23884589662700001</v>
      </c>
      <c r="M966" s="1">
        <v>0.23884589662700001</v>
      </c>
    </row>
    <row r="967" spans="4:13">
      <c r="D967" s="1" t="s">
        <v>193</v>
      </c>
      <c r="E967" s="1" t="s">
        <v>62</v>
      </c>
      <c r="H967" s="1" t="s">
        <v>63</v>
      </c>
      <c r="I967" s="1" t="s">
        <v>23</v>
      </c>
      <c r="M967" s="1">
        <v>1</v>
      </c>
    </row>
    <row r="968" spans="4:13">
      <c r="D968" s="1" t="s">
        <v>193</v>
      </c>
      <c r="E968" s="1" t="s">
        <v>64</v>
      </c>
      <c r="F968" s="1" t="s">
        <v>35</v>
      </c>
      <c r="G968" s="1" t="s">
        <v>36</v>
      </c>
      <c r="H968" s="1" t="s">
        <v>22</v>
      </c>
      <c r="I968" s="1" t="s">
        <v>65</v>
      </c>
      <c r="J968" s="1">
        <v>-459.67</v>
      </c>
      <c r="L968" s="1">
        <v>80.329999999999984</v>
      </c>
    </row>
    <row r="969" spans="4:13">
      <c r="D969" s="1" t="s">
        <v>193</v>
      </c>
      <c r="E969" s="1" t="s">
        <v>66</v>
      </c>
      <c r="F969" s="1" t="s">
        <v>35</v>
      </c>
      <c r="G969" s="1" t="s">
        <v>36</v>
      </c>
      <c r="H969" s="1" t="s">
        <v>22</v>
      </c>
      <c r="I969" s="1" t="s">
        <v>65</v>
      </c>
      <c r="J969" s="1">
        <v>-459.67</v>
      </c>
      <c r="L969" s="1">
        <v>80.329999999999984</v>
      </c>
    </row>
    <row r="970" spans="4:13">
      <c r="D970" s="1" t="s">
        <v>193</v>
      </c>
      <c r="E970" s="1" t="s">
        <v>67</v>
      </c>
      <c r="F970" s="1" t="s">
        <v>41</v>
      </c>
      <c r="G970" s="1" t="s">
        <v>42</v>
      </c>
      <c r="H970" s="1" t="s">
        <v>22</v>
      </c>
      <c r="I970" s="1" t="s">
        <v>65</v>
      </c>
      <c r="L970" s="1">
        <v>1.8</v>
      </c>
    </row>
    <row r="971" spans="4:13">
      <c r="D971" s="1" t="s">
        <v>193</v>
      </c>
      <c r="E971" s="1" t="s">
        <v>68</v>
      </c>
      <c r="F971" s="1" t="s">
        <v>45</v>
      </c>
      <c r="G971" s="1" t="s">
        <v>46</v>
      </c>
      <c r="H971" s="1" t="s">
        <v>22</v>
      </c>
      <c r="I971" s="1" t="s">
        <v>65</v>
      </c>
      <c r="L971" s="1">
        <v>4.2992261378713571E-4</v>
      </c>
    </row>
    <row r="972" spans="4:13">
      <c r="D972" s="1" t="s">
        <v>193</v>
      </c>
      <c r="E972" s="1" t="s">
        <v>69</v>
      </c>
      <c r="H972" s="1" t="s">
        <v>25</v>
      </c>
      <c r="I972" s="1" t="s">
        <v>70</v>
      </c>
    </row>
    <row r="973" spans="4:13">
      <c r="D973" s="1" t="s">
        <v>193</v>
      </c>
      <c r="E973" s="1" t="s">
        <v>71</v>
      </c>
      <c r="F973" s="1" t="s">
        <v>52</v>
      </c>
      <c r="G973" s="1" t="s">
        <v>53</v>
      </c>
      <c r="H973" s="1" t="s">
        <v>22</v>
      </c>
      <c r="I973" s="1" t="s">
        <v>65</v>
      </c>
      <c r="L973" s="1">
        <v>7936.6414386555998</v>
      </c>
    </row>
    <row r="974" spans="4:13">
      <c r="D974" s="1" t="s">
        <v>193</v>
      </c>
      <c r="E974" s="1" t="s">
        <v>72</v>
      </c>
      <c r="F974" s="1" t="s">
        <v>56</v>
      </c>
      <c r="G974" s="1" t="s">
        <v>57</v>
      </c>
      <c r="H974" s="1" t="s">
        <v>22</v>
      </c>
      <c r="I974" s="1" t="s">
        <v>65</v>
      </c>
      <c r="J974" s="1">
        <v>0</v>
      </c>
      <c r="L974" s="1">
        <v>14.503773773020921</v>
      </c>
    </row>
    <row r="975" spans="4:13">
      <c r="D975" s="1" t="s">
        <v>193</v>
      </c>
      <c r="E975" s="1" t="s">
        <v>73</v>
      </c>
      <c r="F975" s="1" t="s">
        <v>60</v>
      </c>
      <c r="G975" s="1" t="s">
        <v>61</v>
      </c>
      <c r="H975" s="1" t="s">
        <v>22</v>
      </c>
      <c r="I975" s="1" t="s">
        <v>65</v>
      </c>
      <c r="L975" s="1">
        <v>2.38845896627E-4</v>
      </c>
    </row>
    <row r="976" spans="4:13">
      <c r="D976" s="1" t="s">
        <v>193</v>
      </c>
      <c r="E976" s="1" t="s">
        <v>74</v>
      </c>
      <c r="F976" s="1" t="s">
        <v>75</v>
      </c>
      <c r="G976" s="1" t="s">
        <v>76</v>
      </c>
      <c r="H976" s="1" t="s">
        <v>22</v>
      </c>
      <c r="I976" s="1" t="s">
        <v>65</v>
      </c>
      <c r="J976" s="1">
        <v>0</v>
      </c>
      <c r="L976" s="1">
        <v>16.018463521800001</v>
      </c>
    </row>
    <row r="977" spans="4:13">
      <c r="D977" s="1" t="s">
        <v>193</v>
      </c>
      <c r="E977" s="1" t="s">
        <v>77</v>
      </c>
      <c r="H977" s="1" t="s">
        <v>22</v>
      </c>
      <c r="I977" s="1" t="s">
        <v>65</v>
      </c>
      <c r="L977" s="1">
        <v>1</v>
      </c>
    </row>
    <row r="978" spans="4:13">
      <c r="D978" s="1" t="s">
        <v>193</v>
      </c>
      <c r="E978" s="1" t="s">
        <v>78</v>
      </c>
      <c r="H978" s="1" t="s">
        <v>25</v>
      </c>
      <c r="I978" s="1" t="s">
        <v>23</v>
      </c>
      <c r="M978" s="1" t="b">
        <v>0</v>
      </c>
    </row>
    <row r="979" spans="4:13">
      <c r="D979" s="1" t="s">
        <v>193</v>
      </c>
      <c r="E979" s="1" t="s">
        <v>79</v>
      </c>
      <c r="F979" s="1" t="s">
        <v>75</v>
      </c>
      <c r="G979" s="1" t="s">
        <v>76</v>
      </c>
      <c r="H979" s="1" t="s">
        <v>22</v>
      </c>
      <c r="I979" s="1" t="s">
        <v>23</v>
      </c>
      <c r="J979" s="1">
        <v>0</v>
      </c>
      <c r="K979" s="1">
        <v>96.110781130800007</v>
      </c>
      <c r="L979" s="1">
        <v>16.018463521800001</v>
      </c>
      <c r="M979" s="1">
        <v>1.6018463521800002</v>
      </c>
    </row>
    <row r="980" spans="4:13">
      <c r="D980" s="1" t="s">
        <v>193</v>
      </c>
      <c r="E980" s="1" t="s">
        <v>80</v>
      </c>
      <c r="H980" s="1" t="s">
        <v>25</v>
      </c>
      <c r="I980" s="1" t="s">
        <v>23</v>
      </c>
      <c r="M980" s="1" t="b">
        <v>0</v>
      </c>
    </row>
    <row r="981" spans="4:13">
      <c r="D981" s="1" t="s">
        <v>193</v>
      </c>
      <c r="E981" s="1" t="s">
        <v>81</v>
      </c>
      <c r="H981" s="1" t="s">
        <v>25</v>
      </c>
      <c r="I981" s="1" t="s">
        <v>23</v>
      </c>
      <c r="M981" s="1" t="b">
        <v>0</v>
      </c>
    </row>
    <row r="982" spans="4:13">
      <c r="D982" s="1" t="s">
        <v>193</v>
      </c>
      <c r="E982" s="1" t="s">
        <v>82</v>
      </c>
      <c r="H982" s="1" t="s">
        <v>22</v>
      </c>
      <c r="I982" s="1" t="s">
        <v>23</v>
      </c>
      <c r="J982" s="1">
        <v>-1</v>
      </c>
      <c r="K982" s="1">
        <v>3</v>
      </c>
      <c r="L982" s="1">
        <v>1</v>
      </c>
      <c r="M982" s="1">
        <v>1.01</v>
      </c>
    </row>
    <row r="983" spans="4:13">
      <c r="D983" s="1" t="s">
        <v>194</v>
      </c>
      <c r="E983" s="1" t="s">
        <v>171</v>
      </c>
      <c r="H983" s="1" t="s">
        <v>22</v>
      </c>
      <c r="I983" s="1" t="s">
        <v>23</v>
      </c>
      <c r="L983" s="1">
        <v>1</v>
      </c>
      <c r="M983" s="1">
        <v>3.0558000000000001</v>
      </c>
    </row>
    <row r="984" spans="4:13">
      <c r="D984" s="1" t="s">
        <v>194</v>
      </c>
      <c r="E984" s="1" t="s">
        <v>172</v>
      </c>
      <c r="H984" s="1" t="s">
        <v>22</v>
      </c>
      <c r="I984" s="1" t="s">
        <v>29</v>
      </c>
      <c r="J984" s="1">
        <v>0</v>
      </c>
      <c r="K984" s="1">
        <v>10000</v>
      </c>
      <c r="L984" s="1">
        <v>5000</v>
      </c>
    </row>
    <row r="985" spans="4:13">
      <c r="D985" s="1" t="s">
        <v>194</v>
      </c>
      <c r="E985" s="1" t="s">
        <v>173</v>
      </c>
      <c r="H985" s="1" t="s">
        <v>22</v>
      </c>
      <c r="I985" s="1" t="s">
        <v>29</v>
      </c>
      <c r="J985" s="1">
        <v>9.9999999999999995E-7</v>
      </c>
      <c r="K985" s="1">
        <v>0.01</v>
      </c>
      <c r="L985" s="1">
        <v>5.0004999999999997E-3</v>
      </c>
    </row>
    <row r="986" spans="4:13">
      <c r="D986" s="1" t="s">
        <v>194</v>
      </c>
      <c r="E986" s="1" t="s">
        <v>174</v>
      </c>
      <c r="H986" s="1" t="s">
        <v>25</v>
      </c>
      <c r="I986" s="1" t="s">
        <v>23</v>
      </c>
      <c r="M986" s="1" t="b">
        <v>1</v>
      </c>
    </row>
    <row r="987" spans="4:13">
      <c r="D987" s="1" t="s">
        <v>194</v>
      </c>
      <c r="E987" s="1" t="s">
        <v>175</v>
      </c>
      <c r="F987" s="1" t="s">
        <v>176</v>
      </c>
      <c r="G987" s="1" t="s">
        <v>177</v>
      </c>
      <c r="H987" s="1" t="s">
        <v>22</v>
      </c>
      <c r="I987" s="1" t="s">
        <v>23</v>
      </c>
      <c r="L987" s="1">
        <v>39.370078740157467</v>
      </c>
      <c r="M987" s="1">
        <v>7.9809999999999972</v>
      </c>
    </row>
    <row r="988" spans="4:13">
      <c r="D988" s="1" t="s">
        <v>194</v>
      </c>
      <c r="E988" s="1" t="s">
        <v>178</v>
      </c>
      <c r="H988" s="1" t="s">
        <v>25</v>
      </c>
      <c r="I988" s="1" t="s">
        <v>23</v>
      </c>
      <c r="M988" s="1" t="b">
        <v>0</v>
      </c>
    </row>
    <row r="989" spans="4:13">
      <c r="D989" s="1" t="s">
        <v>194</v>
      </c>
      <c r="E989" s="1" t="s">
        <v>111</v>
      </c>
      <c r="F989" s="1" t="s">
        <v>56</v>
      </c>
      <c r="G989" s="1" t="s">
        <v>57</v>
      </c>
      <c r="H989" s="1" t="s">
        <v>22</v>
      </c>
      <c r="I989" s="1" t="s">
        <v>23</v>
      </c>
      <c r="L989" s="1">
        <v>1.4503773773020921E-4</v>
      </c>
      <c r="M989" s="1">
        <v>7.2518868865104604E-3</v>
      </c>
    </row>
    <row r="990" spans="4:13">
      <c r="D990" s="1" t="s">
        <v>194</v>
      </c>
      <c r="E990" s="1" t="s">
        <v>179</v>
      </c>
      <c r="H990" s="1" t="s">
        <v>22</v>
      </c>
      <c r="I990" s="1" t="s">
        <v>23</v>
      </c>
      <c r="L990" s="1">
        <v>1</v>
      </c>
      <c r="M990" s="1">
        <v>10000</v>
      </c>
    </row>
    <row r="991" spans="4:13">
      <c r="D991" s="1" t="s">
        <v>194</v>
      </c>
      <c r="E991" s="1" t="s">
        <v>180</v>
      </c>
      <c r="H991" s="1" t="s">
        <v>181</v>
      </c>
      <c r="I991" s="1" t="s">
        <v>23</v>
      </c>
      <c r="J991" s="1">
        <v>1</v>
      </c>
      <c r="K991" s="1">
        <v>3</v>
      </c>
      <c r="M991" s="1" t="s">
        <v>182</v>
      </c>
    </row>
    <row r="992" spans="4:13">
      <c r="D992" s="1" t="s">
        <v>194</v>
      </c>
      <c r="E992" s="1" t="s">
        <v>47</v>
      </c>
      <c r="H992" s="1" t="s">
        <v>25</v>
      </c>
      <c r="I992" s="1" t="s">
        <v>23</v>
      </c>
      <c r="M992" s="1" t="b">
        <v>0</v>
      </c>
    </row>
    <row r="993" spans="4:13">
      <c r="D993" s="1" t="s">
        <v>194</v>
      </c>
      <c r="E993" s="1" t="s">
        <v>183</v>
      </c>
      <c r="H993" s="1" t="s">
        <v>25</v>
      </c>
      <c r="I993" s="1" t="s">
        <v>23</v>
      </c>
      <c r="M993" s="1" t="b">
        <v>1</v>
      </c>
    </row>
    <row r="994" spans="4:13">
      <c r="D994" s="1" t="s">
        <v>194</v>
      </c>
      <c r="E994" s="1" t="s">
        <v>189</v>
      </c>
      <c r="H994" s="1" t="s">
        <v>22</v>
      </c>
      <c r="I994" s="1" t="s">
        <v>23</v>
      </c>
      <c r="L994" s="1">
        <v>1</v>
      </c>
      <c r="M994" s="1">
        <v>3.5599999999999998E-4</v>
      </c>
    </row>
    <row r="995" spans="4:13">
      <c r="D995" s="1" t="s">
        <v>194</v>
      </c>
      <c r="E995" s="1" t="s">
        <v>112</v>
      </c>
      <c r="F995" s="1" t="s">
        <v>56</v>
      </c>
      <c r="G995" s="1" t="s">
        <v>57</v>
      </c>
      <c r="H995" s="1" t="s">
        <v>22</v>
      </c>
      <c r="I995" s="1" t="s">
        <v>29</v>
      </c>
      <c r="J995" s="1">
        <v>4.9312830828271128</v>
      </c>
      <c r="K995" s="1">
        <v>623.66227223989961</v>
      </c>
      <c r="L995" s="1">
        <v>50.713895374744951</v>
      </c>
    </row>
    <row r="996" spans="4:13">
      <c r="D996" s="1" t="s">
        <v>194</v>
      </c>
      <c r="E996" s="1" t="s">
        <v>62</v>
      </c>
      <c r="H996" s="1" t="s">
        <v>63</v>
      </c>
      <c r="I996" s="1" t="s">
        <v>23</v>
      </c>
      <c r="M996" s="1">
        <v>1</v>
      </c>
    </row>
    <row r="997" spans="4:13">
      <c r="D997" s="1" t="s">
        <v>194</v>
      </c>
      <c r="E997" s="1" t="s">
        <v>184</v>
      </c>
      <c r="H997" s="1" t="s">
        <v>22</v>
      </c>
      <c r="I997" s="1" t="s">
        <v>120</v>
      </c>
      <c r="L997" s="1">
        <v>1</v>
      </c>
    </row>
    <row r="998" spans="4:13">
      <c r="D998" s="1" t="s">
        <v>194</v>
      </c>
      <c r="E998" s="1" t="s">
        <v>185</v>
      </c>
      <c r="F998" s="1" t="s">
        <v>176</v>
      </c>
      <c r="G998" s="1" t="s">
        <v>177</v>
      </c>
      <c r="H998" s="1" t="s">
        <v>22</v>
      </c>
      <c r="I998" s="1" t="s">
        <v>65</v>
      </c>
      <c r="L998" s="1">
        <v>39.370078740157467</v>
      </c>
    </row>
    <row r="999" spans="4:13">
      <c r="D999" s="1" t="s">
        <v>194</v>
      </c>
      <c r="E999" s="1" t="s">
        <v>115</v>
      </c>
      <c r="F999" s="1" t="s">
        <v>56</v>
      </c>
      <c r="G999" s="1" t="s">
        <v>57</v>
      </c>
      <c r="H999" s="1" t="s">
        <v>22</v>
      </c>
      <c r="I999" s="1" t="s">
        <v>65</v>
      </c>
      <c r="L999" s="1">
        <v>1.4503773773020921E-4</v>
      </c>
    </row>
    <row r="1000" spans="4:13">
      <c r="D1000" s="1" t="s">
        <v>194</v>
      </c>
      <c r="E1000" s="1" t="s">
        <v>69</v>
      </c>
      <c r="H1000" s="1" t="s">
        <v>25</v>
      </c>
      <c r="I1000" s="1" t="s">
        <v>70</v>
      </c>
    </row>
    <row r="1001" spans="4:13">
      <c r="D1001" s="1" t="s">
        <v>194</v>
      </c>
      <c r="E1001" s="1" t="s">
        <v>186</v>
      </c>
      <c r="H1001" s="1" t="s">
        <v>22</v>
      </c>
      <c r="I1001" s="1" t="s">
        <v>65</v>
      </c>
      <c r="L1001" s="1">
        <v>1</v>
      </c>
    </row>
    <row r="1002" spans="4:13">
      <c r="D1002" s="1" t="s">
        <v>194</v>
      </c>
      <c r="E1002" s="1" t="s">
        <v>71</v>
      </c>
      <c r="F1002" s="1" t="s">
        <v>52</v>
      </c>
      <c r="G1002" s="1" t="s">
        <v>53</v>
      </c>
      <c r="H1002" s="1" t="s">
        <v>22</v>
      </c>
      <c r="I1002" s="1" t="s">
        <v>65</v>
      </c>
      <c r="L1002" s="1">
        <v>7936.6414386555998</v>
      </c>
    </row>
    <row r="1003" spans="4:13">
      <c r="D1003" s="1" t="s">
        <v>194</v>
      </c>
      <c r="E1003" s="1" t="s">
        <v>117</v>
      </c>
      <c r="F1003" s="1" t="s">
        <v>118</v>
      </c>
      <c r="G1003" s="1" t="s">
        <v>119</v>
      </c>
      <c r="H1003" s="1" t="s">
        <v>22</v>
      </c>
      <c r="I1003" s="1" t="s">
        <v>120</v>
      </c>
      <c r="J1003" s="1">
        <v>0</v>
      </c>
      <c r="L1003" s="1">
        <v>2.20462262185</v>
      </c>
    </row>
    <row r="1004" spans="4:13">
      <c r="D1004" s="1" t="s">
        <v>194</v>
      </c>
      <c r="E1004" s="1" t="s">
        <v>123</v>
      </c>
      <c r="F1004" s="1" t="s">
        <v>124</v>
      </c>
      <c r="G1004" s="1" t="s">
        <v>125</v>
      </c>
      <c r="H1004" s="1" t="s">
        <v>22</v>
      </c>
      <c r="I1004" s="1" t="s">
        <v>120</v>
      </c>
      <c r="L1004" s="1">
        <v>35.314666699999997</v>
      </c>
    </row>
    <row r="1005" spans="4:13">
      <c r="D1005" s="1" t="s">
        <v>194</v>
      </c>
      <c r="E1005" s="1" t="s">
        <v>126</v>
      </c>
      <c r="H1005" s="1" t="s">
        <v>22</v>
      </c>
      <c r="I1005" s="1" t="s">
        <v>65</v>
      </c>
      <c r="L1005" s="1">
        <v>1</v>
      </c>
    </row>
    <row r="1006" spans="4:13">
      <c r="D1006" s="1" t="s">
        <v>195</v>
      </c>
      <c r="E1006" s="1" t="s">
        <v>28</v>
      </c>
      <c r="H1006" s="1" t="s">
        <v>22</v>
      </c>
      <c r="I1006" s="1" t="s">
        <v>29</v>
      </c>
      <c r="J1006" s="1">
        <v>34000</v>
      </c>
      <c r="K1006" s="1">
        <v>4300000</v>
      </c>
      <c r="L1006" s="1">
        <v>349660</v>
      </c>
    </row>
    <row r="1007" spans="4:13">
      <c r="D1007" s="1" t="s">
        <v>195</v>
      </c>
      <c r="E1007" s="1" t="s">
        <v>30</v>
      </c>
      <c r="H1007" s="1" t="s">
        <v>22</v>
      </c>
      <c r="I1007" s="1" t="s">
        <v>29</v>
      </c>
      <c r="J1007" s="1">
        <v>-3.94</v>
      </c>
      <c r="K1007" s="1">
        <v>3.66</v>
      </c>
      <c r="L1007" s="1">
        <v>1</v>
      </c>
    </row>
    <row r="1008" spans="4:13">
      <c r="D1008" s="1" t="s">
        <v>195</v>
      </c>
      <c r="E1008" s="1" t="s">
        <v>31</v>
      </c>
      <c r="H1008" s="1" t="s">
        <v>22</v>
      </c>
      <c r="I1008" s="1" t="s">
        <v>29</v>
      </c>
      <c r="J1008" s="1">
        <v>0</v>
      </c>
      <c r="K1008" s="1">
        <v>100</v>
      </c>
      <c r="L1008" s="1">
        <v>1</v>
      </c>
    </row>
    <row r="1009" spans="4:13">
      <c r="D1009" s="1" t="s">
        <v>195</v>
      </c>
      <c r="E1009" s="1" t="s">
        <v>32</v>
      </c>
      <c r="H1009" s="1" t="s">
        <v>22</v>
      </c>
      <c r="I1009" s="1" t="s">
        <v>29</v>
      </c>
      <c r="J1009" s="1">
        <v>-3.94</v>
      </c>
      <c r="K1009" s="1">
        <v>3.66</v>
      </c>
      <c r="L1009" s="1">
        <v>1</v>
      </c>
    </row>
    <row r="1010" spans="4:13">
      <c r="D1010" s="1" t="s">
        <v>195</v>
      </c>
      <c r="E1010" s="1" t="s">
        <v>33</v>
      </c>
      <c r="H1010" s="1" t="s">
        <v>25</v>
      </c>
      <c r="I1010" s="1" t="s">
        <v>23</v>
      </c>
      <c r="M1010" s="1" t="b">
        <v>0</v>
      </c>
    </row>
    <row r="1011" spans="4:13">
      <c r="D1011" s="1" t="s">
        <v>195</v>
      </c>
      <c r="E1011" s="1" t="s">
        <v>34</v>
      </c>
      <c r="F1011" s="1" t="s">
        <v>35</v>
      </c>
      <c r="G1011" s="1" t="s">
        <v>36</v>
      </c>
      <c r="H1011" s="1" t="s">
        <v>22</v>
      </c>
      <c r="I1011" s="1" t="s">
        <v>23</v>
      </c>
      <c r="J1011" s="1">
        <v>-459.67</v>
      </c>
      <c r="K1011" s="1">
        <v>980.32999999999993</v>
      </c>
      <c r="L1011" s="1">
        <v>80.329999999999984</v>
      </c>
      <c r="M1011" s="1">
        <v>67.999999999999943</v>
      </c>
    </row>
    <row r="1012" spans="4:13">
      <c r="D1012" s="1" t="s">
        <v>195</v>
      </c>
      <c r="E1012" s="1" t="s">
        <v>37</v>
      </c>
      <c r="H1012" s="1" t="s">
        <v>25</v>
      </c>
      <c r="I1012" s="1" t="s">
        <v>23</v>
      </c>
      <c r="M1012" s="1" t="b">
        <v>0</v>
      </c>
    </row>
    <row r="1013" spans="4:13">
      <c r="D1013" s="1" t="s">
        <v>195</v>
      </c>
      <c r="E1013" s="1" t="s">
        <v>38</v>
      </c>
      <c r="F1013" s="1" t="s">
        <v>35</v>
      </c>
      <c r="G1013" s="1" t="s">
        <v>36</v>
      </c>
      <c r="H1013" s="1" t="s">
        <v>22</v>
      </c>
      <c r="I1013" s="1" t="s">
        <v>23</v>
      </c>
      <c r="J1013" s="1">
        <v>-99.670000000000016</v>
      </c>
      <c r="K1013" s="1">
        <v>980.32999999999993</v>
      </c>
      <c r="L1013" s="1">
        <v>80.329999999999984</v>
      </c>
      <c r="M1013" s="1">
        <v>13.999999999999943</v>
      </c>
    </row>
    <row r="1014" spans="4:13">
      <c r="D1014" s="1" t="s">
        <v>195</v>
      </c>
      <c r="E1014" s="1" t="s">
        <v>39</v>
      </c>
      <c r="H1014" s="1" t="s">
        <v>25</v>
      </c>
      <c r="I1014" s="1" t="s">
        <v>23</v>
      </c>
      <c r="M1014" s="1" t="b">
        <v>0</v>
      </c>
    </row>
    <row r="1015" spans="4:13">
      <c r="D1015" s="1" t="s">
        <v>195</v>
      </c>
      <c r="E1015" s="1" t="s">
        <v>40</v>
      </c>
      <c r="F1015" s="1" t="s">
        <v>41</v>
      </c>
      <c r="G1015" s="1" t="s">
        <v>42</v>
      </c>
      <c r="H1015" s="1" t="s">
        <v>22</v>
      </c>
      <c r="I1015" s="1" t="s">
        <v>23</v>
      </c>
      <c r="J1015" s="1">
        <v>-900</v>
      </c>
      <c r="K1015" s="1">
        <v>900</v>
      </c>
      <c r="L1015" s="1">
        <v>1.8</v>
      </c>
      <c r="M1015" s="1">
        <v>9</v>
      </c>
    </row>
    <row r="1016" spans="4:13">
      <c r="D1016" s="1" t="s">
        <v>195</v>
      </c>
      <c r="E1016" s="1" t="s">
        <v>43</v>
      </c>
      <c r="H1016" s="1" t="s">
        <v>25</v>
      </c>
      <c r="I1016" s="1" t="s">
        <v>23</v>
      </c>
      <c r="M1016" s="1" t="b">
        <v>0</v>
      </c>
    </row>
    <row r="1017" spans="4:13">
      <c r="D1017" s="1" t="s">
        <v>195</v>
      </c>
      <c r="E1017" s="1" t="s">
        <v>44</v>
      </c>
      <c r="F1017" s="1" t="s">
        <v>45</v>
      </c>
      <c r="G1017" s="1" t="s">
        <v>46</v>
      </c>
      <c r="H1017" s="1" t="s">
        <v>22</v>
      </c>
      <c r="I1017" s="1" t="s">
        <v>23</v>
      </c>
      <c r="J1017" s="1">
        <v>-85.984522757427143</v>
      </c>
      <c r="K1017" s="1">
        <v>8598.4522757427148</v>
      </c>
      <c r="L1017" s="1">
        <v>114.79148749423418</v>
      </c>
      <c r="M1017" s="1">
        <v>128.97678413614071</v>
      </c>
    </row>
    <row r="1018" spans="4:13">
      <c r="D1018" s="1" t="s">
        <v>195</v>
      </c>
      <c r="E1018" s="1" t="s">
        <v>47</v>
      </c>
      <c r="H1018" s="1" t="s">
        <v>25</v>
      </c>
      <c r="I1018" s="1" t="s">
        <v>23</v>
      </c>
      <c r="M1018" s="1" t="b">
        <v>0</v>
      </c>
    </row>
    <row r="1019" spans="4:13">
      <c r="D1019" s="1" t="s">
        <v>195</v>
      </c>
      <c r="E1019" s="1" t="s">
        <v>48</v>
      </c>
      <c r="H1019" s="1" t="s">
        <v>25</v>
      </c>
      <c r="I1019" s="1" t="s">
        <v>23</v>
      </c>
      <c r="M1019" s="1" t="b">
        <v>0</v>
      </c>
    </row>
    <row r="1020" spans="4:13">
      <c r="D1020" s="1" t="s">
        <v>195</v>
      </c>
      <c r="E1020" s="1" t="s">
        <v>49</v>
      </c>
      <c r="H1020" s="1" t="s">
        <v>25</v>
      </c>
      <c r="I1020" s="1" t="s">
        <v>23</v>
      </c>
      <c r="M1020" s="1" t="b">
        <v>0</v>
      </c>
    </row>
    <row r="1021" spans="4:13">
      <c r="D1021" s="1" t="s">
        <v>195</v>
      </c>
      <c r="E1021" s="1" t="s">
        <v>50</v>
      </c>
      <c r="H1021" s="1" t="s">
        <v>25</v>
      </c>
      <c r="I1021" s="1" t="s">
        <v>23</v>
      </c>
      <c r="M1021" s="1" t="b">
        <v>0</v>
      </c>
    </row>
    <row r="1022" spans="4:13">
      <c r="D1022" s="1" t="s">
        <v>195</v>
      </c>
      <c r="E1022" s="1" t="s">
        <v>51</v>
      </c>
      <c r="F1022" s="1" t="s">
        <v>52</v>
      </c>
      <c r="G1022" s="1" t="s">
        <v>53</v>
      </c>
      <c r="H1022" s="1" t="s">
        <v>22</v>
      </c>
      <c r="I1022" s="1" t="s">
        <v>23</v>
      </c>
      <c r="J1022" s="1">
        <v>0</v>
      </c>
      <c r="K1022" s="1">
        <v>7936641438.6555996</v>
      </c>
      <c r="L1022" s="1">
        <v>7936.6414386555998</v>
      </c>
      <c r="M1022" s="1">
        <v>7936.6414386555998</v>
      </c>
    </row>
    <row r="1023" spans="4:13">
      <c r="D1023" s="1" t="s">
        <v>195</v>
      </c>
      <c r="E1023" s="1" t="s">
        <v>54</v>
      </c>
      <c r="H1023" s="1" t="s">
        <v>25</v>
      </c>
      <c r="I1023" s="1" t="s">
        <v>23</v>
      </c>
      <c r="M1023" s="1" t="b">
        <v>0</v>
      </c>
    </row>
    <row r="1024" spans="4:13">
      <c r="D1024" s="1" t="s">
        <v>195</v>
      </c>
      <c r="E1024" s="1" t="s">
        <v>55</v>
      </c>
      <c r="F1024" s="1" t="s">
        <v>56</v>
      </c>
      <c r="G1024" s="1" t="s">
        <v>57</v>
      </c>
      <c r="H1024" s="1" t="s">
        <v>22</v>
      </c>
      <c r="I1024" s="1" t="s">
        <v>23</v>
      </c>
      <c r="J1024" s="1">
        <v>0</v>
      </c>
      <c r="K1024" s="1">
        <v>9427.4529524635982</v>
      </c>
      <c r="L1024" s="1">
        <v>50.713895374744951</v>
      </c>
      <c r="M1024" s="1">
        <v>50.763208205573221</v>
      </c>
    </row>
    <row r="1025" spans="4:13">
      <c r="D1025" s="1" t="s">
        <v>195</v>
      </c>
      <c r="E1025" s="1" t="s">
        <v>58</v>
      </c>
      <c r="H1025" s="1" t="s">
        <v>25</v>
      </c>
      <c r="I1025" s="1" t="s">
        <v>23</v>
      </c>
      <c r="M1025" s="1" t="b">
        <v>0</v>
      </c>
    </row>
    <row r="1026" spans="4:13">
      <c r="D1026" s="1" t="s">
        <v>195</v>
      </c>
      <c r="E1026" s="1" t="s">
        <v>59</v>
      </c>
      <c r="F1026" s="1" t="s">
        <v>60</v>
      </c>
      <c r="G1026" s="1" t="s">
        <v>61</v>
      </c>
      <c r="H1026" s="1" t="s">
        <v>22</v>
      </c>
      <c r="I1026" s="1" t="s">
        <v>23</v>
      </c>
      <c r="J1026" s="1">
        <v>-9.5538358650799999</v>
      </c>
      <c r="K1026" s="1">
        <v>9.5538358650799999</v>
      </c>
      <c r="L1026" s="1">
        <v>0.23884589662700001</v>
      </c>
      <c r="M1026" s="1">
        <v>0.23884589662700001</v>
      </c>
    </row>
    <row r="1027" spans="4:13">
      <c r="D1027" s="1" t="s">
        <v>195</v>
      </c>
      <c r="E1027" s="1" t="s">
        <v>62</v>
      </c>
      <c r="H1027" s="1" t="s">
        <v>63</v>
      </c>
      <c r="I1027" s="1" t="s">
        <v>23</v>
      </c>
      <c r="M1027" s="1">
        <v>1</v>
      </c>
    </row>
    <row r="1028" spans="4:13">
      <c r="D1028" s="1" t="s">
        <v>195</v>
      </c>
      <c r="E1028" s="1" t="s">
        <v>64</v>
      </c>
      <c r="F1028" s="1" t="s">
        <v>35</v>
      </c>
      <c r="G1028" s="1" t="s">
        <v>36</v>
      </c>
      <c r="H1028" s="1" t="s">
        <v>22</v>
      </c>
      <c r="I1028" s="1" t="s">
        <v>65</v>
      </c>
      <c r="J1028" s="1">
        <v>-459.67</v>
      </c>
      <c r="L1028" s="1">
        <v>80.329999999999984</v>
      </c>
    </row>
    <row r="1029" spans="4:13">
      <c r="D1029" s="1" t="s">
        <v>195</v>
      </c>
      <c r="E1029" s="1" t="s">
        <v>66</v>
      </c>
      <c r="F1029" s="1" t="s">
        <v>35</v>
      </c>
      <c r="G1029" s="1" t="s">
        <v>36</v>
      </c>
      <c r="H1029" s="1" t="s">
        <v>22</v>
      </c>
      <c r="I1029" s="1" t="s">
        <v>65</v>
      </c>
      <c r="J1029" s="1">
        <v>-459.67</v>
      </c>
      <c r="L1029" s="1">
        <v>80.329999999999984</v>
      </c>
    </row>
    <row r="1030" spans="4:13">
      <c r="D1030" s="1" t="s">
        <v>195</v>
      </c>
      <c r="E1030" s="1" t="s">
        <v>67</v>
      </c>
      <c r="F1030" s="1" t="s">
        <v>41</v>
      </c>
      <c r="G1030" s="1" t="s">
        <v>42</v>
      </c>
      <c r="H1030" s="1" t="s">
        <v>22</v>
      </c>
      <c r="I1030" s="1" t="s">
        <v>65</v>
      </c>
      <c r="L1030" s="1">
        <v>1.8</v>
      </c>
    </row>
    <row r="1031" spans="4:13">
      <c r="D1031" s="1" t="s">
        <v>195</v>
      </c>
      <c r="E1031" s="1" t="s">
        <v>68</v>
      </c>
      <c r="F1031" s="1" t="s">
        <v>45</v>
      </c>
      <c r="G1031" s="1" t="s">
        <v>46</v>
      </c>
      <c r="H1031" s="1" t="s">
        <v>22</v>
      </c>
      <c r="I1031" s="1" t="s">
        <v>65</v>
      </c>
      <c r="L1031" s="1">
        <v>4.2992261378713571E-4</v>
      </c>
    </row>
    <row r="1032" spans="4:13">
      <c r="D1032" s="1" t="s">
        <v>195</v>
      </c>
      <c r="E1032" s="1" t="s">
        <v>69</v>
      </c>
      <c r="H1032" s="1" t="s">
        <v>25</v>
      </c>
      <c r="I1032" s="1" t="s">
        <v>70</v>
      </c>
    </row>
    <row r="1033" spans="4:13">
      <c r="D1033" s="1" t="s">
        <v>195</v>
      </c>
      <c r="E1033" s="1" t="s">
        <v>71</v>
      </c>
      <c r="F1033" s="1" t="s">
        <v>52</v>
      </c>
      <c r="G1033" s="1" t="s">
        <v>53</v>
      </c>
      <c r="H1033" s="1" t="s">
        <v>22</v>
      </c>
      <c r="I1033" s="1" t="s">
        <v>65</v>
      </c>
      <c r="L1033" s="1">
        <v>7936.6414386555998</v>
      </c>
    </row>
    <row r="1034" spans="4:13">
      <c r="D1034" s="1" t="s">
        <v>195</v>
      </c>
      <c r="E1034" s="1" t="s">
        <v>72</v>
      </c>
      <c r="F1034" s="1" t="s">
        <v>56</v>
      </c>
      <c r="G1034" s="1" t="s">
        <v>57</v>
      </c>
      <c r="H1034" s="1" t="s">
        <v>22</v>
      </c>
      <c r="I1034" s="1" t="s">
        <v>65</v>
      </c>
      <c r="J1034" s="1">
        <v>0</v>
      </c>
      <c r="L1034" s="1">
        <v>14.503773773020921</v>
      </c>
    </row>
    <row r="1035" spans="4:13">
      <c r="D1035" s="1" t="s">
        <v>195</v>
      </c>
      <c r="E1035" s="1" t="s">
        <v>73</v>
      </c>
      <c r="F1035" s="1" t="s">
        <v>60</v>
      </c>
      <c r="G1035" s="1" t="s">
        <v>61</v>
      </c>
      <c r="H1035" s="1" t="s">
        <v>22</v>
      </c>
      <c r="I1035" s="1" t="s">
        <v>65</v>
      </c>
      <c r="L1035" s="1">
        <v>2.38845896627E-4</v>
      </c>
    </row>
    <row r="1036" spans="4:13">
      <c r="D1036" s="1" t="s">
        <v>195</v>
      </c>
      <c r="E1036" s="1" t="s">
        <v>74</v>
      </c>
      <c r="F1036" s="1" t="s">
        <v>75</v>
      </c>
      <c r="G1036" s="1" t="s">
        <v>76</v>
      </c>
      <c r="H1036" s="1" t="s">
        <v>22</v>
      </c>
      <c r="I1036" s="1" t="s">
        <v>65</v>
      </c>
      <c r="J1036" s="1">
        <v>0</v>
      </c>
      <c r="L1036" s="1">
        <v>16.018463521800001</v>
      </c>
    </row>
    <row r="1037" spans="4:13">
      <c r="D1037" s="1" t="s">
        <v>195</v>
      </c>
      <c r="E1037" s="1" t="s">
        <v>77</v>
      </c>
      <c r="H1037" s="1" t="s">
        <v>22</v>
      </c>
      <c r="I1037" s="1" t="s">
        <v>65</v>
      </c>
      <c r="L1037" s="1">
        <v>1</v>
      </c>
    </row>
    <row r="1038" spans="4:13">
      <c r="D1038" s="1" t="s">
        <v>195</v>
      </c>
      <c r="E1038" s="1" t="s">
        <v>78</v>
      </c>
      <c r="H1038" s="1" t="s">
        <v>25</v>
      </c>
      <c r="I1038" s="1" t="s">
        <v>23</v>
      </c>
      <c r="M1038" s="1" t="b">
        <v>0</v>
      </c>
    </row>
    <row r="1039" spans="4:13">
      <c r="D1039" s="1" t="s">
        <v>195</v>
      </c>
      <c r="E1039" s="1" t="s">
        <v>79</v>
      </c>
      <c r="F1039" s="1" t="s">
        <v>75</v>
      </c>
      <c r="G1039" s="1" t="s">
        <v>76</v>
      </c>
      <c r="H1039" s="1" t="s">
        <v>22</v>
      </c>
      <c r="I1039" s="1" t="s">
        <v>23</v>
      </c>
      <c r="J1039" s="1">
        <v>0</v>
      </c>
      <c r="K1039" s="1">
        <v>96.110781130800007</v>
      </c>
      <c r="L1039" s="1">
        <v>16.018463521800001</v>
      </c>
      <c r="M1039" s="1">
        <v>1.6018463521800002</v>
      </c>
    </row>
    <row r="1040" spans="4:13">
      <c r="D1040" s="1" t="s">
        <v>195</v>
      </c>
      <c r="E1040" s="1" t="s">
        <v>80</v>
      </c>
      <c r="H1040" s="1" t="s">
        <v>25</v>
      </c>
      <c r="I1040" s="1" t="s">
        <v>23</v>
      </c>
      <c r="M1040" s="1" t="b">
        <v>0</v>
      </c>
    </row>
    <row r="1041" spans="4:13">
      <c r="D1041" s="1" t="s">
        <v>195</v>
      </c>
      <c r="E1041" s="1" t="s">
        <v>81</v>
      </c>
      <c r="H1041" s="1" t="s">
        <v>25</v>
      </c>
      <c r="I1041" s="1" t="s">
        <v>23</v>
      </c>
      <c r="M1041" s="1" t="b">
        <v>0</v>
      </c>
    </row>
    <row r="1042" spans="4:13">
      <c r="D1042" s="1" t="s">
        <v>195</v>
      </c>
      <c r="E1042" s="1" t="s">
        <v>82</v>
      </c>
      <c r="H1042" s="1" t="s">
        <v>22</v>
      </c>
      <c r="I1042" s="1" t="s">
        <v>23</v>
      </c>
      <c r="J1042" s="1">
        <v>-1</v>
      </c>
      <c r="K1042" s="1">
        <v>3</v>
      </c>
      <c r="L1042" s="1">
        <v>1</v>
      </c>
      <c r="M1042" s="1">
        <v>1.01</v>
      </c>
    </row>
    <row r="1043" spans="4:13">
      <c r="D1043" s="1" t="s">
        <v>196</v>
      </c>
      <c r="E1043" s="1" t="s">
        <v>171</v>
      </c>
      <c r="H1043" s="1" t="s">
        <v>22</v>
      </c>
      <c r="I1043" s="1" t="s">
        <v>23</v>
      </c>
      <c r="L1043" s="1">
        <v>1</v>
      </c>
      <c r="M1043" s="1">
        <v>3.0558000000000001</v>
      </c>
    </row>
    <row r="1044" spans="4:13">
      <c r="D1044" s="1" t="s">
        <v>196</v>
      </c>
      <c r="E1044" s="1" t="s">
        <v>172</v>
      </c>
      <c r="H1044" s="1" t="s">
        <v>22</v>
      </c>
      <c r="I1044" s="1" t="s">
        <v>29</v>
      </c>
      <c r="J1044" s="1">
        <v>0</v>
      </c>
      <c r="K1044" s="1">
        <v>10000</v>
      </c>
      <c r="L1044" s="1">
        <v>5000</v>
      </c>
    </row>
    <row r="1045" spans="4:13">
      <c r="D1045" s="1" t="s">
        <v>196</v>
      </c>
      <c r="E1045" s="1" t="s">
        <v>173</v>
      </c>
      <c r="H1045" s="1" t="s">
        <v>22</v>
      </c>
      <c r="I1045" s="1" t="s">
        <v>29</v>
      </c>
      <c r="J1045" s="1">
        <v>9.9999999999999995E-7</v>
      </c>
      <c r="K1045" s="1">
        <v>0.01</v>
      </c>
      <c r="L1045" s="1">
        <v>5.0004999999999997E-3</v>
      </c>
    </row>
    <row r="1046" spans="4:13">
      <c r="D1046" s="1" t="s">
        <v>196</v>
      </c>
      <c r="E1046" s="1" t="s">
        <v>174</v>
      </c>
      <c r="H1046" s="1" t="s">
        <v>25</v>
      </c>
      <c r="I1046" s="1" t="s">
        <v>23</v>
      </c>
      <c r="M1046" s="1" t="b">
        <v>1</v>
      </c>
    </row>
    <row r="1047" spans="4:13">
      <c r="D1047" s="1" t="s">
        <v>196</v>
      </c>
      <c r="E1047" s="1" t="s">
        <v>175</v>
      </c>
      <c r="F1047" s="1" t="s">
        <v>176</v>
      </c>
      <c r="G1047" s="1" t="s">
        <v>177</v>
      </c>
      <c r="H1047" s="1" t="s">
        <v>22</v>
      </c>
      <c r="I1047" s="1" t="s">
        <v>23</v>
      </c>
      <c r="L1047" s="1">
        <v>39.370078740157467</v>
      </c>
      <c r="M1047" s="1">
        <v>6.0649999999999977</v>
      </c>
    </row>
    <row r="1048" spans="4:13">
      <c r="D1048" s="1" t="s">
        <v>196</v>
      </c>
      <c r="E1048" s="1" t="s">
        <v>178</v>
      </c>
      <c r="H1048" s="1" t="s">
        <v>25</v>
      </c>
      <c r="I1048" s="1" t="s">
        <v>23</v>
      </c>
      <c r="M1048" s="1" t="b">
        <v>0</v>
      </c>
    </row>
    <row r="1049" spans="4:13">
      <c r="D1049" s="1" t="s">
        <v>196</v>
      </c>
      <c r="E1049" s="1" t="s">
        <v>111</v>
      </c>
      <c r="F1049" s="1" t="s">
        <v>56</v>
      </c>
      <c r="G1049" s="1" t="s">
        <v>57</v>
      </c>
      <c r="H1049" s="1" t="s">
        <v>22</v>
      </c>
      <c r="I1049" s="1" t="s">
        <v>23</v>
      </c>
      <c r="L1049" s="1">
        <v>1.4503773773020921E-4</v>
      </c>
      <c r="M1049" s="1">
        <v>7.2518868865104604E-3</v>
      </c>
    </row>
    <row r="1050" spans="4:13">
      <c r="D1050" s="1" t="s">
        <v>196</v>
      </c>
      <c r="E1050" s="1" t="s">
        <v>179</v>
      </c>
      <c r="H1050" s="1" t="s">
        <v>22</v>
      </c>
      <c r="I1050" s="1" t="s">
        <v>23</v>
      </c>
      <c r="L1050" s="1">
        <v>1</v>
      </c>
      <c r="M1050" s="1">
        <v>10000</v>
      </c>
    </row>
    <row r="1051" spans="4:13">
      <c r="D1051" s="1" t="s">
        <v>196</v>
      </c>
      <c r="E1051" s="1" t="s">
        <v>180</v>
      </c>
      <c r="H1051" s="1" t="s">
        <v>181</v>
      </c>
      <c r="I1051" s="1" t="s">
        <v>23</v>
      </c>
      <c r="J1051" s="1">
        <v>1</v>
      </c>
      <c r="K1051" s="1">
        <v>3</v>
      </c>
      <c r="M1051" s="1" t="s">
        <v>182</v>
      </c>
    </row>
    <row r="1052" spans="4:13">
      <c r="D1052" s="1" t="s">
        <v>196</v>
      </c>
      <c r="E1052" s="1" t="s">
        <v>47</v>
      </c>
      <c r="H1052" s="1" t="s">
        <v>25</v>
      </c>
      <c r="I1052" s="1" t="s">
        <v>23</v>
      </c>
      <c r="M1052" s="1" t="b">
        <v>0</v>
      </c>
    </row>
    <row r="1053" spans="4:13">
      <c r="D1053" s="1" t="s">
        <v>196</v>
      </c>
      <c r="E1053" s="1" t="s">
        <v>183</v>
      </c>
      <c r="H1053" s="1" t="s">
        <v>25</v>
      </c>
      <c r="I1053" s="1" t="s">
        <v>23</v>
      </c>
      <c r="M1053" s="1" t="b">
        <v>1</v>
      </c>
    </row>
    <row r="1054" spans="4:13">
      <c r="D1054" s="1" t="s">
        <v>196</v>
      </c>
      <c r="E1054" s="1" t="s">
        <v>112</v>
      </c>
      <c r="F1054" s="1" t="s">
        <v>56</v>
      </c>
      <c r="G1054" s="1" t="s">
        <v>57</v>
      </c>
      <c r="H1054" s="1" t="s">
        <v>22</v>
      </c>
      <c r="I1054" s="1" t="s">
        <v>29</v>
      </c>
      <c r="J1054" s="1">
        <v>4.9312830828271128</v>
      </c>
      <c r="K1054" s="1">
        <v>623.66227223989961</v>
      </c>
      <c r="L1054" s="1">
        <v>50.713895374744951</v>
      </c>
    </row>
    <row r="1055" spans="4:13">
      <c r="D1055" s="1" t="s">
        <v>196</v>
      </c>
      <c r="E1055" s="1" t="s">
        <v>62</v>
      </c>
      <c r="H1055" s="1" t="s">
        <v>63</v>
      </c>
      <c r="I1055" s="1" t="s">
        <v>23</v>
      </c>
      <c r="M1055" s="1">
        <v>1</v>
      </c>
    </row>
    <row r="1056" spans="4:13">
      <c r="D1056" s="1" t="s">
        <v>196</v>
      </c>
      <c r="E1056" s="1" t="s">
        <v>184</v>
      </c>
      <c r="H1056" s="1" t="s">
        <v>22</v>
      </c>
      <c r="I1056" s="1" t="s">
        <v>120</v>
      </c>
      <c r="L1056" s="1">
        <v>1</v>
      </c>
    </row>
    <row r="1057" spans="4:13">
      <c r="D1057" s="1" t="s">
        <v>196</v>
      </c>
      <c r="E1057" s="1" t="s">
        <v>185</v>
      </c>
      <c r="F1057" s="1" t="s">
        <v>176</v>
      </c>
      <c r="G1057" s="1" t="s">
        <v>177</v>
      </c>
      <c r="H1057" s="1" t="s">
        <v>22</v>
      </c>
      <c r="I1057" s="1" t="s">
        <v>65</v>
      </c>
      <c r="L1057" s="1">
        <v>39.370078740157467</v>
      </c>
    </row>
    <row r="1058" spans="4:13">
      <c r="D1058" s="1" t="s">
        <v>196</v>
      </c>
      <c r="E1058" s="1" t="s">
        <v>115</v>
      </c>
      <c r="F1058" s="1" t="s">
        <v>56</v>
      </c>
      <c r="G1058" s="1" t="s">
        <v>57</v>
      </c>
      <c r="H1058" s="1" t="s">
        <v>22</v>
      </c>
      <c r="I1058" s="1" t="s">
        <v>65</v>
      </c>
      <c r="L1058" s="1">
        <v>1.4503773773020921E-4</v>
      </c>
    </row>
    <row r="1059" spans="4:13">
      <c r="D1059" s="1" t="s">
        <v>196</v>
      </c>
      <c r="E1059" s="1" t="s">
        <v>69</v>
      </c>
      <c r="H1059" s="1" t="s">
        <v>25</v>
      </c>
      <c r="I1059" s="1" t="s">
        <v>70</v>
      </c>
    </row>
    <row r="1060" spans="4:13">
      <c r="D1060" s="1" t="s">
        <v>196</v>
      </c>
      <c r="E1060" s="1" t="s">
        <v>186</v>
      </c>
      <c r="H1060" s="1" t="s">
        <v>22</v>
      </c>
      <c r="I1060" s="1" t="s">
        <v>65</v>
      </c>
      <c r="L1060" s="1">
        <v>1</v>
      </c>
    </row>
    <row r="1061" spans="4:13">
      <c r="D1061" s="1" t="s">
        <v>196</v>
      </c>
      <c r="E1061" s="1" t="s">
        <v>71</v>
      </c>
      <c r="F1061" s="1" t="s">
        <v>52</v>
      </c>
      <c r="G1061" s="1" t="s">
        <v>53</v>
      </c>
      <c r="H1061" s="1" t="s">
        <v>22</v>
      </c>
      <c r="I1061" s="1" t="s">
        <v>65</v>
      </c>
      <c r="L1061" s="1">
        <v>7936.6414386555998</v>
      </c>
    </row>
    <row r="1062" spans="4:13">
      <c r="D1062" s="1" t="s">
        <v>196</v>
      </c>
      <c r="E1062" s="1" t="s">
        <v>117</v>
      </c>
      <c r="F1062" s="1" t="s">
        <v>118</v>
      </c>
      <c r="G1062" s="1" t="s">
        <v>119</v>
      </c>
      <c r="H1062" s="1" t="s">
        <v>22</v>
      </c>
      <c r="I1062" s="1" t="s">
        <v>120</v>
      </c>
      <c r="J1062" s="1">
        <v>0</v>
      </c>
      <c r="L1062" s="1">
        <v>2.20462262185</v>
      </c>
    </row>
    <row r="1063" spans="4:13">
      <c r="D1063" s="1" t="s">
        <v>196</v>
      </c>
      <c r="E1063" s="1" t="s">
        <v>123</v>
      </c>
      <c r="F1063" s="1" t="s">
        <v>124</v>
      </c>
      <c r="G1063" s="1" t="s">
        <v>125</v>
      </c>
      <c r="H1063" s="1" t="s">
        <v>22</v>
      </c>
      <c r="I1063" s="1" t="s">
        <v>120</v>
      </c>
      <c r="L1063" s="1">
        <v>35.314666699999997</v>
      </c>
    </row>
    <row r="1064" spans="4:13">
      <c r="D1064" s="1" t="s">
        <v>196</v>
      </c>
      <c r="E1064" s="1" t="s">
        <v>126</v>
      </c>
      <c r="H1064" s="1" t="s">
        <v>22</v>
      </c>
      <c r="I1064" s="1" t="s">
        <v>65</v>
      </c>
      <c r="L1064" s="1">
        <v>1</v>
      </c>
    </row>
    <row r="1065" spans="4:13">
      <c r="D1065" s="1" t="s">
        <v>197</v>
      </c>
      <c r="E1065" s="1" t="s">
        <v>171</v>
      </c>
      <c r="H1065" s="1" t="s">
        <v>22</v>
      </c>
      <c r="I1065" s="1" t="s">
        <v>23</v>
      </c>
      <c r="L1065" s="1">
        <v>1</v>
      </c>
      <c r="M1065" s="1">
        <v>3.0558000000000001</v>
      </c>
    </row>
    <row r="1066" spans="4:13">
      <c r="D1066" s="1" t="s">
        <v>197</v>
      </c>
      <c r="E1066" s="1" t="s">
        <v>172</v>
      </c>
      <c r="H1066" s="1" t="s">
        <v>22</v>
      </c>
      <c r="I1066" s="1" t="s">
        <v>29</v>
      </c>
      <c r="J1066" s="1">
        <v>0</v>
      </c>
      <c r="K1066" s="1">
        <v>10000</v>
      </c>
      <c r="L1066" s="1">
        <v>5000</v>
      </c>
    </row>
    <row r="1067" spans="4:13">
      <c r="D1067" s="1" t="s">
        <v>197</v>
      </c>
      <c r="E1067" s="1" t="s">
        <v>173</v>
      </c>
      <c r="H1067" s="1" t="s">
        <v>22</v>
      </c>
      <c r="I1067" s="1" t="s">
        <v>29</v>
      </c>
      <c r="J1067" s="1">
        <v>9.9999999999999995E-7</v>
      </c>
      <c r="K1067" s="1">
        <v>0.01</v>
      </c>
      <c r="L1067" s="1">
        <v>5.0004999999999997E-3</v>
      </c>
    </row>
    <row r="1068" spans="4:13">
      <c r="D1068" s="1" t="s">
        <v>197</v>
      </c>
      <c r="E1068" s="1" t="s">
        <v>174</v>
      </c>
      <c r="H1068" s="1" t="s">
        <v>25</v>
      </c>
      <c r="I1068" s="1" t="s">
        <v>23</v>
      </c>
      <c r="M1068" s="1" t="b">
        <v>1</v>
      </c>
    </row>
    <row r="1069" spans="4:13">
      <c r="D1069" s="1" t="s">
        <v>197</v>
      </c>
      <c r="E1069" s="1" t="s">
        <v>175</v>
      </c>
      <c r="F1069" s="1" t="s">
        <v>176</v>
      </c>
      <c r="G1069" s="1" t="s">
        <v>177</v>
      </c>
      <c r="H1069" s="1" t="s">
        <v>22</v>
      </c>
      <c r="I1069" s="1" t="s">
        <v>23</v>
      </c>
      <c r="L1069" s="1">
        <v>39.370078740157467</v>
      </c>
      <c r="M1069" s="1">
        <v>7.9809999999999972</v>
      </c>
    </row>
    <row r="1070" spans="4:13">
      <c r="D1070" s="1" t="s">
        <v>197</v>
      </c>
      <c r="E1070" s="1" t="s">
        <v>178</v>
      </c>
      <c r="H1070" s="1" t="s">
        <v>25</v>
      </c>
      <c r="I1070" s="1" t="s">
        <v>23</v>
      </c>
      <c r="M1070" s="1" t="b">
        <v>0</v>
      </c>
    </row>
    <row r="1071" spans="4:13">
      <c r="D1071" s="1" t="s">
        <v>197</v>
      </c>
      <c r="E1071" s="1" t="s">
        <v>111</v>
      </c>
      <c r="F1071" s="1" t="s">
        <v>56</v>
      </c>
      <c r="G1071" s="1" t="s">
        <v>57</v>
      </c>
      <c r="H1071" s="1" t="s">
        <v>22</v>
      </c>
      <c r="I1071" s="1" t="s">
        <v>23</v>
      </c>
      <c r="L1071" s="1">
        <v>1.4503773773020921E-4</v>
      </c>
      <c r="M1071" s="1">
        <v>7.2518868865104604E-3</v>
      </c>
    </row>
    <row r="1072" spans="4:13">
      <c r="D1072" s="1" t="s">
        <v>197</v>
      </c>
      <c r="E1072" s="1" t="s">
        <v>179</v>
      </c>
      <c r="H1072" s="1" t="s">
        <v>22</v>
      </c>
      <c r="I1072" s="1" t="s">
        <v>23</v>
      </c>
      <c r="L1072" s="1">
        <v>1</v>
      </c>
      <c r="M1072" s="1">
        <v>10000</v>
      </c>
    </row>
    <row r="1073" spans="4:13">
      <c r="D1073" s="1" t="s">
        <v>197</v>
      </c>
      <c r="E1073" s="1" t="s">
        <v>180</v>
      </c>
      <c r="H1073" s="1" t="s">
        <v>181</v>
      </c>
      <c r="I1073" s="1" t="s">
        <v>23</v>
      </c>
      <c r="J1073" s="1">
        <v>1</v>
      </c>
      <c r="K1073" s="1">
        <v>3</v>
      </c>
      <c r="M1073" s="1" t="s">
        <v>182</v>
      </c>
    </row>
    <row r="1074" spans="4:13">
      <c r="D1074" s="1" t="s">
        <v>197</v>
      </c>
      <c r="E1074" s="1" t="s">
        <v>47</v>
      </c>
      <c r="H1074" s="1" t="s">
        <v>25</v>
      </c>
      <c r="I1074" s="1" t="s">
        <v>23</v>
      </c>
      <c r="M1074" s="1" t="b">
        <v>0</v>
      </c>
    </row>
    <row r="1075" spans="4:13">
      <c r="D1075" s="1" t="s">
        <v>197</v>
      </c>
      <c r="E1075" s="1" t="s">
        <v>183</v>
      </c>
      <c r="H1075" s="1" t="s">
        <v>25</v>
      </c>
      <c r="I1075" s="1" t="s">
        <v>23</v>
      </c>
      <c r="M1075" s="1" t="b">
        <v>1</v>
      </c>
    </row>
    <row r="1076" spans="4:13">
      <c r="D1076" s="1" t="s">
        <v>197</v>
      </c>
      <c r="E1076" s="1" t="s">
        <v>189</v>
      </c>
      <c r="H1076" s="1" t="s">
        <v>22</v>
      </c>
      <c r="I1076" s="1" t="s">
        <v>23</v>
      </c>
      <c r="L1076" s="1">
        <v>1</v>
      </c>
      <c r="M1076" s="1">
        <v>1.15E-4</v>
      </c>
    </row>
    <row r="1077" spans="4:13">
      <c r="D1077" s="1" t="s">
        <v>197</v>
      </c>
      <c r="E1077" s="1" t="s">
        <v>112</v>
      </c>
      <c r="F1077" s="1" t="s">
        <v>56</v>
      </c>
      <c r="G1077" s="1" t="s">
        <v>57</v>
      </c>
      <c r="H1077" s="1" t="s">
        <v>22</v>
      </c>
      <c r="I1077" s="1" t="s">
        <v>29</v>
      </c>
      <c r="J1077" s="1">
        <v>4.9312830828271128</v>
      </c>
      <c r="K1077" s="1">
        <v>623.66227223989961</v>
      </c>
      <c r="L1077" s="1">
        <v>50.713895374744951</v>
      </c>
    </row>
    <row r="1078" spans="4:13">
      <c r="D1078" s="1" t="s">
        <v>197</v>
      </c>
      <c r="E1078" s="1" t="s">
        <v>62</v>
      </c>
      <c r="H1078" s="1" t="s">
        <v>63</v>
      </c>
      <c r="I1078" s="1" t="s">
        <v>23</v>
      </c>
      <c r="M1078" s="1">
        <v>1</v>
      </c>
    </row>
    <row r="1079" spans="4:13">
      <c r="D1079" s="1" t="s">
        <v>197</v>
      </c>
      <c r="E1079" s="1" t="s">
        <v>184</v>
      </c>
      <c r="H1079" s="1" t="s">
        <v>22</v>
      </c>
      <c r="I1079" s="1" t="s">
        <v>120</v>
      </c>
      <c r="L1079" s="1">
        <v>1</v>
      </c>
    </row>
    <row r="1080" spans="4:13">
      <c r="D1080" s="1" t="s">
        <v>197</v>
      </c>
      <c r="E1080" s="1" t="s">
        <v>185</v>
      </c>
      <c r="F1080" s="1" t="s">
        <v>176</v>
      </c>
      <c r="G1080" s="1" t="s">
        <v>177</v>
      </c>
      <c r="H1080" s="1" t="s">
        <v>22</v>
      </c>
      <c r="I1080" s="1" t="s">
        <v>65</v>
      </c>
      <c r="L1080" s="1">
        <v>39.370078740157467</v>
      </c>
    </row>
    <row r="1081" spans="4:13">
      <c r="D1081" s="1" t="s">
        <v>197</v>
      </c>
      <c r="E1081" s="1" t="s">
        <v>115</v>
      </c>
      <c r="F1081" s="1" t="s">
        <v>56</v>
      </c>
      <c r="G1081" s="1" t="s">
        <v>57</v>
      </c>
      <c r="H1081" s="1" t="s">
        <v>22</v>
      </c>
      <c r="I1081" s="1" t="s">
        <v>65</v>
      </c>
      <c r="L1081" s="1">
        <v>1.4503773773020921E-4</v>
      </c>
    </row>
    <row r="1082" spans="4:13">
      <c r="D1082" s="1" t="s">
        <v>197</v>
      </c>
      <c r="E1082" s="1" t="s">
        <v>69</v>
      </c>
      <c r="H1082" s="1" t="s">
        <v>25</v>
      </c>
      <c r="I1082" s="1" t="s">
        <v>70</v>
      </c>
    </row>
    <row r="1083" spans="4:13">
      <c r="D1083" s="1" t="s">
        <v>197</v>
      </c>
      <c r="E1083" s="1" t="s">
        <v>186</v>
      </c>
      <c r="H1083" s="1" t="s">
        <v>22</v>
      </c>
      <c r="I1083" s="1" t="s">
        <v>65</v>
      </c>
      <c r="L1083" s="1">
        <v>1</v>
      </c>
    </row>
    <row r="1084" spans="4:13">
      <c r="D1084" s="1" t="s">
        <v>197</v>
      </c>
      <c r="E1084" s="1" t="s">
        <v>71</v>
      </c>
      <c r="F1084" s="1" t="s">
        <v>52</v>
      </c>
      <c r="G1084" s="1" t="s">
        <v>53</v>
      </c>
      <c r="H1084" s="1" t="s">
        <v>22</v>
      </c>
      <c r="I1084" s="1" t="s">
        <v>65</v>
      </c>
      <c r="L1084" s="1">
        <v>7936.6414386555998</v>
      </c>
    </row>
    <row r="1085" spans="4:13">
      <c r="D1085" s="1" t="s">
        <v>197</v>
      </c>
      <c r="E1085" s="1" t="s">
        <v>117</v>
      </c>
      <c r="F1085" s="1" t="s">
        <v>118</v>
      </c>
      <c r="G1085" s="1" t="s">
        <v>119</v>
      </c>
      <c r="H1085" s="1" t="s">
        <v>22</v>
      </c>
      <c r="I1085" s="1" t="s">
        <v>120</v>
      </c>
      <c r="J1085" s="1">
        <v>0</v>
      </c>
      <c r="L1085" s="1">
        <v>2.20462262185</v>
      </c>
    </row>
    <row r="1086" spans="4:13">
      <c r="D1086" s="1" t="s">
        <v>197</v>
      </c>
      <c r="E1086" s="1" t="s">
        <v>123</v>
      </c>
      <c r="F1086" s="1" t="s">
        <v>124</v>
      </c>
      <c r="G1086" s="1" t="s">
        <v>125</v>
      </c>
      <c r="H1086" s="1" t="s">
        <v>22</v>
      </c>
      <c r="I1086" s="1" t="s">
        <v>120</v>
      </c>
      <c r="L1086" s="1">
        <v>35.314666699999997</v>
      </c>
    </row>
    <row r="1087" spans="4:13">
      <c r="D1087" s="1" t="s">
        <v>197</v>
      </c>
      <c r="E1087" s="1" t="s">
        <v>126</v>
      </c>
      <c r="H1087" s="1" t="s">
        <v>22</v>
      </c>
      <c r="I1087" s="1" t="s">
        <v>65</v>
      </c>
      <c r="L1087" s="1">
        <v>1</v>
      </c>
    </row>
    <row r="1088" spans="4:13">
      <c r="D1088" s="1" t="s">
        <v>198</v>
      </c>
      <c r="E1088" s="1" t="s">
        <v>28</v>
      </c>
      <c r="H1088" s="1" t="s">
        <v>22</v>
      </c>
      <c r="I1088" s="1" t="s">
        <v>29</v>
      </c>
      <c r="J1088" s="1">
        <v>34000</v>
      </c>
      <c r="K1088" s="1">
        <v>4300000</v>
      </c>
      <c r="L1088" s="1">
        <v>349660</v>
      </c>
    </row>
    <row r="1089" spans="4:13">
      <c r="D1089" s="1" t="s">
        <v>198</v>
      </c>
      <c r="E1089" s="1" t="s">
        <v>30</v>
      </c>
      <c r="H1089" s="1" t="s">
        <v>22</v>
      </c>
      <c r="I1089" s="1" t="s">
        <v>29</v>
      </c>
      <c r="J1089" s="1">
        <v>-3.94</v>
      </c>
      <c r="K1089" s="1">
        <v>3.66</v>
      </c>
      <c r="L1089" s="1">
        <v>1</v>
      </c>
    </row>
    <row r="1090" spans="4:13">
      <c r="D1090" s="1" t="s">
        <v>198</v>
      </c>
      <c r="E1090" s="1" t="s">
        <v>31</v>
      </c>
      <c r="H1090" s="1" t="s">
        <v>22</v>
      </c>
      <c r="I1090" s="1" t="s">
        <v>29</v>
      </c>
      <c r="J1090" s="1">
        <v>0</v>
      </c>
      <c r="K1090" s="1">
        <v>100</v>
      </c>
      <c r="L1090" s="1">
        <v>1</v>
      </c>
    </row>
    <row r="1091" spans="4:13">
      <c r="D1091" s="1" t="s">
        <v>198</v>
      </c>
      <c r="E1091" s="1" t="s">
        <v>32</v>
      </c>
      <c r="H1091" s="1" t="s">
        <v>22</v>
      </c>
      <c r="I1091" s="1" t="s">
        <v>29</v>
      </c>
      <c r="J1091" s="1">
        <v>-3.94</v>
      </c>
      <c r="K1091" s="1">
        <v>3.66</v>
      </c>
      <c r="L1091" s="1">
        <v>1</v>
      </c>
    </row>
    <row r="1092" spans="4:13">
      <c r="D1092" s="1" t="s">
        <v>198</v>
      </c>
      <c r="E1092" s="1" t="s">
        <v>33</v>
      </c>
      <c r="H1092" s="1" t="s">
        <v>25</v>
      </c>
      <c r="I1092" s="1" t="s">
        <v>23</v>
      </c>
      <c r="M1092" s="1" t="b">
        <v>0</v>
      </c>
    </row>
    <row r="1093" spans="4:13">
      <c r="D1093" s="1" t="s">
        <v>198</v>
      </c>
      <c r="E1093" s="1" t="s">
        <v>34</v>
      </c>
      <c r="F1093" s="1" t="s">
        <v>35</v>
      </c>
      <c r="G1093" s="1" t="s">
        <v>36</v>
      </c>
      <c r="H1093" s="1" t="s">
        <v>22</v>
      </c>
      <c r="I1093" s="1" t="s">
        <v>23</v>
      </c>
      <c r="J1093" s="1">
        <v>-459.67</v>
      </c>
      <c r="K1093" s="1">
        <v>980.32999999999993</v>
      </c>
      <c r="L1093" s="1">
        <v>80.329999999999984</v>
      </c>
      <c r="M1093" s="1">
        <v>67.999999999999943</v>
      </c>
    </row>
    <row r="1094" spans="4:13">
      <c r="D1094" s="1" t="s">
        <v>198</v>
      </c>
      <c r="E1094" s="1" t="s">
        <v>37</v>
      </c>
      <c r="H1094" s="1" t="s">
        <v>25</v>
      </c>
      <c r="I1094" s="1" t="s">
        <v>23</v>
      </c>
      <c r="M1094" s="1" t="b">
        <v>0</v>
      </c>
    </row>
    <row r="1095" spans="4:13">
      <c r="D1095" s="1" t="s">
        <v>198</v>
      </c>
      <c r="E1095" s="1" t="s">
        <v>38</v>
      </c>
      <c r="F1095" s="1" t="s">
        <v>35</v>
      </c>
      <c r="G1095" s="1" t="s">
        <v>36</v>
      </c>
      <c r="H1095" s="1" t="s">
        <v>22</v>
      </c>
      <c r="I1095" s="1" t="s">
        <v>23</v>
      </c>
      <c r="J1095" s="1">
        <v>-99.670000000000016</v>
      </c>
      <c r="K1095" s="1">
        <v>980.32999999999993</v>
      </c>
      <c r="L1095" s="1">
        <v>80.329999999999984</v>
      </c>
      <c r="M1095" s="1">
        <v>13.999999999999943</v>
      </c>
    </row>
    <row r="1096" spans="4:13">
      <c r="D1096" s="1" t="s">
        <v>198</v>
      </c>
      <c r="E1096" s="1" t="s">
        <v>39</v>
      </c>
      <c r="H1096" s="1" t="s">
        <v>25</v>
      </c>
      <c r="I1096" s="1" t="s">
        <v>23</v>
      </c>
      <c r="M1096" s="1" t="b">
        <v>0</v>
      </c>
    </row>
    <row r="1097" spans="4:13">
      <c r="D1097" s="1" t="s">
        <v>198</v>
      </c>
      <c r="E1097" s="1" t="s">
        <v>40</v>
      </c>
      <c r="F1097" s="1" t="s">
        <v>41</v>
      </c>
      <c r="G1097" s="1" t="s">
        <v>42</v>
      </c>
      <c r="H1097" s="1" t="s">
        <v>22</v>
      </c>
      <c r="I1097" s="1" t="s">
        <v>23</v>
      </c>
      <c r="J1097" s="1">
        <v>-900</v>
      </c>
      <c r="K1097" s="1">
        <v>900</v>
      </c>
      <c r="L1097" s="1">
        <v>1.8</v>
      </c>
      <c r="M1097" s="1">
        <v>9</v>
      </c>
    </row>
    <row r="1098" spans="4:13">
      <c r="D1098" s="1" t="s">
        <v>198</v>
      </c>
      <c r="E1098" s="1" t="s">
        <v>43</v>
      </c>
      <c r="H1098" s="1" t="s">
        <v>25</v>
      </c>
      <c r="I1098" s="1" t="s">
        <v>23</v>
      </c>
      <c r="M1098" s="1" t="b">
        <v>0</v>
      </c>
    </row>
    <row r="1099" spans="4:13">
      <c r="D1099" s="1" t="s">
        <v>198</v>
      </c>
      <c r="E1099" s="1" t="s">
        <v>44</v>
      </c>
      <c r="F1099" s="1" t="s">
        <v>45</v>
      </c>
      <c r="G1099" s="1" t="s">
        <v>46</v>
      </c>
      <c r="H1099" s="1" t="s">
        <v>22</v>
      </c>
      <c r="I1099" s="1" t="s">
        <v>23</v>
      </c>
      <c r="J1099" s="1">
        <v>-85.984522757427143</v>
      </c>
      <c r="K1099" s="1">
        <v>8598.4522757427148</v>
      </c>
      <c r="L1099" s="1">
        <v>114.79148749423418</v>
      </c>
      <c r="M1099" s="1">
        <v>128.97678413614071</v>
      </c>
    </row>
    <row r="1100" spans="4:13">
      <c r="D1100" s="1" t="s">
        <v>198</v>
      </c>
      <c r="E1100" s="1" t="s">
        <v>47</v>
      </c>
      <c r="H1100" s="1" t="s">
        <v>25</v>
      </c>
      <c r="I1100" s="1" t="s">
        <v>23</v>
      </c>
      <c r="M1100" s="1" t="b">
        <v>0</v>
      </c>
    </row>
    <row r="1101" spans="4:13">
      <c r="D1101" s="1" t="s">
        <v>198</v>
      </c>
      <c r="E1101" s="1" t="s">
        <v>48</v>
      </c>
      <c r="H1101" s="1" t="s">
        <v>25</v>
      </c>
      <c r="I1101" s="1" t="s">
        <v>23</v>
      </c>
      <c r="M1101" s="1" t="b">
        <v>0</v>
      </c>
    </row>
    <row r="1102" spans="4:13">
      <c r="D1102" s="1" t="s">
        <v>198</v>
      </c>
      <c r="E1102" s="1" t="s">
        <v>49</v>
      </c>
      <c r="H1102" s="1" t="s">
        <v>25</v>
      </c>
      <c r="I1102" s="1" t="s">
        <v>23</v>
      </c>
      <c r="M1102" s="1" t="b">
        <v>0</v>
      </c>
    </row>
    <row r="1103" spans="4:13">
      <c r="D1103" s="1" t="s">
        <v>198</v>
      </c>
      <c r="E1103" s="1" t="s">
        <v>50</v>
      </c>
      <c r="H1103" s="1" t="s">
        <v>25</v>
      </c>
      <c r="I1103" s="1" t="s">
        <v>23</v>
      </c>
      <c r="M1103" s="1" t="b">
        <v>0</v>
      </c>
    </row>
    <row r="1104" spans="4:13">
      <c r="D1104" s="1" t="s">
        <v>198</v>
      </c>
      <c r="E1104" s="1" t="s">
        <v>51</v>
      </c>
      <c r="F1104" s="1" t="s">
        <v>52</v>
      </c>
      <c r="G1104" s="1" t="s">
        <v>53</v>
      </c>
      <c r="H1104" s="1" t="s">
        <v>22</v>
      </c>
      <c r="I1104" s="1" t="s">
        <v>23</v>
      </c>
      <c r="J1104" s="1">
        <v>0</v>
      </c>
      <c r="K1104" s="1">
        <v>7936641438.6555996</v>
      </c>
      <c r="L1104" s="1">
        <v>7936.6414386555998</v>
      </c>
      <c r="M1104" s="1">
        <v>7936.6414386555998</v>
      </c>
    </row>
    <row r="1105" spans="4:13">
      <c r="D1105" s="1" t="s">
        <v>198</v>
      </c>
      <c r="E1105" s="1" t="s">
        <v>54</v>
      </c>
      <c r="H1105" s="1" t="s">
        <v>25</v>
      </c>
      <c r="I1105" s="1" t="s">
        <v>23</v>
      </c>
      <c r="M1105" s="1" t="b">
        <v>0</v>
      </c>
    </row>
    <row r="1106" spans="4:13">
      <c r="D1106" s="1" t="s">
        <v>198</v>
      </c>
      <c r="E1106" s="1" t="s">
        <v>55</v>
      </c>
      <c r="F1106" s="1" t="s">
        <v>56</v>
      </c>
      <c r="G1106" s="1" t="s">
        <v>57</v>
      </c>
      <c r="H1106" s="1" t="s">
        <v>22</v>
      </c>
      <c r="I1106" s="1" t="s">
        <v>23</v>
      </c>
      <c r="J1106" s="1">
        <v>0</v>
      </c>
      <c r="K1106" s="1">
        <v>9427.4529524635982</v>
      </c>
      <c r="L1106" s="1">
        <v>50.713895374744951</v>
      </c>
      <c r="M1106" s="1">
        <v>50.763208205573221</v>
      </c>
    </row>
    <row r="1107" spans="4:13">
      <c r="D1107" s="1" t="s">
        <v>198</v>
      </c>
      <c r="E1107" s="1" t="s">
        <v>58</v>
      </c>
      <c r="H1107" s="1" t="s">
        <v>25</v>
      </c>
      <c r="I1107" s="1" t="s">
        <v>23</v>
      </c>
      <c r="M1107" s="1" t="b">
        <v>0</v>
      </c>
    </row>
    <row r="1108" spans="4:13">
      <c r="D1108" s="1" t="s">
        <v>198</v>
      </c>
      <c r="E1108" s="1" t="s">
        <v>59</v>
      </c>
      <c r="F1108" s="1" t="s">
        <v>60</v>
      </c>
      <c r="G1108" s="1" t="s">
        <v>61</v>
      </c>
      <c r="H1108" s="1" t="s">
        <v>22</v>
      </c>
      <c r="I1108" s="1" t="s">
        <v>23</v>
      </c>
      <c r="J1108" s="1">
        <v>-9.5538358650799999</v>
      </c>
      <c r="K1108" s="1">
        <v>9.5538358650799999</v>
      </c>
      <c r="L1108" s="1">
        <v>0.23884589662700001</v>
      </c>
      <c r="M1108" s="1">
        <v>0.23884589662700001</v>
      </c>
    </row>
    <row r="1109" spans="4:13">
      <c r="D1109" s="1" t="s">
        <v>198</v>
      </c>
      <c r="E1109" s="1" t="s">
        <v>62</v>
      </c>
      <c r="H1109" s="1" t="s">
        <v>63</v>
      </c>
      <c r="I1109" s="1" t="s">
        <v>23</v>
      </c>
      <c r="M1109" s="1">
        <v>1</v>
      </c>
    </row>
    <row r="1110" spans="4:13">
      <c r="D1110" s="1" t="s">
        <v>198</v>
      </c>
      <c r="E1110" s="1" t="s">
        <v>64</v>
      </c>
      <c r="F1110" s="1" t="s">
        <v>35</v>
      </c>
      <c r="G1110" s="1" t="s">
        <v>36</v>
      </c>
      <c r="H1110" s="1" t="s">
        <v>22</v>
      </c>
      <c r="I1110" s="1" t="s">
        <v>65</v>
      </c>
      <c r="J1110" s="1">
        <v>-459.67</v>
      </c>
      <c r="L1110" s="1">
        <v>80.329999999999984</v>
      </c>
    </row>
    <row r="1111" spans="4:13">
      <c r="D1111" s="1" t="s">
        <v>198</v>
      </c>
      <c r="E1111" s="1" t="s">
        <v>66</v>
      </c>
      <c r="F1111" s="1" t="s">
        <v>35</v>
      </c>
      <c r="G1111" s="1" t="s">
        <v>36</v>
      </c>
      <c r="H1111" s="1" t="s">
        <v>22</v>
      </c>
      <c r="I1111" s="1" t="s">
        <v>65</v>
      </c>
      <c r="J1111" s="1">
        <v>-459.67</v>
      </c>
      <c r="L1111" s="1">
        <v>80.329999999999984</v>
      </c>
    </row>
    <row r="1112" spans="4:13">
      <c r="D1112" s="1" t="s">
        <v>198</v>
      </c>
      <c r="E1112" s="1" t="s">
        <v>67</v>
      </c>
      <c r="F1112" s="1" t="s">
        <v>41</v>
      </c>
      <c r="G1112" s="1" t="s">
        <v>42</v>
      </c>
      <c r="H1112" s="1" t="s">
        <v>22</v>
      </c>
      <c r="I1112" s="1" t="s">
        <v>65</v>
      </c>
      <c r="L1112" s="1">
        <v>1.8</v>
      </c>
    </row>
    <row r="1113" spans="4:13">
      <c r="D1113" s="1" t="s">
        <v>198</v>
      </c>
      <c r="E1113" s="1" t="s">
        <v>68</v>
      </c>
      <c r="F1113" s="1" t="s">
        <v>45</v>
      </c>
      <c r="G1113" s="1" t="s">
        <v>46</v>
      </c>
      <c r="H1113" s="1" t="s">
        <v>22</v>
      </c>
      <c r="I1113" s="1" t="s">
        <v>65</v>
      </c>
      <c r="L1113" s="1">
        <v>4.2992261378713571E-4</v>
      </c>
    </row>
    <row r="1114" spans="4:13">
      <c r="D1114" s="1" t="s">
        <v>198</v>
      </c>
      <c r="E1114" s="1" t="s">
        <v>69</v>
      </c>
      <c r="H1114" s="1" t="s">
        <v>25</v>
      </c>
      <c r="I1114" s="1" t="s">
        <v>70</v>
      </c>
    </row>
    <row r="1115" spans="4:13">
      <c r="D1115" s="1" t="s">
        <v>198</v>
      </c>
      <c r="E1115" s="1" t="s">
        <v>71</v>
      </c>
      <c r="F1115" s="1" t="s">
        <v>52</v>
      </c>
      <c r="G1115" s="1" t="s">
        <v>53</v>
      </c>
      <c r="H1115" s="1" t="s">
        <v>22</v>
      </c>
      <c r="I1115" s="1" t="s">
        <v>65</v>
      </c>
      <c r="L1115" s="1">
        <v>7936.6414386555998</v>
      </c>
    </row>
    <row r="1116" spans="4:13">
      <c r="D1116" s="1" t="s">
        <v>198</v>
      </c>
      <c r="E1116" s="1" t="s">
        <v>72</v>
      </c>
      <c r="F1116" s="1" t="s">
        <v>56</v>
      </c>
      <c r="G1116" s="1" t="s">
        <v>57</v>
      </c>
      <c r="H1116" s="1" t="s">
        <v>22</v>
      </c>
      <c r="I1116" s="1" t="s">
        <v>65</v>
      </c>
      <c r="J1116" s="1">
        <v>0</v>
      </c>
      <c r="L1116" s="1">
        <v>14.503773773020921</v>
      </c>
    </row>
    <row r="1117" spans="4:13">
      <c r="D1117" s="1" t="s">
        <v>198</v>
      </c>
      <c r="E1117" s="1" t="s">
        <v>73</v>
      </c>
      <c r="F1117" s="1" t="s">
        <v>60</v>
      </c>
      <c r="G1117" s="1" t="s">
        <v>61</v>
      </c>
      <c r="H1117" s="1" t="s">
        <v>22</v>
      </c>
      <c r="I1117" s="1" t="s">
        <v>65</v>
      </c>
      <c r="L1117" s="1">
        <v>2.38845896627E-4</v>
      </c>
    </row>
    <row r="1118" spans="4:13">
      <c r="D1118" s="1" t="s">
        <v>198</v>
      </c>
      <c r="E1118" s="1" t="s">
        <v>74</v>
      </c>
      <c r="F1118" s="1" t="s">
        <v>75</v>
      </c>
      <c r="G1118" s="1" t="s">
        <v>76</v>
      </c>
      <c r="H1118" s="1" t="s">
        <v>22</v>
      </c>
      <c r="I1118" s="1" t="s">
        <v>65</v>
      </c>
      <c r="J1118" s="1">
        <v>0</v>
      </c>
      <c r="L1118" s="1">
        <v>16.018463521800001</v>
      </c>
    </row>
    <row r="1119" spans="4:13">
      <c r="D1119" s="1" t="s">
        <v>198</v>
      </c>
      <c r="E1119" s="1" t="s">
        <v>77</v>
      </c>
      <c r="H1119" s="1" t="s">
        <v>22</v>
      </c>
      <c r="I1119" s="1" t="s">
        <v>65</v>
      </c>
      <c r="L1119" s="1">
        <v>1</v>
      </c>
    </row>
    <row r="1120" spans="4:13">
      <c r="D1120" s="1" t="s">
        <v>198</v>
      </c>
      <c r="E1120" s="1" t="s">
        <v>78</v>
      </c>
      <c r="H1120" s="1" t="s">
        <v>25</v>
      </c>
      <c r="I1120" s="1" t="s">
        <v>23</v>
      </c>
      <c r="M1120" s="1" t="b">
        <v>0</v>
      </c>
    </row>
    <row r="1121" spans="4:13">
      <c r="D1121" s="1" t="s">
        <v>198</v>
      </c>
      <c r="E1121" s="1" t="s">
        <v>79</v>
      </c>
      <c r="F1121" s="1" t="s">
        <v>75</v>
      </c>
      <c r="G1121" s="1" t="s">
        <v>76</v>
      </c>
      <c r="H1121" s="1" t="s">
        <v>22</v>
      </c>
      <c r="I1121" s="1" t="s">
        <v>23</v>
      </c>
      <c r="J1121" s="1">
        <v>0</v>
      </c>
      <c r="K1121" s="1">
        <v>96.110781130800007</v>
      </c>
      <c r="L1121" s="1">
        <v>16.018463521800001</v>
      </c>
      <c r="M1121" s="1">
        <v>1.6018463521800002</v>
      </c>
    </row>
    <row r="1122" spans="4:13">
      <c r="D1122" s="1" t="s">
        <v>198</v>
      </c>
      <c r="E1122" s="1" t="s">
        <v>80</v>
      </c>
      <c r="H1122" s="1" t="s">
        <v>25</v>
      </c>
      <c r="I1122" s="1" t="s">
        <v>23</v>
      </c>
      <c r="M1122" s="1" t="b">
        <v>0</v>
      </c>
    </row>
    <row r="1123" spans="4:13">
      <c r="D1123" s="1" t="s">
        <v>198</v>
      </c>
      <c r="E1123" s="1" t="s">
        <v>81</v>
      </c>
      <c r="H1123" s="1" t="s">
        <v>25</v>
      </c>
      <c r="I1123" s="1" t="s">
        <v>23</v>
      </c>
      <c r="M1123" s="1" t="b">
        <v>0</v>
      </c>
    </row>
    <row r="1124" spans="4:13">
      <c r="D1124" s="1" t="s">
        <v>198</v>
      </c>
      <c r="E1124" s="1" t="s">
        <v>82</v>
      </c>
      <c r="H1124" s="1" t="s">
        <v>22</v>
      </c>
      <c r="I1124" s="1" t="s">
        <v>23</v>
      </c>
      <c r="J1124" s="1">
        <v>-1</v>
      </c>
      <c r="K1124" s="1">
        <v>3</v>
      </c>
      <c r="L1124" s="1">
        <v>1</v>
      </c>
      <c r="M1124" s="1">
        <v>1.01</v>
      </c>
    </row>
    <row r="1125" spans="4:13">
      <c r="D1125" s="1" t="s">
        <v>199</v>
      </c>
      <c r="E1125" s="1" t="s">
        <v>200</v>
      </c>
      <c r="H1125" s="1" t="s">
        <v>22</v>
      </c>
      <c r="I1125" s="1" t="s">
        <v>23</v>
      </c>
      <c r="L1125" s="1">
        <v>1</v>
      </c>
      <c r="M1125" s="1">
        <v>2</v>
      </c>
    </row>
    <row r="1126" spans="4:13">
      <c r="D1126" s="1" t="s">
        <v>199</v>
      </c>
      <c r="E1126" s="1" t="s">
        <v>201</v>
      </c>
      <c r="H1126" s="1" t="s">
        <v>22</v>
      </c>
      <c r="I1126" s="1" t="s">
        <v>23</v>
      </c>
      <c r="L1126" s="1">
        <v>1</v>
      </c>
      <c r="M1126" s="1">
        <v>1.6</v>
      </c>
    </row>
    <row r="1127" spans="4:13">
      <c r="D1127" s="1" t="s">
        <v>199</v>
      </c>
      <c r="E1127" s="1" t="s">
        <v>202</v>
      </c>
      <c r="H1127" s="1" t="s">
        <v>22</v>
      </c>
      <c r="I1127" s="1" t="s">
        <v>23</v>
      </c>
      <c r="L1127" s="1">
        <v>1</v>
      </c>
      <c r="M1127" s="1">
        <v>0.6002885</v>
      </c>
    </row>
    <row r="1128" spans="4:13">
      <c r="D1128" s="1" t="s">
        <v>199</v>
      </c>
      <c r="E1128" s="1" t="s">
        <v>203</v>
      </c>
      <c r="H1128" s="1" t="s">
        <v>22</v>
      </c>
      <c r="I1128" s="1" t="s">
        <v>23</v>
      </c>
      <c r="L1128" s="1">
        <v>1</v>
      </c>
      <c r="M1128" s="1">
        <v>0.8629445</v>
      </c>
    </row>
    <row r="1129" spans="4:13">
      <c r="D1129" s="1" t="s">
        <v>199</v>
      </c>
      <c r="E1129" s="1" t="s">
        <v>204</v>
      </c>
      <c r="H1129" s="1" t="s">
        <v>22</v>
      </c>
      <c r="I1129" s="1" t="s">
        <v>23</v>
      </c>
      <c r="L1129" s="1">
        <v>1</v>
      </c>
      <c r="M1129" s="1">
        <v>-12.42056193</v>
      </c>
    </row>
    <row r="1130" spans="4:13">
      <c r="D1130" s="1" t="s">
        <v>199</v>
      </c>
      <c r="E1130" s="1" t="s">
        <v>205</v>
      </c>
      <c r="H1130" s="1" t="s">
        <v>22</v>
      </c>
      <c r="I1130" s="1" t="s">
        <v>23</v>
      </c>
      <c r="L1130" s="1">
        <v>1</v>
      </c>
      <c r="M1130" s="1">
        <v>2.783438039</v>
      </c>
    </row>
    <row r="1131" spans="4:13">
      <c r="D1131" s="1" t="s">
        <v>199</v>
      </c>
      <c r="E1131" s="1" t="s">
        <v>206</v>
      </c>
      <c r="H1131" s="1" t="s">
        <v>22</v>
      </c>
      <c r="I1131" s="1" t="s">
        <v>23</v>
      </c>
      <c r="L1131" s="1">
        <v>1</v>
      </c>
      <c r="M1131" s="1">
        <v>0.17545599100000001</v>
      </c>
    </row>
    <row r="1132" spans="4:13">
      <c r="D1132" s="1" t="s">
        <v>199</v>
      </c>
      <c r="E1132" s="1" t="s">
        <v>207</v>
      </c>
      <c r="H1132" s="1" t="s">
        <v>22</v>
      </c>
      <c r="I1132" s="1" t="s">
        <v>23</v>
      </c>
      <c r="L1132" s="1">
        <v>1</v>
      </c>
      <c r="M1132" s="1">
        <v>-3.6437408740000001</v>
      </c>
    </row>
    <row r="1133" spans="4:13">
      <c r="D1133" s="1" t="s">
        <v>199</v>
      </c>
      <c r="E1133" s="1" t="s">
        <v>208</v>
      </c>
      <c r="H1133" s="1" t="s">
        <v>22</v>
      </c>
      <c r="I1133" s="1" t="s">
        <v>23</v>
      </c>
      <c r="L1133" s="1">
        <v>1</v>
      </c>
      <c r="M1133" s="1">
        <v>6.5598567509999999</v>
      </c>
    </row>
    <row r="1134" spans="4:13">
      <c r="D1134" s="1" t="s">
        <v>199</v>
      </c>
      <c r="E1134" s="1" t="s">
        <v>209</v>
      </c>
      <c r="H1134" s="1" t="s">
        <v>22</v>
      </c>
      <c r="I1134" s="1" t="s">
        <v>23</v>
      </c>
      <c r="L1134" s="1">
        <v>1</v>
      </c>
      <c r="M1134" s="1">
        <v>-3.9243080429999999</v>
      </c>
    </row>
    <row r="1135" spans="4:13">
      <c r="D1135" s="1" t="s">
        <v>199</v>
      </c>
      <c r="E1135" s="1" t="s">
        <v>210</v>
      </c>
      <c r="H1135" s="1" t="s">
        <v>22</v>
      </c>
      <c r="I1135" s="1" t="s">
        <v>23</v>
      </c>
      <c r="L1135" s="1">
        <v>1</v>
      </c>
      <c r="M1135" s="1">
        <v>-0.48861480299999999</v>
      </c>
    </row>
    <row r="1136" spans="4:13">
      <c r="D1136" s="1" t="s">
        <v>199</v>
      </c>
      <c r="E1136" s="1" t="s">
        <v>211</v>
      </c>
      <c r="H1136" s="1" t="s">
        <v>22</v>
      </c>
      <c r="I1136" s="1" t="s">
        <v>23</v>
      </c>
      <c r="L1136" s="1">
        <v>1</v>
      </c>
      <c r="M1136" s="1">
        <v>-11.605562819999999</v>
      </c>
    </row>
    <row r="1137" spans="4:13">
      <c r="D1137" s="1" t="s">
        <v>199</v>
      </c>
      <c r="E1137" s="1" t="s">
        <v>212</v>
      </c>
      <c r="H1137" s="1" t="s">
        <v>22</v>
      </c>
      <c r="I1137" s="1" t="s">
        <v>23</v>
      </c>
      <c r="L1137" s="1">
        <v>1</v>
      </c>
      <c r="M1137" s="1">
        <v>-3.6979091359999998</v>
      </c>
    </row>
    <row r="1138" spans="4:13">
      <c r="D1138" s="1" t="s">
        <v>199</v>
      </c>
      <c r="E1138" s="1" t="s">
        <v>213</v>
      </c>
      <c r="H1138" s="1" t="s">
        <v>22</v>
      </c>
      <c r="I1138" s="1" t="s">
        <v>23</v>
      </c>
      <c r="L1138" s="1">
        <v>1</v>
      </c>
      <c r="M1138" s="1">
        <v>53.152108370000001</v>
      </c>
    </row>
    <row r="1139" spans="4:13">
      <c r="D1139" s="1" t="s">
        <v>199</v>
      </c>
      <c r="E1139" s="1" t="s">
        <v>214</v>
      </c>
      <c r="H1139" s="1" t="s">
        <v>22</v>
      </c>
      <c r="I1139" s="1" t="s">
        <v>23</v>
      </c>
      <c r="L1139" s="1">
        <v>1</v>
      </c>
      <c r="M1139" s="1">
        <v>-10.309110649999999</v>
      </c>
    </row>
    <row r="1140" spans="4:13">
      <c r="D1140" s="1" t="s">
        <v>199</v>
      </c>
      <c r="E1140" s="1" t="s">
        <v>215</v>
      </c>
      <c r="H1140" s="1" t="s">
        <v>22</v>
      </c>
      <c r="I1140" s="1" t="s">
        <v>23</v>
      </c>
      <c r="L1140" s="1">
        <v>1</v>
      </c>
      <c r="M1140" s="1">
        <v>12.46470045</v>
      </c>
    </row>
    <row r="1141" spans="4:13">
      <c r="D1141" s="1" t="s">
        <v>199</v>
      </c>
      <c r="E1141" s="1" t="s">
        <v>216</v>
      </c>
      <c r="H1141" s="1" t="s">
        <v>22</v>
      </c>
      <c r="I1141" s="1" t="s">
        <v>23</v>
      </c>
      <c r="L1141" s="1">
        <v>1</v>
      </c>
      <c r="M1141" s="1">
        <v>-19.904975109999999</v>
      </c>
    </row>
    <row r="1142" spans="4:13">
      <c r="D1142" s="1" t="s">
        <v>199</v>
      </c>
      <c r="E1142" s="1" t="s">
        <v>217</v>
      </c>
      <c r="H1142" s="1" t="s">
        <v>22</v>
      </c>
      <c r="I1142" s="1" t="s">
        <v>23</v>
      </c>
      <c r="L1142" s="1">
        <v>1</v>
      </c>
      <c r="M1142" s="1">
        <v>2.693104988</v>
      </c>
    </row>
    <row r="1143" spans="4:13">
      <c r="D1143" s="1" t="s">
        <v>199</v>
      </c>
      <c r="E1143" s="1" t="s">
        <v>218</v>
      </c>
      <c r="H1143" s="1" t="s">
        <v>22</v>
      </c>
      <c r="I1143" s="1" t="s">
        <v>23</v>
      </c>
      <c r="L1143" s="1">
        <v>1</v>
      </c>
      <c r="M1143" s="1">
        <v>-3.3397345189999998</v>
      </c>
    </row>
    <row r="1144" spans="4:13">
      <c r="D1144" s="1" t="s">
        <v>199</v>
      </c>
      <c r="E1144" s="1" t="s">
        <v>219</v>
      </c>
      <c r="H1144" s="1" t="s">
        <v>22</v>
      </c>
      <c r="I1144" s="1" t="s">
        <v>23</v>
      </c>
      <c r="L1144" s="1">
        <v>1</v>
      </c>
      <c r="M1144" s="1">
        <v>56.024511269999998</v>
      </c>
    </row>
    <row r="1145" spans="4:13">
      <c r="D1145" s="1" t="s">
        <v>199</v>
      </c>
      <c r="E1145" s="1" t="s">
        <v>220</v>
      </c>
      <c r="H1145" s="1" t="s">
        <v>22</v>
      </c>
      <c r="I1145" s="1" t="s">
        <v>23</v>
      </c>
      <c r="L1145" s="1">
        <v>1</v>
      </c>
      <c r="M1145" s="1">
        <v>12.4162404</v>
      </c>
    </row>
    <row r="1146" spans="4:13">
      <c r="D1146" s="1" t="s">
        <v>199</v>
      </c>
      <c r="E1146" s="1" t="s">
        <v>221</v>
      </c>
      <c r="H1146" s="1" t="s">
        <v>22</v>
      </c>
      <c r="I1146" s="1" t="s">
        <v>23</v>
      </c>
      <c r="L1146" s="1">
        <v>1</v>
      </c>
      <c r="M1146" s="1">
        <v>-0.37074144399999998</v>
      </c>
    </row>
    <row r="1147" spans="4:13">
      <c r="D1147" s="1" t="s">
        <v>199</v>
      </c>
      <c r="E1147" s="1" t="s">
        <v>222</v>
      </c>
      <c r="H1147" s="1" t="s">
        <v>22</v>
      </c>
      <c r="I1147" s="1" t="s">
        <v>23</v>
      </c>
      <c r="L1147" s="1">
        <v>1</v>
      </c>
      <c r="M1147" s="1">
        <v>-4.853899126</v>
      </c>
    </row>
    <row r="1148" spans="4:13">
      <c r="D1148" s="1" t="s">
        <v>199</v>
      </c>
      <c r="E1148" s="1" t="s">
        <v>223</v>
      </c>
      <c r="H1148" s="1" t="s">
        <v>22</v>
      </c>
      <c r="I1148" s="1" t="s">
        <v>23</v>
      </c>
      <c r="L1148" s="1">
        <v>1</v>
      </c>
      <c r="M1148" s="1">
        <v>-131.75246519999999</v>
      </c>
    </row>
    <row r="1149" spans="4:13">
      <c r="D1149" s="1" t="s">
        <v>199</v>
      </c>
      <c r="E1149" s="1" t="s">
        <v>224</v>
      </c>
      <c r="H1149" s="1" t="s">
        <v>22</v>
      </c>
      <c r="I1149" s="1" t="s">
        <v>23</v>
      </c>
      <c r="L1149" s="1">
        <v>1</v>
      </c>
      <c r="M1149" s="1">
        <v>5.8939846310000004</v>
      </c>
    </row>
    <row r="1150" spans="4:13">
      <c r="D1150" s="1" t="s">
        <v>199</v>
      </c>
      <c r="E1150" s="1" t="s">
        <v>225</v>
      </c>
      <c r="H1150" s="1" t="s">
        <v>22</v>
      </c>
      <c r="I1150" s="1" t="s">
        <v>23</v>
      </c>
      <c r="L1150" s="1">
        <v>1</v>
      </c>
      <c r="M1150" s="1">
        <v>16.722669719999999</v>
      </c>
    </row>
    <row r="1151" spans="4:13">
      <c r="D1151" s="1" t="s">
        <v>199</v>
      </c>
      <c r="E1151" s="1" t="s">
        <v>226</v>
      </c>
      <c r="H1151" s="1" t="s">
        <v>22</v>
      </c>
      <c r="I1151" s="1" t="s">
        <v>23</v>
      </c>
      <c r="L1151" s="1">
        <v>1</v>
      </c>
      <c r="M1151" s="1">
        <v>36.919691919999998</v>
      </c>
    </row>
    <row r="1152" spans="4:13">
      <c r="D1152" s="1" t="s">
        <v>199</v>
      </c>
      <c r="E1152" s="1" t="s">
        <v>227</v>
      </c>
      <c r="H1152" s="1" t="s">
        <v>22</v>
      </c>
      <c r="I1152" s="1" t="s">
        <v>23</v>
      </c>
      <c r="L1152" s="1">
        <v>1</v>
      </c>
      <c r="M1152" s="1">
        <v>15.51352453</v>
      </c>
    </row>
    <row r="1153" spans="4:13">
      <c r="D1153" s="1" t="s">
        <v>199</v>
      </c>
      <c r="E1153" s="1" t="s">
        <v>228</v>
      </c>
      <c r="H1153" s="1" t="s">
        <v>22</v>
      </c>
      <c r="I1153" s="1" t="s">
        <v>23</v>
      </c>
      <c r="L1153" s="1">
        <v>1</v>
      </c>
      <c r="M1153" s="1">
        <v>-136.27810500000001</v>
      </c>
    </row>
    <row r="1154" spans="4:13">
      <c r="D1154" s="1" t="s">
        <v>199</v>
      </c>
      <c r="E1154" s="1" t="s">
        <v>229</v>
      </c>
      <c r="H1154" s="1" t="s">
        <v>22</v>
      </c>
      <c r="I1154" s="1" t="s">
        <v>23</v>
      </c>
      <c r="L1154" s="1">
        <v>1</v>
      </c>
      <c r="M1154" s="1">
        <v>-22.550678550000001</v>
      </c>
    </row>
    <row r="1155" spans="4:13">
      <c r="D1155" s="1" t="s">
        <v>199</v>
      </c>
      <c r="E1155" s="1" t="s">
        <v>230</v>
      </c>
      <c r="H1155" s="1" t="s">
        <v>22</v>
      </c>
      <c r="I1155" s="1" t="s">
        <v>23</v>
      </c>
      <c r="L1155" s="1">
        <v>1</v>
      </c>
      <c r="M1155" s="1">
        <v>9.0278701730000002</v>
      </c>
    </row>
    <row r="1156" spans="4:13">
      <c r="D1156" s="1" t="s">
        <v>199</v>
      </c>
      <c r="E1156" s="1" t="s">
        <v>231</v>
      </c>
      <c r="H1156" s="1" t="s">
        <v>22</v>
      </c>
      <c r="I1156" s="1" t="s">
        <v>23</v>
      </c>
      <c r="L1156" s="1">
        <v>1</v>
      </c>
      <c r="M1156" s="1">
        <v>24.594299190000001</v>
      </c>
    </row>
    <row r="1157" spans="4:13">
      <c r="D1157" s="1" t="s">
        <v>199</v>
      </c>
      <c r="E1157" s="1" t="s">
        <v>232</v>
      </c>
      <c r="H1157" s="1" t="s">
        <v>22</v>
      </c>
      <c r="I1157" s="1" t="s">
        <v>23</v>
      </c>
      <c r="L1157" s="1">
        <v>1</v>
      </c>
      <c r="M1157" s="1">
        <v>277.41246580000001</v>
      </c>
    </row>
    <row r="1158" spans="4:13">
      <c r="D1158" s="1" t="s">
        <v>199</v>
      </c>
      <c r="E1158" s="1" t="s">
        <v>233</v>
      </c>
      <c r="H1158" s="1" t="s">
        <v>22</v>
      </c>
      <c r="I1158" s="1" t="s">
        <v>23</v>
      </c>
      <c r="L1158" s="1">
        <v>1</v>
      </c>
      <c r="M1158" s="1">
        <v>-58.230071729999999</v>
      </c>
    </row>
    <row r="1159" spans="4:13">
      <c r="D1159" s="1" t="s">
        <v>199</v>
      </c>
      <c r="E1159" s="1" t="s">
        <v>234</v>
      </c>
      <c r="H1159" s="1" t="s">
        <v>22</v>
      </c>
      <c r="I1159" s="1" t="s">
        <v>23</v>
      </c>
      <c r="L1159" s="1">
        <v>1</v>
      </c>
      <c r="M1159" s="1">
        <v>-80.460904540000001</v>
      </c>
    </row>
    <row r="1160" spans="4:13">
      <c r="D1160" s="1" t="s">
        <v>199</v>
      </c>
      <c r="E1160" s="1" t="s">
        <v>235</v>
      </c>
      <c r="H1160" s="1" t="s">
        <v>22</v>
      </c>
      <c r="I1160" s="1" t="s">
        <v>23</v>
      </c>
      <c r="L1160" s="1">
        <v>1</v>
      </c>
      <c r="M1160" s="1">
        <v>-94.893821509999995</v>
      </c>
    </row>
    <row r="1161" spans="4:13">
      <c r="D1161" s="1" t="s">
        <v>199</v>
      </c>
      <c r="E1161" s="1" t="s">
        <v>236</v>
      </c>
      <c r="H1161" s="1" t="s">
        <v>22</v>
      </c>
      <c r="I1161" s="1" t="s">
        <v>23</v>
      </c>
      <c r="L1161" s="1">
        <v>1</v>
      </c>
      <c r="M1161" s="1">
        <v>259.0144267</v>
      </c>
    </row>
    <row r="1162" spans="4:13">
      <c r="D1162" s="1" t="s">
        <v>199</v>
      </c>
      <c r="E1162" s="1" t="s">
        <v>237</v>
      </c>
      <c r="H1162" s="1" t="s">
        <v>22</v>
      </c>
      <c r="I1162" s="1" t="s">
        <v>23</v>
      </c>
      <c r="L1162" s="1">
        <v>1</v>
      </c>
      <c r="M1162" s="1">
        <v>16.922274900000001</v>
      </c>
    </row>
    <row r="1163" spans="4:13">
      <c r="D1163" s="1" t="s">
        <v>199</v>
      </c>
      <c r="E1163" s="1" t="s">
        <v>238</v>
      </c>
      <c r="H1163" s="1" t="s">
        <v>22</v>
      </c>
      <c r="I1163" s="1" t="s">
        <v>23</v>
      </c>
      <c r="L1163" s="1">
        <v>1</v>
      </c>
      <c r="M1163" s="1">
        <v>-31.407204199999999</v>
      </c>
    </row>
    <row r="1164" spans="4:13">
      <c r="D1164" s="1" t="s">
        <v>199</v>
      </c>
      <c r="E1164" s="1" t="s">
        <v>239</v>
      </c>
      <c r="H1164" s="1" t="s">
        <v>22</v>
      </c>
      <c r="I1164" s="1" t="s">
        <v>23</v>
      </c>
      <c r="L1164" s="1">
        <v>1</v>
      </c>
      <c r="M1164" s="1">
        <v>-8.3447858670000006</v>
      </c>
    </row>
    <row r="1165" spans="4:13">
      <c r="D1165" s="1" t="s">
        <v>199</v>
      </c>
      <c r="E1165" s="1" t="s">
        <v>240</v>
      </c>
      <c r="H1165" s="1" t="s">
        <v>22</v>
      </c>
      <c r="I1165" s="1" t="s">
        <v>23</v>
      </c>
      <c r="L1165" s="1">
        <v>1</v>
      </c>
      <c r="M1165" s="1">
        <v>-3.9747991649999999</v>
      </c>
    </row>
    <row r="1166" spans="4:13">
      <c r="D1166" s="1" t="s">
        <v>199</v>
      </c>
      <c r="E1166" s="1" t="s">
        <v>241</v>
      </c>
      <c r="H1166" s="1" t="s">
        <v>22</v>
      </c>
      <c r="I1166" s="1" t="s">
        <v>23</v>
      </c>
      <c r="L1166" s="1">
        <v>1</v>
      </c>
      <c r="M1166" s="1">
        <v>-103.190184</v>
      </c>
    </row>
    <row r="1167" spans="4:13">
      <c r="D1167" s="1" t="s">
        <v>199</v>
      </c>
      <c r="E1167" s="1" t="s">
        <v>242</v>
      </c>
      <c r="H1167" s="1" t="s">
        <v>22</v>
      </c>
      <c r="I1167" s="1" t="s">
        <v>23</v>
      </c>
      <c r="L1167" s="1">
        <v>1</v>
      </c>
      <c r="M1167" s="1">
        <v>-400.463347</v>
      </c>
    </row>
    <row r="1168" spans="4:13">
      <c r="D1168" s="1" t="s">
        <v>199</v>
      </c>
      <c r="E1168" s="1" t="s">
        <v>243</v>
      </c>
      <c r="H1168" s="1" t="s">
        <v>22</v>
      </c>
      <c r="I1168" s="1" t="s">
        <v>23</v>
      </c>
      <c r="L1168" s="1">
        <v>1</v>
      </c>
      <c r="M1168" s="1">
        <v>205.150226</v>
      </c>
    </row>
    <row r="1169" spans="4:13">
      <c r="D1169" s="1" t="s">
        <v>199</v>
      </c>
      <c r="E1169" s="1" t="s">
        <v>244</v>
      </c>
      <c r="H1169" s="1" t="s">
        <v>22</v>
      </c>
      <c r="I1169" s="1" t="s">
        <v>23</v>
      </c>
      <c r="L1169" s="1">
        <v>1</v>
      </c>
      <c r="M1169" s="1">
        <v>221.3667519</v>
      </c>
    </row>
    <row r="1170" spans="4:13">
      <c r="D1170" s="1" t="s">
        <v>199</v>
      </c>
      <c r="E1170" s="1" t="s">
        <v>245</v>
      </c>
      <c r="H1170" s="1" t="s">
        <v>22</v>
      </c>
      <c r="I1170" s="1" t="s">
        <v>23</v>
      </c>
      <c r="L1170" s="1">
        <v>1</v>
      </c>
      <c r="M1170" s="1">
        <v>-350.82168130000002</v>
      </c>
    </row>
    <row r="1171" spans="4:13">
      <c r="D1171" s="1" t="s">
        <v>199</v>
      </c>
      <c r="E1171" s="1" t="s">
        <v>246</v>
      </c>
      <c r="H1171" s="1" t="s">
        <v>22</v>
      </c>
      <c r="I1171" s="1" t="s">
        <v>23</v>
      </c>
      <c r="L1171" s="1">
        <v>1</v>
      </c>
      <c r="M1171" s="1">
        <v>4.3645905200000001</v>
      </c>
    </row>
    <row r="1172" spans="4:13">
      <c r="D1172" s="1" t="s">
        <v>199</v>
      </c>
      <c r="E1172" s="1" t="s">
        <v>247</v>
      </c>
      <c r="H1172" s="1" t="s">
        <v>22</v>
      </c>
      <c r="I1172" s="1" t="s">
        <v>23</v>
      </c>
      <c r="L1172" s="1">
        <v>1</v>
      </c>
      <c r="M1172" s="1">
        <v>63.353113569999998</v>
      </c>
    </row>
    <row r="1173" spans="4:13">
      <c r="D1173" s="1" t="s">
        <v>199</v>
      </c>
      <c r="E1173" s="1" t="s">
        <v>248</v>
      </c>
      <c r="H1173" s="1" t="s">
        <v>22</v>
      </c>
      <c r="I1173" s="1" t="s">
        <v>23</v>
      </c>
      <c r="L1173" s="1">
        <v>1</v>
      </c>
      <c r="M1173" s="1">
        <v>36.909636480000003</v>
      </c>
    </row>
    <row r="1174" spans="4:13">
      <c r="D1174" s="1" t="s">
        <v>199</v>
      </c>
      <c r="E1174" s="1" t="s">
        <v>249</v>
      </c>
      <c r="H1174" s="1" t="s">
        <v>22</v>
      </c>
      <c r="I1174" s="1" t="s">
        <v>23</v>
      </c>
      <c r="L1174" s="1">
        <v>1</v>
      </c>
      <c r="M1174" s="1">
        <v>41.061025010000002</v>
      </c>
    </row>
    <row r="1175" spans="4:13">
      <c r="D1175" s="1" t="s">
        <v>199</v>
      </c>
      <c r="E1175" s="1" t="s">
        <v>250</v>
      </c>
      <c r="H1175" s="1" t="s">
        <v>22</v>
      </c>
      <c r="I1175" s="1" t="s">
        <v>23</v>
      </c>
      <c r="L1175" s="1">
        <v>1</v>
      </c>
      <c r="M1175" s="1">
        <v>182.56317490000001</v>
      </c>
    </row>
    <row r="1176" spans="4:13">
      <c r="D1176" s="1" t="s">
        <v>199</v>
      </c>
      <c r="E1176" s="1" t="s">
        <v>251</v>
      </c>
      <c r="H1176" s="1" t="s">
        <v>22</v>
      </c>
      <c r="I1176" s="1" t="s">
        <v>23</v>
      </c>
      <c r="L1176" s="1">
        <v>1</v>
      </c>
      <c r="M1176" s="1">
        <v>396.31889669999998</v>
      </c>
    </row>
    <row r="1177" spans="4:13">
      <c r="D1177" s="1" t="s">
        <v>199</v>
      </c>
      <c r="E1177" s="1" t="s">
        <v>252</v>
      </c>
      <c r="H1177" s="1" t="s">
        <v>22</v>
      </c>
      <c r="I1177" s="1" t="s">
        <v>23</v>
      </c>
      <c r="L1177" s="1">
        <v>1</v>
      </c>
      <c r="M1177" s="1">
        <v>-493.16641870000001</v>
      </c>
    </row>
    <row r="1178" spans="4:13">
      <c r="D1178" s="1" t="s">
        <v>199</v>
      </c>
      <c r="E1178" s="1" t="s">
        <v>253</v>
      </c>
      <c r="H1178" s="1" t="s">
        <v>22</v>
      </c>
      <c r="I1178" s="1" t="s">
        <v>23</v>
      </c>
      <c r="L1178" s="1">
        <v>1</v>
      </c>
      <c r="M1178" s="1">
        <v>368.91798390000002</v>
      </c>
    </row>
    <row r="1179" spans="4:13">
      <c r="D1179" s="1" t="s">
        <v>199</v>
      </c>
      <c r="E1179" s="1" t="s">
        <v>254</v>
      </c>
      <c r="H1179" s="1" t="s">
        <v>22</v>
      </c>
      <c r="I1179" s="1" t="s">
        <v>23</v>
      </c>
      <c r="L1179" s="1">
        <v>1</v>
      </c>
      <c r="M1179" s="1">
        <v>-77.030740679999994</v>
      </c>
    </row>
    <row r="1180" spans="4:13">
      <c r="D1180" s="1" t="s">
        <v>199</v>
      </c>
      <c r="E1180" s="1" t="s">
        <v>255</v>
      </c>
      <c r="H1180" s="1" t="s">
        <v>22</v>
      </c>
      <c r="I1180" s="1" t="s">
        <v>23</v>
      </c>
      <c r="L1180" s="1">
        <v>1</v>
      </c>
      <c r="M1180" s="1">
        <v>-75.54827847</v>
      </c>
    </row>
    <row r="1181" spans="4:13">
      <c r="D1181" s="1" t="s">
        <v>199</v>
      </c>
      <c r="E1181" s="1" t="s">
        <v>256</v>
      </c>
      <c r="H1181" s="1" t="s">
        <v>22</v>
      </c>
      <c r="I1181" s="1" t="s">
        <v>23</v>
      </c>
      <c r="L1181" s="1">
        <v>1</v>
      </c>
      <c r="M1181" s="1">
        <v>-84.493516130000003</v>
      </c>
    </row>
    <row r="1182" spans="4:13">
      <c r="D1182" s="1" t="s">
        <v>199</v>
      </c>
      <c r="E1182" s="1" t="s">
        <v>257</v>
      </c>
      <c r="H1182" s="1" t="s">
        <v>22</v>
      </c>
      <c r="I1182" s="1" t="s">
        <v>23</v>
      </c>
      <c r="L1182" s="1">
        <v>1</v>
      </c>
      <c r="M1182" s="1">
        <v>-3.7813646369999998</v>
      </c>
    </row>
    <row r="1183" spans="4:13">
      <c r="D1183" s="1" t="s">
        <v>199</v>
      </c>
      <c r="E1183" s="1" t="s">
        <v>258</v>
      </c>
      <c r="H1183" s="1" t="s">
        <v>22</v>
      </c>
      <c r="I1183" s="1" t="s">
        <v>23</v>
      </c>
      <c r="L1183" s="1">
        <v>1</v>
      </c>
      <c r="M1183" s="1">
        <v>-10.63279651</v>
      </c>
    </row>
    <row r="1184" spans="4:13">
      <c r="D1184" s="1" t="s">
        <v>199</v>
      </c>
      <c r="E1184" s="1" t="s">
        <v>259</v>
      </c>
      <c r="H1184" s="1" t="s">
        <v>22</v>
      </c>
      <c r="I1184" s="1" t="s">
        <v>23</v>
      </c>
      <c r="L1184" s="1">
        <v>1</v>
      </c>
      <c r="M1184" s="1">
        <v>-93.361319949999995</v>
      </c>
    </row>
    <row r="1185" spans="4:13">
      <c r="D1185" s="1" t="s">
        <v>199</v>
      </c>
      <c r="E1185" s="1" t="s">
        <v>260</v>
      </c>
      <c r="H1185" s="1" t="s">
        <v>22</v>
      </c>
      <c r="I1185" s="1" t="s">
        <v>23</v>
      </c>
      <c r="L1185" s="1">
        <v>1</v>
      </c>
      <c r="M1185" s="1">
        <v>-170.49056529999999</v>
      </c>
    </row>
    <row r="1186" spans="4:13">
      <c r="D1186" s="1" t="s">
        <v>199</v>
      </c>
      <c r="E1186" s="1" t="s">
        <v>261</v>
      </c>
      <c r="H1186" s="1" t="s">
        <v>22</v>
      </c>
      <c r="I1186" s="1" t="s">
        <v>23</v>
      </c>
      <c r="L1186" s="1">
        <v>1</v>
      </c>
      <c r="M1186" s="1">
        <v>-150.4916863</v>
      </c>
    </row>
    <row r="1187" spans="4:13">
      <c r="D1187" s="1" t="s">
        <v>199</v>
      </c>
      <c r="E1187" s="1" t="s">
        <v>262</v>
      </c>
      <c r="H1187" s="1" t="s">
        <v>22</v>
      </c>
      <c r="I1187" s="1" t="s">
        <v>23</v>
      </c>
      <c r="L1187" s="1">
        <v>1</v>
      </c>
      <c r="M1187" s="1">
        <v>-116.06465439999999</v>
      </c>
    </row>
    <row r="1188" spans="4:13">
      <c r="D1188" s="1" t="s">
        <v>199</v>
      </c>
      <c r="E1188" s="1" t="s">
        <v>263</v>
      </c>
      <c r="H1188" s="1" t="s">
        <v>22</v>
      </c>
      <c r="I1188" s="1" t="s">
        <v>23</v>
      </c>
      <c r="L1188" s="1">
        <v>1</v>
      </c>
      <c r="M1188" s="1">
        <v>238.43280240000001</v>
      </c>
    </row>
    <row r="1189" spans="4:13">
      <c r="D1189" s="1" t="s">
        <v>199</v>
      </c>
      <c r="E1189" s="1" t="s">
        <v>264</v>
      </c>
      <c r="H1189" s="1" t="s">
        <v>22</v>
      </c>
      <c r="I1189" s="1" t="s">
        <v>23</v>
      </c>
      <c r="L1189" s="1">
        <v>1</v>
      </c>
      <c r="M1189" s="1">
        <v>36.213737770000002</v>
      </c>
    </row>
    <row r="1190" spans="4:13">
      <c r="D1190" s="1" t="s">
        <v>199</v>
      </c>
      <c r="E1190" s="1" t="s">
        <v>265</v>
      </c>
      <c r="H1190" s="1" t="s">
        <v>22</v>
      </c>
      <c r="I1190" s="1" t="s">
        <v>23</v>
      </c>
      <c r="L1190" s="1">
        <v>1</v>
      </c>
      <c r="M1190" s="1">
        <v>118.7226658</v>
      </c>
    </row>
    <row r="1191" spans="4:13">
      <c r="D1191" s="1" t="s">
        <v>199</v>
      </c>
      <c r="E1191" s="1" t="s">
        <v>266</v>
      </c>
      <c r="H1191" s="1" t="s">
        <v>22</v>
      </c>
      <c r="I1191" s="1" t="s">
        <v>23</v>
      </c>
      <c r="L1191" s="1">
        <v>1</v>
      </c>
      <c r="M1191" s="1">
        <v>15.10199843</v>
      </c>
    </row>
    <row r="1192" spans="4:13">
      <c r="D1192" s="1" t="s">
        <v>199</v>
      </c>
      <c r="E1192" s="1" t="s">
        <v>267</v>
      </c>
      <c r="H1192" s="1" t="s">
        <v>22</v>
      </c>
      <c r="I1192" s="1" t="s">
        <v>23</v>
      </c>
      <c r="L1192" s="1">
        <v>1</v>
      </c>
      <c r="M1192" s="1">
        <v>42.514370139999997</v>
      </c>
    </row>
    <row r="1193" spans="4:13">
      <c r="D1193" s="1" t="s">
        <v>199</v>
      </c>
      <c r="E1193" s="1" t="s">
        <v>268</v>
      </c>
      <c r="H1193" s="1" t="s">
        <v>22</v>
      </c>
      <c r="I1193" s="1" t="s">
        <v>23</v>
      </c>
      <c r="L1193" s="1">
        <v>1</v>
      </c>
      <c r="M1193" s="1">
        <v>107.5914464</v>
      </c>
    </row>
    <row r="1194" spans="4:13">
      <c r="D1194" s="1" t="s">
        <v>199</v>
      </c>
      <c r="E1194" s="1" t="s">
        <v>269</v>
      </c>
      <c r="H1194" s="1" t="s">
        <v>22</v>
      </c>
      <c r="I1194" s="1" t="s">
        <v>23</v>
      </c>
      <c r="L1194" s="1">
        <v>1</v>
      </c>
      <c r="M1194" s="1">
        <v>-51.049708600000002</v>
      </c>
    </row>
    <row r="1195" spans="4:13">
      <c r="D1195" s="1" t="s">
        <v>199</v>
      </c>
      <c r="E1195" s="1" t="s">
        <v>270</v>
      </c>
      <c r="H1195" s="1" t="s">
        <v>22</v>
      </c>
      <c r="I1195" s="1" t="s">
        <v>23</v>
      </c>
      <c r="L1195" s="1">
        <v>1</v>
      </c>
      <c r="M1195" s="1">
        <v>744.45374149999998</v>
      </c>
    </row>
    <row r="1196" spans="4:13">
      <c r="D1196" s="1" t="s">
        <v>199</v>
      </c>
      <c r="E1196" s="1" t="s">
        <v>271</v>
      </c>
      <c r="H1196" s="1" t="s">
        <v>22</v>
      </c>
      <c r="I1196" s="1" t="s">
        <v>23</v>
      </c>
      <c r="L1196" s="1">
        <v>1</v>
      </c>
      <c r="M1196" s="1">
        <v>-714.5962207</v>
      </c>
    </row>
    <row r="1197" spans="4:13">
      <c r="D1197" s="1" t="s">
        <v>199</v>
      </c>
      <c r="E1197" s="1" t="s">
        <v>272</v>
      </c>
      <c r="H1197" s="1" t="s">
        <v>22</v>
      </c>
      <c r="I1197" s="1" t="s">
        <v>23</v>
      </c>
      <c r="L1197" s="1">
        <v>1</v>
      </c>
      <c r="M1197" s="1">
        <v>22.525111880000001</v>
      </c>
    </row>
    <row r="1198" spans="4:13">
      <c r="D1198" s="1" t="s">
        <v>199</v>
      </c>
      <c r="E1198" s="1" t="s">
        <v>273</v>
      </c>
      <c r="H1198" s="1" t="s">
        <v>22</v>
      </c>
      <c r="I1198" s="1" t="s">
        <v>23</v>
      </c>
      <c r="L1198" s="1">
        <v>1</v>
      </c>
      <c r="M1198" s="1">
        <v>-83.576441439999996</v>
      </c>
    </row>
    <row r="1199" spans="4:13">
      <c r="D1199" s="1" t="s">
        <v>199</v>
      </c>
      <c r="E1199" s="1" t="s">
        <v>274</v>
      </c>
      <c r="H1199" s="1" t="s">
        <v>22</v>
      </c>
      <c r="I1199" s="1" t="s">
        <v>23</v>
      </c>
      <c r="L1199" s="1">
        <v>1</v>
      </c>
      <c r="M1199" s="1">
        <v>-12.98305794</v>
      </c>
    </row>
    <row r="1200" spans="4:13">
      <c r="D1200" s="1" t="s">
        <v>199</v>
      </c>
      <c r="E1200" s="1" t="s">
        <v>275</v>
      </c>
      <c r="H1200" s="1" t="s">
        <v>22</v>
      </c>
      <c r="I1200" s="1" t="s">
        <v>23</v>
      </c>
      <c r="L1200" s="1">
        <v>1</v>
      </c>
      <c r="M1200" s="1">
        <v>-2.5960788340000001</v>
      </c>
    </row>
    <row r="1201" spans="4:13">
      <c r="D1201" s="1" t="s">
        <v>199</v>
      </c>
      <c r="E1201" s="1" t="s">
        <v>276</v>
      </c>
      <c r="H1201" s="1" t="s">
        <v>22</v>
      </c>
      <c r="I1201" s="1" t="s">
        <v>23</v>
      </c>
      <c r="L1201" s="1">
        <v>1</v>
      </c>
      <c r="M1201" s="1">
        <v>-9.9775272729999998</v>
      </c>
    </row>
    <row r="1202" spans="4:13">
      <c r="D1202" s="1" t="s">
        <v>199</v>
      </c>
      <c r="E1202" s="1" t="s">
        <v>277</v>
      </c>
      <c r="H1202" s="1" t="s">
        <v>22</v>
      </c>
      <c r="I1202" s="1" t="s">
        <v>23</v>
      </c>
      <c r="L1202" s="1">
        <v>1</v>
      </c>
      <c r="M1202" s="1">
        <v>-76.519942319999998</v>
      </c>
    </row>
    <row r="1203" spans="4:13">
      <c r="D1203" s="1" t="s">
        <v>199</v>
      </c>
      <c r="E1203" s="1" t="s">
        <v>278</v>
      </c>
      <c r="H1203" s="1" t="s">
        <v>22</v>
      </c>
      <c r="I1203" s="1" t="s">
        <v>23</v>
      </c>
      <c r="L1203" s="1">
        <v>1</v>
      </c>
      <c r="M1203" s="1">
        <v>13.208672679999999</v>
      </c>
    </row>
    <row r="1204" spans="4:13">
      <c r="D1204" s="1" t="s">
        <v>199</v>
      </c>
      <c r="E1204" s="1" t="s">
        <v>279</v>
      </c>
      <c r="H1204" s="1" t="s">
        <v>22</v>
      </c>
      <c r="I1204" s="1" t="s">
        <v>23</v>
      </c>
      <c r="L1204" s="1">
        <v>1</v>
      </c>
      <c r="M1204" s="1">
        <v>-493.60278440000002</v>
      </c>
    </row>
    <row r="1205" spans="4:13">
      <c r="D1205" s="1" t="s">
        <v>199</v>
      </c>
      <c r="E1205" s="1" t="s">
        <v>280</v>
      </c>
      <c r="H1205" s="1" t="s">
        <v>22</v>
      </c>
      <c r="I1205" s="1" t="s">
        <v>23</v>
      </c>
      <c r="L1205" s="1">
        <v>1</v>
      </c>
      <c r="M1205" s="1">
        <v>359.44746800000001</v>
      </c>
    </row>
    <row r="1206" spans="4:13">
      <c r="D1206" s="1" t="s">
        <v>199</v>
      </c>
      <c r="E1206" s="1" t="s">
        <v>281</v>
      </c>
      <c r="H1206" s="1" t="s">
        <v>22</v>
      </c>
      <c r="I1206" s="1" t="s">
        <v>23</v>
      </c>
      <c r="L1206" s="1">
        <v>1</v>
      </c>
      <c r="M1206" s="1">
        <v>203.8431616</v>
      </c>
    </row>
    <row r="1207" spans="4:13">
      <c r="D1207" s="1" t="s">
        <v>199</v>
      </c>
      <c r="E1207" s="1" t="s">
        <v>282</v>
      </c>
      <c r="H1207" s="1" t="s">
        <v>22</v>
      </c>
      <c r="I1207" s="1" t="s">
        <v>23</v>
      </c>
      <c r="L1207" s="1">
        <v>1</v>
      </c>
      <c r="M1207" s="1">
        <v>-8.0153048309999999</v>
      </c>
    </row>
    <row r="1208" spans="4:13">
      <c r="D1208" s="1" t="s">
        <v>199</v>
      </c>
      <c r="E1208" s="1" t="s">
        <v>283</v>
      </c>
      <c r="H1208" s="1" t="s">
        <v>22</v>
      </c>
      <c r="I1208" s="1" t="s">
        <v>23</v>
      </c>
      <c r="L1208" s="1">
        <v>1</v>
      </c>
      <c r="M1208" s="1">
        <v>-39.255992280000001</v>
      </c>
    </row>
    <row r="1209" spans="4:13">
      <c r="D1209" s="1" t="s">
        <v>199</v>
      </c>
      <c r="E1209" s="1" t="s">
        <v>284</v>
      </c>
      <c r="H1209" s="1" t="s">
        <v>22</v>
      </c>
      <c r="I1209" s="1" t="s">
        <v>23</v>
      </c>
      <c r="L1209" s="1">
        <v>1</v>
      </c>
      <c r="M1209" s="1">
        <v>0.14376508499999999</v>
      </c>
    </row>
    <row r="1210" spans="4:13">
      <c r="D1210" s="1" t="s">
        <v>199</v>
      </c>
      <c r="E1210" s="1" t="s">
        <v>285</v>
      </c>
      <c r="H1210" s="1" t="s">
        <v>22</v>
      </c>
      <c r="I1210" s="1" t="s">
        <v>23</v>
      </c>
      <c r="L1210" s="1">
        <v>1</v>
      </c>
      <c r="M1210" s="1">
        <v>31.511118150000001</v>
      </c>
    </row>
    <row r="1211" spans="4:13">
      <c r="D1211" s="1" t="s">
        <v>199</v>
      </c>
      <c r="E1211" s="1" t="s">
        <v>286</v>
      </c>
      <c r="H1211" s="1" t="s">
        <v>22</v>
      </c>
      <c r="I1211" s="1" t="s">
        <v>23</v>
      </c>
      <c r="L1211" s="1">
        <v>1</v>
      </c>
      <c r="M1211" s="1">
        <v>51.612682110000002</v>
      </c>
    </row>
    <row r="1212" spans="4:13">
      <c r="D1212" s="1" t="s">
        <v>199</v>
      </c>
      <c r="E1212" s="1" t="s">
        <v>287</v>
      </c>
      <c r="H1212" s="1" t="s">
        <v>22</v>
      </c>
      <c r="I1212" s="1" t="s">
        <v>23</v>
      </c>
      <c r="L1212" s="1">
        <v>1</v>
      </c>
      <c r="M1212" s="1">
        <v>476.26315010000002</v>
      </c>
    </row>
    <row r="1213" spans="4:13">
      <c r="D1213" s="1" t="s">
        <v>199</v>
      </c>
      <c r="E1213" s="1" t="s">
        <v>288</v>
      </c>
      <c r="H1213" s="1" t="s">
        <v>22</v>
      </c>
      <c r="I1213" s="1" t="s">
        <v>23</v>
      </c>
      <c r="L1213" s="1">
        <v>1</v>
      </c>
      <c r="M1213" s="1">
        <v>-677.71774679999999</v>
      </c>
    </row>
    <row r="1214" spans="4:13">
      <c r="D1214" s="1" t="s">
        <v>199</v>
      </c>
      <c r="E1214" s="1" t="s">
        <v>289</v>
      </c>
      <c r="H1214" s="1" t="s">
        <v>22</v>
      </c>
      <c r="I1214" s="1" t="s">
        <v>23</v>
      </c>
      <c r="L1214" s="1">
        <v>1</v>
      </c>
      <c r="M1214" s="1">
        <v>168.4614938</v>
      </c>
    </row>
    <row r="1215" spans="4:13">
      <c r="D1215" s="1" t="s">
        <v>199</v>
      </c>
      <c r="E1215" s="1" t="s">
        <v>290</v>
      </c>
      <c r="H1215" s="1" t="s">
        <v>22</v>
      </c>
      <c r="I1215" s="1" t="s">
        <v>23</v>
      </c>
      <c r="L1215" s="1">
        <v>1</v>
      </c>
      <c r="M1215" s="1">
        <v>-124.3457523</v>
      </c>
    </row>
    <row r="1216" spans="4:13">
      <c r="D1216" s="1" t="s">
        <v>199</v>
      </c>
      <c r="E1216" s="1" t="s">
        <v>291</v>
      </c>
      <c r="H1216" s="1" t="s">
        <v>22</v>
      </c>
      <c r="I1216" s="1" t="s">
        <v>23</v>
      </c>
      <c r="L1216" s="1">
        <v>1</v>
      </c>
      <c r="M1216" s="1">
        <v>131.5600981</v>
      </c>
    </row>
    <row r="1217" spans="4:13">
      <c r="D1217" s="1" t="s">
        <v>199</v>
      </c>
      <c r="E1217" s="1" t="s">
        <v>292</v>
      </c>
      <c r="H1217" s="1" t="s">
        <v>22</v>
      </c>
      <c r="I1217" s="1" t="s">
        <v>23</v>
      </c>
      <c r="L1217" s="1">
        <v>1</v>
      </c>
      <c r="M1217" s="1">
        <v>24.317312569999999</v>
      </c>
    </row>
    <row r="1218" spans="4:13">
      <c r="D1218" s="1" t="s">
        <v>199</v>
      </c>
      <c r="E1218" s="1" t="s">
        <v>293</v>
      </c>
      <c r="H1218" s="1" t="s">
        <v>22</v>
      </c>
      <c r="I1218" s="1" t="s">
        <v>23</v>
      </c>
      <c r="L1218" s="1">
        <v>1</v>
      </c>
      <c r="M1218" s="1">
        <v>0.74103766999999998</v>
      </c>
    </row>
    <row r="1219" spans="4:13">
      <c r="D1219" s="1" t="s">
        <v>199</v>
      </c>
      <c r="E1219" s="1" t="s">
        <v>294</v>
      </c>
      <c r="H1219" s="1" t="s">
        <v>22</v>
      </c>
      <c r="I1219" s="1" t="s">
        <v>23</v>
      </c>
      <c r="L1219" s="1">
        <v>1</v>
      </c>
      <c r="M1219" s="1">
        <v>-4.0320341519999996</v>
      </c>
    </row>
    <row r="1220" spans="4:13">
      <c r="D1220" s="1" t="s">
        <v>199</v>
      </c>
      <c r="E1220" s="1" t="s">
        <v>295</v>
      </c>
      <c r="H1220" s="1" t="s">
        <v>22</v>
      </c>
      <c r="I1220" s="1" t="s">
        <v>23</v>
      </c>
      <c r="L1220" s="1">
        <v>1</v>
      </c>
      <c r="M1220" s="1">
        <v>-40.666454590000001</v>
      </c>
    </row>
    <row r="1221" spans="4:13">
      <c r="D1221" s="1" t="s">
        <v>199</v>
      </c>
      <c r="E1221" s="1" t="s">
        <v>296</v>
      </c>
      <c r="H1221" s="1" t="s">
        <v>22</v>
      </c>
      <c r="I1221" s="1" t="s">
        <v>23</v>
      </c>
      <c r="L1221" s="1">
        <v>1</v>
      </c>
      <c r="M1221" s="1">
        <v>-461.83214980000002</v>
      </c>
    </row>
    <row r="1222" spans="4:13">
      <c r="D1222" s="1" t="s">
        <v>199</v>
      </c>
      <c r="E1222" s="1" t="s">
        <v>297</v>
      </c>
      <c r="H1222" s="1" t="s">
        <v>22</v>
      </c>
      <c r="I1222" s="1" t="s">
        <v>23</v>
      </c>
      <c r="L1222" s="1">
        <v>1</v>
      </c>
      <c r="M1222" s="1">
        <v>607.21877549999999</v>
      </c>
    </row>
    <row r="1223" spans="4:13">
      <c r="D1223" s="1" t="s">
        <v>199</v>
      </c>
      <c r="E1223" s="1" t="s">
        <v>298</v>
      </c>
      <c r="H1223" s="1" t="s">
        <v>22</v>
      </c>
      <c r="I1223" s="1" t="s">
        <v>23</v>
      </c>
      <c r="L1223" s="1">
        <v>1</v>
      </c>
      <c r="M1223" s="1">
        <v>94.007734139999997</v>
      </c>
    </row>
    <row r="1224" spans="4:13">
      <c r="D1224" s="1" t="s">
        <v>199</v>
      </c>
      <c r="E1224" s="1" t="s">
        <v>299</v>
      </c>
      <c r="H1224" s="1" t="s">
        <v>22</v>
      </c>
      <c r="I1224" s="1" t="s">
        <v>23</v>
      </c>
      <c r="L1224" s="1">
        <v>1</v>
      </c>
      <c r="M1224" s="1">
        <v>-148.75361609999999</v>
      </c>
    </row>
    <row r="1225" spans="4:13">
      <c r="D1225" s="1" t="s">
        <v>199</v>
      </c>
      <c r="E1225" s="1" t="s">
        <v>300</v>
      </c>
      <c r="H1225" s="1" t="s">
        <v>22</v>
      </c>
      <c r="I1225" s="1" t="s">
        <v>23</v>
      </c>
      <c r="L1225" s="1">
        <v>1</v>
      </c>
      <c r="M1225" s="1">
        <v>-57.154009170000002</v>
      </c>
    </row>
    <row r="1226" spans="4:13">
      <c r="D1226" s="1" t="s">
        <v>199</v>
      </c>
      <c r="E1226" s="1" t="s">
        <v>301</v>
      </c>
      <c r="H1226" s="1" t="s">
        <v>22</v>
      </c>
      <c r="I1226" s="1" t="s">
        <v>23</v>
      </c>
      <c r="L1226" s="1">
        <v>1</v>
      </c>
      <c r="M1226" s="1">
        <v>-65.994916669999995</v>
      </c>
    </row>
    <row r="1227" spans="4:13">
      <c r="D1227" s="1" t="s">
        <v>199</v>
      </c>
      <c r="E1227" s="1" t="s">
        <v>302</v>
      </c>
      <c r="H1227" s="1" t="s">
        <v>22</v>
      </c>
      <c r="I1227" s="1" t="s">
        <v>23</v>
      </c>
      <c r="L1227" s="1">
        <v>1</v>
      </c>
      <c r="M1227" s="1">
        <v>-7.7566634509999997</v>
      </c>
    </row>
    <row r="1228" spans="4:13">
      <c r="D1228" s="1" t="s">
        <v>199</v>
      </c>
      <c r="E1228" s="1" t="s">
        <v>303</v>
      </c>
      <c r="H1228" s="1" t="s">
        <v>22</v>
      </c>
      <c r="I1228" s="1" t="s">
        <v>23</v>
      </c>
      <c r="L1228" s="1">
        <v>1</v>
      </c>
      <c r="M1228" s="1">
        <v>11.86050234</v>
      </c>
    </row>
    <row r="1229" spans="4:13">
      <c r="D1229" s="1" t="s">
        <v>199</v>
      </c>
      <c r="E1229" s="1" t="s">
        <v>304</v>
      </c>
      <c r="H1229" s="1" t="s">
        <v>22</v>
      </c>
      <c r="I1229" s="1" t="s">
        <v>23</v>
      </c>
      <c r="L1229" s="1">
        <v>1</v>
      </c>
      <c r="M1229" s="1">
        <v>318.51040890000002</v>
      </c>
    </row>
    <row r="1230" spans="4:13">
      <c r="D1230" s="1" t="s">
        <v>199</v>
      </c>
      <c r="E1230" s="1" t="s">
        <v>305</v>
      </c>
      <c r="H1230" s="1" t="s">
        <v>22</v>
      </c>
      <c r="I1230" s="1" t="s">
        <v>23</v>
      </c>
      <c r="L1230" s="1">
        <v>1</v>
      </c>
      <c r="M1230" s="1">
        <v>-377.2452467</v>
      </c>
    </row>
    <row r="1231" spans="4:13">
      <c r="D1231" s="1" t="s">
        <v>199</v>
      </c>
      <c r="E1231" s="1" t="s">
        <v>306</v>
      </c>
      <c r="H1231" s="1" t="s">
        <v>22</v>
      </c>
      <c r="I1231" s="1" t="s">
        <v>23</v>
      </c>
      <c r="L1231" s="1">
        <v>1</v>
      </c>
      <c r="M1231" s="1">
        <v>-104.4268855</v>
      </c>
    </row>
    <row r="1232" spans="4:13">
      <c r="D1232" s="1" t="s">
        <v>199</v>
      </c>
      <c r="E1232" s="1" t="s">
        <v>307</v>
      </c>
      <c r="H1232" s="1" t="s">
        <v>22</v>
      </c>
      <c r="I1232" s="1" t="s">
        <v>23</v>
      </c>
      <c r="L1232" s="1">
        <v>1</v>
      </c>
      <c r="M1232" s="1">
        <v>-65.635006419999996</v>
      </c>
    </row>
    <row r="1233" spans="4:13">
      <c r="D1233" s="1" t="s">
        <v>199</v>
      </c>
      <c r="E1233" s="1" t="s">
        <v>308</v>
      </c>
      <c r="H1233" s="1" t="s">
        <v>22</v>
      </c>
      <c r="I1233" s="1" t="s">
        <v>23</v>
      </c>
      <c r="L1233" s="1">
        <v>1</v>
      </c>
      <c r="M1233" s="1">
        <v>228.38567380000001</v>
      </c>
    </row>
    <row r="1234" spans="4:13">
      <c r="D1234" s="1" t="s">
        <v>199</v>
      </c>
      <c r="E1234" s="1" t="s">
        <v>309</v>
      </c>
      <c r="H1234" s="1" t="s">
        <v>22</v>
      </c>
      <c r="I1234" s="1" t="s">
        <v>23</v>
      </c>
      <c r="L1234" s="1">
        <v>1</v>
      </c>
      <c r="M1234" s="1">
        <v>14.29200309</v>
      </c>
    </row>
    <row r="1235" spans="4:13">
      <c r="D1235" s="1" t="s">
        <v>199</v>
      </c>
      <c r="E1235" s="1" t="s">
        <v>310</v>
      </c>
      <c r="H1235" s="1" t="s">
        <v>22</v>
      </c>
      <c r="I1235" s="1" t="s">
        <v>23</v>
      </c>
      <c r="L1235" s="1">
        <v>1</v>
      </c>
      <c r="M1235" s="1">
        <v>17.443689639999999</v>
      </c>
    </row>
    <row r="1236" spans="4:13">
      <c r="D1236" s="1" t="s">
        <v>199</v>
      </c>
      <c r="E1236" s="1" t="s">
        <v>311</v>
      </c>
      <c r="H1236" s="1" t="s">
        <v>22</v>
      </c>
      <c r="I1236" s="1" t="s">
        <v>23</v>
      </c>
      <c r="L1236" s="1">
        <v>1</v>
      </c>
      <c r="M1236" s="1">
        <v>0.84165598600000002</v>
      </c>
    </row>
    <row r="1237" spans="4:13">
      <c r="D1237" s="1" t="s">
        <v>199</v>
      </c>
      <c r="E1237" s="1" t="s">
        <v>312</v>
      </c>
      <c r="H1237" s="1" t="s">
        <v>22</v>
      </c>
      <c r="I1237" s="1" t="s">
        <v>23</v>
      </c>
      <c r="L1237" s="1">
        <v>1</v>
      </c>
      <c r="M1237" s="1">
        <v>-3.4751676480000002</v>
      </c>
    </row>
    <row r="1238" spans="4:13">
      <c r="D1238" s="1" t="s">
        <v>199</v>
      </c>
      <c r="E1238" s="1" t="s">
        <v>313</v>
      </c>
      <c r="H1238" s="1" t="s">
        <v>22</v>
      </c>
      <c r="I1238" s="1" t="s">
        <v>23</v>
      </c>
      <c r="L1238" s="1">
        <v>1</v>
      </c>
      <c r="M1238" s="1">
        <v>-152.88875329999999</v>
      </c>
    </row>
    <row r="1239" spans="4:13">
      <c r="D1239" s="1" t="s">
        <v>199</v>
      </c>
      <c r="E1239" s="1" t="s">
        <v>314</v>
      </c>
      <c r="H1239" s="1" t="s">
        <v>22</v>
      </c>
      <c r="I1239" s="1" t="s">
        <v>23</v>
      </c>
      <c r="L1239" s="1">
        <v>1</v>
      </c>
      <c r="M1239" s="1">
        <v>227.2729866</v>
      </c>
    </row>
    <row r="1240" spans="4:13">
      <c r="D1240" s="1" t="s">
        <v>199</v>
      </c>
      <c r="E1240" s="1" t="s">
        <v>315</v>
      </c>
      <c r="H1240" s="1" t="s">
        <v>22</v>
      </c>
      <c r="I1240" s="1" t="s">
        <v>23</v>
      </c>
      <c r="L1240" s="1">
        <v>1</v>
      </c>
      <c r="M1240" s="1">
        <v>-1.8019257E-2</v>
      </c>
    </row>
    <row r="1241" spans="4:13">
      <c r="D1241" s="1" t="s">
        <v>199</v>
      </c>
      <c r="E1241" s="1" t="s">
        <v>316</v>
      </c>
      <c r="H1241" s="1" t="s">
        <v>22</v>
      </c>
      <c r="I1241" s="1" t="s">
        <v>23</v>
      </c>
      <c r="L1241" s="1">
        <v>1</v>
      </c>
      <c r="M1241" s="1">
        <v>105.85065280000001</v>
      </c>
    </row>
    <row r="1242" spans="4:13">
      <c r="D1242" s="1" t="s">
        <v>199</v>
      </c>
      <c r="E1242" s="1" t="s">
        <v>317</v>
      </c>
      <c r="H1242" s="1" t="s">
        <v>22</v>
      </c>
      <c r="I1242" s="1" t="s">
        <v>23</v>
      </c>
      <c r="L1242" s="1">
        <v>1</v>
      </c>
      <c r="M1242" s="1">
        <v>-61.176824179999997</v>
      </c>
    </row>
    <row r="1243" spans="4:13">
      <c r="D1243" s="1" t="s">
        <v>199</v>
      </c>
      <c r="E1243" s="1" t="s">
        <v>318</v>
      </c>
      <c r="H1243" s="1" t="s">
        <v>22</v>
      </c>
      <c r="I1243" s="1" t="s">
        <v>23</v>
      </c>
      <c r="L1243" s="1">
        <v>1</v>
      </c>
      <c r="M1243" s="1">
        <v>-119.0621538</v>
      </c>
    </row>
    <row r="1244" spans="4:13">
      <c r="D1244" s="1" t="s">
        <v>199</v>
      </c>
      <c r="E1244" s="1" t="s">
        <v>319</v>
      </c>
      <c r="H1244" s="1" t="s">
        <v>22</v>
      </c>
      <c r="I1244" s="1" t="s">
        <v>23</v>
      </c>
      <c r="L1244" s="1">
        <v>1</v>
      </c>
      <c r="M1244" s="1">
        <v>16.280096700000001</v>
      </c>
    </row>
    <row r="1245" spans="4:13">
      <c r="D1245" s="1" t="s">
        <v>199</v>
      </c>
      <c r="E1245" s="1" t="s">
        <v>320</v>
      </c>
      <c r="H1245" s="1" t="s">
        <v>22</v>
      </c>
      <c r="I1245" s="1" t="s">
        <v>23</v>
      </c>
      <c r="L1245" s="1">
        <v>1</v>
      </c>
      <c r="M1245" s="1">
        <v>-0.364433012</v>
      </c>
    </row>
    <row r="1246" spans="4:13">
      <c r="D1246" s="1" t="s">
        <v>199</v>
      </c>
      <c r="E1246" s="1" t="s">
        <v>321</v>
      </c>
      <c r="H1246" s="1" t="s">
        <v>22</v>
      </c>
      <c r="I1246" s="1" t="s">
        <v>23</v>
      </c>
      <c r="L1246" s="1">
        <v>1</v>
      </c>
      <c r="M1246" s="1">
        <v>55.912370189999997</v>
      </c>
    </row>
    <row r="1247" spans="4:13">
      <c r="D1247" s="1" t="s">
        <v>199</v>
      </c>
      <c r="E1247" s="1" t="s">
        <v>322</v>
      </c>
      <c r="H1247" s="1" t="s">
        <v>22</v>
      </c>
      <c r="I1247" s="1" t="s">
        <v>23</v>
      </c>
      <c r="L1247" s="1">
        <v>1</v>
      </c>
      <c r="M1247" s="1">
        <v>-134.5652126</v>
      </c>
    </row>
    <row r="1248" spans="4:13">
      <c r="D1248" s="1" t="s">
        <v>199</v>
      </c>
      <c r="E1248" s="1" t="s">
        <v>323</v>
      </c>
      <c r="H1248" s="1" t="s">
        <v>22</v>
      </c>
      <c r="I1248" s="1" t="s">
        <v>23</v>
      </c>
      <c r="L1248" s="1">
        <v>1</v>
      </c>
      <c r="M1248" s="1">
        <v>26.37456156</v>
      </c>
    </row>
    <row r="1249" spans="4:13">
      <c r="D1249" s="1" t="s">
        <v>199</v>
      </c>
      <c r="E1249" s="1" t="s">
        <v>324</v>
      </c>
      <c r="H1249" s="1" t="s">
        <v>22</v>
      </c>
      <c r="I1249" s="1" t="s">
        <v>23</v>
      </c>
      <c r="L1249" s="1">
        <v>1</v>
      </c>
      <c r="M1249" s="1">
        <v>-39.448332200000003</v>
      </c>
    </row>
    <row r="1250" spans="4:13">
      <c r="D1250" s="1" t="s">
        <v>199</v>
      </c>
      <c r="E1250" s="1" t="s">
        <v>325</v>
      </c>
      <c r="H1250" s="1" t="s">
        <v>22</v>
      </c>
      <c r="I1250" s="1" t="s">
        <v>23</v>
      </c>
      <c r="L1250" s="1">
        <v>1</v>
      </c>
      <c r="M1250" s="1">
        <v>-8.5617157749999997</v>
      </c>
    </row>
    <row r="1251" spans="4:13">
      <c r="D1251" s="1" t="s">
        <v>199</v>
      </c>
      <c r="E1251" s="1" t="s">
        <v>326</v>
      </c>
      <c r="H1251" s="1" t="s">
        <v>22</v>
      </c>
      <c r="I1251" s="1" t="s">
        <v>23</v>
      </c>
      <c r="L1251" s="1">
        <v>1</v>
      </c>
      <c r="M1251" s="1">
        <v>36.996153110000002</v>
      </c>
    </row>
    <row r="1252" spans="4:13">
      <c r="D1252" s="1" t="s">
        <v>199</v>
      </c>
      <c r="E1252" s="1" t="s">
        <v>327</v>
      </c>
      <c r="H1252" s="1" t="s">
        <v>22</v>
      </c>
      <c r="I1252" s="1" t="s">
        <v>23</v>
      </c>
      <c r="L1252" s="1">
        <v>1</v>
      </c>
      <c r="M1252" s="1">
        <v>36.066391850000002</v>
      </c>
    </row>
    <row r="1253" spans="4:13">
      <c r="D1253" s="1" t="s">
        <v>199</v>
      </c>
      <c r="E1253" s="1" t="s">
        <v>328</v>
      </c>
      <c r="H1253" s="1" t="s">
        <v>22</v>
      </c>
      <c r="I1253" s="1" t="s">
        <v>23</v>
      </c>
      <c r="L1253" s="1">
        <v>1</v>
      </c>
      <c r="M1253" s="1">
        <v>-13.89332338</v>
      </c>
    </row>
    <row r="1254" spans="4:13">
      <c r="D1254" s="1" t="s">
        <v>199</v>
      </c>
      <c r="E1254" s="1" t="s">
        <v>329</v>
      </c>
      <c r="H1254" s="1" t="s">
        <v>22</v>
      </c>
      <c r="I1254" s="1" t="s">
        <v>23</v>
      </c>
      <c r="L1254" s="1">
        <v>1</v>
      </c>
      <c r="M1254" s="1">
        <v>-0.65603491599999997</v>
      </c>
    </row>
    <row r="1255" spans="4:13">
      <c r="D1255" s="1" t="s">
        <v>199</v>
      </c>
      <c r="E1255" s="1" t="s">
        <v>330</v>
      </c>
      <c r="H1255" s="1" t="s">
        <v>22</v>
      </c>
      <c r="I1255" s="1" t="s">
        <v>23</v>
      </c>
      <c r="L1255" s="1">
        <v>1</v>
      </c>
      <c r="M1255" s="1">
        <v>-10.9885372</v>
      </c>
    </row>
    <row r="1256" spans="4:13">
      <c r="D1256" s="1" t="s">
        <v>199</v>
      </c>
      <c r="E1256" s="1" t="s">
        <v>331</v>
      </c>
      <c r="H1256" s="1" t="s">
        <v>22</v>
      </c>
      <c r="I1256" s="1" t="s">
        <v>23</v>
      </c>
      <c r="L1256" s="1">
        <v>1</v>
      </c>
      <c r="M1256" s="1">
        <v>53.003603159999997</v>
      </c>
    </row>
    <row r="1257" spans="4:13">
      <c r="D1257" s="1" t="s">
        <v>199</v>
      </c>
      <c r="E1257" s="1" t="s">
        <v>332</v>
      </c>
      <c r="H1257" s="1" t="s">
        <v>22</v>
      </c>
      <c r="I1257" s="1" t="s">
        <v>23</v>
      </c>
      <c r="L1257" s="1">
        <v>1</v>
      </c>
      <c r="M1257" s="1">
        <v>-7.8117817350000003</v>
      </c>
    </row>
    <row r="1258" spans="4:13">
      <c r="D1258" s="1" t="s">
        <v>199</v>
      </c>
      <c r="E1258" s="1" t="s">
        <v>333</v>
      </c>
      <c r="H1258" s="1" t="s">
        <v>22</v>
      </c>
      <c r="I1258" s="1" t="s">
        <v>23</v>
      </c>
      <c r="L1258" s="1">
        <v>1</v>
      </c>
      <c r="M1258" s="1">
        <v>5.0199583170000004</v>
      </c>
    </row>
    <row r="1259" spans="4:13">
      <c r="D1259" s="1" t="s">
        <v>199</v>
      </c>
      <c r="E1259" s="1" t="s">
        <v>334</v>
      </c>
      <c r="H1259" s="1" t="s">
        <v>22</v>
      </c>
      <c r="I1259" s="1" t="s">
        <v>23</v>
      </c>
      <c r="L1259" s="1">
        <v>1</v>
      </c>
      <c r="M1259" s="1">
        <v>6.1890656289999999</v>
      </c>
    </row>
    <row r="1260" spans="4:13">
      <c r="D1260" s="1" t="s">
        <v>199</v>
      </c>
      <c r="E1260" s="1" t="s">
        <v>335</v>
      </c>
      <c r="H1260" s="1" t="s">
        <v>22</v>
      </c>
      <c r="I1260" s="1" t="s">
        <v>23</v>
      </c>
      <c r="L1260" s="1">
        <v>1</v>
      </c>
      <c r="M1260" s="1">
        <v>-2.328370482</v>
      </c>
    </row>
    <row r="1261" spans="4:13">
      <c r="D1261" s="1" t="s">
        <v>199</v>
      </c>
      <c r="E1261" s="1" t="s">
        <v>336</v>
      </c>
      <c r="H1261" s="1" t="s">
        <v>22</v>
      </c>
      <c r="I1261" s="1" t="s">
        <v>23</v>
      </c>
      <c r="L1261" s="1">
        <v>1</v>
      </c>
      <c r="M1261" s="1">
        <v>-10.17886395</v>
      </c>
    </row>
    <row r="1262" spans="4:13">
      <c r="D1262" s="1" t="s">
        <v>199</v>
      </c>
      <c r="E1262" s="1" t="s">
        <v>337</v>
      </c>
      <c r="H1262" s="1" t="s">
        <v>22</v>
      </c>
      <c r="I1262" s="1" t="s">
        <v>23</v>
      </c>
      <c r="L1262" s="1">
        <v>1</v>
      </c>
      <c r="M1262" s="1">
        <v>-5.2887484039999997</v>
      </c>
    </row>
    <row r="1263" spans="4:13">
      <c r="D1263" s="1" t="s">
        <v>199</v>
      </c>
      <c r="E1263" s="1" t="s">
        <v>338</v>
      </c>
      <c r="H1263" s="1" t="s">
        <v>22</v>
      </c>
      <c r="I1263" s="1" t="s">
        <v>23</v>
      </c>
      <c r="L1263" s="1">
        <v>1</v>
      </c>
      <c r="M1263" s="1">
        <v>4.3945896769999999</v>
      </c>
    </row>
    <row r="1264" spans="4:13">
      <c r="D1264" s="1" t="s">
        <v>199</v>
      </c>
      <c r="E1264" s="1" t="s">
        <v>339</v>
      </c>
      <c r="H1264" s="1" t="s">
        <v>22</v>
      </c>
      <c r="I1264" s="1" t="s">
        <v>23</v>
      </c>
      <c r="L1264" s="1">
        <v>1</v>
      </c>
      <c r="M1264" s="1">
        <v>-11.059626700000001</v>
      </c>
    </row>
    <row r="1265" spans="4:13">
      <c r="D1265" s="1" t="s">
        <v>199</v>
      </c>
      <c r="E1265" s="1" t="s">
        <v>340</v>
      </c>
      <c r="H1265" s="1" t="s">
        <v>22</v>
      </c>
      <c r="I1265" s="1" t="s">
        <v>23</v>
      </c>
      <c r="L1265" s="1">
        <v>1</v>
      </c>
      <c r="M1265" s="1">
        <v>2.2158513590000002</v>
      </c>
    </row>
    <row r="1266" spans="4:13">
      <c r="D1266" s="1" t="s">
        <v>199</v>
      </c>
      <c r="E1266" s="1" t="s">
        <v>341</v>
      </c>
      <c r="H1266" s="1" t="s">
        <v>22</v>
      </c>
      <c r="I1266" s="1" t="s">
        <v>23</v>
      </c>
      <c r="L1266" s="1">
        <v>1</v>
      </c>
      <c r="M1266" s="1">
        <v>-1.478775138</v>
      </c>
    </row>
    <row r="1267" spans="4:13">
      <c r="D1267" s="1" t="s">
        <v>199</v>
      </c>
      <c r="E1267" s="1" t="s">
        <v>342</v>
      </c>
      <c r="H1267" s="1" t="s">
        <v>22</v>
      </c>
      <c r="I1267" s="1" t="s">
        <v>23</v>
      </c>
      <c r="L1267" s="1">
        <v>1</v>
      </c>
      <c r="M1267" s="1">
        <v>0.36305560199999998</v>
      </c>
    </row>
    <row r="1268" spans="4:13">
      <c r="D1268" s="1" t="s">
        <v>199</v>
      </c>
      <c r="E1268" s="1" t="s">
        <v>343</v>
      </c>
      <c r="H1268" s="1" t="s">
        <v>22</v>
      </c>
      <c r="I1268" s="1" t="s">
        <v>23</v>
      </c>
      <c r="L1268" s="1">
        <v>1</v>
      </c>
      <c r="M1268" s="1">
        <v>-1.370538633</v>
      </c>
    </row>
    <row r="1269" spans="4:13">
      <c r="D1269" s="1" t="s">
        <v>199</v>
      </c>
      <c r="E1269" s="1" t="s">
        <v>344</v>
      </c>
      <c r="H1269" s="1" t="s">
        <v>22</v>
      </c>
      <c r="I1269" s="1" t="s">
        <v>23</v>
      </c>
      <c r="L1269" s="1">
        <v>1</v>
      </c>
      <c r="M1269" s="1">
        <v>1.6365981430000001</v>
      </c>
    </row>
    <row r="1270" spans="4:13">
      <c r="D1270" s="1" t="s">
        <v>199</v>
      </c>
      <c r="E1270" s="1" t="s">
        <v>345</v>
      </c>
      <c r="H1270" s="1" t="s">
        <v>22</v>
      </c>
      <c r="I1270" s="1" t="s">
        <v>23</v>
      </c>
      <c r="L1270" s="1">
        <v>1</v>
      </c>
      <c r="M1270" s="1">
        <v>0.99988022099999996</v>
      </c>
    </row>
    <row r="1271" spans="4:13">
      <c r="D1271" s="1" t="s">
        <v>199</v>
      </c>
      <c r="E1271" s="1" t="s">
        <v>346</v>
      </c>
      <c r="H1271" s="1" t="s">
        <v>22</v>
      </c>
      <c r="I1271" s="1" t="s">
        <v>23</v>
      </c>
      <c r="L1271" s="1">
        <v>1</v>
      </c>
      <c r="M1271" s="1">
        <v>0.54629809299999998</v>
      </c>
    </row>
    <row r="1272" spans="4:13">
      <c r="D1272" s="1" t="s">
        <v>199</v>
      </c>
      <c r="E1272" s="1" t="s">
        <v>347</v>
      </c>
      <c r="H1272" s="1" t="s">
        <v>22</v>
      </c>
      <c r="I1272" s="1" t="s">
        <v>23</v>
      </c>
      <c r="L1272" s="1">
        <v>1</v>
      </c>
      <c r="M1272" s="1">
        <v>-0.82105557299999998</v>
      </c>
    </row>
    <row r="1273" spans="4:13">
      <c r="D1273" s="1" t="s">
        <v>199</v>
      </c>
      <c r="E1273" s="1" t="s">
        <v>348</v>
      </c>
      <c r="H1273" s="1" t="s">
        <v>22</v>
      </c>
      <c r="I1273" s="1" t="s">
        <v>23</v>
      </c>
      <c r="L1273" s="1">
        <v>1</v>
      </c>
      <c r="M1273" s="1">
        <v>-5.7979293150000002</v>
      </c>
    </row>
    <row r="1274" spans="4:13">
      <c r="D1274" s="1" t="s">
        <v>199</v>
      </c>
      <c r="E1274" s="1" t="s">
        <v>349</v>
      </c>
      <c r="H1274" s="1" t="s">
        <v>22</v>
      </c>
      <c r="I1274" s="1" t="s">
        <v>23</v>
      </c>
      <c r="L1274" s="1">
        <v>1</v>
      </c>
      <c r="M1274" s="1">
        <v>5.9344295870000003</v>
      </c>
    </row>
    <row r="1275" spans="4:13">
      <c r="D1275" s="1" t="s">
        <v>199</v>
      </c>
      <c r="E1275" s="1" t="s">
        <v>350</v>
      </c>
      <c r="H1275" s="1" t="s">
        <v>22</v>
      </c>
      <c r="I1275" s="1" t="s">
        <v>23</v>
      </c>
      <c r="L1275" s="1">
        <v>1</v>
      </c>
      <c r="M1275" s="1">
        <v>-1.3620327480000001</v>
      </c>
    </row>
    <row r="1276" spans="4:13">
      <c r="D1276" s="1" t="s">
        <v>199</v>
      </c>
      <c r="E1276" s="1" t="s">
        <v>351</v>
      </c>
      <c r="H1276" s="1" t="s">
        <v>22</v>
      </c>
      <c r="I1276" s="1" t="s">
        <v>23</v>
      </c>
      <c r="L1276" s="1">
        <v>1</v>
      </c>
      <c r="M1276" s="1">
        <v>-2.901002525</v>
      </c>
    </row>
    <row r="1277" spans="4:13">
      <c r="D1277" s="1" t="s">
        <v>199</v>
      </c>
      <c r="E1277" s="1" t="s">
        <v>352</v>
      </c>
      <c r="H1277" s="1" t="s">
        <v>22</v>
      </c>
      <c r="I1277" s="1" t="s">
        <v>23</v>
      </c>
      <c r="L1277" s="1">
        <v>1</v>
      </c>
      <c r="M1277" s="1">
        <v>3.0385366650000001</v>
      </c>
    </row>
    <row r="1278" spans="4:13">
      <c r="D1278" s="1" t="s">
        <v>199</v>
      </c>
      <c r="E1278" s="1" t="s">
        <v>353</v>
      </c>
      <c r="H1278" s="1" t="s">
        <v>22</v>
      </c>
      <c r="I1278" s="1" t="s">
        <v>23</v>
      </c>
      <c r="L1278" s="1">
        <v>1</v>
      </c>
      <c r="M1278" s="1">
        <v>-6.2111069360000002</v>
      </c>
    </row>
    <row r="1279" spans="4:13">
      <c r="D1279" s="1" t="s">
        <v>199</v>
      </c>
      <c r="E1279" s="1" t="s">
        <v>354</v>
      </c>
      <c r="H1279" s="1" t="s">
        <v>22</v>
      </c>
      <c r="I1279" s="1" t="s">
        <v>23</v>
      </c>
      <c r="L1279" s="1">
        <v>1</v>
      </c>
      <c r="M1279" s="1">
        <v>2.1886335200000002</v>
      </c>
    </row>
    <row r="1280" spans="4:13">
      <c r="D1280" s="1" t="s">
        <v>199</v>
      </c>
      <c r="E1280" s="1" t="s">
        <v>355</v>
      </c>
      <c r="H1280" s="1" t="s">
        <v>22</v>
      </c>
      <c r="I1280" s="1" t="s">
        <v>23</v>
      </c>
      <c r="L1280" s="1">
        <v>1</v>
      </c>
      <c r="M1280" s="1">
        <v>2.9845017189999998</v>
      </c>
    </row>
    <row r="1281" spans="4:13">
      <c r="D1281" s="1" t="s">
        <v>199</v>
      </c>
      <c r="E1281" s="1" t="s">
        <v>356</v>
      </c>
      <c r="H1281" s="1" t="s">
        <v>22</v>
      </c>
      <c r="I1281" s="1" t="s">
        <v>23</v>
      </c>
      <c r="L1281" s="1">
        <v>1</v>
      </c>
      <c r="M1281" s="1">
        <v>-6.5912793379999997</v>
      </c>
    </row>
    <row r="1282" spans="4:13">
      <c r="D1282" s="1" t="s">
        <v>199</v>
      </c>
      <c r="E1282" s="1" t="s">
        <v>357</v>
      </c>
      <c r="H1282" s="1" t="s">
        <v>22</v>
      </c>
      <c r="I1282" s="1" t="s">
        <v>23</v>
      </c>
      <c r="L1282" s="1">
        <v>1</v>
      </c>
      <c r="M1282" s="1">
        <v>-1.3890406230000001</v>
      </c>
    </row>
    <row r="1283" spans="4:13">
      <c r="D1283" s="1" t="s">
        <v>199</v>
      </c>
      <c r="E1283" s="1" t="s">
        <v>358</v>
      </c>
      <c r="H1283" s="1" t="s">
        <v>22</v>
      </c>
      <c r="I1283" s="1" t="s">
        <v>23</v>
      </c>
      <c r="L1283" s="1">
        <v>1</v>
      </c>
      <c r="M1283" s="1">
        <v>4.6278114099999996</v>
      </c>
    </row>
    <row r="1284" spans="4:13">
      <c r="D1284" s="1" t="s">
        <v>199</v>
      </c>
      <c r="E1284" s="1" t="s">
        <v>359</v>
      </c>
      <c r="H1284" s="1" t="s">
        <v>22</v>
      </c>
      <c r="I1284" s="1" t="s">
        <v>23</v>
      </c>
      <c r="L1284" s="1">
        <v>1</v>
      </c>
      <c r="M1284" s="1">
        <v>6.8638224389999998</v>
      </c>
    </row>
    <row r="1285" spans="4:13">
      <c r="D1285" s="1" t="s">
        <v>199</v>
      </c>
      <c r="E1285" s="1" t="s">
        <v>360</v>
      </c>
      <c r="H1285" s="1" t="s">
        <v>22</v>
      </c>
      <c r="I1285" s="1" t="s">
        <v>23</v>
      </c>
      <c r="L1285" s="1">
        <v>1</v>
      </c>
      <c r="M1285" s="1">
        <v>-9.1978944679999994</v>
      </c>
    </row>
    <row r="1286" spans="4:13">
      <c r="D1286" s="1" t="s">
        <v>199</v>
      </c>
      <c r="E1286" s="1" t="s">
        <v>361</v>
      </c>
      <c r="H1286" s="1" t="s">
        <v>22</v>
      </c>
      <c r="I1286" s="1" t="s">
        <v>23</v>
      </c>
      <c r="L1286" s="1">
        <v>1</v>
      </c>
      <c r="M1286" s="1">
        <v>8.7907856160000009</v>
      </c>
    </row>
    <row r="1287" spans="4:13">
      <c r="D1287" s="1" t="s">
        <v>199</v>
      </c>
      <c r="E1287" s="1" t="s">
        <v>362</v>
      </c>
      <c r="H1287" s="1" t="s">
        <v>22</v>
      </c>
      <c r="I1287" s="1" t="s">
        <v>23</v>
      </c>
      <c r="L1287" s="1">
        <v>1</v>
      </c>
      <c r="M1287" s="1">
        <v>-3.4629850609999999</v>
      </c>
    </row>
    <row r="1288" spans="4:13">
      <c r="D1288" s="1" t="s">
        <v>199</v>
      </c>
      <c r="E1288" s="1" t="s">
        <v>363</v>
      </c>
      <c r="H1288" s="1" t="s">
        <v>22</v>
      </c>
      <c r="I1288" s="1" t="s">
        <v>23</v>
      </c>
      <c r="L1288" s="1">
        <v>1</v>
      </c>
      <c r="M1288" s="1">
        <v>14.846356910000001</v>
      </c>
    </row>
    <row r="1289" spans="4:13">
      <c r="D1289" s="1" t="s">
        <v>199</v>
      </c>
      <c r="E1289" s="1" t="s">
        <v>364</v>
      </c>
      <c r="H1289" s="1" t="s">
        <v>22</v>
      </c>
      <c r="I1289" s="1" t="s">
        <v>23</v>
      </c>
      <c r="L1289" s="1">
        <v>1</v>
      </c>
      <c r="M1289" s="1">
        <v>7.6540139409999997</v>
      </c>
    </row>
    <row r="1290" spans="4:13">
      <c r="D1290" s="1" t="s">
        <v>199</v>
      </c>
      <c r="E1290" s="1" t="s">
        <v>365</v>
      </c>
      <c r="H1290" s="1" t="s">
        <v>22</v>
      </c>
      <c r="I1290" s="1" t="s">
        <v>23</v>
      </c>
      <c r="L1290" s="1">
        <v>1</v>
      </c>
      <c r="M1290" s="1">
        <v>-7.5028089720000004</v>
      </c>
    </row>
    <row r="1291" spans="4:13">
      <c r="D1291" s="1" t="s">
        <v>199</v>
      </c>
      <c r="E1291" s="1" t="s">
        <v>366</v>
      </c>
      <c r="H1291" s="1" t="s">
        <v>22</v>
      </c>
      <c r="I1291" s="1" t="s">
        <v>23</v>
      </c>
      <c r="L1291" s="1">
        <v>1</v>
      </c>
      <c r="M1291" s="1">
        <v>-10.087701490000001</v>
      </c>
    </row>
    <row r="1292" spans="4:13">
      <c r="D1292" s="1" t="s">
        <v>199</v>
      </c>
      <c r="E1292" s="1" t="s">
        <v>367</v>
      </c>
      <c r="H1292" s="1" t="s">
        <v>22</v>
      </c>
      <c r="I1292" s="1" t="s">
        <v>23</v>
      </c>
      <c r="L1292" s="1">
        <v>1</v>
      </c>
      <c r="M1292" s="1">
        <v>-2.9511915389999999</v>
      </c>
    </row>
    <row r="1293" spans="4:13">
      <c r="D1293" s="1" t="s">
        <v>199</v>
      </c>
      <c r="E1293" s="1" t="s">
        <v>368</v>
      </c>
      <c r="H1293" s="1" t="s">
        <v>22</v>
      </c>
      <c r="I1293" s="1" t="s">
        <v>23</v>
      </c>
      <c r="L1293" s="1">
        <v>1</v>
      </c>
      <c r="M1293" s="1">
        <v>-12.017104229999999</v>
      </c>
    </row>
    <row r="1294" spans="4:13">
      <c r="D1294" s="1" t="s">
        <v>199</v>
      </c>
      <c r="E1294" s="1" t="s">
        <v>369</v>
      </c>
      <c r="H1294" s="1" t="s">
        <v>22</v>
      </c>
      <c r="I1294" s="1" t="s">
        <v>23</v>
      </c>
      <c r="L1294" s="1">
        <v>1</v>
      </c>
      <c r="M1294" s="1">
        <v>15.168351530000001</v>
      </c>
    </row>
    <row r="1295" spans="4:13">
      <c r="D1295" s="1" t="s">
        <v>199</v>
      </c>
      <c r="E1295" s="1" t="s">
        <v>370</v>
      </c>
      <c r="H1295" s="1" t="s">
        <v>22</v>
      </c>
      <c r="I1295" s="1" t="s">
        <v>23</v>
      </c>
      <c r="L1295" s="1">
        <v>1</v>
      </c>
      <c r="M1295" s="1">
        <v>-7.1734563160000002</v>
      </c>
    </row>
    <row r="1296" spans="4:13">
      <c r="D1296" s="1" t="s">
        <v>199</v>
      </c>
      <c r="E1296" s="1" t="s">
        <v>371</v>
      </c>
      <c r="H1296" s="1" t="s">
        <v>22</v>
      </c>
      <c r="I1296" s="1" t="s">
        <v>23</v>
      </c>
      <c r="L1296" s="1">
        <v>1</v>
      </c>
      <c r="M1296" s="1">
        <v>-4.9889181159999998</v>
      </c>
    </row>
    <row r="1297" spans="4:13">
      <c r="D1297" s="1" t="s">
        <v>199</v>
      </c>
      <c r="E1297" s="1" t="s">
        <v>372</v>
      </c>
      <c r="H1297" s="1" t="s">
        <v>22</v>
      </c>
      <c r="I1297" s="1" t="s">
        <v>23</v>
      </c>
      <c r="L1297" s="1">
        <v>1</v>
      </c>
      <c r="M1297" s="1">
        <v>35.036991360000002</v>
      </c>
    </row>
    <row r="1298" spans="4:13">
      <c r="D1298" s="1" t="s">
        <v>199</v>
      </c>
      <c r="E1298" s="1" t="s">
        <v>373</v>
      </c>
      <c r="H1298" s="1" t="s">
        <v>22</v>
      </c>
      <c r="I1298" s="1" t="s">
        <v>23</v>
      </c>
      <c r="L1298" s="1">
        <v>1</v>
      </c>
      <c r="M1298" s="1">
        <v>-38.466651300000002</v>
      </c>
    </row>
    <row r="1299" spans="4:13">
      <c r="D1299" s="1" t="s">
        <v>199</v>
      </c>
      <c r="E1299" s="1" t="s">
        <v>374</v>
      </c>
      <c r="H1299" s="1" t="s">
        <v>22</v>
      </c>
      <c r="I1299" s="1" t="s">
        <v>23</v>
      </c>
      <c r="L1299" s="1">
        <v>1</v>
      </c>
      <c r="M1299" s="1">
        <v>-0.93129283299999999</v>
      </c>
    </row>
    <row r="1300" spans="4:13">
      <c r="D1300" s="1" t="s">
        <v>199</v>
      </c>
      <c r="E1300" s="1" t="s">
        <v>375</v>
      </c>
      <c r="H1300" s="1" t="s">
        <v>22</v>
      </c>
      <c r="I1300" s="1" t="s">
        <v>23</v>
      </c>
      <c r="L1300" s="1">
        <v>1</v>
      </c>
      <c r="M1300" s="1">
        <v>-4.1092902039999997</v>
      </c>
    </row>
    <row r="1301" spans="4:13">
      <c r="D1301" s="1" t="s">
        <v>199</v>
      </c>
      <c r="E1301" s="1" t="s">
        <v>376</v>
      </c>
      <c r="H1301" s="1" t="s">
        <v>22</v>
      </c>
      <c r="I1301" s="1" t="s">
        <v>23</v>
      </c>
      <c r="L1301" s="1">
        <v>1</v>
      </c>
      <c r="M1301" s="1">
        <v>11.366104310000001</v>
      </c>
    </row>
    <row r="1302" spans="4:13">
      <c r="D1302" s="1" t="s">
        <v>199</v>
      </c>
      <c r="E1302" s="1" t="s">
        <v>377</v>
      </c>
      <c r="H1302" s="1" t="s">
        <v>22</v>
      </c>
      <c r="I1302" s="1" t="s">
        <v>23</v>
      </c>
      <c r="L1302" s="1">
        <v>1</v>
      </c>
      <c r="M1302" s="1">
        <v>1.998744651</v>
      </c>
    </row>
    <row r="1303" spans="4:13">
      <c r="D1303" s="1" t="s">
        <v>199</v>
      </c>
      <c r="E1303" s="1" t="s">
        <v>378</v>
      </c>
      <c r="H1303" s="1" t="s">
        <v>22</v>
      </c>
      <c r="I1303" s="1" t="s">
        <v>23</v>
      </c>
      <c r="L1303" s="1">
        <v>1</v>
      </c>
      <c r="M1303" s="1">
        <v>9.0022712889999994</v>
      </c>
    </row>
    <row r="1304" spans="4:13">
      <c r="D1304" s="1" t="s">
        <v>199</v>
      </c>
      <c r="E1304" s="1" t="s">
        <v>379</v>
      </c>
      <c r="H1304" s="1" t="s">
        <v>22</v>
      </c>
      <c r="I1304" s="1" t="s">
        <v>23</v>
      </c>
      <c r="L1304" s="1">
        <v>1</v>
      </c>
      <c r="M1304" s="1">
        <v>11.90821852</v>
      </c>
    </row>
    <row r="1305" spans="4:13">
      <c r="D1305" s="1" t="s">
        <v>199</v>
      </c>
      <c r="E1305" s="1" t="s">
        <v>380</v>
      </c>
      <c r="H1305" s="1" t="s">
        <v>22</v>
      </c>
      <c r="I1305" s="1" t="s">
        <v>23</v>
      </c>
      <c r="L1305" s="1">
        <v>1</v>
      </c>
      <c r="M1305" s="1">
        <v>-67.842141920000003</v>
      </c>
    </row>
    <row r="1306" spans="4:13">
      <c r="D1306" s="1" t="s">
        <v>199</v>
      </c>
      <c r="E1306" s="1" t="s">
        <v>381</v>
      </c>
      <c r="H1306" s="1" t="s">
        <v>22</v>
      </c>
      <c r="I1306" s="1" t="s">
        <v>23</v>
      </c>
      <c r="L1306" s="1">
        <v>1</v>
      </c>
      <c r="M1306" s="1">
        <v>72.736494260000001</v>
      </c>
    </row>
    <row r="1307" spans="4:13">
      <c r="D1307" s="1" t="s">
        <v>199</v>
      </c>
      <c r="E1307" s="1" t="s">
        <v>382</v>
      </c>
      <c r="H1307" s="1" t="s">
        <v>22</v>
      </c>
      <c r="I1307" s="1" t="s">
        <v>23</v>
      </c>
      <c r="L1307" s="1">
        <v>1</v>
      </c>
      <c r="M1307" s="1">
        <v>2.3695938499999998</v>
      </c>
    </row>
    <row r="1308" spans="4:13">
      <c r="D1308" s="1" t="s">
        <v>199</v>
      </c>
      <c r="E1308" s="1" t="s">
        <v>383</v>
      </c>
      <c r="H1308" s="1" t="s">
        <v>22</v>
      </c>
      <c r="I1308" s="1" t="s">
        <v>23</v>
      </c>
      <c r="L1308" s="1">
        <v>1</v>
      </c>
      <c r="M1308" s="1">
        <v>-38.40681051</v>
      </c>
    </row>
    <row r="1309" spans="4:13">
      <c r="D1309" s="1" t="s">
        <v>199</v>
      </c>
      <c r="E1309" s="1" t="s">
        <v>384</v>
      </c>
      <c r="H1309" s="1" t="s">
        <v>22</v>
      </c>
      <c r="I1309" s="1" t="s">
        <v>23</v>
      </c>
      <c r="L1309" s="1">
        <v>1</v>
      </c>
      <c r="M1309" s="1">
        <v>25.01954783</v>
      </c>
    </row>
    <row r="1310" spans="4:13">
      <c r="D1310" s="1" t="s">
        <v>199</v>
      </c>
      <c r="E1310" s="1" t="s">
        <v>385</v>
      </c>
      <c r="H1310" s="1" t="s">
        <v>22</v>
      </c>
      <c r="I1310" s="1" t="s">
        <v>23</v>
      </c>
      <c r="L1310" s="1">
        <v>1</v>
      </c>
      <c r="M1310" s="1">
        <v>-15.814114160000001</v>
      </c>
    </row>
    <row r="1311" spans="4:13">
      <c r="D1311" s="1" t="s">
        <v>199</v>
      </c>
      <c r="E1311" s="1" t="s">
        <v>386</v>
      </c>
      <c r="H1311" s="1" t="s">
        <v>22</v>
      </c>
      <c r="I1311" s="1" t="s">
        <v>23</v>
      </c>
      <c r="L1311" s="1">
        <v>1</v>
      </c>
      <c r="M1311" s="1">
        <v>0.53387741</v>
      </c>
    </row>
    <row r="1312" spans="4:13">
      <c r="D1312" s="1" t="s">
        <v>199</v>
      </c>
      <c r="E1312" s="1" t="s">
        <v>387</v>
      </c>
      <c r="H1312" s="1" t="s">
        <v>22</v>
      </c>
      <c r="I1312" s="1" t="s">
        <v>23</v>
      </c>
      <c r="L1312" s="1">
        <v>1</v>
      </c>
      <c r="M1312" s="1">
        <v>1.9682590550000001</v>
      </c>
    </row>
    <row r="1313" spans="4:13">
      <c r="D1313" s="1" t="s">
        <v>199</v>
      </c>
      <c r="E1313" s="1" t="s">
        <v>388</v>
      </c>
      <c r="H1313" s="1" t="s">
        <v>22</v>
      </c>
      <c r="I1313" s="1" t="s">
        <v>23</v>
      </c>
      <c r="L1313" s="1">
        <v>1</v>
      </c>
      <c r="M1313" s="1">
        <v>33.16894181</v>
      </c>
    </row>
    <row r="1314" spans="4:13">
      <c r="D1314" s="1" t="s">
        <v>199</v>
      </c>
      <c r="E1314" s="1" t="s">
        <v>389</v>
      </c>
      <c r="H1314" s="1" t="s">
        <v>22</v>
      </c>
      <c r="I1314" s="1" t="s">
        <v>23</v>
      </c>
      <c r="L1314" s="1">
        <v>1</v>
      </c>
      <c r="M1314" s="1">
        <v>-35.070252310000001</v>
      </c>
    </row>
    <row r="1315" spans="4:13">
      <c r="D1315" s="1" t="s">
        <v>199</v>
      </c>
      <c r="E1315" s="1" t="s">
        <v>390</v>
      </c>
      <c r="H1315" s="1" t="s">
        <v>22</v>
      </c>
      <c r="I1315" s="1" t="s">
        <v>23</v>
      </c>
      <c r="L1315" s="1">
        <v>1</v>
      </c>
      <c r="M1315" s="1">
        <v>38.802101690000001</v>
      </c>
    </row>
    <row r="1316" spans="4:13">
      <c r="D1316" s="1" t="s">
        <v>199</v>
      </c>
      <c r="E1316" s="1" t="s">
        <v>391</v>
      </c>
      <c r="H1316" s="1" t="s">
        <v>22</v>
      </c>
      <c r="I1316" s="1" t="s">
        <v>23</v>
      </c>
      <c r="L1316" s="1">
        <v>1</v>
      </c>
      <c r="M1316" s="1">
        <v>-18.356781460000001</v>
      </c>
    </row>
    <row r="1317" spans="4:13">
      <c r="D1317" s="1" t="s">
        <v>199</v>
      </c>
      <c r="E1317" s="1" t="s">
        <v>392</v>
      </c>
      <c r="H1317" s="1" t="s">
        <v>22</v>
      </c>
      <c r="I1317" s="1" t="s">
        <v>23</v>
      </c>
      <c r="L1317" s="1">
        <v>1</v>
      </c>
      <c r="M1317" s="1">
        <v>-14.076914349999999</v>
      </c>
    </row>
    <row r="1318" spans="4:13">
      <c r="D1318" s="1" t="s">
        <v>199</v>
      </c>
      <c r="E1318" s="1" t="s">
        <v>393</v>
      </c>
      <c r="H1318" s="1" t="s">
        <v>22</v>
      </c>
      <c r="I1318" s="1" t="s">
        <v>23</v>
      </c>
      <c r="L1318" s="1">
        <v>1</v>
      </c>
      <c r="M1318" s="1">
        <v>-19.18804188</v>
      </c>
    </row>
    <row r="1319" spans="4:13">
      <c r="D1319" s="1" t="s">
        <v>199</v>
      </c>
      <c r="E1319" s="1" t="s">
        <v>394</v>
      </c>
      <c r="H1319" s="1" t="s">
        <v>22</v>
      </c>
      <c r="I1319" s="1" t="s">
        <v>23</v>
      </c>
      <c r="L1319" s="1">
        <v>1</v>
      </c>
      <c r="M1319" s="1">
        <v>7.6068626630000002</v>
      </c>
    </row>
    <row r="1320" spans="4:13">
      <c r="D1320" s="1" t="s">
        <v>199</v>
      </c>
      <c r="E1320" s="1" t="s">
        <v>395</v>
      </c>
      <c r="H1320" s="1" t="s">
        <v>22</v>
      </c>
      <c r="I1320" s="1" t="s">
        <v>23</v>
      </c>
      <c r="L1320" s="1">
        <v>1</v>
      </c>
      <c r="M1320" s="1">
        <v>2.6518080089999998</v>
      </c>
    </row>
    <row r="1321" spans="4:13">
      <c r="D1321" s="1" t="s">
        <v>199</v>
      </c>
      <c r="E1321" s="1" t="s">
        <v>396</v>
      </c>
      <c r="H1321" s="1" t="s">
        <v>22</v>
      </c>
      <c r="I1321" s="1" t="s">
        <v>23</v>
      </c>
      <c r="L1321" s="1">
        <v>1</v>
      </c>
      <c r="M1321" s="1">
        <v>11.985189930000001</v>
      </c>
    </row>
    <row r="1322" spans="4:13">
      <c r="D1322" s="1" t="s">
        <v>199</v>
      </c>
      <c r="E1322" s="1" t="s">
        <v>397</v>
      </c>
      <c r="H1322" s="1" t="s">
        <v>22</v>
      </c>
      <c r="I1322" s="1" t="s">
        <v>23</v>
      </c>
      <c r="L1322" s="1">
        <v>1</v>
      </c>
      <c r="M1322" s="1">
        <v>-26.617806959999999</v>
      </c>
    </row>
    <row r="1323" spans="4:13">
      <c r="D1323" s="1" t="s">
        <v>199</v>
      </c>
      <c r="E1323" s="1" t="s">
        <v>398</v>
      </c>
      <c r="H1323" s="1" t="s">
        <v>22</v>
      </c>
      <c r="I1323" s="1" t="s">
        <v>23</v>
      </c>
      <c r="L1323" s="1">
        <v>1</v>
      </c>
      <c r="M1323" s="1">
        <v>39.997402450000003</v>
      </c>
    </row>
    <row r="1324" spans="4:13">
      <c r="D1324" s="1" t="s">
        <v>199</v>
      </c>
      <c r="E1324" s="1" t="s">
        <v>399</v>
      </c>
      <c r="H1324" s="1" t="s">
        <v>22</v>
      </c>
      <c r="I1324" s="1" t="s">
        <v>23</v>
      </c>
      <c r="L1324" s="1">
        <v>1</v>
      </c>
      <c r="M1324" s="1">
        <v>7.978213373</v>
      </c>
    </row>
    <row r="1325" spans="4:13">
      <c r="D1325" s="1" t="s">
        <v>199</v>
      </c>
      <c r="E1325" s="1" t="s">
        <v>400</v>
      </c>
      <c r="H1325" s="1" t="s">
        <v>22</v>
      </c>
      <c r="I1325" s="1" t="s">
        <v>23</v>
      </c>
      <c r="L1325" s="1">
        <v>1</v>
      </c>
      <c r="M1325" s="1">
        <v>-31.21164263</v>
      </c>
    </row>
    <row r="1326" spans="4:13">
      <c r="D1326" s="1" t="s">
        <v>199</v>
      </c>
      <c r="E1326" s="1" t="s">
        <v>401</v>
      </c>
      <c r="H1326" s="1" t="s">
        <v>22</v>
      </c>
      <c r="I1326" s="1" t="s">
        <v>23</v>
      </c>
      <c r="L1326" s="1">
        <v>1</v>
      </c>
      <c r="M1326" s="1">
        <v>0.233394507</v>
      </c>
    </row>
    <row r="1327" spans="4:13">
      <c r="D1327" s="1" t="s">
        <v>199</v>
      </c>
      <c r="E1327" s="1" t="s">
        <v>402</v>
      </c>
      <c r="H1327" s="1" t="s">
        <v>22</v>
      </c>
      <c r="I1327" s="1" t="s">
        <v>23</v>
      </c>
      <c r="L1327" s="1">
        <v>1</v>
      </c>
      <c r="M1327" s="1">
        <v>10.853596659999999</v>
      </c>
    </row>
    <row r="1328" spans="4:13">
      <c r="D1328" s="1" t="s">
        <v>199</v>
      </c>
      <c r="E1328" s="1" t="s">
        <v>403</v>
      </c>
      <c r="H1328" s="1" t="s">
        <v>22</v>
      </c>
      <c r="I1328" s="1" t="s">
        <v>23</v>
      </c>
      <c r="L1328" s="1">
        <v>1</v>
      </c>
      <c r="M1328" s="1">
        <v>-17.475379329999999</v>
      </c>
    </row>
    <row r="1329" spans="4:13">
      <c r="D1329" s="1" t="s">
        <v>199</v>
      </c>
      <c r="E1329" s="1" t="s">
        <v>404</v>
      </c>
      <c r="H1329" s="1" t="s">
        <v>22</v>
      </c>
      <c r="I1329" s="1" t="s">
        <v>23</v>
      </c>
      <c r="L1329" s="1">
        <v>1</v>
      </c>
      <c r="M1329" s="1">
        <v>17.4159538</v>
      </c>
    </row>
    <row r="1330" spans="4:13">
      <c r="D1330" s="1" t="s">
        <v>199</v>
      </c>
      <c r="E1330" s="1" t="s">
        <v>405</v>
      </c>
      <c r="H1330" s="1" t="s">
        <v>22</v>
      </c>
      <c r="I1330" s="1" t="s">
        <v>23</v>
      </c>
      <c r="L1330" s="1">
        <v>1</v>
      </c>
      <c r="M1330" s="1">
        <v>4.8382064409999996</v>
      </c>
    </row>
    <row r="1331" spans="4:13">
      <c r="D1331" s="1" t="s">
        <v>199</v>
      </c>
      <c r="E1331" s="1" t="s">
        <v>406</v>
      </c>
      <c r="H1331" s="1" t="s">
        <v>22</v>
      </c>
      <c r="I1331" s="1" t="s">
        <v>23</v>
      </c>
      <c r="L1331" s="1">
        <v>1</v>
      </c>
      <c r="M1331" s="1">
        <v>-3.933182714</v>
      </c>
    </row>
    <row r="1332" spans="4:13">
      <c r="D1332" s="1" t="s">
        <v>199</v>
      </c>
      <c r="E1332" s="1" t="s">
        <v>407</v>
      </c>
      <c r="H1332" s="1" t="s">
        <v>22</v>
      </c>
      <c r="I1332" s="1" t="s">
        <v>23</v>
      </c>
      <c r="L1332" s="1">
        <v>1</v>
      </c>
      <c r="M1332" s="1">
        <v>0.54147974499999996</v>
      </c>
    </row>
    <row r="1333" spans="4:13">
      <c r="D1333" s="1" t="s">
        <v>199</v>
      </c>
      <c r="E1333" s="1" t="s">
        <v>408</v>
      </c>
      <c r="H1333" s="1" t="s">
        <v>22</v>
      </c>
      <c r="I1333" s="1" t="s">
        <v>23</v>
      </c>
      <c r="L1333" s="1">
        <v>1</v>
      </c>
      <c r="M1333" s="1">
        <v>-1.020785179</v>
      </c>
    </row>
    <row r="1334" spans="4:13">
      <c r="D1334" s="1" t="s">
        <v>199</v>
      </c>
      <c r="E1334" s="1" t="s">
        <v>409</v>
      </c>
      <c r="H1334" s="1" t="s">
        <v>22</v>
      </c>
      <c r="I1334" s="1" t="s">
        <v>23</v>
      </c>
      <c r="L1334" s="1">
        <v>1</v>
      </c>
      <c r="M1334" s="1">
        <v>-8.133917555</v>
      </c>
    </row>
    <row r="1335" spans="4:13">
      <c r="D1335" s="1" t="s">
        <v>199</v>
      </c>
      <c r="E1335" s="1" t="s">
        <v>410</v>
      </c>
      <c r="H1335" s="1" t="s">
        <v>22</v>
      </c>
      <c r="I1335" s="1" t="s">
        <v>23</v>
      </c>
      <c r="L1335" s="1">
        <v>1</v>
      </c>
      <c r="M1335" s="1">
        <v>1.2142200000000001E-2</v>
      </c>
    </row>
    <row r="1336" spans="4:13">
      <c r="D1336" s="1" t="s">
        <v>199</v>
      </c>
      <c r="E1336" s="1" t="s">
        <v>411</v>
      </c>
      <c r="H1336" s="1" t="s">
        <v>22</v>
      </c>
      <c r="I1336" s="1" t="s">
        <v>23</v>
      </c>
      <c r="L1336" s="1">
        <v>1</v>
      </c>
      <c r="M1336" s="1">
        <v>12.829166799999999</v>
      </c>
    </row>
    <row r="1337" spans="4:13">
      <c r="D1337" s="1" t="s">
        <v>199</v>
      </c>
      <c r="E1337" s="1" t="s">
        <v>412</v>
      </c>
      <c r="H1337" s="1" t="s">
        <v>22</v>
      </c>
      <c r="I1337" s="1" t="s">
        <v>23</v>
      </c>
      <c r="L1337" s="1">
        <v>1</v>
      </c>
      <c r="M1337" s="1">
        <v>-31.95608687</v>
      </c>
    </row>
    <row r="1338" spans="4:13">
      <c r="D1338" s="1" t="s">
        <v>199</v>
      </c>
      <c r="E1338" s="1" t="s">
        <v>413</v>
      </c>
      <c r="H1338" s="1" t="s">
        <v>22</v>
      </c>
      <c r="I1338" s="1" t="s">
        <v>23</v>
      </c>
      <c r="L1338" s="1">
        <v>1</v>
      </c>
      <c r="M1338" s="1">
        <v>28.361256940000001</v>
      </c>
    </row>
    <row r="1339" spans="4:13">
      <c r="D1339" s="1" t="s">
        <v>199</v>
      </c>
      <c r="E1339" s="1" t="s">
        <v>414</v>
      </c>
      <c r="H1339" s="1" t="s">
        <v>22</v>
      </c>
      <c r="I1339" s="1" t="s">
        <v>23</v>
      </c>
      <c r="L1339" s="1">
        <v>1</v>
      </c>
      <c r="M1339" s="1">
        <v>-18.543151179999999</v>
      </c>
    </row>
    <row r="1340" spans="4:13">
      <c r="D1340" s="1" t="s">
        <v>199</v>
      </c>
      <c r="E1340" s="1" t="s">
        <v>415</v>
      </c>
      <c r="H1340" s="1" t="s">
        <v>22</v>
      </c>
      <c r="I1340" s="1" t="s">
        <v>23</v>
      </c>
      <c r="L1340" s="1">
        <v>1</v>
      </c>
      <c r="M1340" s="1">
        <v>8.2768472150000001</v>
      </c>
    </row>
    <row r="1341" spans="4:13">
      <c r="D1341" s="1" t="s">
        <v>199</v>
      </c>
      <c r="E1341" s="1" t="s">
        <v>416</v>
      </c>
      <c r="H1341" s="1" t="s">
        <v>22</v>
      </c>
      <c r="I1341" s="1" t="s">
        <v>23</v>
      </c>
      <c r="L1341" s="1">
        <v>1</v>
      </c>
      <c r="M1341" s="1">
        <v>0.96325570999999999</v>
      </c>
    </row>
    <row r="1342" spans="4:13">
      <c r="D1342" s="1" t="s">
        <v>199</v>
      </c>
      <c r="E1342" s="1" t="s">
        <v>417</v>
      </c>
      <c r="H1342" s="1" t="s">
        <v>22</v>
      </c>
      <c r="I1342" s="1" t="s">
        <v>23</v>
      </c>
      <c r="L1342" s="1">
        <v>1</v>
      </c>
      <c r="M1342" s="1">
        <v>7.0808506109999998</v>
      </c>
    </row>
    <row r="1343" spans="4:13">
      <c r="D1343" s="1" t="s">
        <v>199</v>
      </c>
      <c r="E1343" s="1" t="s">
        <v>418</v>
      </c>
      <c r="H1343" s="1" t="s">
        <v>22</v>
      </c>
      <c r="I1343" s="1" t="s">
        <v>23</v>
      </c>
      <c r="L1343" s="1">
        <v>1</v>
      </c>
      <c r="M1343" s="1">
        <v>-7.6273007210000001</v>
      </c>
    </row>
    <row r="1344" spans="4:13">
      <c r="D1344" s="1" t="s">
        <v>199</v>
      </c>
      <c r="E1344" s="1" t="s">
        <v>419</v>
      </c>
      <c r="H1344" s="1" t="s">
        <v>22</v>
      </c>
      <c r="I1344" s="1" t="s">
        <v>23</v>
      </c>
      <c r="L1344" s="1">
        <v>1</v>
      </c>
      <c r="M1344" s="1">
        <v>7.5537147070000001</v>
      </c>
    </row>
    <row r="1345" spans="4:13">
      <c r="D1345" s="1" t="s">
        <v>199</v>
      </c>
      <c r="E1345" s="1" t="s">
        <v>420</v>
      </c>
      <c r="H1345" s="1" t="s">
        <v>22</v>
      </c>
      <c r="I1345" s="1" t="s">
        <v>23</v>
      </c>
      <c r="L1345" s="1">
        <v>1</v>
      </c>
      <c r="M1345" s="1">
        <v>-3.109847426</v>
      </c>
    </row>
    <row r="1346" spans="4:13">
      <c r="D1346" s="1" t="s">
        <v>199</v>
      </c>
      <c r="E1346" s="1" t="s">
        <v>421</v>
      </c>
      <c r="H1346" s="1" t="s">
        <v>22</v>
      </c>
      <c r="I1346" s="1" t="s">
        <v>23</v>
      </c>
      <c r="L1346" s="1">
        <v>1</v>
      </c>
      <c r="M1346" s="1">
        <v>2.3237722729999999</v>
      </c>
    </row>
    <row r="1347" spans="4:13">
      <c r="D1347" s="1" t="s">
        <v>199</v>
      </c>
      <c r="E1347" s="1" t="s">
        <v>422</v>
      </c>
      <c r="H1347" s="1" t="s">
        <v>22</v>
      </c>
      <c r="I1347" s="1" t="s">
        <v>23</v>
      </c>
      <c r="L1347" s="1">
        <v>1</v>
      </c>
      <c r="M1347" s="1">
        <v>-2.2025023080000001</v>
      </c>
    </row>
    <row r="1348" spans="4:13">
      <c r="D1348" s="1" t="s">
        <v>199</v>
      </c>
      <c r="E1348" s="1" t="s">
        <v>423</v>
      </c>
      <c r="H1348" s="1" t="s">
        <v>22</v>
      </c>
      <c r="I1348" s="1" t="s">
        <v>23</v>
      </c>
      <c r="L1348" s="1">
        <v>1</v>
      </c>
      <c r="M1348" s="1">
        <v>-0.10750120000000001</v>
      </c>
    </row>
    <row r="1349" spans="4:13">
      <c r="D1349" s="1" t="s">
        <v>199</v>
      </c>
      <c r="E1349" s="1" t="s">
        <v>424</v>
      </c>
      <c r="H1349" s="1" t="s">
        <v>22</v>
      </c>
      <c r="I1349" s="1" t="s">
        <v>23</v>
      </c>
      <c r="L1349" s="1">
        <v>1</v>
      </c>
      <c r="M1349" s="1">
        <v>-0.42469770000000001</v>
      </c>
    </row>
    <row r="1350" spans="4:13">
      <c r="D1350" s="1" t="s">
        <v>199</v>
      </c>
      <c r="E1350" s="1" t="s">
        <v>425</v>
      </c>
      <c r="F1350" s="1" t="s">
        <v>176</v>
      </c>
      <c r="G1350" s="1" t="s">
        <v>177</v>
      </c>
      <c r="H1350" s="1" t="s">
        <v>22</v>
      </c>
      <c r="I1350" s="1" t="s">
        <v>23</v>
      </c>
      <c r="J1350" s="1">
        <v>0</v>
      </c>
      <c r="L1350" s="1">
        <v>39.370078740157467</v>
      </c>
      <c r="M1350" s="1">
        <v>7.9809999999999972</v>
      </c>
    </row>
    <row r="1351" spans="4:13">
      <c r="D1351" s="1" t="s">
        <v>199</v>
      </c>
      <c r="E1351" s="1" t="s">
        <v>426</v>
      </c>
      <c r="H1351" s="1" t="s">
        <v>25</v>
      </c>
      <c r="I1351" s="1" t="s">
        <v>23</v>
      </c>
      <c r="M1351" s="1" t="b">
        <v>1</v>
      </c>
    </row>
    <row r="1352" spans="4:13">
      <c r="D1352" s="1" t="s">
        <v>199</v>
      </c>
      <c r="E1352" s="1" t="s">
        <v>427</v>
      </c>
      <c r="F1352" s="1">
        <v>1</v>
      </c>
      <c r="G1352" s="1">
        <v>1</v>
      </c>
      <c r="H1352" s="1" t="s">
        <v>22</v>
      </c>
      <c r="I1352" s="1" t="s">
        <v>23</v>
      </c>
      <c r="J1352" s="1">
        <v>0</v>
      </c>
      <c r="K1352" s="1">
        <v>1</v>
      </c>
      <c r="L1352" s="1">
        <v>1</v>
      </c>
      <c r="M1352" s="1">
        <v>0.83379999999999999</v>
      </c>
    </row>
    <row r="1353" spans="4:13">
      <c r="D1353" s="1" t="s">
        <v>199</v>
      </c>
      <c r="E1353" s="1" t="s">
        <v>428</v>
      </c>
      <c r="H1353" s="1" t="s">
        <v>25</v>
      </c>
      <c r="I1353" s="1" t="s">
        <v>23</v>
      </c>
      <c r="M1353" s="1" t="b">
        <v>1</v>
      </c>
    </row>
    <row r="1354" spans="4:13">
      <c r="D1354" s="1" t="s">
        <v>199</v>
      </c>
      <c r="E1354" s="1" t="s">
        <v>429</v>
      </c>
      <c r="F1354" s="1">
        <v>1</v>
      </c>
      <c r="G1354" s="1">
        <v>1</v>
      </c>
      <c r="H1354" s="1" t="s">
        <v>22</v>
      </c>
      <c r="I1354" s="1" t="s">
        <v>23</v>
      </c>
      <c r="J1354" s="1">
        <v>0</v>
      </c>
      <c r="K1354" s="1">
        <v>1</v>
      </c>
      <c r="L1354" s="1">
        <v>1</v>
      </c>
      <c r="M1354" s="1">
        <v>0.83379999999999999</v>
      </c>
    </row>
    <row r="1355" spans="4:13">
      <c r="D1355" s="1" t="s">
        <v>199</v>
      </c>
      <c r="E1355" s="1" t="s">
        <v>430</v>
      </c>
      <c r="H1355" s="1" t="s">
        <v>22</v>
      </c>
      <c r="I1355" s="1" t="s">
        <v>23</v>
      </c>
      <c r="L1355" s="1">
        <v>1</v>
      </c>
      <c r="M1355" s="1">
        <v>0</v>
      </c>
    </row>
    <row r="1356" spans="4:13">
      <c r="D1356" s="1" t="s">
        <v>199</v>
      </c>
      <c r="E1356" s="1" t="s">
        <v>431</v>
      </c>
      <c r="H1356" s="1" t="s">
        <v>22</v>
      </c>
      <c r="I1356" s="1" t="s">
        <v>23</v>
      </c>
      <c r="L1356" s="1">
        <v>1</v>
      </c>
      <c r="M1356" s="1">
        <v>0.2</v>
      </c>
    </row>
    <row r="1357" spans="4:13">
      <c r="D1357" s="1" t="s">
        <v>199</v>
      </c>
      <c r="E1357" s="1" t="s">
        <v>432</v>
      </c>
      <c r="H1357" s="1" t="s">
        <v>22</v>
      </c>
      <c r="I1357" s="1" t="s">
        <v>23</v>
      </c>
      <c r="L1357" s="1">
        <v>1</v>
      </c>
      <c r="M1357" s="1">
        <v>0.4</v>
      </c>
    </row>
    <row r="1358" spans="4:13">
      <c r="D1358" s="1" t="s">
        <v>199</v>
      </c>
      <c r="E1358" s="1" t="s">
        <v>433</v>
      </c>
      <c r="H1358" s="1" t="s">
        <v>22</v>
      </c>
      <c r="I1358" s="1" t="s">
        <v>23</v>
      </c>
      <c r="L1358" s="1">
        <v>1</v>
      </c>
      <c r="M1358" s="1">
        <v>0.6</v>
      </c>
    </row>
    <row r="1359" spans="4:13">
      <c r="D1359" s="1" t="s">
        <v>199</v>
      </c>
      <c r="E1359" s="1" t="s">
        <v>434</v>
      </c>
      <c r="H1359" s="1" t="s">
        <v>22</v>
      </c>
      <c r="I1359" s="1" t="s">
        <v>23</v>
      </c>
      <c r="L1359" s="1">
        <v>1</v>
      </c>
      <c r="M1359" s="1">
        <v>0.8</v>
      </c>
    </row>
    <row r="1360" spans="4:13">
      <c r="D1360" s="1" t="s">
        <v>199</v>
      </c>
      <c r="E1360" s="1" t="s">
        <v>435</v>
      </c>
      <c r="H1360" s="1" t="s">
        <v>22</v>
      </c>
      <c r="I1360" s="1" t="s">
        <v>23</v>
      </c>
      <c r="L1360" s="1">
        <v>1</v>
      </c>
      <c r="M1360" s="1">
        <v>1</v>
      </c>
    </row>
    <row r="1361" spans="4:13">
      <c r="D1361" s="1" t="s">
        <v>199</v>
      </c>
      <c r="E1361" s="1" t="s">
        <v>436</v>
      </c>
      <c r="H1361" s="1" t="s">
        <v>22</v>
      </c>
      <c r="I1361" s="1" t="s">
        <v>23</v>
      </c>
      <c r="L1361" s="1">
        <v>1</v>
      </c>
      <c r="M1361" s="1">
        <v>1.2</v>
      </c>
    </row>
    <row r="1362" spans="4:13">
      <c r="D1362" s="1" t="s">
        <v>199</v>
      </c>
      <c r="E1362" s="1" t="s">
        <v>437</v>
      </c>
      <c r="H1362" s="1" t="s">
        <v>22</v>
      </c>
      <c r="I1362" s="1" t="s">
        <v>23</v>
      </c>
      <c r="L1362" s="1">
        <v>1</v>
      </c>
      <c r="M1362" s="1">
        <v>1.4</v>
      </c>
    </row>
    <row r="1363" spans="4:13">
      <c r="D1363" s="1" t="s">
        <v>199</v>
      </c>
      <c r="E1363" s="1" t="s">
        <v>438</v>
      </c>
      <c r="H1363" s="1" t="s">
        <v>22</v>
      </c>
      <c r="I1363" s="1" t="s">
        <v>23</v>
      </c>
      <c r="L1363" s="1">
        <v>1</v>
      </c>
      <c r="M1363" s="1">
        <v>1.6</v>
      </c>
    </row>
    <row r="1364" spans="4:13">
      <c r="D1364" s="1" t="s">
        <v>199</v>
      </c>
      <c r="E1364" s="1" t="s">
        <v>439</v>
      </c>
      <c r="H1364" s="1" t="s">
        <v>22</v>
      </c>
      <c r="I1364" s="1" t="s">
        <v>23</v>
      </c>
      <c r="L1364" s="1">
        <v>1</v>
      </c>
      <c r="M1364" s="1">
        <v>0.1</v>
      </c>
    </row>
    <row r="1365" spans="4:13">
      <c r="D1365" s="1" t="s">
        <v>199</v>
      </c>
      <c r="E1365" s="1" t="s">
        <v>440</v>
      </c>
      <c r="H1365" s="1" t="s">
        <v>22</v>
      </c>
      <c r="I1365" s="1" t="s">
        <v>23</v>
      </c>
      <c r="L1365" s="1">
        <v>1</v>
      </c>
      <c r="M1365" s="1">
        <v>0.3</v>
      </c>
    </row>
    <row r="1366" spans="4:13">
      <c r="D1366" s="1" t="s">
        <v>199</v>
      </c>
      <c r="E1366" s="1" t="s">
        <v>441</v>
      </c>
      <c r="H1366" s="1" t="s">
        <v>22</v>
      </c>
      <c r="I1366" s="1" t="s">
        <v>23</v>
      </c>
      <c r="L1366" s="1">
        <v>1</v>
      </c>
      <c r="M1366" s="1">
        <v>0.5</v>
      </c>
    </row>
    <row r="1367" spans="4:13">
      <c r="D1367" s="1" t="s">
        <v>199</v>
      </c>
      <c r="E1367" s="1" t="s">
        <v>442</v>
      </c>
      <c r="H1367" s="1" t="s">
        <v>22</v>
      </c>
      <c r="I1367" s="1" t="s">
        <v>23</v>
      </c>
      <c r="L1367" s="1">
        <v>1</v>
      </c>
      <c r="M1367" s="1">
        <v>0.7</v>
      </c>
    </row>
    <row r="1368" spans="4:13">
      <c r="D1368" s="1" t="s">
        <v>199</v>
      </c>
      <c r="E1368" s="1" t="s">
        <v>443</v>
      </c>
      <c r="H1368" s="1" t="s">
        <v>22</v>
      </c>
      <c r="I1368" s="1" t="s">
        <v>23</v>
      </c>
      <c r="L1368" s="1">
        <v>1</v>
      </c>
      <c r="M1368" s="1">
        <v>0.9</v>
      </c>
    </row>
    <row r="1369" spans="4:13">
      <c r="D1369" s="1" t="s">
        <v>199</v>
      </c>
      <c r="E1369" s="1" t="s">
        <v>444</v>
      </c>
      <c r="H1369" s="1" t="s">
        <v>22</v>
      </c>
      <c r="I1369" s="1" t="s">
        <v>23</v>
      </c>
      <c r="L1369" s="1">
        <v>1</v>
      </c>
      <c r="M1369" s="1">
        <v>1.1000000000000001</v>
      </c>
    </row>
    <row r="1370" spans="4:13">
      <c r="D1370" s="1" t="s">
        <v>199</v>
      </c>
      <c r="E1370" s="1" t="s">
        <v>445</v>
      </c>
      <c r="H1370" s="1" t="s">
        <v>22</v>
      </c>
      <c r="I1370" s="1" t="s">
        <v>23</v>
      </c>
      <c r="L1370" s="1">
        <v>1</v>
      </c>
      <c r="M1370" s="1">
        <v>1.3</v>
      </c>
    </row>
    <row r="1371" spans="4:13">
      <c r="D1371" s="1" t="s">
        <v>199</v>
      </c>
      <c r="E1371" s="1" t="s">
        <v>446</v>
      </c>
      <c r="H1371" s="1" t="s">
        <v>22</v>
      </c>
      <c r="I1371" s="1" t="s">
        <v>23</v>
      </c>
      <c r="L1371" s="1">
        <v>1</v>
      </c>
      <c r="M1371" s="1">
        <v>1.5</v>
      </c>
    </row>
    <row r="1372" spans="4:13">
      <c r="D1372" s="1" t="s">
        <v>199</v>
      </c>
      <c r="E1372" s="1" t="s">
        <v>447</v>
      </c>
      <c r="H1372" s="1" t="s">
        <v>22</v>
      </c>
      <c r="I1372" s="1" t="s">
        <v>23</v>
      </c>
      <c r="L1372" s="1">
        <v>1</v>
      </c>
      <c r="M1372" s="1">
        <v>1.7</v>
      </c>
    </row>
    <row r="1373" spans="4:13">
      <c r="D1373" s="1" t="s">
        <v>199</v>
      </c>
      <c r="E1373" s="1" t="s">
        <v>448</v>
      </c>
      <c r="H1373" s="1" t="s">
        <v>22</v>
      </c>
      <c r="I1373" s="1" t="s">
        <v>23</v>
      </c>
      <c r="L1373" s="1">
        <v>1</v>
      </c>
      <c r="M1373" s="1">
        <v>0</v>
      </c>
    </row>
    <row r="1374" spans="4:13">
      <c r="D1374" s="1" t="s">
        <v>199</v>
      </c>
      <c r="E1374" s="1" t="s">
        <v>449</v>
      </c>
      <c r="H1374" s="1" t="s">
        <v>22</v>
      </c>
      <c r="I1374" s="1" t="s">
        <v>23</v>
      </c>
      <c r="L1374" s="1">
        <v>1</v>
      </c>
      <c r="M1374" s="1">
        <v>0.2</v>
      </c>
    </row>
    <row r="1375" spans="4:13">
      <c r="D1375" s="1" t="s">
        <v>199</v>
      </c>
      <c r="E1375" s="1" t="s">
        <v>450</v>
      </c>
      <c r="H1375" s="1" t="s">
        <v>22</v>
      </c>
      <c r="I1375" s="1" t="s">
        <v>23</v>
      </c>
      <c r="L1375" s="1">
        <v>1</v>
      </c>
      <c r="M1375" s="1">
        <v>0.4</v>
      </c>
    </row>
    <row r="1376" spans="4:13">
      <c r="D1376" s="1" t="s">
        <v>199</v>
      </c>
      <c r="E1376" s="1" t="s">
        <v>451</v>
      </c>
      <c r="H1376" s="1" t="s">
        <v>22</v>
      </c>
      <c r="I1376" s="1" t="s">
        <v>23</v>
      </c>
      <c r="L1376" s="1">
        <v>1</v>
      </c>
      <c r="M1376" s="1">
        <v>0.6</v>
      </c>
    </row>
    <row r="1377" spans="4:13">
      <c r="D1377" s="1" t="s">
        <v>199</v>
      </c>
      <c r="E1377" s="1" t="s">
        <v>452</v>
      </c>
      <c r="H1377" s="1" t="s">
        <v>22</v>
      </c>
      <c r="I1377" s="1" t="s">
        <v>23</v>
      </c>
      <c r="L1377" s="1">
        <v>1</v>
      </c>
      <c r="M1377" s="1">
        <v>0.8</v>
      </c>
    </row>
    <row r="1378" spans="4:13">
      <c r="D1378" s="1" t="s">
        <v>199</v>
      </c>
      <c r="E1378" s="1" t="s">
        <v>453</v>
      </c>
      <c r="H1378" s="1" t="s">
        <v>22</v>
      </c>
      <c r="I1378" s="1" t="s">
        <v>23</v>
      </c>
      <c r="L1378" s="1">
        <v>1</v>
      </c>
      <c r="M1378" s="1">
        <v>1</v>
      </c>
    </row>
    <row r="1379" spans="4:13">
      <c r="D1379" s="1" t="s">
        <v>199</v>
      </c>
      <c r="E1379" s="1" t="s">
        <v>454</v>
      </c>
      <c r="H1379" s="1" t="s">
        <v>22</v>
      </c>
      <c r="I1379" s="1" t="s">
        <v>23</v>
      </c>
      <c r="L1379" s="1">
        <v>1</v>
      </c>
      <c r="M1379" s="1">
        <v>1.2</v>
      </c>
    </row>
    <row r="1380" spans="4:13">
      <c r="D1380" s="1" t="s">
        <v>199</v>
      </c>
      <c r="E1380" s="1" t="s">
        <v>455</v>
      </c>
      <c r="H1380" s="1" t="s">
        <v>22</v>
      </c>
      <c r="I1380" s="1" t="s">
        <v>23</v>
      </c>
      <c r="L1380" s="1">
        <v>1</v>
      </c>
      <c r="M1380" s="1">
        <v>1.4</v>
      </c>
    </row>
    <row r="1381" spans="4:13">
      <c r="D1381" s="1" t="s">
        <v>199</v>
      </c>
      <c r="E1381" s="1" t="s">
        <v>456</v>
      </c>
      <c r="H1381" s="1" t="s">
        <v>22</v>
      </c>
      <c r="I1381" s="1" t="s">
        <v>23</v>
      </c>
      <c r="L1381" s="1">
        <v>1</v>
      </c>
      <c r="M1381" s="1">
        <v>1.6</v>
      </c>
    </row>
    <row r="1382" spans="4:13">
      <c r="D1382" s="1" t="s">
        <v>199</v>
      </c>
      <c r="E1382" s="1" t="s">
        <v>457</v>
      </c>
      <c r="H1382" s="1" t="s">
        <v>22</v>
      </c>
      <c r="I1382" s="1" t="s">
        <v>23</v>
      </c>
      <c r="L1382" s="1">
        <v>1</v>
      </c>
      <c r="M1382" s="1">
        <v>0.1</v>
      </c>
    </row>
    <row r="1383" spans="4:13">
      <c r="D1383" s="1" t="s">
        <v>199</v>
      </c>
      <c r="E1383" s="1" t="s">
        <v>458</v>
      </c>
      <c r="H1383" s="1" t="s">
        <v>22</v>
      </c>
      <c r="I1383" s="1" t="s">
        <v>23</v>
      </c>
      <c r="L1383" s="1">
        <v>1</v>
      </c>
      <c r="M1383" s="1">
        <v>0.3</v>
      </c>
    </row>
    <row r="1384" spans="4:13">
      <c r="D1384" s="1" t="s">
        <v>199</v>
      </c>
      <c r="E1384" s="1" t="s">
        <v>459</v>
      </c>
      <c r="H1384" s="1" t="s">
        <v>22</v>
      </c>
      <c r="I1384" s="1" t="s">
        <v>23</v>
      </c>
      <c r="L1384" s="1">
        <v>1</v>
      </c>
      <c r="M1384" s="1">
        <v>0.5</v>
      </c>
    </row>
    <row r="1385" spans="4:13">
      <c r="D1385" s="1" t="s">
        <v>199</v>
      </c>
      <c r="E1385" s="1" t="s">
        <v>460</v>
      </c>
      <c r="H1385" s="1" t="s">
        <v>22</v>
      </c>
      <c r="I1385" s="1" t="s">
        <v>23</v>
      </c>
      <c r="L1385" s="1">
        <v>1</v>
      </c>
      <c r="M1385" s="1">
        <v>0.7</v>
      </c>
    </row>
    <row r="1386" spans="4:13">
      <c r="D1386" s="1" t="s">
        <v>199</v>
      </c>
      <c r="E1386" s="1" t="s">
        <v>461</v>
      </c>
      <c r="H1386" s="1" t="s">
        <v>22</v>
      </c>
      <c r="I1386" s="1" t="s">
        <v>23</v>
      </c>
      <c r="L1386" s="1">
        <v>1</v>
      </c>
      <c r="M1386" s="1">
        <v>0.9</v>
      </c>
    </row>
    <row r="1387" spans="4:13">
      <c r="D1387" s="1" t="s">
        <v>199</v>
      </c>
      <c r="E1387" s="1" t="s">
        <v>462</v>
      </c>
      <c r="H1387" s="1" t="s">
        <v>22</v>
      </c>
      <c r="I1387" s="1" t="s">
        <v>23</v>
      </c>
      <c r="L1387" s="1">
        <v>1</v>
      </c>
      <c r="M1387" s="1">
        <v>1.1000000000000001</v>
      </c>
    </row>
    <row r="1388" spans="4:13">
      <c r="D1388" s="1" t="s">
        <v>199</v>
      </c>
      <c r="E1388" s="1" t="s">
        <v>463</v>
      </c>
      <c r="H1388" s="1" t="s">
        <v>22</v>
      </c>
      <c r="I1388" s="1" t="s">
        <v>23</v>
      </c>
      <c r="L1388" s="1">
        <v>1</v>
      </c>
      <c r="M1388" s="1">
        <v>1.3</v>
      </c>
    </row>
    <row r="1389" spans="4:13">
      <c r="D1389" s="1" t="s">
        <v>199</v>
      </c>
      <c r="E1389" s="1" t="s">
        <v>464</v>
      </c>
      <c r="H1389" s="1" t="s">
        <v>22</v>
      </c>
      <c r="I1389" s="1" t="s">
        <v>23</v>
      </c>
      <c r="L1389" s="1">
        <v>1</v>
      </c>
      <c r="M1389" s="1">
        <v>1.5</v>
      </c>
    </row>
    <row r="1390" spans="4:13">
      <c r="D1390" s="1" t="s">
        <v>199</v>
      </c>
      <c r="E1390" s="1" t="s">
        <v>465</v>
      </c>
      <c r="H1390" s="1" t="s">
        <v>22</v>
      </c>
      <c r="I1390" s="1" t="s">
        <v>23</v>
      </c>
      <c r="L1390" s="1">
        <v>1</v>
      </c>
      <c r="M1390" s="1">
        <v>1.7</v>
      </c>
    </row>
    <row r="1391" spans="4:13">
      <c r="D1391" s="1" t="s">
        <v>199</v>
      </c>
      <c r="E1391" s="1" t="s">
        <v>466</v>
      </c>
      <c r="H1391" s="1" t="s">
        <v>22</v>
      </c>
      <c r="I1391" s="1" t="s">
        <v>23</v>
      </c>
      <c r="L1391" s="1">
        <v>1</v>
      </c>
      <c r="M1391" s="1">
        <v>0</v>
      </c>
    </row>
    <row r="1392" spans="4:13">
      <c r="D1392" s="1" t="s">
        <v>199</v>
      </c>
      <c r="E1392" s="1" t="s">
        <v>467</v>
      </c>
      <c r="H1392" s="1" t="s">
        <v>22</v>
      </c>
      <c r="I1392" s="1" t="s">
        <v>23</v>
      </c>
      <c r="L1392" s="1">
        <v>1</v>
      </c>
      <c r="M1392" s="1">
        <v>0.2</v>
      </c>
    </row>
    <row r="1393" spans="4:13">
      <c r="D1393" s="1" t="s">
        <v>199</v>
      </c>
      <c r="E1393" s="1" t="s">
        <v>468</v>
      </c>
      <c r="H1393" s="1" t="s">
        <v>22</v>
      </c>
      <c r="I1393" s="1" t="s">
        <v>23</v>
      </c>
      <c r="L1393" s="1">
        <v>1</v>
      </c>
      <c r="M1393" s="1">
        <v>0.4</v>
      </c>
    </row>
    <row r="1394" spans="4:13">
      <c r="D1394" s="1" t="s">
        <v>199</v>
      </c>
      <c r="E1394" s="1" t="s">
        <v>469</v>
      </c>
      <c r="H1394" s="1" t="s">
        <v>22</v>
      </c>
      <c r="I1394" s="1" t="s">
        <v>23</v>
      </c>
      <c r="L1394" s="1">
        <v>1</v>
      </c>
      <c r="M1394" s="1">
        <v>0.6</v>
      </c>
    </row>
    <row r="1395" spans="4:13">
      <c r="D1395" s="1" t="s">
        <v>199</v>
      </c>
      <c r="E1395" s="1" t="s">
        <v>470</v>
      </c>
      <c r="H1395" s="1" t="s">
        <v>22</v>
      </c>
      <c r="I1395" s="1" t="s">
        <v>23</v>
      </c>
      <c r="L1395" s="1">
        <v>1</v>
      </c>
      <c r="M1395" s="1">
        <v>0.8</v>
      </c>
    </row>
    <row r="1396" spans="4:13">
      <c r="D1396" s="1" t="s">
        <v>199</v>
      </c>
      <c r="E1396" s="1" t="s">
        <v>471</v>
      </c>
      <c r="H1396" s="1" t="s">
        <v>22</v>
      </c>
      <c r="I1396" s="1" t="s">
        <v>23</v>
      </c>
      <c r="L1396" s="1">
        <v>1</v>
      </c>
      <c r="M1396" s="1">
        <v>1</v>
      </c>
    </row>
    <row r="1397" spans="4:13">
      <c r="D1397" s="1" t="s">
        <v>199</v>
      </c>
      <c r="E1397" s="1" t="s">
        <v>472</v>
      </c>
      <c r="H1397" s="1" t="s">
        <v>22</v>
      </c>
      <c r="I1397" s="1" t="s">
        <v>23</v>
      </c>
      <c r="L1397" s="1">
        <v>1</v>
      </c>
      <c r="M1397" s="1">
        <v>1.2</v>
      </c>
    </row>
    <row r="1398" spans="4:13">
      <c r="D1398" s="1" t="s">
        <v>199</v>
      </c>
      <c r="E1398" s="1" t="s">
        <v>473</v>
      </c>
      <c r="H1398" s="1" t="s">
        <v>22</v>
      </c>
      <c r="I1398" s="1" t="s">
        <v>23</v>
      </c>
      <c r="L1398" s="1">
        <v>1</v>
      </c>
      <c r="M1398" s="1">
        <v>1.4</v>
      </c>
    </row>
    <row r="1399" spans="4:13">
      <c r="D1399" s="1" t="s">
        <v>199</v>
      </c>
      <c r="E1399" s="1" t="s">
        <v>474</v>
      </c>
      <c r="H1399" s="1" t="s">
        <v>22</v>
      </c>
      <c r="I1399" s="1" t="s">
        <v>23</v>
      </c>
      <c r="L1399" s="1">
        <v>1</v>
      </c>
      <c r="M1399" s="1">
        <v>1.6</v>
      </c>
    </row>
    <row r="1400" spans="4:13">
      <c r="D1400" s="1" t="s">
        <v>199</v>
      </c>
      <c r="E1400" s="1" t="s">
        <v>475</v>
      </c>
      <c r="H1400" s="1" t="s">
        <v>22</v>
      </c>
      <c r="I1400" s="1" t="s">
        <v>23</v>
      </c>
      <c r="L1400" s="1">
        <v>1</v>
      </c>
      <c r="M1400" s="1">
        <v>0.1</v>
      </c>
    </row>
    <row r="1401" spans="4:13">
      <c r="D1401" s="1" t="s">
        <v>199</v>
      </c>
      <c r="E1401" s="1" t="s">
        <v>476</v>
      </c>
      <c r="H1401" s="1" t="s">
        <v>22</v>
      </c>
      <c r="I1401" s="1" t="s">
        <v>23</v>
      </c>
      <c r="L1401" s="1">
        <v>1</v>
      </c>
      <c r="M1401" s="1">
        <v>0.3</v>
      </c>
    </row>
    <row r="1402" spans="4:13">
      <c r="D1402" s="1" t="s">
        <v>199</v>
      </c>
      <c r="E1402" s="1" t="s">
        <v>477</v>
      </c>
      <c r="H1402" s="1" t="s">
        <v>22</v>
      </c>
      <c r="I1402" s="1" t="s">
        <v>23</v>
      </c>
      <c r="L1402" s="1">
        <v>1</v>
      </c>
      <c r="M1402" s="1">
        <v>0.5</v>
      </c>
    </row>
    <row r="1403" spans="4:13">
      <c r="D1403" s="1" t="s">
        <v>199</v>
      </c>
      <c r="E1403" s="1" t="s">
        <v>478</v>
      </c>
      <c r="H1403" s="1" t="s">
        <v>22</v>
      </c>
      <c r="I1403" s="1" t="s">
        <v>23</v>
      </c>
      <c r="L1403" s="1">
        <v>1</v>
      </c>
      <c r="M1403" s="1">
        <v>0.7</v>
      </c>
    </row>
    <row r="1404" spans="4:13">
      <c r="D1404" s="1" t="s">
        <v>199</v>
      </c>
      <c r="E1404" s="1" t="s">
        <v>479</v>
      </c>
      <c r="H1404" s="1" t="s">
        <v>22</v>
      </c>
      <c r="I1404" s="1" t="s">
        <v>23</v>
      </c>
      <c r="L1404" s="1">
        <v>1</v>
      </c>
      <c r="M1404" s="1">
        <v>0.9</v>
      </c>
    </row>
    <row r="1405" spans="4:13">
      <c r="D1405" s="1" t="s">
        <v>199</v>
      </c>
      <c r="E1405" s="1" t="s">
        <v>480</v>
      </c>
      <c r="H1405" s="1" t="s">
        <v>22</v>
      </c>
      <c r="I1405" s="1" t="s">
        <v>23</v>
      </c>
      <c r="L1405" s="1">
        <v>1</v>
      </c>
      <c r="M1405" s="1">
        <v>1.1000000000000001</v>
      </c>
    </row>
    <row r="1406" spans="4:13">
      <c r="D1406" s="1" t="s">
        <v>199</v>
      </c>
      <c r="E1406" s="1" t="s">
        <v>481</v>
      </c>
      <c r="H1406" s="1" t="s">
        <v>22</v>
      </c>
      <c r="I1406" s="1" t="s">
        <v>23</v>
      </c>
      <c r="L1406" s="1">
        <v>1</v>
      </c>
      <c r="M1406" s="1">
        <v>1.3</v>
      </c>
    </row>
    <row r="1407" spans="4:13">
      <c r="D1407" s="1" t="s">
        <v>199</v>
      </c>
      <c r="E1407" s="1" t="s">
        <v>482</v>
      </c>
      <c r="H1407" s="1" t="s">
        <v>22</v>
      </c>
      <c r="I1407" s="1" t="s">
        <v>23</v>
      </c>
      <c r="L1407" s="1">
        <v>1</v>
      </c>
      <c r="M1407" s="1">
        <v>1.5</v>
      </c>
    </row>
    <row r="1408" spans="4:13">
      <c r="D1408" s="1" t="s">
        <v>199</v>
      </c>
      <c r="E1408" s="1" t="s">
        <v>483</v>
      </c>
      <c r="H1408" s="1" t="s">
        <v>22</v>
      </c>
      <c r="I1408" s="1" t="s">
        <v>23</v>
      </c>
      <c r="L1408" s="1">
        <v>1</v>
      </c>
      <c r="M1408" s="1">
        <v>1.7</v>
      </c>
    </row>
    <row r="1409" spans="4:13">
      <c r="D1409" s="1" t="s">
        <v>199</v>
      </c>
      <c r="E1409" s="1" t="s">
        <v>484</v>
      </c>
      <c r="H1409" s="1" t="s">
        <v>22</v>
      </c>
      <c r="I1409" s="1" t="s">
        <v>23</v>
      </c>
      <c r="L1409" s="1">
        <v>1</v>
      </c>
      <c r="M1409" s="1">
        <v>0</v>
      </c>
    </row>
    <row r="1410" spans="4:13">
      <c r="D1410" s="1" t="s">
        <v>199</v>
      </c>
      <c r="E1410" s="1" t="s">
        <v>485</v>
      </c>
      <c r="H1410" s="1" t="s">
        <v>22</v>
      </c>
      <c r="I1410" s="1" t="s">
        <v>23</v>
      </c>
      <c r="L1410" s="1">
        <v>1</v>
      </c>
      <c r="M1410" s="1">
        <v>0.2</v>
      </c>
    </row>
    <row r="1411" spans="4:13">
      <c r="D1411" s="1" t="s">
        <v>199</v>
      </c>
      <c r="E1411" s="1" t="s">
        <v>486</v>
      </c>
      <c r="H1411" s="1" t="s">
        <v>22</v>
      </c>
      <c r="I1411" s="1" t="s">
        <v>23</v>
      </c>
      <c r="L1411" s="1">
        <v>1</v>
      </c>
      <c r="M1411" s="1">
        <v>0.4</v>
      </c>
    </row>
    <row r="1412" spans="4:13">
      <c r="D1412" s="1" t="s">
        <v>199</v>
      </c>
      <c r="E1412" s="1" t="s">
        <v>487</v>
      </c>
      <c r="H1412" s="1" t="s">
        <v>22</v>
      </c>
      <c r="I1412" s="1" t="s">
        <v>23</v>
      </c>
      <c r="L1412" s="1">
        <v>1</v>
      </c>
      <c r="M1412" s="1">
        <v>0.6</v>
      </c>
    </row>
    <row r="1413" spans="4:13">
      <c r="D1413" s="1" t="s">
        <v>199</v>
      </c>
      <c r="E1413" s="1" t="s">
        <v>488</v>
      </c>
      <c r="H1413" s="1" t="s">
        <v>22</v>
      </c>
      <c r="I1413" s="1" t="s">
        <v>23</v>
      </c>
      <c r="L1413" s="1">
        <v>1</v>
      </c>
      <c r="M1413" s="1">
        <v>0.8</v>
      </c>
    </row>
    <row r="1414" spans="4:13">
      <c r="D1414" s="1" t="s">
        <v>199</v>
      </c>
      <c r="E1414" s="1" t="s">
        <v>489</v>
      </c>
      <c r="H1414" s="1" t="s">
        <v>22</v>
      </c>
      <c r="I1414" s="1" t="s">
        <v>23</v>
      </c>
      <c r="L1414" s="1">
        <v>1</v>
      </c>
      <c r="M1414" s="1">
        <v>1</v>
      </c>
    </row>
    <row r="1415" spans="4:13">
      <c r="D1415" s="1" t="s">
        <v>199</v>
      </c>
      <c r="E1415" s="1" t="s">
        <v>490</v>
      </c>
      <c r="H1415" s="1" t="s">
        <v>22</v>
      </c>
      <c r="I1415" s="1" t="s">
        <v>23</v>
      </c>
      <c r="L1415" s="1">
        <v>1</v>
      </c>
      <c r="M1415" s="1">
        <v>1.2</v>
      </c>
    </row>
    <row r="1416" spans="4:13">
      <c r="D1416" s="1" t="s">
        <v>199</v>
      </c>
      <c r="E1416" s="1" t="s">
        <v>491</v>
      </c>
      <c r="H1416" s="1" t="s">
        <v>22</v>
      </c>
      <c r="I1416" s="1" t="s">
        <v>23</v>
      </c>
      <c r="L1416" s="1">
        <v>1</v>
      </c>
      <c r="M1416" s="1">
        <v>1.4</v>
      </c>
    </row>
    <row r="1417" spans="4:13">
      <c r="D1417" s="1" t="s">
        <v>199</v>
      </c>
      <c r="E1417" s="1" t="s">
        <v>492</v>
      </c>
      <c r="H1417" s="1" t="s">
        <v>22</v>
      </c>
      <c r="I1417" s="1" t="s">
        <v>23</v>
      </c>
      <c r="L1417" s="1">
        <v>1</v>
      </c>
      <c r="M1417" s="1">
        <v>1.6</v>
      </c>
    </row>
    <row r="1418" spans="4:13">
      <c r="D1418" s="1" t="s">
        <v>199</v>
      </c>
      <c r="E1418" s="1" t="s">
        <v>493</v>
      </c>
      <c r="H1418" s="1" t="s">
        <v>22</v>
      </c>
      <c r="I1418" s="1" t="s">
        <v>23</v>
      </c>
      <c r="L1418" s="1">
        <v>1</v>
      </c>
      <c r="M1418" s="1">
        <v>0.1</v>
      </c>
    </row>
    <row r="1419" spans="4:13">
      <c r="D1419" s="1" t="s">
        <v>199</v>
      </c>
      <c r="E1419" s="1" t="s">
        <v>494</v>
      </c>
      <c r="H1419" s="1" t="s">
        <v>22</v>
      </c>
      <c r="I1419" s="1" t="s">
        <v>23</v>
      </c>
      <c r="L1419" s="1">
        <v>1</v>
      </c>
      <c r="M1419" s="1">
        <v>0.3</v>
      </c>
    </row>
    <row r="1420" spans="4:13">
      <c r="D1420" s="1" t="s">
        <v>199</v>
      </c>
      <c r="E1420" s="1" t="s">
        <v>495</v>
      </c>
      <c r="H1420" s="1" t="s">
        <v>22</v>
      </c>
      <c r="I1420" s="1" t="s">
        <v>23</v>
      </c>
      <c r="L1420" s="1">
        <v>1</v>
      </c>
      <c r="M1420" s="1">
        <v>0.5</v>
      </c>
    </row>
    <row r="1421" spans="4:13">
      <c r="D1421" s="1" t="s">
        <v>199</v>
      </c>
      <c r="E1421" s="1" t="s">
        <v>496</v>
      </c>
      <c r="H1421" s="1" t="s">
        <v>22</v>
      </c>
      <c r="I1421" s="1" t="s">
        <v>23</v>
      </c>
      <c r="L1421" s="1">
        <v>1</v>
      </c>
      <c r="M1421" s="1">
        <v>0.7</v>
      </c>
    </row>
    <row r="1422" spans="4:13">
      <c r="D1422" s="1" t="s">
        <v>199</v>
      </c>
      <c r="E1422" s="1" t="s">
        <v>497</v>
      </c>
      <c r="H1422" s="1" t="s">
        <v>22</v>
      </c>
      <c r="I1422" s="1" t="s">
        <v>23</v>
      </c>
      <c r="L1422" s="1">
        <v>1</v>
      </c>
      <c r="M1422" s="1">
        <v>0.9</v>
      </c>
    </row>
    <row r="1423" spans="4:13">
      <c r="D1423" s="1" t="s">
        <v>199</v>
      </c>
      <c r="E1423" s="1" t="s">
        <v>498</v>
      </c>
      <c r="H1423" s="1" t="s">
        <v>22</v>
      </c>
      <c r="I1423" s="1" t="s">
        <v>23</v>
      </c>
      <c r="L1423" s="1">
        <v>1</v>
      </c>
      <c r="M1423" s="1">
        <v>1.1000000000000001</v>
      </c>
    </row>
    <row r="1424" spans="4:13">
      <c r="D1424" s="1" t="s">
        <v>199</v>
      </c>
      <c r="E1424" s="1" t="s">
        <v>499</v>
      </c>
      <c r="H1424" s="1" t="s">
        <v>22</v>
      </c>
      <c r="I1424" s="1" t="s">
        <v>23</v>
      </c>
      <c r="L1424" s="1">
        <v>1</v>
      </c>
      <c r="M1424" s="1">
        <v>1.3</v>
      </c>
    </row>
    <row r="1425" spans="4:13">
      <c r="D1425" s="1" t="s">
        <v>199</v>
      </c>
      <c r="E1425" s="1" t="s">
        <v>500</v>
      </c>
      <c r="H1425" s="1" t="s">
        <v>22</v>
      </c>
      <c r="I1425" s="1" t="s">
        <v>23</v>
      </c>
      <c r="L1425" s="1">
        <v>1</v>
      </c>
      <c r="M1425" s="1">
        <v>1.5</v>
      </c>
    </row>
    <row r="1426" spans="4:13">
      <c r="D1426" s="1" t="s">
        <v>199</v>
      </c>
      <c r="E1426" s="1" t="s">
        <v>501</v>
      </c>
      <c r="H1426" s="1" t="s">
        <v>22</v>
      </c>
      <c r="I1426" s="1" t="s">
        <v>23</v>
      </c>
      <c r="L1426" s="1">
        <v>1</v>
      </c>
      <c r="M1426" s="1">
        <v>1.7</v>
      </c>
    </row>
    <row r="1427" spans="4:13">
      <c r="D1427" s="1" t="s">
        <v>199</v>
      </c>
      <c r="E1427" s="1" t="s">
        <v>502</v>
      </c>
      <c r="H1427" s="1" t="s">
        <v>22</v>
      </c>
      <c r="I1427" s="1" t="s">
        <v>23</v>
      </c>
      <c r="L1427" s="1">
        <v>1</v>
      </c>
      <c r="M1427" s="1">
        <v>0</v>
      </c>
    </row>
    <row r="1428" spans="4:13">
      <c r="D1428" s="1" t="s">
        <v>199</v>
      </c>
      <c r="E1428" s="1" t="s">
        <v>503</v>
      </c>
      <c r="H1428" s="1" t="s">
        <v>22</v>
      </c>
      <c r="I1428" s="1" t="s">
        <v>23</v>
      </c>
      <c r="L1428" s="1">
        <v>1</v>
      </c>
      <c r="M1428" s="1">
        <v>0.2</v>
      </c>
    </row>
    <row r="1429" spans="4:13">
      <c r="D1429" s="1" t="s">
        <v>199</v>
      </c>
      <c r="E1429" s="1" t="s">
        <v>504</v>
      </c>
      <c r="H1429" s="1" t="s">
        <v>22</v>
      </c>
      <c r="I1429" s="1" t="s">
        <v>23</v>
      </c>
      <c r="L1429" s="1">
        <v>1</v>
      </c>
      <c r="M1429" s="1">
        <v>0.4</v>
      </c>
    </row>
    <row r="1430" spans="4:13">
      <c r="D1430" s="1" t="s">
        <v>199</v>
      </c>
      <c r="E1430" s="1" t="s">
        <v>505</v>
      </c>
      <c r="H1430" s="1" t="s">
        <v>22</v>
      </c>
      <c r="I1430" s="1" t="s">
        <v>23</v>
      </c>
      <c r="L1430" s="1">
        <v>1</v>
      </c>
      <c r="M1430" s="1">
        <v>0.6</v>
      </c>
    </row>
    <row r="1431" spans="4:13">
      <c r="D1431" s="1" t="s">
        <v>199</v>
      </c>
      <c r="E1431" s="1" t="s">
        <v>506</v>
      </c>
      <c r="H1431" s="1" t="s">
        <v>22</v>
      </c>
      <c r="I1431" s="1" t="s">
        <v>23</v>
      </c>
      <c r="L1431" s="1">
        <v>1</v>
      </c>
      <c r="M1431" s="1">
        <v>0.8</v>
      </c>
    </row>
    <row r="1432" spans="4:13">
      <c r="D1432" s="1" t="s">
        <v>199</v>
      </c>
      <c r="E1432" s="1" t="s">
        <v>507</v>
      </c>
      <c r="H1432" s="1" t="s">
        <v>22</v>
      </c>
      <c r="I1432" s="1" t="s">
        <v>23</v>
      </c>
      <c r="L1432" s="1">
        <v>1</v>
      </c>
      <c r="M1432" s="1">
        <v>1</v>
      </c>
    </row>
    <row r="1433" spans="4:13">
      <c r="D1433" s="1" t="s">
        <v>199</v>
      </c>
      <c r="E1433" s="1" t="s">
        <v>508</v>
      </c>
      <c r="H1433" s="1" t="s">
        <v>22</v>
      </c>
      <c r="I1433" s="1" t="s">
        <v>23</v>
      </c>
      <c r="L1433" s="1">
        <v>1</v>
      </c>
      <c r="M1433" s="1">
        <v>1.2</v>
      </c>
    </row>
    <row r="1434" spans="4:13">
      <c r="D1434" s="1" t="s">
        <v>199</v>
      </c>
      <c r="E1434" s="1" t="s">
        <v>509</v>
      </c>
      <c r="H1434" s="1" t="s">
        <v>22</v>
      </c>
      <c r="I1434" s="1" t="s">
        <v>23</v>
      </c>
      <c r="L1434" s="1">
        <v>1</v>
      </c>
      <c r="M1434" s="1">
        <v>1.4</v>
      </c>
    </row>
    <row r="1435" spans="4:13">
      <c r="D1435" s="1" t="s">
        <v>199</v>
      </c>
      <c r="E1435" s="1" t="s">
        <v>510</v>
      </c>
      <c r="H1435" s="1" t="s">
        <v>22</v>
      </c>
      <c r="I1435" s="1" t="s">
        <v>23</v>
      </c>
      <c r="L1435" s="1">
        <v>1</v>
      </c>
      <c r="M1435" s="1">
        <v>1.6</v>
      </c>
    </row>
    <row r="1436" spans="4:13">
      <c r="D1436" s="1" t="s">
        <v>199</v>
      </c>
      <c r="E1436" s="1" t="s">
        <v>511</v>
      </c>
      <c r="H1436" s="1" t="s">
        <v>22</v>
      </c>
      <c r="I1436" s="1" t="s">
        <v>23</v>
      </c>
      <c r="L1436" s="1">
        <v>1</v>
      </c>
      <c r="M1436" s="1">
        <v>0.1</v>
      </c>
    </row>
    <row r="1437" spans="4:13">
      <c r="D1437" s="1" t="s">
        <v>199</v>
      </c>
      <c r="E1437" s="1" t="s">
        <v>512</v>
      </c>
      <c r="H1437" s="1" t="s">
        <v>22</v>
      </c>
      <c r="I1437" s="1" t="s">
        <v>23</v>
      </c>
      <c r="L1437" s="1">
        <v>1</v>
      </c>
      <c r="M1437" s="1">
        <v>0.3</v>
      </c>
    </row>
    <row r="1438" spans="4:13">
      <c r="D1438" s="1" t="s">
        <v>199</v>
      </c>
      <c r="E1438" s="1" t="s">
        <v>513</v>
      </c>
      <c r="H1438" s="1" t="s">
        <v>22</v>
      </c>
      <c r="I1438" s="1" t="s">
        <v>23</v>
      </c>
      <c r="L1438" s="1">
        <v>1</v>
      </c>
      <c r="M1438" s="1">
        <v>0.5</v>
      </c>
    </row>
    <row r="1439" spans="4:13">
      <c r="D1439" s="1" t="s">
        <v>199</v>
      </c>
      <c r="E1439" s="1" t="s">
        <v>514</v>
      </c>
      <c r="H1439" s="1" t="s">
        <v>22</v>
      </c>
      <c r="I1439" s="1" t="s">
        <v>23</v>
      </c>
      <c r="L1439" s="1">
        <v>1</v>
      </c>
      <c r="M1439" s="1">
        <v>0.7</v>
      </c>
    </row>
    <row r="1440" spans="4:13">
      <c r="D1440" s="1" t="s">
        <v>199</v>
      </c>
      <c r="E1440" s="1" t="s">
        <v>515</v>
      </c>
      <c r="H1440" s="1" t="s">
        <v>22</v>
      </c>
      <c r="I1440" s="1" t="s">
        <v>23</v>
      </c>
      <c r="L1440" s="1">
        <v>1</v>
      </c>
      <c r="M1440" s="1">
        <v>0.9</v>
      </c>
    </row>
    <row r="1441" spans="4:13">
      <c r="D1441" s="1" t="s">
        <v>199</v>
      </c>
      <c r="E1441" s="1" t="s">
        <v>516</v>
      </c>
      <c r="H1441" s="1" t="s">
        <v>22</v>
      </c>
      <c r="I1441" s="1" t="s">
        <v>23</v>
      </c>
      <c r="L1441" s="1">
        <v>1</v>
      </c>
      <c r="M1441" s="1">
        <v>1.1000000000000001</v>
      </c>
    </row>
    <row r="1442" spans="4:13">
      <c r="D1442" s="1" t="s">
        <v>199</v>
      </c>
      <c r="E1442" s="1" t="s">
        <v>517</v>
      </c>
      <c r="H1442" s="1" t="s">
        <v>22</v>
      </c>
      <c r="I1442" s="1" t="s">
        <v>23</v>
      </c>
      <c r="L1442" s="1">
        <v>1</v>
      </c>
      <c r="M1442" s="1">
        <v>1.3</v>
      </c>
    </row>
    <row r="1443" spans="4:13">
      <c r="D1443" s="1" t="s">
        <v>199</v>
      </c>
      <c r="E1443" s="1" t="s">
        <v>518</v>
      </c>
      <c r="H1443" s="1" t="s">
        <v>22</v>
      </c>
      <c r="I1443" s="1" t="s">
        <v>23</v>
      </c>
      <c r="L1443" s="1">
        <v>1</v>
      </c>
      <c r="M1443" s="1">
        <v>1.5</v>
      </c>
    </row>
    <row r="1444" spans="4:13">
      <c r="D1444" s="1" t="s">
        <v>199</v>
      </c>
      <c r="E1444" s="1" t="s">
        <v>519</v>
      </c>
      <c r="H1444" s="1" t="s">
        <v>22</v>
      </c>
      <c r="I1444" s="1" t="s">
        <v>23</v>
      </c>
      <c r="L1444" s="1">
        <v>1</v>
      </c>
      <c r="M1444" s="1">
        <v>1.7</v>
      </c>
    </row>
    <row r="1445" spans="4:13">
      <c r="D1445" s="1" t="s">
        <v>199</v>
      </c>
      <c r="E1445" s="1" t="s">
        <v>520</v>
      </c>
      <c r="H1445" s="1" t="s">
        <v>22</v>
      </c>
      <c r="I1445" s="1" t="s">
        <v>23</v>
      </c>
      <c r="L1445" s="1">
        <v>1</v>
      </c>
      <c r="M1445" s="1">
        <v>0</v>
      </c>
    </row>
    <row r="1446" spans="4:13">
      <c r="D1446" s="1" t="s">
        <v>199</v>
      </c>
      <c r="E1446" s="1" t="s">
        <v>521</v>
      </c>
      <c r="H1446" s="1" t="s">
        <v>22</v>
      </c>
      <c r="I1446" s="1" t="s">
        <v>23</v>
      </c>
      <c r="L1446" s="1">
        <v>1</v>
      </c>
      <c r="M1446" s="1">
        <v>0.2</v>
      </c>
    </row>
    <row r="1447" spans="4:13">
      <c r="D1447" s="1" t="s">
        <v>199</v>
      </c>
      <c r="E1447" s="1" t="s">
        <v>522</v>
      </c>
      <c r="H1447" s="1" t="s">
        <v>22</v>
      </c>
      <c r="I1447" s="1" t="s">
        <v>23</v>
      </c>
      <c r="L1447" s="1">
        <v>1</v>
      </c>
      <c r="M1447" s="1">
        <v>0.4</v>
      </c>
    </row>
    <row r="1448" spans="4:13">
      <c r="D1448" s="1" t="s">
        <v>199</v>
      </c>
      <c r="E1448" s="1" t="s">
        <v>523</v>
      </c>
      <c r="H1448" s="1" t="s">
        <v>22</v>
      </c>
      <c r="I1448" s="1" t="s">
        <v>23</v>
      </c>
      <c r="L1448" s="1">
        <v>1</v>
      </c>
      <c r="M1448" s="1">
        <v>0.6</v>
      </c>
    </row>
    <row r="1449" spans="4:13">
      <c r="D1449" s="1" t="s">
        <v>199</v>
      </c>
      <c r="E1449" s="1" t="s">
        <v>524</v>
      </c>
      <c r="H1449" s="1" t="s">
        <v>22</v>
      </c>
      <c r="I1449" s="1" t="s">
        <v>23</v>
      </c>
      <c r="L1449" s="1">
        <v>1</v>
      </c>
      <c r="M1449" s="1">
        <v>0.8</v>
      </c>
    </row>
    <row r="1450" spans="4:13">
      <c r="D1450" s="1" t="s">
        <v>199</v>
      </c>
      <c r="E1450" s="1" t="s">
        <v>525</v>
      </c>
      <c r="H1450" s="1" t="s">
        <v>22</v>
      </c>
      <c r="I1450" s="1" t="s">
        <v>23</v>
      </c>
      <c r="L1450" s="1">
        <v>1</v>
      </c>
      <c r="M1450" s="1">
        <v>1</v>
      </c>
    </row>
    <row r="1451" spans="4:13">
      <c r="D1451" s="1" t="s">
        <v>199</v>
      </c>
      <c r="E1451" s="1" t="s">
        <v>526</v>
      </c>
      <c r="H1451" s="1" t="s">
        <v>22</v>
      </c>
      <c r="I1451" s="1" t="s">
        <v>23</v>
      </c>
      <c r="L1451" s="1">
        <v>1</v>
      </c>
      <c r="M1451" s="1">
        <v>1.2</v>
      </c>
    </row>
    <row r="1452" spans="4:13">
      <c r="D1452" s="1" t="s">
        <v>199</v>
      </c>
      <c r="E1452" s="1" t="s">
        <v>527</v>
      </c>
      <c r="H1452" s="1" t="s">
        <v>22</v>
      </c>
      <c r="I1452" s="1" t="s">
        <v>23</v>
      </c>
      <c r="L1452" s="1">
        <v>1</v>
      </c>
      <c r="M1452" s="1">
        <v>1.4</v>
      </c>
    </row>
    <row r="1453" spans="4:13">
      <c r="D1453" s="1" t="s">
        <v>199</v>
      </c>
      <c r="E1453" s="1" t="s">
        <v>528</v>
      </c>
      <c r="H1453" s="1" t="s">
        <v>22</v>
      </c>
      <c r="I1453" s="1" t="s">
        <v>23</v>
      </c>
      <c r="L1453" s="1">
        <v>1</v>
      </c>
      <c r="M1453" s="1">
        <v>1.6</v>
      </c>
    </row>
    <row r="1454" spans="4:13">
      <c r="D1454" s="1" t="s">
        <v>199</v>
      </c>
      <c r="E1454" s="1" t="s">
        <v>529</v>
      </c>
      <c r="H1454" s="1" t="s">
        <v>22</v>
      </c>
      <c r="I1454" s="1" t="s">
        <v>23</v>
      </c>
      <c r="L1454" s="1">
        <v>1</v>
      </c>
      <c r="M1454" s="1">
        <v>0.1</v>
      </c>
    </row>
    <row r="1455" spans="4:13">
      <c r="D1455" s="1" t="s">
        <v>199</v>
      </c>
      <c r="E1455" s="1" t="s">
        <v>530</v>
      </c>
      <c r="H1455" s="1" t="s">
        <v>22</v>
      </c>
      <c r="I1455" s="1" t="s">
        <v>23</v>
      </c>
      <c r="L1455" s="1">
        <v>1</v>
      </c>
      <c r="M1455" s="1">
        <v>0.3</v>
      </c>
    </row>
    <row r="1456" spans="4:13">
      <c r="D1456" s="1" t="s">
        <v>199</v>
      </c>
      <c r="E1456" s="1" t="s">
        <v>531</v>
      </c>
      <c r="H1456" s="1" t="s">
        <v>22</v>
      </c>
      <c r="I1456" s="1" t="s">
        <v>23</v>
      </c>
      <c r="L1456" s="1">
        <v>1</v>
      </c>
      <c r="M1456" s="1">
        <v>0.5</v>
      </c>
    </row>
    <row r="1457" spans="4:13">
      <c r="D1457" s="1" t="s">
        <v>199</v>
      </c>
      <c r="E1457" s="1" t="s">
        <v>532</v>
      </c>
      <c r="H1457" s="1" t="s">
        <v>22</v>
      </c>
      <c r="I1457" s="1" t="s">
        <v>23</v>
      </c>
      <c r="L1457" s="1">
        <v>1</v>
      </c>
      <c r="M1457" s="1">
        <v>0.7</v>
      </c>
    </row>
    <row r="1458" spans="4:13">
      <c r="D1458" s="1" t="s">
        <v>199</v>
      </c>
      <c r="E1458" s="1" t="s">
        <v>533</v>
      </c>
      <c r="H1458" s="1" t="s">
        <v>22</v>
      </c>
      <c r="I1458" s="1" t="s">
        <v>23</v>
      </c>
      <c r="L1458" s="1">
        <v>1</v>
      </c>
      <c r="M1458" s="1">
        <v>0.9</v>
      </c>
    </row>
    <row r="1459" spans="4:13">
      <c r="D1459" s="1" t="s">
        <v>199</v>
      </c>
      <c r="E1459" s="1" t="s">
        <v>534</v>
      </c>
      <c r="H1459" s="1" t="s">
        <v>22</v>
      </c>
      <c r="I1459" s="1" t="s">
        <v>23</v>
      </c>
      <c r="L1459" s="1">
        <v>1</v>
      </c>
      <c r="M1459" s="1">
        <v>1.1000000000000001</v>
      </c>
    </row>
    <row r="1460" spans="4:13">
      <c r="D1460" s="1" t="s">
        <v>199</v>
      </c>
      <c r="E1460" s="1" t="s">
        <v>535</v>
      </c>
      <c r="H1460" s="1" t="s">
        <v>22</v>
      </c>
      <c r="I1460" s="1" t="s">
        <v>23</v>
      </c>
      <c r="L1460" s="1">
        <v>1</v>
      </c>
      <c r="M1460" s="1">
        <v>1.3</v>
      </c>
    </row>
    <row r="1461" spans="4:13">
      <c r="D1461" s="1" t="s">
        <v>199</v>
      </c>
      <c r="E1461" s="1" t="s">
        <v>536</v>
      </c>
      <c r="H1461" s="1" t="s">
        <v>22</v>
      </c>
      <c r="I1461" s="1" t="s">
        <v>23</v>
      </c>
      <c r="L1461" s="1">
        <v>1</v>
      </c>
      <c r="M1461" s="1">
        <v>1.5</v>
      </c>
    </row>
    <row r="1462" spans="4:13">
      <c r="D1462" s="1" t="s">
        <v>199</v>
      </c>
      <c r="E1462" s="1" t="s">
        <v>537</v>
      </c>
      <c r="H1462" s="1" t="s">
        <v>22</v>
      </c>
      <c r="I1462" s="1" t="s">
        <v>23</v>
      </c>
      <c r="L1462" s="1">
        <v>1</v>
      </c>
      <c r="M1462" s="1">
        <v>1.7</v>
      </c>
    </row>
    <row r="1463" spans="4:13">
      <c r="D1463" s="1" t="s">
        <v>199</v>
      </c>
      <c r="E1463" s="1" t="s">
        <v>538</v>
      </c>
      <c r="H1463" s="1" t="s">
        <v>22</v>
      </c>
      <c r="I1463" s="1" t="s">
        <v>23</v>
      </c>
      <c r="L1463" s="1">
        <v>1</v>
      </c>
      <c r="M1463" s="1">
        <v>0</v>
      </c>
    </row>
    <row r="1464" spans="4:13">
      <c r="D1464" s="1" t="s">
        <v>199</v>
      </c>
      <c r="E1464" s="1" t="s">
        <v>539</v>
      </c>
      <c r="H1464" s="1" t="s">
        <v>22</v>
      </c>
      <c r="I1464" s="1" t="s">
        <v>23</v>
      </c>
      <c r="L1464" s="1">
        <v>1</v>
      </c>
      <c r="M1464" s="1">
        <v>0.2</v>
      </c>
    </row>
    <row r="1465" spans="4:13">
      <c r="D1465" s="1" t="s">
        <v>199</v>
      </c>
      <c r="E1465" s="1" t="s">
        <v>540</v>
      </c>
      <c r="H1465" s="1" t="s">
        <v>22</v>
      </c>
      <c r="I1465" s="1" t="s">
        <v>23</v>
      </c>
      <c r="L1465" s="1">
        <v>1</v>
      </c>
      <c r="M1465" s="1">
        <v>0.4</v>
      </c>
    </row>
    <row r="1466" spans="4:13">
      <c r="D1466" s="1" t="s">
        <v>199</v>
      </c>
      <c r="E1466" s="1" t="s">
        <v>541</v>
      </c>
      <c r="H1466" s="1" t="s">
        <v>22</v>
      </c>
      <c r="I1466" s="1" t="s">
        <v>23</v>
      </c>
      <c r="L1466" s="1">
        <v>1</v>
      </c>
      <c r="M1466" s="1">
        <v>0.6</v>
      </c>
    </row>
    <row r="1467" spans="4:13">
      <c r="D1467" s="1" t="s">
        <v>199</v>
      </c>
      <c r="E1467" s="1" t="s">
        <v>542</v>
      </c>
      <c r="H1467" s="1" t="s">
        <v>22</v>
      </c>
      <c r="I1467" s="1" t="s">
        <v>23</v>
      </c>
      <c r="L1467" s="1">
        <v>1</v>
      </c>
      <c r="M1467" s="1">
        <v>0.8</v>
      </c>
    </row>
    <row r="1468" spans="4:13">
      <c r="D1468" s="1" t="s">
        <v>199</v>
      </c>
      <c r="E1468" s="1" t="s">
        <v>543</v>
      </c>
      <c r="H1468" s="1" t="s">
        <v>22</v>
      </c>
      <c r="I1468" s="1" t="s">
        <v>23</v>
      </c>
      <c r="L1468" s="1">
        <v>1</v>
      </c>
      <c r="M1468" s="1">
        <v>1</v>
      </c>
    </row>
    <row r="1469" spans="4:13">
      <c r="D1469" s="1" t="s">
        <v>199</v>
      </c>
      <c r="E1469" s="1" t="s">
        <v>544</v>
      </c>
      <c r="H1469" s="1" t="s">
        <v>22</v>
      </c>
      <c r="I1469" s="1" t="s">
        <v>23</v>
      </c>
      <c r="L1469" s="1">
        <v>1</v>
      </c>
      <c r="M1469" s="1">
        <v>1.2</v>
      </c>
    </row>
    <row r="1470" spans="4:13">
      <c r="D1470" s="1" t="s">
        <v>199</v>
      </c>
      <c r="E1470" s="1" t="s">
        <v>545</v>
      </c>
      <c r="H1470" s="1" t="s">
        <v>22</v>
      </c>
      <c r="I1470" s="1" t="s">
        <v>23</v>
      </c>
      <c r="L1470" s="1">
        <v>1</v>
      </c>
      <c r="M1470" s="1">
        <v>1.4</v>
      </c>
    </row>
    <row r="1471" spans="4:13">
      <c r="D1471" s="1" t="s">
        <v>199</v>
      </c>
      <c r="E1471" s="1" t="s">
        <v>546</v>
      </c>
      <c r="H1471" s="1" t="s">
        <v>22</v>
      </c>
      <c r="I1471" s="1" t="s">
        <v>23</v>
      </c>
      <c r="L1471" s="1">
        <v>1</v>
      </c>
      <c r="M1471" s="1">
        <v>1.6</v>
      </c>
    </row>
    <row r="1472" spans="4:13">
      <c r="D1472" s="1" t="s">
        <v>199</v>
      </c>
      <c r="E1472" s="1" t="s">
        <v>547</v>
      </c>
      <c r="H1472" s="1" t="s">
        <v>22</v>
      </c>
      <c r="I1472" s="1" t="s">
        <v>23</v>
      </c>
      <c r="L1472" s="1">
        <v>1</v>
      </c>
      <c r="M1472" s="1">
        <v>0.1</v>
      </c>
    </row>
    <row r="1473" spans="4:13">
      <c r="D1473" s="1" t="s">
        <v>199</v>
      </c>
      <c r="E1473" s="1" t="s">
        <v>548</v>
      </c>
      <c r="H1473" s="1" t="s">
        <v>22</v>
      </c>
      <c r="I1473" s="1" t="s">
        <v>23</v>
      </c>
      <c r="L1473" s="1">
        <v>1</v>
      </c>
      <c r="M1473" s="1">
        <v>0.3</v>
      </c>
    </row>
    <row r="1474" spans="4:13">
      <c r="D1474" s="1" t="s">
        <v>199</v>
      </c>
      <c r="E1474" s="1" t="s">
        <v>549</v>
      </c>
      <c r="H1474" s="1" t="s">
        <v>22</v>
      </c>
      <c r="I1474" s="1" t="s">
        <v>23</v>
      </c>
      <c r="L1474" s="1">
        <v>1</v>
      </c>
      <c r="M1474" s="1">
        <v>0.5</v>
      </c>
    </row>
    <row r="1475" spans="4:13">
      <c r="D1475" s="1" t="s">
        <v>199</v>
      </c>
      <c r="E1475" s="1" t="s">
        <v>550</v>
      </c>
      <c r="H1475" s="1" t="s">
        <v>22</v>
      </c>
      <c r="I1475" s="1" t="s">
        <v>23</v>
      </c>
      <c r="L1475" s="1">
        <v>1</v>
      </c>
      <c r="M1475" s="1">
        <v>0.7</v>
      </c>
    </row>
    <row r="1476" spans="4:13">
      <c r="D1476" s="1" t="s">
        <v>199</v>
      </c>
      <c r="E1476" s="1" t="s">
        <v>551</v>
      </c>
      <c r="H1476" s="1" t="s">
        <v>22</v>
      </c>
      <c r="I1476" s="1" t="s">
        <v>23</v>
      </c>
      <c r="L1476" s="1">
        <v>1</v>
      </c>
      <c r="M1476" s="1">
        <v>0.9</v>
      </c>
    </row>
    <row r="1477" spans="4:13">
      <c r="D1477" s="1" t="s">
        <v>199</v>
      </c>
      <c r="E1477" s="1" t="s">
        <v>552</v>
      </c>
      <c r="H1477" s="1" t="s">
        <v>22</v>
      </c>
      <c r="I1477" s="1" t="s">
        <v>23</v>
      </c>
      <c r="L1477" s="1">
        <v>1</v>
      </c>
      <c r="M1477" s="1">
        <v>1.1000000000000001</v>
      </c>
    </row>
    <row r="1478" spans="4:13">
      <c r="D1478" s="1" t="s">
        <v>199</v>
      </c>
      <c r="E1478" s="1" t="s">
        <v>553</v>
      </c>
      <c r="H1478" s="1" t="s">
        <v>22</v>
      </c>
      <c r="I1478" s="1" t="s">
        <v>23</v>
      </c>
      <c r="L1478" s="1">
        <v>1</v>
      </c>
      <c r="M1478" s="1">
        <v>1.3</v>
      </c>
    </row>
    <row r="1479" spans="4:13">
      <c r="D1479" s="1" t="s">
        <v>199</v>
      </c>
      <c r="E1479" s="1" t="s">
        <v>554</v>
      </c>
      <c r="H1479" s="1" t="s">
        <v>22</v>
      </c>
      <c r="I1479" s="1" t="s">
        <v>23</v>
      </c>
      <c r="L1479" s="1">
        <v>1</v>
      </c>
      <c r="M1479" s="1">
        <v>1.5</v>
      </c>
    </row>
    <row r="1480" spans="4:13">
      <c r="D1480" s="1" t="s">
        <v>199</v>
      </c>
      <c r="E1480" s="1" t="s">
        <v>555</v>
      </c>
      <c r="H1480" s="1" t="s">
        <v>22</v>
      </c>
      <c r="I1480" s="1" t="s">
        <v>23</v>
      </c>
      <c r="L1480" s="1">
        <v>1</v>
      </c>
      <c r="M1480" s="1">
        <v>1.7</v>
      </c>
    </row>
    <row r="1481" spans="4:13">
      <c r="D1481" s="1" t="s">
        <v>199</v>
      </c>
      <c r="E1481" s="1" t="s">
        <v>556</v>
      </c>
      <c r="H1481" s="1" t="s">
        <v>22</v>
      </c>
      <c r="I1481" s="1" t="s">
        <v>23</v>
      </c>
      <c r="L1481" s="1">
        <v>1</v>
      </c>
      <c r="M1481" s="1">
        <v>0</v>
      </c>
    </row>
    <row r="1482" spans="4:13">
      <c r="D1482" s="1" t="s">
        <v>199</v>
      </c>
      <c r="E1482" s="1" t="s">
        <v>557</v>
      </c>
      <c r="H1482" s="1" t="s">
        <v>22</v>
      </c>
      <c r="I1482" s="1" t="s">
        <v>23</v>
      </c>
      <c r="L1482" s="1">
        <v>1</v>
      </c>
      <c r="M1482" s="1">
        <v>0.2</v>
      </c>
    </row>
    <row r="1483" spans="4:13">
      <c r="D1483" s="1" t="s">
        <v>199</v>
      </c>
      <c r="E1483" s="1" t="s">
        <v>558</v>
      </c>
      <c r="H1483" s="1" t="s">
        <v>22</v>
      </c>
      <c r="I1483" s="1" t="s">
        <v>23</v>
      </c>
      <c r="L1483" s="1">
        <v>1</v>
      </c>
      <c r="M1483" s="1">
        <v>0.4</v>
      </c>
    </row>
    <row r="1484" spans="4:13">
      <c r="D1484" s="1" t="s">
        <v>199</v>
      </c>
      <c r="E1484" s="1" t="s">
        <v>559</v>
      </c>
      <c r="H1484" s="1" t="s">
        <v>22</v>
      </c>
      <c r="I1484" s="1" t="s">
        <v>23</v>
      </c>
      <c r="L1484" s="1">
        <v>1</v>
      </c>
      <c r="M1484" s="1">
        <v>0.6</v>
      </c>
    </row>
    <row r="1485" spans="4:13">
      <c r="D1485" s="1" t="s">
        <v>199</v>
      </c>
      <c r="E1485" s="1" t="s">
        <v>560</v>
      </c>
      <c r="H1485" s="1" t="s">
        <v>22</v>
      </c>
      <c r="I1485" s="1" t="s">
        <v>23</v>
      </c>
      <c r="L1485" s="1">
        <v>1</v>
      </c>
      <c r="M1485" s="1">
        <v>0.8</v>
      </c>
    </row>
    <row r="1486" spans="4:13">
      <c r="D1486" s="1" t="s">
        <v>199</v>
      </c>
      <c r="E1486" s="1" t="s">
        <v>561</v>
      </c>
      <c r="H1486" s="1" t="s">
        <v>22</v>
      </c>
      <c r="I1486" s="1" t="s">
        <v>23</v>
      </c>
      <c r="L1486" s="1">
        <v>1</v>
      </c>
      <c r="M1486" s="1">
        <v>1</v>
      </c>
    </row>
    <row r="1487" spans="4:13">
      <c r="D1487" s="1" t="s">
        <v>199</v>
      </c>
      <c r="E1487" s="1" t="s">
        <v>562</v>
      </c>
      <c r="H1487" s="1" t="s">
        <v>22</v>
      </c>
      <c r="I1487" s="1" t="s">
        <v>23</v>
      </c>
      <c r="L1487" s="1">
        <v>1</v>
      </c>
      <c r="M1487" s="1">
        <v>1.2</v>
      </c>
    </row>
    <row r="1488" spans="4:13">
      <c r="D1488" s="1" t="s">
        <v>199</v>
      </c>
      <c r="E1488" s="1" t="s">
        <v>563</v>
      </c>
      <c r="H1488" s="1" t="s">
        <v>22</v>
      </c>
      <c r="I1488" s="1" t="s">
        <v>23</v>
      </c>
      <c r="L1488" s="1">
        <v>1</v>
      </c>
      <c r="M1488" s="1">
        <v>1.4</v>
      </c>
    </row>
    <row r="1489" spans="4:13">
      <c r="D1489" s="1" t="s">
        <v>199</v>
      </c>
      <c r="E1489" s="1" t="s">
        <v>564</v>
      </c>
      <c r="H1489" s="1" t="s">
        <v>22</v>
      </c>
      <c r="I1489" s="1" t="s">
        <v>23</v>
      </c>
      <c r="L1489" s="1">
        <v>1</v>
      </c>
      <c r="M1489" s="1">
        <v>1.6</v>
      </c>
    </row>
    <row r="1490" spans="4:13">
      <c r="D1490" s="1" t="s">
        <v>199</v>
      </c>
      <c r="E1490" s="1" t="s">
        <v>565</v>
      </c>
      <c r="H1490" s="1" t="s">
        <v>22</v>
      </c>
      <c r="I1490" s="1" t="s">
        <v>23</v>
      </c>
      <c r="L1490" s="1">
        <v>1</v>
      </c>
      <c r="M1490" s="1">
        <v>0.1</v>
      </c>
    </row>
    <row r="1491" spans="4:13">
      <c r="D1491" s="1" t="s">
        <v>199</v>
      </c>
      <c r="E1491" s="1" t="s">
        <v>566</v>
      </c>
      <c r="H1491" s="1" t="s">
        <v>22</v>
      </c>
      <c r="I1491" s="1" t="s">
        <v>23</v>
      </c>
      <c r="L1491" s="1">
        <v>1</v>
      </c>
      <c r="M1491" s="1">
        <v>0.3</v>
      </c>
    </row>
    <row r="1492" spans="4:13">
      <c r="D1492" s="1" t="s">
        <v>199</v>
      </c>
      <c r="E1492" s="1" t="s">
        <v>567</v>
      </c>
      <c r="H1492" s="1" t="s">
        <v>22</v>
      </c>
      <c r="I1492" s="1" t="s">
        <v>23</v>
      </c>
      <c r="L1492" s="1">
        <v>1</v>
      </c>
      <c r="M1492" s="1">
        <v>0.5</v>
      </c>
    </row>
    <row r="1493" spans="4:13">
      <c r="D1493" s="1" t="s">
        <v>199</v>
      </c>
      <c r="E1493" s="1" t="s">
        <v>568</v>
      </c>
      <c r="H1493" s="1" t="s">
        <v>22</v>
      </c>
      <c r="I1493" s="1" t="s">
        <v>23</v>
      </c>
      <c r="L1493" s="1">
        <v>1</v>
      </c>
      <c r="M1493" s="1">
        <v>0.7</v>
      </c>
    </row>
    <row r="1494" spans="4:13">
      <c r="D1494" s="1" t="s">
        <v>199</v>
      </c>
      <c r="E1494" s="1" t="s">
        <v>569</v>
      </c>
      <c r="H1494" s="1" t="s">
        <v>22</v>
      </c>
      <c r="I1494" s="1" t="s">
        <v>23</v>
      </c>
      <c r="L1494" s="1">
        <v>1</v>
      </c>
      <c r="M1494" s="1">
        <v>0.9</v>
      </c>
    </row>
    <row r="1495" spans="4:13">
      <c r="D1495" s="1" t="s">
        <v>199</v>
      </c>
      <c r="E1495" s="1" t="s">
        <v>570</v>
      </c>
      <c r="H1495" s="1" t="s">
        <v>22</v>
      </c>
      <c r="I1495" s="1" t="s">
        <v>23</v>
      </c>
      <c r="L1495" s="1">
        <v>1</v>
      </c>
      <c r="M1495" s="1">
        <v>1.1000000000000001</v>
      </c>
    </row>
    <row r="1496" spans="4:13">
      <c r="D1496" s="1" t="s">
        <v>199</v>
      </c>
      <c r="E1496" s="1" t="s">
        <v>571</v>
      </c>
      <c r="H1496" s="1" t="s">
        <v>22</v>
      </c>
      <c r="I1496" s="1" t="s">
        <v>23</v>
      </c>
      <c r="L1496" s="1">
        <v>1</v>
      </c>
      <c r="M1496" s="1">
        <v>1.3</v>
      </c>
    </row>
    <row r="1497" spans="4:13">
      <c r="D1497" s="1" t="s">
        <v>199</v>
      </c>
      <c r="E1497" s="1" t="s">
        <v>572</v>
      </c>
      <c r="H1497" s="1" t="s">
        <v>22</v>
      </c>
      <c r="I1497" s="1" t="s">
        <v>23</v>
      </c>
      <c r="L1497" s="1">
        <v>1</v>
      </c>
      <c r="M1497" s="1">
        <v>1.5</v>
      </c>
    </row>
    <row r="1498" spans="4:13">
      <c r="D1498" s="1" t="s">
        <v>199</v>
      </c>
      <c r="E1498" s="1" t="s">
        <v>573</v>
      </c>
      <c r="H1498" s="1" t="s">
        <v>22</v>
      </c>
      <c r="I1498" s="1" t="s">
        <v>23</v>
      </c>
      <c r="L1498" s="1">
        <v>1</v>
      </c>
      <c r="M1498" s="1">
        <v>1.7</v>
      </c>
    </row>
    <row r="1499" spans="4:13">
      <c r="D1499" s="1" t="s">
        <v>199</v>
      </c>
      <c r="E1499" s="1" t="s">
        <v>574</v>
      </c>
      <c r="H1499" s="1" t="s">
        <v>22</v>
      </c>
      <c r="I1499" s="1" t="s">
        <v>23</v>
      </c>
      <c r="L1499" s="1">
        <v>1</v>
      </c>
      <c r="M1499" s="1">
        <v>0</v>
      </c>
    </row>
    <row r="1500" spans="4:13">
      <c r="D1500" s="1" t="s">
        <v>199</v>
      </c>
      <c r="E1500" s="1" t="s">
        <v>575</v>
      </c>
      <c r="H1500" s="1" t="s">
        <v>22</v>
      </c>
      <c r="I1500" s="1" t="s">
        <v>23</v>
      </c>
      <c r="L1500" s="1">
        <v>1</v>
      </c>
      <c r="M1500" s="1">
        <v>0.2</v>
      </c>
    </row>
    <row r="1501" spans="4:13">
      <c r="D1501" s="1" t="s">
        <v>199</v>
      </c>
      <c r="E1501" s="1" t="s">
        <v>576</v>
      </c>
      <c r="H1501" s="1" t="s">
        <v>22</v>
      </c>
      <c r="I1501" s="1" t="s">
        <v>23</v>
      </c>
      <c r="L1501" s="1">
        <v>1</v>
      </c>
      <c r="M1501" s="1">
        <v>0.4</v>
      </c>
    </row>
    <row r="1502" spans="4:13">
      <c r="D1502" s="1" t="s">
        <v>199</v>
      </c>
      <c r="E1502" s="1" t="s">
        <v>577</v>
      </c>
      <c r="H1502" s="1" t="s">
        <v>22</v>
      </c>
      <c r="I1502" s="1" t="s">
        <v>23</v>
      </c>
      <c r="L1502" s="1">
        <v>1</v>
      </c>
      <c r="M1502" s="1">
        <v>0.6</v>
      </c>
    </row>
    <row r="1503" spans="4:13">
      <c r="D1503" s="1" t="s">
        <v>199</v>
      </c>
      <c r="E1503" s="1" t="s">
        <v>578</v>
      </c>
      <c r="H1503" s="1" t="s">
        <v>22</v>
      </c>
      <c r="I1503" s="1" t="s">
        <v>23</v>
      </c>
      <c r="L1503" s="1">
        <v>1</v>
      </c>
      <c r="M1503" s="1">
        <v>0.8</v>
      </c>
    </row>
    <row r="1504" spans="4:13">
      <c r="D1504" s="1" t="s">
        <v>199</v>
      </c>
      <c r="E1504" s="1" t="s">
        <v>579</v>
      </c>
      <c r="H1504" s="1" t="s">
        <v>22</v>
      </c>
      <c r="I1504" s="1" t="s">
        <v>23</v>
      </c>
      <c r="L1504" s="1">
        <v>1</v>
      </c>
      <c r="M1504" s="1">
        <v>1</v>
      </c>
    </row>
    <row r="1505" spans="4:13">
      <c r="D1505" s="1" t="s">
        <v>199</v>
      </c>
      <c r="E1505" s="1" t="s">
        <v>580</v>
      </c>
      <c r="H1505" s="1" t="s">
        <v>22</v>
      </c>
      <c r="I1505" s="1" t="s">
        <v>23</v>
      </c>
      <c r="L1505" s="1">
        <v>1</v>
      </c>
      <c r="M1505" s="1">
        <v>1.2</v>
      </c>
    </row>
    <row r="1506" spans="4:13">
      <c r="D1506" s="1" t="s">
        <v>199</v>
      </c>
      <c r="E1506" s="1" t="s">
        <v>581</v>
      </c>
      <c r="H1506" s="1" t="s">
        <v>22</v>
      </c>
      <c r="I1506" s="1" t="s">
        <v>23</v>
      </c>
      <c r="L1506" s="1">
        <v>1</v>
      </c>
      <c r="M1506" s="1">
        <v>1.4</v>
      </c>
    </row>
    <row r="1507" spans="4:13">
      <c r="D1507" s="1" t="s">
        <v>199</v>
      </c>
      <c r="E1507" s="1" t="s">
        <v>582</v>
      </c>
      <c r="H1507" s="1" t="s">
        <v>22</v>
      </c>
      <c r="I1507" s="1" t="s">
        <v>23</v>
      </c>
      <c r="L1507" s="1">
        <v>1</v>
      </c>
      <c r="M1507" s="1">
        <v>1.6</v>
      </c>
    </row>
    <row r="1508" spans="4:13">
      <c r="D1508" s="1" t="s">
        <v>199</v>
      </c>
      <c r="E1508" s="1" t="s">
        <v>583</v>
      </c>
      <c r="H1508" s="1" t="s">
        <v>22</v>
      </c>
      <c r="I1508" s="1" t="s">
        <v>23</v>
      </c>
      <c r="L1508" s="1">
        <v>1</v>
      </c>
      <c r="M1508" s="1">
        <v>0.3</v>
      </c>
    </row>
    <row r="1509" spans="4:13">
      <c r="D1509" s="1" t="s">
        <v>199</v>
      </c>
      <c r="E1509" s="1" t="s">
        <v>584</v>
      </c>
      <c r="H1509" s="1" t="s">
        <v>22</v>
      </c>
      <c r="I1509" s="1" t="s">
        <v>23</v>
      </c>
      <c r="L1509" s="1">
        <v>1</v>
      </c>
      <c r="M1509" s="1">
        <v>0.9</v>
      </c>
    </row>
    <row r="1510" spans="4:13">
      <c r="D1510" s="1" t="s">
        <v>199</v>
      </c>
      <c r="E1510" s="1" t="s">
        <v>585</v>
      </c>
      <c r="H1510" s="1" t="s">
        <v>22</v>
      </c>
      <c r="I1510" s="1" t="s">
        <v>23</v>
      </c>
      <c r="L1510" s="1">
        <v>1</v>
      </c>
      <c r="M1510" s="1">
        <v>0</v>
      </c>
    </row>
    <row r="1511" spans="4:13">
      <c r="D1511" s="1" t="s">
        <v>199</v>
      </c>
      <c r="E1511" s="1" t="s">
        <v>586</v>
      </c>
      <c r="H1511" s="1" t="s">
        <v>22</v>
      </c>
      <c r="I1511" s="1" t="s">
        <v>23</v>
      </c>
      <c r="L1511" s="1">
        <v>1</v>
      </c>
      <c r="M1511" s="1">
        <v>0.4</v>
      </c>
    </row>
    <row r="1512" spans="4:13">
      <c r="D1512" s="1" t="s">
        <v>199</v>
      </c>
      <c r="E1512" s="1" t="s">
        <v>587</v>
      </c>
      <c r="H1512" s="1" t="s">
        <v>22</v>
      </c>
      <c r="I1512" s="1" t="s">
        <v>23</v>
      </c>
      <c r="L1512" s="1">
        <v>1</v>
      </c>
      <c r="M1512" s="1">
        <v>0.6</v>
      </c>
    </row>
    <row r="1513" spans="4:13">
      <c r="D1513" s="1" t="s">
        <v>199</v>
      </c>
      <c r="E1513" s="1" t="s">
        <v>588</v>
      </c>
      <c r="H1513" s="1" t="s">
        <v>22</v>
      </c>
      <c r="I1513" s="1" t="s">
        <v>23</v>
      </c>
      <c r="L1513" s="1">
        <v>1</v>
      </c>
      <c r="M1513" s="1">
        <v>1.2</v>
      </c>
    </row>
    <row r="1514" spans="4:13">
      <c r="D1514" s="1" t="s">
        <v>199</v>
      </c>
      <c r="E1514" s="1" t="s">
        <v>589</v>
      </c>
      <c r="H1514" s="1" t="s">
        <v>22</v>
      </c>
      <c r="I1514" s="1" t="s">
        <v>23</v>
      </c>
      <c r="L1514" s="1">
        <v>1</v>
      </c>
      <c r="M1514" s="1">
        <v>1.6</v>
      </c>
    </row>
    <row r="1515" spans="4:13">
      <c r="D1515" s="1" t="s">
        <v>199</v>
      </c>
      <c r="E1515" s="1" t="s">
        <v>590</v>
      </c>
      <c r="H1515" s="1" t="s">
        <v>22</v>
      </c>
      <c r="I1515" s="1" t="s">
        <v>23</v>
      </c>
      <c r="L1515" s="1">
        <v>1</v>
      </c>
      <c r="M1515" s="1">
        <v>0.1</v>
      </c>
    </row>
    <row r="1516" spans="4:13">
      <c r="D1516" s="1" t="s">
        <v>199</v>
      </c>
      <c r="E1516" s="1" t="s">
        <v>591</v>
      </c>
      <c r="H1516" s="1" t="s">
        <v>22</v>
      </c>
      <c r="I1516" s="1" t="s">
        <v>23</v>
      </c>
      <c r="L1516" s="1">
        <v>1</v>
      </c>
      <c r="M1516" s="1">
        <v>0.9</v>
      </c>
    </row>
    <row r="1517" spans="4:13">
      <c r="D1517" s="1" t="s">
        <v>199</v>
      </c>
      <c r="E1517" s="1" t="s">
        <v>592</v>
      </c>
      <c r="H1517" s="1" t="s">
        <v>22</v>
      </c>
      <c r="I1517" s="1" t="s">
        <v>23</v>
      </c>
      <c r="L1517" s="1">
        <v>1</v>
      </c>
      <c r="M1517" s="1">
        <v>1.5</v>
      </c>
    </row>
    <row r="1518" spans="4:13">
      <c r="D1518" s="1" t="s">
        <v>199</v>
      </c>
      <c r="E1518" s="1" t="s">
        <v>593</v>
      </c>
      <c r="H1518" s="1" t="s">
        <v>22</v>
      </c>
      <c r="I1518" s="1" t="s">
        <v>23</v>
      </c>
      <c r="L1518" s="1">
        <v>1</v>
      </c>
      <c r="M1518" s="1">
        <v>1.7</v>
      </c>
    </row>
    <row r="1519" spans="4:13">
      <c r="D1519" s="1" t="s">
        <v>199</v>
      </c>
      <c r="E1519" s="1" t="s">
        <v>594</v>
      </c>
      <c r="H1519" s="1" t="s">
        <v>22</v>
      </c>
      <c r="I1519" s="1" t="s">
        <v>23</v>
      </c>
      <c r="L1519" s="1">
        <v>1</v>
      </c>
      <c r="M1519" s="1">
        <v>0</v>
      </c>
    </row>
    <row r="1520" spans="4:13">
      <c r="D1520" s="1" t="s">
        <v>199</v>
      </c>
      <c r="E1520" s="1" t="s">
        <v>595</v>
      </c>
      <c r="H1520" s="1" t="s">
        <v>22</v>
      </c>
      <c r="I1520" s="1" t="s">
        <v>23</v>
      </c>
      <c r="L1520" s="1">
        <v>1</v>
      </c>
      <c r="M1520" s="1">
        <v>1</v>
      </c>
    </row>
    <row r="1521" spans="4:13">
      <c r="D1521" s="1" t="s">
        <v>199</v>
      </c>
      <c r="E1521" s="1" t="s">
        <v>596</v>
      </c>
      <c r="H1521" s="1" t="s">
        <v>22</v>
      </c>
      <c r="I1521" s="1" t="s">
        <v>23</v>
      </c>
      <c r="L1521" s="1">
        <v>1</v>
      </c>
      <c r="M1521" s="1">
        <v>0.1</v>
      </c>
    </row>
    <row r="1522" spans="4:13">
      <c r="D1522" s="1" t="s">
        <v>199</v>
      </c>
      <c r="E1522" s="1" t="s">
        <v>597</v>
      </c>
      <c r="H1522" s="1" t="s">
        <v>22</v>
      </c>
      <c r="I1522" s="1" t="s">
        <v>23</v>
      </c>
      <c r="L1522" s="1">
        <v>1</v>
      </c>
      <c r="M1522" s="1">
        <v>0.3</v>
      </c>
    </row>
    <row r="1523" spans="4:13">
      <c r="D1523" s="1" t="s">
        <v>199</v>
      </c>
      <c r="E1523" s="1" t="s">
        <v>598</v>
      </c>
      <c r="H1523" s="1" t="s">
        <v>22</v>
      </c>
      <c r="I1523" s="1" t="s">
        <v>23</v>
      </c>
      <c r="L1523" s="1">
        <v>1</v>
      </c>
      <c r="M1523" s="1">
        <v>0.5</v>
      </c>
    </row>
    <row r="1524" spans="4:13">
      <c r="D1524" s="1" t="s">
        <v>199</v>
      </c>
      <c r="E1524" s="1" t="s">
        <v>599</v>
      </c>
      <c r="H1524" s="1" t="s">
        <v>22</v>
      </c>
      <c r="I1524" s="1" t="s">
        <v>23</v>
      </c>
      <c r="L1524" s="1">
        <v>1</v>
      </c>
      <c r="M1524" s="1">
        <v>0.7</v>
      </c>
    </row>
    <row r="1525" spans="4:13">
      <c r="D1525" s="1" t="s">
        <v>199</v>
      </c>
      <c r="E1525" s="1" t="s">
        <v>600</v>
      </c>
      <c r="H1525" s="1" t="s">
        <v>22</v>
      </c>
      <c r="I1525" s="1" t="s">
        <v>23</v>
      </c>
      <c r="L1525" s="1">
        <v>1</v>
      </c>
      <c r="M1525" s="1">
        <v>1.3</v>
      </c>
    </row>
    <row r="1526" spans="4:13">
      <c r="D1526" s="1" t="s">
        <v>199</v>
      </c>
      <c r="E1526" s="1" t="s">
        <v>601</v>
      </c>
      <c r="H1526" s="1" t="s">
        <v>22</v>
      </c>
      <c r="I1526" s="1" t="s">
        <v>23</v>
      </c>
      <c r="L1526" s="1">
        <v>1</v>
      </c>
      <c r="M1526" s="1">
        <v>1.7</v>
      </c>
    </row>
    <row r="1527" spans="4:13">
      <c r="D1527" s="1" t="s">
        <v>199</v>
      </c>
      <c r="E1527" s="1" t="s">
        <v>602</v>
      </c>
      <c r="H1527" s="1" t="s">
        <v>22</v>
      </c>
      <c r="I1527" s="1" t="s">
        <v>23</v>
      </c>
      <c r="L1527" s="1">
        <v>1</v>
      </c>
      <c r="M1527" s="1">
        <v>0</v>
      </c>
    </row>
    <row r="1528" spans="4:13">
      <c r="D1528" s="1" t="s">
        <v>199</v>
      </c>
      <c r="E1528" s="1" t="s">
        <v>603</v>
      </c>
      <c r="H1528" s="1" t="s">
        <v>22</v>
      </c>
      <c r="I1528" s="1" t="s">
        <v>23</v>
      </c>
      <c r="L1528" s="1">
        <v>1</v>
      </c>
      <c r="M1528" s="1">
        <v>0.4</v>
      </c>
    </row>
    <row r="1529" spans="4:13">
      <c r="D1529" s="1" t="s">
        <v>199</v>
      </c>
      <c r="E1529" s="1" t="s">
        <v>604</v>
      </c>
      <c r="H1529" s="1" t="s">
        <v>22</v>
      </c>
      <c r="I1529" s="1" t="s">
        <v>23</v>
      </c>
      <c r="L1529" s="1">
        <v>1</v>
      </c>
      <c r="M1529" s="1">
        <v>1</v>
      </c>
    </row>
    <row r="1530" spans="4:13">
      <c r="D1530" s="1" t="s">
        <v>199</v>
      </c>
      <c r="E1530" s="1" t="s">
        <v>605</v>
      </c>
      <c r="H1530" s="1" t="s">
        <v>22</v>
      </c>
      <c r="I1530" s="1" t="s">
        <v>23</v>
      </c>
      <c r="L1530" s="1">
        <v>1</v>
      </c>
      <c r="M1530" s="1">
        <v>1.6</v>
      </c>
    </row>
    <row r="1531" spans="4:13">
      <c r="D1531" s="1" t="s">
        <v>199</v>
      </c>
      <c r="E1531" s="1" t="s">
        <v>606</v>
      </c>
      <c r="H1531" s="1" t="s">
        <v>22</v>
      </c>
      <c r="I1531" s="1" t="s">
        <v>23</v>
      </c>
      <c r="L1531" s="1">
        <v>1</v>
      </c>
      <c r="M1531" s="1">
        <v>0.5</v>
      </c>
    </row>
    <row r="1532" spans="4:13">
      <c r="D1532" s="1" t="s">
        <v>199</v>
      </c>
      <c r="E1532" s="1" t="s">
        <v>607</v>
      </c>
      <c r="H1532" s="1" t="s">
        <v>22</v>
      </c>
      <c r="I1532" s="1" t="s">
        <v>23</v>
      </c>
      <c r="L1532" s="1">
        <v>1</v>
      </c>
      <c r="M1532" s="1">
        <v>0.7</v>
      </c>
    </row>
    <row r="1533" spans="4:13">
      <c r="D1533" s="1" t="s">
        <v>199</v>
      </c>
      <c r="E1533" s="1" t="s">
        <v>608</v>
      </c>
      <c r="H1533" s="1" t="s">
        <v>22</v>
      </c>
      <c r="I1533" s="1" t="s">
        <v>23</v>
      </c>
      <c r="L1533" s="1">
        <v>1</v>
      </c>
      <c r="M1533" s="1">
        <v>0.9</v>
      </c>
    </row>
    <row r="1534" spans="4:13">
      <c r="D1534" s="1" t="s">
        <v>199</v>
      </c>
      <c r="E1534" s="1" t="s">
        <v>609</v>
      </c>
      <c r="H1534" s="1" t="s">
        <v>22</v>
      </c>
      <c r="I1534" s="1" t="s">
        <v>23</v>
      </c>
      <c r="L1534" s="1">
        <v>1</v>
      </c>
      <c r="M1534" s="1">
        <v>1.1000000000000001</v>
      </c>
    </row>
    <row r="1535" spans="4:13">
      <c r="D1535" s="1" t="s">
        <v>199</v>
      </c>
      <c r="E1535" s="1" t="s">
        <v>610</v>
      </c>
      <c r="H1535" s="1" t="s">
        <v>22</v>
      </c>
      <c r="I1535" s="1" t="s">
        <v>23</v>
      </c>
      <c r="L1535" s="1">
        <v>1</v>
      </c>
      <c r="M1535" s="1">
        <v>1.3</v>
      </c>
    </row>
    <row r="1536" spans="4:13">
      <c r="D1536" s="1" t="s">
        <v>199</v>
      </c>
      <c r="E1536" s="1" t="s">
        <v>611</v>
      </c>
      <c r="H1536" s="1" t="s">
        <v>22</v>
      </c>
      <c r="I1536" s="1" t="s">
        <v>23</v>
      </c>
      <c r="L1536" s="1">
        <v>1</v>
      </c>
      <c r="M1536" s="1">
        <v>1.5</v>
      </c>
    </row>
    <row r="1537" spans="4:13">
      <c r="D1537" s="1" t="s">
        <v>199</v>
      </c>
      <c r="E1537" s="1" t="s">
        <v>612</v>
      </c>
      <c r="H1537" s="1" t="s">
        <v>22</v>
      </c>
      <c r="I1537" s="1" t="s">
        <v>23</v>
      </c>
      <c r="L1537" s="1">
        <v>1</v>
      </c>
      <c r="M1537" s="1">
        <v>1.7</v>
      </c>
    </row>
    <row r="1538" spans="4:13">
      <c r="D1538" s="1" t="s">
        <v>199</v>
      </c>
      <c r="E1538" s="1" t="s">
        <v>613</v>
      </c>
      <c r="H1538" s="1" t="s">
        <v>22</v>
      </c>
      <c r="I1538" s="1" t="s">
        <v>23</v>
      </c>
      <c r="L1538" s="1">
        <v>1</v>
      </c>
      <c r="M1538" s="1">
        <v>0.2</v>
      </c>
    </row>
    <row r="1539" spans="4:13">
      <c r="D1539" s="1" t="s">
        <v>199</v>
      </c>
      <c r="E1539" s="1" t="s">
        <v>614</v>
      </c>
      <c r="H1539" s="1" t="s">
        <v>22</v>
      </c>
      <c r="I1539" s="1" t="s">
        <v>23</v>
      </c>
      <c r="L1539" s="1">
        <v>1</v>
      </c>
      <c r="M1539" s="1">
        <v>0.4</v>
      </c>
    </row>
    <row r="1540" spans="4:13">
      <c r="D1540" s="1" t="s">
        <v>199</v>
      </c>
      <c r="E1540" s="1" t="s">
        <v>615</v>
      </c>
      <c r="H1540" s="1" t="s">
        <v>22</v>
      </c>
      <c r="I1540" s="1" t="s">
        <v>23</v>
      </c>
      <c r="L1540" s="1">
        <v>1</v>
      </c>
      <c r="M1540" s="1">
        <v>0.8</v>
      </c>
    </row>
    <row r="1541" spans="4:13">
      <c r="D1541" s="1" t="s">
        <v>199</v>
      </c>
      <c r="E1541" s="1" t="s">
        <v>616</v>
      </c>
      <c r="H1541" s="1" t="s">
        <v>22</v>
      </c>
      <c r="I1541" s="1" t="s">
        <v>23</v>
      </c>
      <c r="L1541" s="1">
        <v>1</v>
      </c>
      <c r="M1541" s="1">
        <v>1.1000000000000001</v>
      </c>
    </row>
    <row r="1542" spans="4:13">
      <c r="D1542" s="1" t="s">
        <v>199</v>
      </c>
      <c r="E1542" s="1" t="s">
        <v>617</v>
      </c>
      <c r="H1542" s="1" t="s">
        <v>22</v>
      </c>
      <c r="I1542" s="1" t="s">
        <v>23</v>
      </c>
      <c r="L1542" s="1">
        <v>1</v>
      </c>
      <c r="M1542" s="1">
        <v>1.3</v>
      </c>
    </row>
    <row r="1543" spans="4:13">
      <c r="D1543" s="1" t="s">
        <v>199</v>
      </c>
      <c r="E1543" s="1" t="s">
        <v>618</v>
      </c>
      <c r="H1543" s="1" t="s">
        <v>22</v>
      </c>
      <c r="I1543" s="1" t="s">
        <v>23</v>
      </c>
      <c r="L1543" s="1">
        <v>1</v>
      </c>
      <c r="M1543" s="1">
        <v>0</v>
      </c>
    </row>
    <row r="1544" spans="4:13">
      <c r="D1544" s="1" t="s">
        <v>199</v>
      </c>
      <c r="E1544" s="1" t="s">
        <v>619</v>
      </c>
      <c r="H1544" s="1" t="s">
        <v>22</v>
      </c>
      <c r="I1544" s="1" t="s">
        <v>23</v>
      </c>
      <c r="L1544" s="1">
        <v>1</v>
      </c>
      <c r="M1544" s="1">
        <v>0.6</v>
      </c>
    </row>
    <row r="1545" spans="4:13">
      <c r="D1545" s="1" t="s">
        <v>199</v>
      </c>
      <c r="E1545" s="1" t="s">
        <v>620</v>
      </c>
      <c r="H1545" s="1" t="s">
        <v>22</v>
      </c>
      <c r="I1545" s="1" t="s">
        <v>23</v>
      </c>
      <c r="L1545" s="1">
        <v>1</v>
      </c>
      <c r="M1545" s="1">
        <v>1.4</v>
      </c>
    </row>
    <row r="1546" spans="4:13">
      <c r="D1546" s="1" t="s">
        <v>199</v>
      </c>
      <c r="E1546" s="1" t="s">
        <v>621</v>
      </c>
      <c r="H1546" s="1" t="s">
        <v>22</v>
      </c>
      <c r="I1546" s="1" t="s">
        <v>23</v>
      </c>
      <c r="L1546" s="1">
        <v>1</v>
      </c>
      <c r="M1546" s="1">
        <v>1.6</v>
      </c>
    </row>
    <row r="1547" spans="4:13">
      <c r="D1547" s="1" t="s">
        <v>199</v>
      </c>
      <c r="E1547" s="1" t="s">
        <v>622</v>
      </c>
      <c r="H1547" s="1" t="s">
        <v>22</v>
      </c>
      <c r="I1547" s="1" t="s">
        <v>23</v>
      </c>
      <c r="L1547" s="1">
        <v>1</v>
      </c>
      <c r="M1547" s="1">
        <v>0.1</v>
      </c>
    </row>
    <row r="1548" spans="4:13">
      <c r="D1548" s="1" t="s">
        <v>199</v>
      </c>
      <c r="E1548" s="1" t="s">
        <v>623</v>
      </c>
      <c r="H1548" s="1" t="s">
        <v>22</v>
      </c>
      <c r="I1548" s="1" t="s">
        <v>23</v>
      </c>
      <c r="L1548" s="1">
        <v>1</v>
      </c>
      <c r="M1548" s="1">
        <v>0.3</v>
      </c>
    </row>
    <row r="1549" spans="4:13">
      <c r="D1549" s="1" t="s">
        <v>199</v>
      </c>
      <c r="E1549" s="1" t="s">
        <v>624</v>
      </c>
      <c r="H1549" s="1" t="s">
        <v>22</v>
      </c>
      <c r="I1549" s="1" t="s">
        <v>23</v>
      </c>
      <c r="L1549" s="1">
        <v>1</v>
      </c>
      <c r="M1549" s="1">
        <v>0.5</v>
      </c>
    </row>
    <row r="1550" spans="4:13">
      <c r="D1550" s="1" t="s">
        <v>199</v>
      </c>
      <c r="E1550" s="1" t="s">
        <v>625</v>
      </c>
      <c r="H1550" s="1" t="s">
        <v>22</v>
      </c>
      <c r="I1550" s="1" t="s">
        <v>23</v>
      </c>
      <c r="L1550" s="1">
        <v>1</v>
      </c>
      <c r="M1550" s="1">
        <v>0.9</v>
      </c>
    </row>
    <row r="1551" spans="4:13">
      <c r="D1551" s="1" t="s">
        <v>199</v>
      </c>
      <c r="E1551" s="1" t="s">
        <v>626</v>
      </c>
      <c r="H1551" s="1" t="s">
        <v>22</v>
      </c>
      <c r="I1551" s="1" t="s">
        <v>23</v>
      </c>
      <c r="L1551" s="1">
        <v>1</v>
      </c>
      <c r="M1551" s="1">
        <v>1.1000000000000001</v>
      </c>
    </row>
    <row r="1552" spans="4:13">
      <c r="D1552" s="1" t="s">
        <v>199</v>
      </c>
      <c r="E1552" s="1" t="s">
        <v>627</v>
      </c>
      <c r="H1552" s="1" t="s">
        <v>22</v>
      </c>
      <c r="I1552" s="1" t="s">
        <v>23</v>
      </c>
      <c r="L1552" s="1">
        <v>1</v>
      </c>
      <c r="M1552" s="1">
        <v>1.7</v>
      </c>
    </row>
    <row r="1553" spans="4:13">
      <c r="D1553" s="1" t="s">
        <v>199</v>
      </c>
      <c r="E1553" s="1" t="s">
        <v>628</v>
      </c>
      <c r="H1553" s="1" t="s">
        <v>22</v>
      </c>
      <c r="I1553" s="1" t="s">
        <v>23</v>
      </c>
      <c r="L1553" s="1">
        <v>1</v>
      </c>
      <c r="M1553" s="1">
        <v>0</v>
      </c>
    </row>
    <row r="1554" spans="4:13">
      <c r="D1554" s="1" t="s">
        <v>199</v>
      </c>
      <c r="E1554" s="1" t="s">
        <v>629</v>
      </c>
      <c r="H1554" s="1" t="s">
        <v>22</v>
      </c>
      <c r="I1554" s="1" t="s">
        <v>23</v>
      </c>
      <c r="L1554" s="1">
        <v>1</v>
      </c>
      <c r="M1554" s="1">
        <v>0.6</v>
      </c>
    </row>
    <row r="1555" spans="4:13">
      <c r="D1555" s="1" t="s">
        <v>199</v>
      </c>
      <c r="E1555" s="1" t="s">
        <v>630</v>
      </c>
      <c r="H1555" s="1" t="s">
        <v>22</v>
      </c>
      <c r="I1555" s="1" t="s">
        <v>23</v>
      </c>
      <c r="L1555" s="1">
        <v>1</v>
      </c>
      <c r="M1555" s="1">
        <v>1</v>
      </c>
    </row>
    <row r="1556" spans="4:13">
      <c r="D1556" s="1" t="s">
        <v>199</v>
      </c>
      <c r="E1556" s="1" t="s">
        <v>631</v>
      </c>
      <c r="H1556" s="1" t="s">
        <v>22</v>
      </c>
      <c r="I1556" s="1" t="s">
        <v>23</v>
      </c>
      <c r="L1556" s="1">
        <v>1</v>
      </c>
      <c r="M1556" s="1">
        <v>1.4</v>
      </c>
    </row>
    <row r="1557" spans="4:13">
      <c r="D1557" s="1" t="s">
        <v>199</v>
      </c>
      <c r="E1557" s="1" t="s">
        <v>632</v>
      </c>
      <c r="H1557" s="1" t="s">
        <v>22</v>
      </c>
      <c r="I1557" s="1" t="s">
        <v>23</v>
      </c>
      <c r="L1557" s="1">
        <v>1</v>
      </c>
      <c r="M1557" s="1">
        <v>1.6</v>
      </c>
    </row>
    <row r="1558" spans="4:13">
      <c r="D1558" s="1" t="s">
        <v>199</v>
      </c>
      <c r="E1558" s="1" t="s">
        <v>633</v>
      </c>
      <c r="H1558" s="1" t="s">
        <v>22</v>
      </c>
      <c r="I1558" s="1" t="s">
        <v>23</v>
      </c>
      <c r="L1558" s="1">
        <v>1</v>
      </c>
      <c r="M1558" s="1">
        <v>0.3</v>
      </c>
    </row>
    <row r="1559" spans="4:13">
      <c r="D1559" s="1" t="s">
        <v>199</v>
      </c>
      <c r="E1559" s="1" t="s">
        <v>634</v>
      </c>
      <c r="H1559" s="1" t="s">
        <v>22</v>
      </c>
      <c r="I1559" s="1" t="s">
        <v>23</v>
      </c>
      <c r="L1559" s="1">
        <v>1</v>
      </c>
      <c r="M1559" s="1">
        <v>1.7</v>
      </c>
    </row>
    <row r="1560" spans="4:13">
      <c r="D1560" s="1" t="s">
        <v>199</v>
      </c>
      <c r="E1560" s="1" t="s">
        <v>635</v>
      </c>
      <c r="H1560" s="1" t="s">
        <v>22</v>
      </c>
      <c r="I1560" s="1" t="s">
        <v>23</v>
      </c>
      <c r="L1560" s="1">
        <v>1</v>
      </c>
      <c r="M1560" s="1">
        <v>0</v>
      </c>
    </row>
    <row r="1561" spans="4:13">
      <c r="D1561" s="1" t="s">
        <v>199</v>
      </c>
      <c r="E1561" s="1" t="s">
        <v>636</v>
      </c>
      <c r="H1561" s="1" t="s">
        <v>22</v>
      </c>
      <c r="I1561" s="1" t="s">
        <v>23</v>
      </c>
      <c r="L1561" s="1">
        <v>1</v>
      </c>
      <c r="M1561" s="1">
        <v>0.6</v>
      </c>
    </row>
    <row r="1562" spans="4:13">
      <c r="D1562" s="1" t="s">
        <v>199</v>
      </c>
      <c r="E1562" s="1" t="s">
        <v>637</v>
      </c>
      <c r="H1562" s="1" t="s">
        <v>22</v>
      </c>
      <c r="I1562" s="1" t="s">
        <v>23</v>
      </c>
      <c r="L1562" s="1">
        <v>1</v>
      </c>
      <c r="M1562" s="1">
        <v>0.8</v>
      </c>
    </row>
    <row r="1563" spans="4:13">
      <c r="D1563" s="1" t="s">
        <v>199</v>
      </c>
      <c r="E1563" s="1" t="s">
        <v>638</v>
      </c>
      <c r="H1563" s="1" t="s">
        <v>22</v>
      </c>
      <c r="I1563" s="1" t="s">
        <v>23</v>
      </c>
      <c r="L1563" s="1">
        <v>1</v>
      </c>
      <c r="M1563" s="1">
        <v>1</v>
      </c>
    </row>
    <row r="1564" spans="4:13">
      <c r="D1564" s="1" t="s">
        <v>199</v>
      </c>
      <c r="E1564" s="1" t="s">
        <v>639</v>
      </c>
      <c r="H1564" s="1" t="s">
        <v>22</v>
      </c>
      <c r="I1564" s="1" t="s">
        <v>23</v>
      </c>
      <c r="L1564" s="1">
        <v>1</v>
      </c>
      <c r="M1564" s="1">
        <v>1.2</v>
      </c>
    </row>
    <row r="1565" spans="4:13">
      <c r="D1565" s="1" t="s">
        <v>199</v>
      </c>
      <c r="E1565" s="1" t="s">
        <v>640</v>
      </c>
      <c r="H1565" s="1" t="s">
        <v>22</v>
      </c>
      <c r="I1565" s="1" t="s">
        <v>23</v>
      </c>
      <c r="L1565" s="1">
        <v>1</v>
      </c>
      <c r="M1565" s="1">
        <v>1.4</v>
      </c>
    </row>
    <row r="1566" spans="4:13">
      <c r="D1566" s="1" t="s">
        <v>199</v>
      </c>
      <c r="E1566" s="1" t="s">
        <v>641</v>
      </c>
      <c r="H1566" s="1" t="s">
        <v>22</v>
      </c>
      <c r="I1566" s="1" t="s">
        <v>23</v>
      </c>
      <c r="L1566" s="1">
        <v>1</v>
      </c>
      <c r="M1566" s="1">
        <v>1.6</v>
      </c>
    </row>
    <row r="1567" spans="4:13">
      <c r="D1567" s="1" t="s">
        <v>199</v>
      </c>
      <c r="E1567" s="1" t="s">
        <v>642</v>
      </c>
      <c r="H1567" s="1" t="s">
        <v>22</v>
      </c>
      <c r="I1567" s="1" t="s">
        <v>23</v>
      </c>
      <c r="L1567" s="1">
        <v>1</v>
      </c>
      <c r="M1567" s="1">
        <v>0.1</v>
      </c>
    </row>
    <row r="1568" spans="4:13">
      <c r="D1568" s="1" t="s">
        <v>199</v>
      </c>
      <c r="E1568" s="1" t="s">
        <v>643</v>
      </c>
      <c r="H1568" s="1" t="s">
        <v>22</v>
      </c>
      <c r="I1568" s="1" t="s">
        <v>23</v>
      </c>
      <c r="L1568" s="1">
        <v>1</v>
      </c>
      <c r="M1568" s="1">
        <v>0.3</v>
      </c>
    </row>
    <row r="1569" spans="4:13">
      <c r="D1569" s="1" t="s">
        <v>199</v>
      </c>
      <c r="E1569" s="1" t="s">
        <v>644</v>
      </c>
      <c r="H1569" s="1" t="s">
        <v>22</v>
      </c>
      <c r="I1569" s="1" t="s">
        <v>23</v>
      </c>
      <c r="L1569" s="1">
        <v>1</v>
      </c>
      <c r="M1569" s="1">
        <v>0.5</v>
      </c>
    </row>
    <row r="1570" spans="4:13">
      <c r="D1570" s="1" t="s">
        <v>199</v>
      </c>
      <c r="E1570" s="1" t="s">
        <v>645</v>
      </c>
      <c r="H1570" s="1" t="s">
        <v>22</v>
      </c>
      <c r="I1570" s="1" t="s">
        <v>23</v>
      </c>
      <c r="L1570" s="1">
        <v>1</v>
      </c>
      <c r="M1570" s="1">
        <v>0.9</v>
      </c>
    </row>
    <row r="1571" spans="4:13">
      <c r="D1571" s="1" t="s">
        <v>199</v>
      </c>
      <c r="E1571" s="1" t="s">
        <v>646</v>
      </c>
      <c r="H1571" s="1" t="s">
        <v>22</v>
      </c>
      <c r="I1571" s="1" t="s">
        <v>23</v>
      </c>
      <c r="L1571" s="1">
        <v>1</v>
      </c>
      <c r="M1571" s="1">
        <v>1.1000000000000001</v>
      </c>
    </row>
    <row r="1572" spans="4:13">
      <c r="D1572" s="1" t="s">
        <v>199</v>
      </c>
      <c r="E1572" s="1" t="s">
        <v>647</v>
      </c>
      <c r="H1572" s="1" t="s">
        <v>22</v>
      </c>
      <c r="I1572" s="1" t="s">
        <v>23</v>
      </c>
      <c r="L1572" s="1">
        <v>1</v>
      </c>
      <c r="M1572" s="1">
        <v>1.5</v>
      </c>
    </row>
    <row r="1573" spans="4:13">
      <c r="D1573" s="1" t="s">
        <v>199</v>
      </c>
      <c r="E1573" s="1" t="s">
        <v>648</v>
      </c>
      <c r="H1573" s="1" t="s">
        <v>22</v>
      </c>
      <c r="I1573" s="1" t="s">
        <v>23</v>
      </c>
      <c r="L1573" s="1">
        <v>1</v>
      </c>
      <c r="M1573" s="1">
        <v>1.7</v>
      </c>
    </row>
    <row r="1574" spans="4:13">
      <c r="D1574" s="1" t="s">
        <v>199</v>
      </c>
      <c r="E1574" s="1" t="s">
        <v>649</v>
      </c>
      <c r="H1574" s="1" t="s">
        <v>22</v>
      </c>
      <c r="I1574" s="1" t="s">
        <v>29</v>
      </c>
      <c r="J1574" s="1">
        <v>0</v>
      </c>
      <c r="K1574" s="1">
        <v>2</v>
      </c>
      <c r="L1574" s="1">
        <v>1</v>
      </c>
    </row>
    <row r="1575" spans="4:13">
      <c r="D1575" s="1" t="s">
        <v>199</v>
      </c>
      <c r="E1575" s="1" t="s">
        <v>650</v>
      </c>
      <c r="H1575" s="1" t="s">
        <v>22</v>
      </c>
      <c r="I1575" s="1" t="s">
        <v>29</v>
      </c>
      <c r="J1575" s="1">
        <v>0</v>
      </c>
      <c r="K1575" s="1">
        <v>10</v>
      </c>
      <c r="L1575" s="1">
        <v>1</v>
      </c>
    </row>
    <row r="1576" spans="4:13">
      <c r="D1576" s="1" t="s">
        <v>199</v>
      </c>
      <c r="E1576" s="1" t="s">
        <v>651</v>
      </c>
      <c r="H1576" s="1" t="s">
        <v>22</v>
      </c>
      <c r="I1576" s="1" t="s">
        <v>29</v>
      </c>
      <c r="J1576" s="1">
        <v>0</v>
      </c>
      <c r="K1576" s="1">
        <v>10</v>
      </c>
      <c r="L1576" s="1">
        <v>1</v>
      </c>
    </row>
    <row r="1577" spans="4:13">
      <c r="D1577" s="1" t="s">
        <v>199</v>
      </c>
      <c r="E1577" s="1" t="s">
        <v>652</v>
      </c>
      <c r="H1577" s="1" t="s">
        <v>22</v>
      </c>
      <c r="I1577" s="1" t="s">
        <v>23</v>
      </c>
      <c r="L1577" s="1">
        <v>1</v>
      </c>
      <c r="M1577" s="1">
        <v>0</v>
      </c>
    </row>
    <row r="1578" spans="4:13">
      <c r="D1578" s="1" t="s">
        <v>199</v>
      </c>
      <c r="E1578" s="1" t="s">
        <v>653</v>
      </c>
      <c r="H1578" s="1" t="s">
        <v>22</v>
      </c>
      <c r="I1578" s="1" t="s">
        <v>23</v>
      </c>
      <c r="L1578" s="1">
        <v>1</v>
      </c>
      <c r="M1578" s="1">
        <v>0</v>
      </c>
    </row>
    <row r="1579" spans="4:13">
      <c r="D1579" s="1" t="s">
        <v>199</v>
      </c>
      <c r="E1579" s="1" t="s">
        <v>654</v>
      </c>
      <c r="H1579" s="1" t="s">
        <v>22</v>
      </c>
      <c r="I1579" s="1" t="s">
        <v>23</v>
      </c>
      <c r="L1579" s="1">
        <v>1</v>
      </c>
      <c r="M1579" s="1">
        <v>0</v>
      </c>
    </row>
    <row r="1580" spans="4:13">
      <c r="D1580" s="1" t="s">
        <v>199</v>
      </c>
      <c r="E1580" s="1" t="s">
        <v>655</v>
      </c>
      <c r="H1580" s="1" t="s">
        <v>22</v>
      </c>
      <c r="I1580" s="1" t="s">
        <v>23</v>
      </c>
      <c r="L1580" s="1">
        <v>1</v>
      </c>
      <c r="M1580" s="1">
        <v>0</v>
      </c>
    </row>
    <row r="1581" spans="4:13">
      <c r="D1581" s="1" t="s">
        <v>199</v>
      </c>
      <c r="E1581" s="1" t="s">
        <v>656</v>
      </c>
      <c r="H1581" s="1" t="s">
        <v>22</v>
      </c>
      <c r="I1581" s="1" t="s">
        <v>23</v>
      </c>
      <c r="L1581" s="1">
        <v>1</v>
      </c>
      <c r="M1581" s="1">
        <v>0</v>
      </c>
    </row>
    <row r="1582" spans="4:13">
      <c r="D1582" s="1" t="s">
        <v>199</v>
      </c>
      <c r="E1582" s="1" t="s">
        <v>657</v>
      </c>
      <c r="H1582" s="1" t="s">
        <v>22</v>
      </c>
      <c r="I1582" s="1" t="s">
        <v>23</v>
      </c>
      <c r="L1582" s="1">
        <v>1</v>
      </c>
      <c r="M1582" s="1">
        <v>0</v>
      </c>
    </row>
    <row r="1583" spans="4:13">
      <c r="D1583" s="1" t="s">
        <v>199</v>
      </c>
      <c r="E1583" s="1" t="s">
        <v>658</v>
      </c>
      <c r="H1583" s="1" t="s">
        <v>22</v>
      </c>
      <c r="I1583" s="1" t="s">
        <v>23</v>
      </c>
      <c r="L1583" s="1">
        <v>1</v>
      </c>
      <c r="M1583" s="1">
        <v>0</v>
      </c>
    </row>
    <row r="1584" spans="4:13">
      <c r="D1584" s="1" t="s">
        <v>199</v>
      </c>
      <c r="E1584" s="1" t="s">
        <v>659</v>
      </c>
      <c r="H1584" s="1" t="s">
        <v>22</v>
      </c>
      <c r="I1584" s="1" t="s">
        <v>23</v>
      </c>
      <c r="L1584" s="1">
        <v>1</v>
      </c>
      <c r="M1584" s="1">
        <v>0</v>
      </c>
    </row>
    <row r="1585" spans="4:13">
      <c r="D1585" s="1" t="s">
        <v>199</v>
      </c>
      <c r="E1585" s="1" t="s">
        <v>660</v>
      </c>
      <c r="H1585" s="1" t="s">
        <v>22</v>
      </c>
      <c r="I1585" s="1" t="s">
        <v>23</v>
      </c>
      <c r="L1585" s="1">
        <v>1</v>
      </c>
      <c r="M1585" s="1">
        <v>0</v>
      </c>
    </row>
    <row r="1586" spans="4:13">
      <c r="D1586" s="1" t="s">
        <v>199</v>
      </c>
      <c r="E1586" s="1" t="s">
        <v>661</v>
      </c>
      <c r="H1586" s="1" t="s">
        <v>22</v>
      </c>
      <c r="I1586" s="1" t="s">
        <v>23</v>
      </c>
      <c r="L1586" s="1">
        <v>1</v>
      </c>
      <c r="M1586" s="1">
        <v>0.1</v>
      </c>
    </row>
    <row r="1587" spans="4:13">
      <c r="D1587" s="1" t="s">
        <v>199</v>
      </c>
      <c r="E1587" s="1" t="s">
        <v>662</v>
      </c>
      <c r="H1587" s="1" t="s">
        <v>22</v>
      </c>
      <c r="I1587" s="1" t="s">
        <v>23</v>
      </c>
      <c r="L1587" s="1">
        <v>1</v>
      </c>
      <c r="M1587" s="1">
        <v>0.1</v>
      </c>
    </row>
    <row r="1588" spans="4:13">
      <c r="D1588" s="1" t="s">
        <v>199</v>
      </c>
      <c r="E1588" s="1" t="s">
        <v>663</v>
      </c>
      <c r="H1588" s="1" t="s">
        <v>22</v>
      </c>
      <c r="I1588" s="1" t="s">
        <v>23</v>
      </c>
      <c r="L1588" s="1">
        <v>1</v>
      </c>
      <c r="M1588" s="1">
        <v>0.1</v>
      </c>
    </row>
    <row r="1589" spans="4:13">
      <c r="D1589" s="1" t="s">
        <v>199</v>
      </c>
      <c r="E1589" s="1" t="s">
        <v>664</v>
      </c>
      <c r="H1589" s="1" t="s">
        <v>22</v>
      </c>
      <c r="I1589" s="1" t="s">
        <v>23</v>
      </c>
      <c r="L1589" s="1">
        <v>1</v>
      </c>
      <c r="M1589" s="1">
        <v>0.1</v>
      </c>
    </row>
    <row r="1590" spans="4:13">
      <c r="D1590" s="1" t="s">
        <v>199</v>
      </c>
      <c r="E1590" s="1" t="s">
        <v>665</v>
      </c>
      <c r="H1590" s="1" t="s">
        <v>22</v>
      </c>
      <c r="I1590" s="1" t="s">
        <v>23</v>
      </c>
      <c r="L1590" s="1">
        <v>1</v>
      </c>
      <c r="M1590" s="1">
        <v>0.1</v>
      </c>
    </row>
    <row r="1591" spans="4:13">
      <c r="D1591" s="1" t="s">
        <v>199</v>
      </c>
      <c r="E1591" s="1" t="s">
        <v>666</v>
      </c>
      <c r="H1591" s="1" t="s">
        <v>22</v>
      </c>
      <c r="I1591" s="1" t="s">
        <v>23</v>
      </c>
      <c r="L1591" s="1">
        <v>1</v>
      </c>
      <c r="M1591" s="1">
        <v>0.1</v>
      </c>
    </row>
    <row r="1592" spans="4:13">
      <c r="D1592" s="1" t="s">
        <v>199</v>
      </c>
      <c r="E1592" s="1" t="s">
        <v>667</v>
      </c>
      <c r="H1592" s="1" t="s">
        <v>22</v>
      </c>
      <c r="I1592" s="1" t="s">
        <v>23</v>
      </c>
      <c r="L1592" s="1">
        <v>1</v>
      </c>
      <c r="M1592" s="1">
        <v>0.1</v>
      </c>
    </row>
    <row r="1593" spans="4:13">
      <c r="D1593" s="1" t="s">
        <v>199</v>
      </c>
      <c r="E1593" s="1" t="s">
        <v>668</v>
      </c>
      <c r="H1593" s="1" t="s">
        <v>22</v>
      </c>
      <c r="I1593" s="1" t="s">
        <v>23</v>
      </c>
      <c r="L1593" s="1">
        <v>1</v>
      </c>
      <c r="M1593" s="1">
        <v>0.1</v>
      </c>
    </row>
    <row r="1594" spans="4:13">
      <c r="D1594" s="1" t="s">
        <v>199</v>
      </c>
      <c r="E1594" s="1" t="s">
        <v>669</v>
      </c>
      <c r="H1594" s="1" t="s">
        <v>22</v>
      </c>
      <c r="I1594" s="1" t="s">
        <v>23</v>
      </c>
      <c r="L1594" s="1">
        <v>1</v>
      </c>
      <c r="M1594" s="1">
        <v>0.1</v>
      </c>
    </row>
    <row r="1595" spans="4:13">
      <c r="D1595" s="1" t="s">
        <v>199</v>
      </c>
      <c r="E1595" s="1" t="s">
        <v>670</v>
      </c>
      <c r="H1595" s="1" t="s">
        <v>22</v>
      </c>
      <c r="I1595" s="1" t="s">
        <v>23</v>
      </c>
      <c r="L1595" s="1">
        <v>1</v>
      </c>
      <c r="M1595" s="1">
        <v>0.2</v>
      </c>
    </row>
    <row r="1596" spans="4:13">
      <c r="D1596" s="1" t="s">
        <v>199</v>
      </c>
      <c r="E1596" s="1" t="s">
        <v>671</v>
      </c>
      <c r="H1596" s="1" t="s">
        <v>22</v>
      </c>
      <c r="I1596" s="1" t="s">
        <v>23</v>
      </c>
      <c r="L1596" s="1">
        <v>1</v>
      </c>
      <c r="M1596" s="1">
        <v>0.2</v>
      </c>
    </row>
    <row r="1597" spans="4:13">
      <c r="D1597" s="1" t="s">
        <v>199</v>
      </c>
      <c r="E1597" s="1" t="s">
        <v>672</v>
      </c>
      <c r="H1597" s="1" t="s">
        <v>22</v>
      </c>
      <c r="I1597" s="1" t="s">
        <v>23</v>
      </c>
      <c r="L1597" s="1">
        <v>1</v>
      </c>
      <c r="M1597" s="1">
        <v>0.2</v>
      </c>
    </row>
    <row r="1598" spans="4:13">
      <c r="D1598" s="1" t="s">
        <v>199</v>
      </c>
      <c r="E1598" s="1" t="s">
        <v>673</v>
      </c>
      <c r="H1598" s="1" t="s">
        <v>22</v>
      </c>
      <c r="I1598" s="1" t="s">
        <v>23</v>
      </c>
      <c r="L1598" s="1">
        <v>1</v>
      </c>
      <c r="M1598" s="1">
        <v>0.2</v>
      </c>
    </row>
    <row r="1599" spans="4:13">
      <c r="D1599" s="1" t="s">
        <v>199</v>
      </c>
      <c r="E1599" s="1" t="s">
        <v>674</v>
      </c>
      <c r="H1599" s="1" t="s">
        <v>22</v>
      </c>
      <c r="I1599" s="1" t="s">
        <v>23</v>
      </c>
      <c r="L1599" s="1">
        <v>1</v>
      </c>
      <c r="M1599" s="1">
        <v>0.2</v>
      </c>
    </row>
    <row r="1600" spans="4:13">
      <c r="D1600" s="1" t="s">
        <v>199</v>
      </c>
      <c r="E1600" s="1" t="s">
        <v>675</v>
      </c>
      <c r="H1600" s="1" t="s">
        <v>22</v>
      </c>
      <c r="I1600" s="1" t="s">
        <v>23</v>
      </c>
      <c r="L1600" s="1">
        <v>1</v>
      </c>
      <c r="M1600" s="1">
        <v>0.2</v>
      </c>
    </row>
    <row r="1601" spans="4:13">
      <c r="D1601" s="1" t="s">
        <v>199</v>
      </c>
      <c r="E1601" s="1" t="s">
        <v>676</v>
      </c>
      <c r="H1601" s="1" t="s">
        <v>22</v>
      </c>
      <c r="I1601" s="1" t="s">
        <v>23</v>
      </c>
      <c r="L1601" s="1">
        <v>1</v>
      </c>
      <c r="M1601" s="1">
        <v>0.2</v>
      </c>
    </row>
    <row r="1602" spans="4:13">
      <c r="D1602" s="1" t="s">
        <v>199</v>
      </c>
      <c r="E1602" s="1" t="s">
        <v>677</v>
      </c>
      <c r="H1602" s="1" t="s">
        <v>22</v>
      </c>
      <c r="I1602" s="1" t="s">
        <v>23</v>
      </c>
      <c r="L1602" s="1">
        <v>1</v>
      </c>
      <c r="M1602" s="1">
        <v>0.2</v>
      </c>
    </row>
    <row r="1603" spans="4:13">
      <c r="D1603" s="1" t="s">
        <v>199</v>
      </c>
      <c r="E1603" s="1" t="s">
        <v>678</v>
      </c>
      <c r="H1603" s="1" t="s">
        <v>22</v>
      </c>
      <c r="I1603" s="1" t="s">
        <v>23</v>
      </c>
      <c r="L1603" s="1">
        <v>1</v>
      </c>
      <c r="M1603" s="1">
        <v>0.2</v>
      </c>
    </row>
    <row r="1604" spans="4:13">
      <c r="D1604" s="1" t="s">
        <v>199</v>
      </c>
      <c r="E1604" s="1" t="s">
        <v>679</v>
      </c>
      <c r="H1604" s="1" t="s">
        <v>22</v>
      </c>
      <c r="I1604" s="1" t="s">
        <v>23</v>
      </c>
      <c r="L1604" s="1">
        <v>1</v>
      </c>
      <c r="M1604" s="1">
        <v>0.3</v>
      </c>
    </row>
    <row r="1605" spans="4:13">
      <c r="D1605" s="1" t="s">
        <v>199</v>
      </c>
      <c r="E1605" s="1" t="s">
        <v>680</v>
      </c>
      <c r="H1605" s="1" t="s">
        <v>22</v>
      </c>
      <c r="I1605" s="1" t="s">
        <v>23</v>
      </c>
      <c r="L1605" s="1">
        <v>1</v>
      </c>
      <c r="M1605" s="1">
        <v>0.3</v>
      </c>
    </row>
    <row r="1606" spans="4:13">
      <c r="D1606" s="1" t="s">
        <v>199</v>
      </c>
      <c r="E1606" s="1" t="s">
        <v>681</v>
      </c>
      <c r="H1606" s="1" t="s">
        <v>22</v>
      </c>
      <c r="I1606" s="1" t="s">
        <v>23</v>
      </c>
      <c r="L1606" s="1">
        <v>1</v>
      </c>
      <c r="M1606" s="1">
        <v>0.3</v>
      </c>
    </row>
    <row r="1607" spans="4:13">
      <c r="D1607" s="1" t="s">
        <v>199</v>
      </c>
      <c r="E1607" s="1" t="s">
        <v>682</v>
      </c>
      <c r="H1607" s="1" t="s">
        <v>22</v>
      </c>
      <c r="I1607" s="1" t="s">
        <v>23</v>
      </c>
      <c r="L1607" s="1">
        <v>1</v>
      </c>
      <c r="M1607" s="1">
        <v>0.3</v>
      </c>
    </row>
    <row r="1608" spans="4:13">
      <c r="D1608" s="1" t="s">
        <v>199</v>
      </c>
      <c r="E1608" s="1" t="s">
        <v>683</v>
      </c>
      <c r="H1608" s="1" t="s">
        <v>22</v>
      </c>
      <c r="I1608" s="1" t="s">
        <v>23</v>
      </c>
      <c r="L1608" s="1">
        <v>1</v>
      </c>
      <c r="M1608" s="1">
        <v>0.3</v>
      </c>
    </row>
    <row r="1609" spans="4:13">
      <c r="D1609" s="1" t="s">
        <v>199</v>
      </c>
      <c r="E1609" s="1" t="s">
        <v>684</v>
      </c>
      <c r="H1609" s="1" t="s">
        <v>22</v>
      </c>
      <c r="I1609" s="1" t="s">
        <v>23</v>
      </c>
      <c r="L1609" s="1">
        <v>1</v>
      </c>
      <c r="M1609" s="1">
        <v>0.3</v>
      </c>
    </row>
    <row r="1610" spans="4:13">
      <c r="D1610" s="1" t="s">
        <v>199</v>
      </c>
      <c r="E1610" s="1" t="s">
        <v>685</v>
      </c>
      <c r="H1610" s="1" t="s">
        <v>22</v>
      </c>
      <c r="I1610" s="1" t="s">
        <v>23</v>
      </c>
      <c r="L1610" s="1">
        <v>1</v>
      </c>
      <c r="M1610" s="1">
        <v>0.3</v>
      </c>
    </row>
    <row r="1611" spans="4:13">
      <c r="D1611" s="1" t="s">
        <v>199</v>
      </c>
      <c r="E1611" s="1" t="s">
        <v>686</v>
      </c>
      <c r="H1611" s="1" t="s">
        <v>22</v>
      </c>
      <c r="I1611" s="1" t="s">
        <v>23</v>
      </c>
      <c r="L1611" s="1">
        <v>1</v>
      </c>
      <c r="M1611" s="1">
        <v>0.3</v>
      </c>
    </row>
    <row r="1612" spans="4:13">
      <c r="D1612" s="1" t="s">
        <v>199</v>
      </c>
      <c r="E1612" s="1" t="s">
        <v>687</v>
      </c>
      <c r="H1612" s="1" t="s">
        <v>22</v>
      </c>
      <c r="I1612" s="1" t="s">
        <v>23</v>
      </c>
      <c r="L1612" s="1">
        <v>1</v>
      </c>
      <c r="M1612" s="1">
        <v>0.3</v>
      </c>
    </row>
    <row r="1613" spans="4:13">
      <c r="D1613" s="1" t="s">
        <v>199</v>
      </c>
      <c r="E1613" s="1" t="s">
        <v>688</v>
      </c>
      <c r="H1613" s="1" t="s">
        <v>22</v>
      </c>
      <c r="I1613" s="1" t="s">
        <v>23</v>
      </c>
      <c r="L1613" s="1">
        <v>1</v>
      </c>
      <c r="M1613" s="1">
        <v>0.4</v>
      </c>
    </row>
    <row r="1614" spans="4:13">
      <c r="D1614" s="1" t="s">
        <v>199</v>
      </c>
      <c r="E1614" s="1" t="s">
        <v>689</v>
      </c>
      <c r="H1614" s="1" t="s">
        <v>22</v>
      </c>
      <c r="I1614" s="1" t="s">
        <v>23</v>
      </c>
      <c r="L1614" s="1">
        <v>1</v>
      </c>
      <c r="M1614" s="1">
        <v>0.4</v>
      </c>
    </row>
    <row r="1615" spans="4:13">
      <c r="D1615" s="1" t="s">
        <v>199</v>
      </c>
      <c r="E1615" s="1" t="s">
        <v>690</v>
      </c>
      <c r="H1615" s="1" t="s">
        <v>22</v>
      </c>
      <c r="I1615" s="1" t="s">
        <v>23</v>
      </c>
      <c r="L1615" s="1">
        <v>1</v>
      </c>
      <c r="M1615" s="1">
        <v>0.4</v>
      </c>
    </row>
    <row r="1616" spans="4:13">
      <c r="D1616" s="1" t="s">
        <v>199</v>
      </c>
      <c r="E1616" s="1" t="s">
        <v>691</v>
      </c>
      <c r="H1616" s="1" t="s">
        <v>22</v>
      </c>
      <c r="I1616" s="1" t="s">
        <v>23</v>
      </c>
      <c r="L1616" s="1">
        <v>1</v>
      </c>
      <c r="M1616" s="1">
        <v>0.4</v>
      </c>
    </row>
    <row r="1617" spans="4:13">
      <c r="D1617" s="1" t="s">
        <v>199</v>
      </c>
      <c r="E1617" s="1" t="s">
        <v>692</v>
      </c>
      <c r="H1617" s="1" t="s">
        <v>22</v>
      </c>
      <c r="I1617" s="1" t="s">
        <v>23</v>
      </c>
      <c r="L1617" s="1">
        <v>1</v>
      </c>
      <c r="M1617" s="1">
        <v>0.4</v>
      </c>
    </row>
    <row r="1618" spans="4:13">
      <c r="D1618" s="1" t="s">
        <v>199</v>
      </c>
      <c r="E1618" s="1" t="s">
        <v>693</v>
      </c>
      <c r="H1618" s="1" t="s">
        <v>22</v>
      </c>
      <c r="I1618" s="1" t="s">
        <v>23</v>
      </c>
      <c r="L1618" s="1">
        <v>1</v>
      </c>
      <c r="M1618" s="1">
        <v>0.4</v>
      </c>
    </row>
    <row r="1619" spans="4:13">
      <c r="D1619" s="1" t="s">
        <v>199</v>
      </c>
      <c r="E1619" s="1" t="s">
        <v>694</v>
      </c>
      <c r="H1619" s="1" t="s">
        <v>22</v>
      </c>
      <c r="I1619" s="1" t="s">
        <v>23</v>
      </c>
      <c r="L1619" s="1">
        <v>1</v>
      </c>
      <c r="M1619" s="1">
        <v>0.4</v>
      </c>
    </row>
    <row r="1620" spans="4:13">
      <c r="D1620" s="1" t="s">
        <v>199</v>
      </c>
      <c r="E1620" s="1" t="s">
        <v>695</v>
      </c>
      <c r="H1620" s="1" t="s">
        <v>22</v>
      </c>
      <c r="I1620" s="1" t="s">
        <v>23</v>
      </c>
      <c r="L1620" s="1">
        <v>1</v>
      </c>
      <c r="M1620" s="1">
        <v>0.4</v>
      </c>
    </row>
    <row r="1621" spans="4:13">
      <c r="D1621" s="1" t="s">
        <v>199</v>
      </c>
      <c r="E1621" s="1" t="s">
        <v>696</v>
      </c>
      <c r="H1621" s="1" t="s">
        <v>22</v>
      </c>
      <c r="I1621" s="1" t="s">
        <v>23</v>
      </c>
      <c r="L1621" s="1">
        <v>1</v>
      </c>
      <c r="M1621" s="1">
        <v>0.4</v>
      </c>
    </row>
    <row r="1622" spans="4:13">
      <c r="D1622" s="1" t="s">
        <v>199</v>
      </c>
      <c r="E1622" s="1" t="s">
        <v>697</v>
      </c>
      <c r="H1622" s="1" t="s">
        <v>22</v>
      </c>
      <c r="I1622" s="1" t="s">
        <v>23</v>
      </c>
      <c r="L1622" s="1">
        <v>1</v>
      </c>
      <c r="M1622" s="1">
        <v>0.5</v>
      </c>
    </row>
    <row r="1623" spans="4:13">
      <c r="D1623" s="1" t="s">
        <v>199</v>
      </c>
      <c r="E1623" s="1" t="s">
        <v>698</v>
      </c>
      <c r="H1623" s="1" t="s">
        <v>22</v>
      </c>
      <c r="I1623" s="1" t="s">
        <v>23</v>
      </c>
      <c r="L1623" s="1">
        <v>1</v>
      </c>
      <c r="M1623" s="1">
        <v>0.5</v>
      </c>
    </row>
    <row r="1624" spans="4:13">
      <c r="D1624" s="1" t="s">
        <v>199</v>
      </c>
      <c r="E1624" s="1" t="s">
        <v>699</v>
      </c>
      <c r="H1624" s="1" t="s">
        <v>22</v>
      </c>
      <c r="I1624" s="1" t="s">
        <v>23</v>
      </c>
      <c r="L1624" s="1">
        <v>1</v>
      </c>
      <c r="M1624" s="1">
        <v>0.5</v>
      </c>
    </row>
    <row r="1625" spans="4:13">
      <c r="D1625" s="1" t="s">
        <v>199</v>
      </c>
      <c r="E1625" s="1" t="s">
        <v>700</v>
      </c>
      <c r="H1625" s="1" t="s">
        <v>22</v>
      </c>
      <c r="I1625" s="1" t="s">
        <v>23</v>
      </c>
      <c r="L1625" s="1">
        <v>1</v>
      </c>
      <c r="M1625" s="1">
        <v>0.5</v>
      </c>
    </row>
    <row r="1626" spans="4:13">
      <c r="D1626" s="1" t="s">
        <v>199</v>
      </c>
      <c r="E1626" s="1" t="s">
        <v>701</v>
      </c>
      <c r="H1626" s="1" t="s">
        <v>22</v>
      </c>
      <c r="I1626" s="1" t="s">
        <v>23</v>
      </c>
      <c r="L1626" s="1">
        <v>1</v>
      </c>
      <c r="M1626" s="1">
        <v>0.5</v>
      </c>
    </row>
    <row r="1627" spans="4:13">
      <c r="D1627" s="1" t="s">
        <v>199</v>
      </c>
      <c r="E1627" s="1" t="s">
        <v>702</v>
      </c>
      <c r="H1627" s="1" t="s">
        <v>22</v>
      </c>
      <c r="I1627" s="1" t="s">
        <v>23</v>
      </c>
      <c r="L1627" s="1">
        <v>1</v>
      </c>
      <c r="M1627" s="1">
        <v>0.5</v>
      </c>
    </row>
    <row r="1628" spans="4:13">
      <c r="D1628" s="1" t="s">
        <v>199</v>
      </c>
      <c r="E1628" s="1" t="s">
        <v>703</v>
      </c>
      <c r="H1628" s="1" t="s">
        <v>22</v>
      </c>
      <c r="I1628" s="1" t="s">
        <v>23</v>
      </c>
      <c r="L1628" s="1">
        <v>1</v>
      </c>
      <c r="M1628" s="1">
        <v>0.5</v>
      </c>
    </row>
    <row r="1629" spans="4:13">
      <c r="D1629" s="1" t="s">
        <v>199</v>
      </c>
      <c r="E1629" s="1" t="s">
        <v>704</v>
      </c>
      <c r="H1629" s="1" t="s">
        <v>22</v>
      </c>
      <c r="I1629" s="1" t="s">
        <v>23</v>
      </c>
      <c r="L1629" s="1">
        <v>1</v>
      </c>
      <c r="M1629" s="1">
        <v>0.5</v>
      </c>
    </row>
    <row r="1630" spans="4:13">
      <c r="D1630" s="1" t="s">
        <v>199</v>
      </c>
      <c r="E1630" s="1" t="s">
        <v>705</v>
      </c>
      <c r="H1630" s="1" t="s">
        <v>22</v>
      </c>
      <c r="I1630" s="1" t="s">
        <v>23</v>
      </c>
      <c r="L1630" s="1">
        <v>1</v>
      </c>
      <c r="M1630" s="1">
        <v>0.5</v>
      </c>
    </row>
    <row r="1631" spans="4:13">
      <c r="D1631" s="1" t="s">
        <v>199</v>
      </c>
      <c r="E1631" s="1" t="s">
        <v>706</v>
      </c>
      <c r="H1631" s="1" t="s">
        <v>22</v>
      </c>
      <c r="I1631" s="1" t="s">
        <v>23</v>
      </c>
      <c r="L1631" s="1">
        <v>1</v>
      </c>
      <c r="M1631" s="1">
        <v>0.6</v>
      </c>
    </row>
    <row r="1632" spans="4:13">
      <c r="D1632" s="1" t="s">
        <v>199</v>
      </c>
      <c r="E1632" s="1" t="s">
        <v>707</v>
      </c>
      <c r="H1632" s="1" t="s">
        <v>22</v>
      </c>
      <c r="I1632" s="1" t="s">
        <v>23</v>
      </c>
      <c r="L1632" s="1">
        <v>1</v>
      </c>
      <c r="M1632" s="1">
        <v>0.6</v>
      </c>
    </row>
    <row r="1633" spans="4:13">
      <c r="D1633" s="1" t="s">
        <v>199</v>
      </c>
      <c r="E1633" s="1" t="s">
        <v>708</v>
      </c>
      <c r="H1633" s="1" t="s">
        <v>22</v>
      </c>
      <c r="I1633" s="1" t="s">
        <v>23</v>
      </c>
      <c r="L1633" s="1">
        <v>1</v>
      </c>
      <c r="M1633" s="1">
        <v>0.6</v>
      </c>
    </row>
    <row r="1634" spans="4:13">
      <c r="D1634" s="1" t="s">
        <v>199</v>
      </c>
      <c r="E1634" s="1" t="s">
        <v>709</v>
      </c>
      <c r="H1634" s="1" t="s">
        <v>22</v>
      </c>
      <c r="I1634" s="1" t="s">
        <v>23</v>
      </c>
      <c r="L1634" s="1">
        <v>1</v>
      </c>
      <c r="M1634" s="1">
        <v>0.6</v>
      </c>
    </row>
    <row r="1635" spans="4:13">
      <c r="D1635" s="1" t="s">
        <v>199</v>
      </c>
      <c r="E1635" s="1" t="s">
        <v>710</v>
      </c>
      <c r="H1635" s="1" t="s">
        <v>22</v>
      </c>
      <c r="I1635" s="1" t="s">
        <v>23</v>
      </c>
      <c r="L1635" s="1">
        <v>1</v>
      </c>
      <c r="M1635" s="1">
        <v>0.6</v>
      </c>
    </row>
    <row r="1636" spans="4:13">
      <c r="D1636" s="1" t="s">
        <v>199</v>
      </c>
      <c r="E1636" s="1" t="s">
        <v>711</v>
      </c>
      <c r="H1636" s="1" t="s">
        <v>22</v>
      </c>
      <c r="I1636" s="1" t="s">
        <v>23</v>
      </c>
      <c r="L1636" s="1">
        <v>1</v>
      </c>
      <c r="M1636" s="1">
        <v>0.6</v>
      </c>
    </row>
    <row r="1637" spans="4:13">
      <c r="D1637" s="1" t="s">
        <v>199</v>
      </c>
      <c r="E1637" s="1" t="s">
        <v>712</v>
      </c>
      <c r="H1637" s="1" t="s">
        <v>22</v>
      </c>
      <c r="I1637" s="1" t="s">
        <v>23</v>
      </c>
      <c r="L1637" s="1">
        <v>1</v>
      </c>
      <c r="M1637" s="1">
        <v>0.6</v>
      </c>
    </row>
    <row r="1638" spans="4:13">
      <c r="D1638" s="1" t="s">
        <v>199</v>
      </c>
      <c r="E1638" s="1" t="s">
        <v>713</v>
      </c>
      <c r="H1638" s="1" t="s">
        <v>22</v>
      </c>
      <c r="I1638" s="1" t="s">
        <v>23</v>
      </c>
      <c r="L1638" s="1">
        <v>1</v>
      </c>
      <c r="M1638" s="1">
        <v>0.6</v>
      </c>
    </row>
    <row r="1639" spans="4:13">
      <c r="D1639" s="1" t="s">
        <v>199</v>
      </c>
      <c r="E1639" s="1" t="s">
        <v>714</v>
      </c>
      <c r="H1639" s="1" t="s">
        <v>22</v>
      </c>
      <c r="I1639" s="1" t="s">
        <v>23</v>
      </c>
      <c r="L1639" s="1">
        <v>1</v>
      </c>
      <c r="M1639" s="1">
        <v>0.6</v>
      </c>
    </row>
    <row r="1640" spans="4:13">
      <c r="D1640" s="1" t="s">
        <v>199</v>
      </c>
      <c r="E1640" s="1" t="s">
        <v>715</v>
      </c>
      <c r="H1640" s="1" t="s">
        <v>22</v>
      </c>
      <c r="I1640" s="1" t="s">
        <v>23</v>
      </c>
      <c r="L1640" s="1">
        <v>1</v>
      </c>
      <c r="M1640" s="1">
        <v>0.7</v>
      </c>
    </row>
    <row r="1641" spans="4:13">
      <c r="D1641" s="1" t="s">
        <v>199</v>
      </c>
      <c r="E1641" s="1" t="s">
        <v>716</v>
      </c>
      <c r="H1641" s="1" t="s">
        <v>22</v>
      </c>
      <c r="I1641" s="1" t="s">
        <v>23</v>
      </c>
      <c r="L1641" s="1">
        <v>1</v>
      </c>
      <c r="M1641" s="1">
        <v>0.7</v>
      </c>
    </row>
    <row r="1642" spans="4:13">
      <c r="D1642" s="1" t="s">
        <v>199</v>
      </c>
      <c r="E1642" s="1" t="s">
        <v>717</v>
      </c>
      <c r="H1642" s="1" t="s">
        <v>22</v>
      </c>
      <c r="I1642" s="1" t="s">
        <v>23</v>
      </c>
      <c r="L1642" s="1">
        <v>1</v>
      </c>
      <c r="M1642" s="1">
        <v>0.7</v>
      </c>
    </row>
    <row r="1643" spans="4:13">
      <c r="D1643" s="1" t="s">
        <v>199</v>
      </c>
      <c r="E1643" s="1" t="s">
        <v>718</v>
      </c>
      <c r="H1643" s="1" t="s">
        <v>22</v>
      </c>
      <c r="I1643" s="1" t="s">
        <v>23</v>
      </c>
      <c r="L1643" s="1">
        <v>1</v>
      </c>
      <c r="M1643" s="1">
        <v>0.7</v>
      </c>
    </row>
    <row r="1644" spans="4:13">
      <c r="D1644" s="1" t="s">
        <v>199</v>
      </c>
      <c r="E1644" s="1" t="s">
        <v>719</v>
      </c>
      <c r="H1644" s="1" t="s">
        <v>22</v>
      </c>
      <c r="I1644" s="1" t="s">
        <v>23</v>
      </c>
      <c r="L1644" s="1">
        <v>1</v>
      </c>
      <c r="M1644" s="1">
        <v>0.7</v>
      </c>
    </row>
    <row r="1645" spans="4:13">
      <c r="D1645" s="1" t="s">
        <v>199</v>
      </c>
      <c r="E1645" s="1" t="s">
        <v>720</v>
      </c>
      <c r="H1645" s="1" t="s">
        <v>22</v>
      </c>
      <c r="I1645" s="1" t="s">
        <v>23</v>
      </c>
      <c r="L1645" s="1">
        <v>1</v>
      </c>
      <c r="M1645" s="1">
        <v>0.7</v>
      </c>
    </row>
    <row r="1646" spans="4:13">
      <c r="D1646" s="1" t="s">
        <v>199</v>
      </c>
      <c r="E1646" s="1" t="s">
        <v>721</v>
      </c>
      <c r="H1646" s="1" t="s">
        <v>22</v>
      </c>
      <c r="I1646" s="1" t="s">
        <v>23</v>
      </c>
      <c r="L1646" s="1">
        <v>1</v>
      </c>
      <c r="M1646" s="1">
        <v>0.7</v>
      </c>
    </row>
    <row r="1647" spans="4:13">
      <c r="D1647" s="1" t="s">
        <v>199</v>
      </c>
      <c r="E1647" s="1" t="s">
        <v>722</v>
      </c>
      <c r="H1647" s="1" t="s">
        <v>22</v>
      </c>
      <c r="I1647" s="1" t="s">
        <v>23</v>
      </c>
      <c r="L1647" s="1">
        <v>1</v>
      </c>
      <c r="M1647" s="1">
        <v>0.7</v>
      </c>
    </row>
    <row r="1648" spans="4:13">
      <c r="D1648" s="1" t="s">
        <v>199</v>
      </c>
      <c r="E1648" s="1" t="s">
        <v>723</v>
      </c>
      <c r="H1648" s="1" t="s">
        <v>22</v>
      </c>
      <c r="I1648" s="1" t="s">
        <v>23</v>
      </c>
      <c r="L1648" s="1">
        <v>1</v>
      </c>
      <c r="M1648" s="1">
        <v>0.7</v>
      </c>
    </row>
    <row r="1649" spans="4:13">
      <c r="D1649" s="1" t="s">
        <v>199</v>
      </c>
      <c r="E1649" s="1" t="s">
        <v>724</v>
      </c>
      <c r="H1649" s="1" t="s">
        <v>22</v>
      </c>
      <c r="I1649" s="1" t="s">
        <v>23</v>
      </c>
      <c r="L1649" s="1">
        <v>1</v>
      </c>
      <c r="M1649" s="1">
        <v>0.8</v>
      </c>
    </row>
    <row r="1650" spans="4:13">
      <c r="D1650" s="1" t="s">
        <v>199</v>
      </c>
      <c r="E1650" s="1" t="s">
        <v>725</v>
      </c>
      <c r="H1650" s="1" t="s">
        <v>22</v>
      </c>
      <c r="I1650" s="1" t="s">
        <v>23</v>
      </c>
      <c r="L1650" s="1">
        <v>1</v>
      </c>
      <c r="M1650" s="1">
        <v>0.8</v>
      </c>
    </row>
    <row r="1651" spans="4:13">
      <c r="D1651" s="1" t="s">
        <v>199</v>
      </c>
      <c r="E1651" s="1" t="s">
        <v>726</v>
      </c>
      <c r="H1651" s="1" t="s">
        <v>22</v>
      </c>
      <c r="I1651" s="1" t="s">
        <v>23</v>
      </c>
      <c r="L1651" s="1">
        <v>1</v>
      </c>
      <c r="M1651" s="1">
        <v>0.8</v>
      </c>
    </row>
    <row r="1652" spans="4:13">
      <c r="D1652" s="1" t="s">
        <v>199</v>
      </c>
      <c r="E1652" s="1" t="s">
        <v>727</v>
      </c>
      <c r="H1652" s="1" t="s">
        <v>22</v>
      </c>
      <c r="I1652" s="1" t="s">
        <v>23</v>
      </c>
      <c r="L1652" s="1">
        <v>1</v>
      </c>
      <c r="M1652" s="1">
        <v>0.8</v>
      </c>
    </row>
    <row r="1653" spans="4:13">
      <c r="D1653" s="1" t="s">
        <v>199</v>
      </c>
      <c r="E1653" s="1" t="s">
        <v>728</v>
      </c>
      <c r="H1653" s="1" t="s">
        <v>22</v>
      </c>
      <c r="I1653" s="1" t="s">
        <v>23</v>
      </c>
      <c r="L1653" s="1">
        <v>1</v>
      </c>
      <c r="M1653" s="1">
        <v>0.8</v>
      </c>
    </row>
    <row r="1654" spans="4:13">
      <c r="D1654" s="1" t="s">
        <v>199</v>
      </c>
      <c r="E1654" s="1" t="s">
        <v>729</v>
      </c>
      <c r="H1654" s="1" t="s">
        <v>22</v>
      </c>
      <c r="I1654" s="1" t="s">
        <v>23</v>
      </c>
      <c r="L1654" s="1">
        <v>1</v>
      </c>
      <c r="M1654" s="1">
        <v>0.8</v>
      </c>
    </row>
    <row r="1655" spans="4:13">
      <c r="D1655" s="1" t="s">
        <v>199</v>
      </c>
      <c r="E1655" s="1" t="s">
        <v>730</v>
      </c>
      <c r="H1655" s="1" t="s">
        <v>22</v>
      </c>
      <c r="I1655" s="1" t="s">
        <v>23</v>
      </c>
      <c r="L1655" s="1">
        <v>1</v>
      </c>
      <c r="M1655" s="1">
        <v>0.8</v>
      </c>
    </row>
    <row r="1656" spans="4:13">
      <c r="D1656" s="1" t="s">
        <v>199</v>
      </c>
      <c r="E1656" s="1" t="s">
        <v>731</v>
      </c>
      <c r="H1656" s="1" t="s">
        <v>22</v>
      </c>
      <c r="I1656" s="1" t="s">
        <v>23</v>
      </c>
      <c r="L1656" s="1">
        <v>1</v>
      </c>
      <c r="M1656" s="1">
        <v>0.8</v>
      </c>
    </row>
    <row r="1657" spans="4:13">
      <c r="D1657" s="1" t="s">
        <v>199</v>
      </c>
      <c r="E1657" s="1" t="s">
        <v>732</v>
      </c>
      <c r="H1657" s="1" t="s">
        <v>22</v>
      </c>
      <c r="I1657" s="1" t="s">
        <v>23</v>
      </c>
      <c r="L1657" s="1">
        <v>1</v>
      </c>
      <c r="M1657" s="1">
        <v>0.8</v>
      </c>
    </row>
    <row r="1658" spans="4:13">
      <c r="D1658" s="1" t="s">
        <v>199</v>
      </c>
      <c r="E1658" s="1" t="s">
        <v>733</v>
      </c>
      <c r="H1658" s="1" t="s">
        <v>22</v>
      </c>
      <c r="I1658" s="1" t="s">
        <v>23</v>
      </c>
      <c r="L1658" s="1">
        <v>1</v>
      </c>
      <c r="M1658" s="1">
        <v>0.9</v>
      </c>
    </row>
    <row r="1659" spans="4:13">
      <c r="D1659" s="1" t="s">
        <v>199</v>
      </c>
      <c r="E1659" s="1" t="s">
        <v>734</v>
      </c>
      <c r="H1659" s="1" t="s">
        <v>22</v>
      </c>
      <c r="I1659" s="1" t="s">
        <v>23</v>
      </c>
      <c r="L1659" s="1">
        <v>1</v>
      </c>
      <c r="M1659" s="1">
        <v>0.9</v>
      </c>
    </row>
    <row r="1660" spans="4:13">
      <c r="D1660" s="1" t="s">
        <v>199</v>
      </c>
      <c r="E1660" s="1" t="s">
        <v>735</v>
      </c>
      <c r="H1660" s="1" t="s">
        <v>22</v>
      </c>
      <c r="I1660" s="1" t="s">
        <v>23</v>
      </c>
      <c r="L1660" s="1">
        <v>1</v>
      </c>
      <c r="M1660" s="1">
        <v>0.9</v>
      </c>
    </row>
    <row r="1661" spans="4:13">
      <c r="D1661" s="1" t="s">
        <v>199</v>
      </c>
      <c r="E1661" s="1" t="s">
        <v>736</v>
      </c>
      <c r="H1661" s="1" t="s">
        <v>22</v>
      </c>
      <c r="I1661" s="1" t="s">
        <v>23</v>
      </c>
      <c r="L1661" s="1">
        <v>1</v>
      </c>
      <c r="M1661" s="1">
        <v>0.9</v>
      </c>
    </row>
    <row r="1662" spans="4:13">
      <c r="D1662" s="1" t="s">
        <v>199</v>
      </c>
      <c r="E1662" s="1" t="s">
        <v>737</v>
      </c>
      <c r="H1662" s="1" t="s">
        <v>22</v>
      </c>
      <c r="I1662" s="1" t="s">
        <v>23</v>
      </c>
      <c r="L1662" s="1">
        <v>1</v>
      </c>
      <c r="M1662" s="1">
        <v>0.9</v>
      </c>
    </row>
    <row r="1663" spans="4:13">
      <c r="D1663" s="1" t="s">
        <v>199</v>
      </c>
      <c r="E1663" s="1" t="s">
        <v>738</v>
      </c>
      <c r="H1663" s="1" t="s">
        <v>22</v>
      </c>
      <c r="I1663" s="1" t="s">
        <v>23</v>
      </c>
      <c r="L1663" s="1">
        <v>1</v>
      </c>
      <c r="M1663" s="1">
        <v>0.9</v>
      </c>
    </row>
    <row r="1664" spans="4:13">
      <c r="D1664" s="1" t="s">
        <v>199</v>
      </c>
      <c r="E1664" s="1" t="s">
        <v>739</v>
      </c>
      <c r="H1664" s="1" t="s">
        <v>22</v>
      </c>
      <c r="I1664" s="1" t="s">
        <v>23</v>
      </c>
      <c r="L1664" s="1">
        <v>1</v>
      </c>
      <c r="M1664" s="1">
        <v>0.9</v>
      </c>
    </row>
    <row r="1665" spans="4:13">
      <c r="D1665" s="1" t="s">
        <v>199</v>
      </c>
      <c r="E1665" s="1" t="s">
        <v>740</v>
      </c>
      <c r="H1665" s="1" t="s">
        <v>22</v>
      </c>
      <c r="I1665" s="1" t="s">
        <v>23</v>
      </c>
      <c r="L1665" s="1">
        <v>1</v>
      </c>
      <c r="M1665" s="1">
        <v>0.9</v>
      </c>
    </row>
    <row r="1666" spans="4:13">
      <c r="D1666" s="1" t="s">
        <v>199</v>
      </c>
      <c r="E1666" s="1" t="s">
        <v>741</v>
      </c>
      <c r="H1666" s="1" t="s">
        <v>22</v>
      </c>
      <c r="I1666" s="1" t="s">
        <v>23</v>
      </c>
      <c r="L1666" s="1">
        <v>1</v>
      </c>
      <c r="M1666" s="1">
        <v>0.9</v>
      </c>
    </row>
    <row r="1667" spans="4:13">
      <c r="D1667" s="1" t="s">
        <v>199</v>
      </c>
      <c r="E1667" s="1" t="s">
        <v>742</v>
      </c>
      <c r="H1667" s="1" t="s">
        <v>22</v>
      </c>
      <c r="I1667" s="1" t="s">
        <v>23</v>
      </c>
      <c r="L1667" s="1">
        <v>1</v>
      </c>
      <c r="M1667" s="1">
        <v>1</v>
      </c>
    </row>
    <row r="1668" spans="4:13">
      <c r="D1668" s="1" t="s">
        <v>199</v>
      </c>
      <c r="E1668" s="1" t="s">
        <v>743</v>
      </c>
      <c r="H1668" s="1" t="s">
        <v>22</v>
      </c>
      <c r="I1668" s="1" t="s">
        <v>23</v>
      </c>
      <c r="L1668" s="1">
        <v>1</v>
      </c>
      <c r="M1668" s="1">
        <v>1</v>
      </c>
    </row>
    <row r="1669" spans="4:13">
      <c r="D1669" s="1" t="s">
        <v>199</v>
      </c>
      <c r="E1669" s="1" t="s">
        <v>744</v>
      </c>
      <c r="H1669" s="1" t="s">
        <v>22</v>
      </c>
      <c r="I1669" s="1" t="s">
        <v>23</v>
      </c>
      <c r="L1669" s="1">
        <v>1</v>
      </c>
      <c r="M1669" s="1">
        <v>1</v>
      </c>
    </row>
    <row r="1670" spans="4:13">
      <c r="D1670" s="1" t="s">
        <v>199</v>
      </c>
      <c r="E1670" s="1" t="s">
        <v>745</v>
      </c>
      <c r="H1670" s="1" t="s">
        <v>22</v>
      </c>
      <c r="I1670" s="1" t="s">
        <v>23</v>
      </c>
      <c r="L1670" s="1">
        <v>1</v>
      </c>
      <c r="M1670" s="1">
        <v>1</v>
      </c>
    </row>
    <row r="1671" spans="4:13">
      <c r="D1671" s="1" t="s">
        <v>199</v>
      </c>
      <c r="E1671" s="1" t="s">
        <v>746</v>
      </c>
      <c r="H1671" s="1" t="s">
        <v>22</v>
      </c>
      <c r="I1671" s="1" t="s">
        <v>23</v>
      </c>
      <c r="L1671" s="1">
        <v>1</v>
      </c>
      <c r="M1671" s="1">
        <v>1</v>
      </c>
    </row>
    <row r="1672" spans="4:13">
      <c r="D1672" s="1" t="s">
        <v>199</v>
      </c>
      <c r="E1672" s="1" t="s">
        <v>747</v>
      </c>
      <c r="H1672" s="1" t="s">
        <v>22</v>
      </c>
      <c r="I1672" s="1" t="s">
        <v>23</v>
      </c>
      <c r="L1672" s="1">
        <v>1</v>
      </c>
      <c r="M1672" s="1">
        <v>1</v>
      </c>
    </row>
    <row r="1673" spans="4:13">
      <c r="D1673" s="1" t="s">
        <v>199</v>
      </c>
      <c r="E1673" s="1" t="s">
        <v>748</v>
      </c>
      <c r="H1673" s="1" t="s">
        <v>22</v>
      </c>
      <c r="I1673" s="1" t="s">
        <v>23</v>
      </c>
      <c r="L1673" s="1">
        <v>1</v>
      </c>
      <c r="M1673" s="1">
        <v>1</v>
      </c>
    </row>
    <row r="1674" spans="4:13">
      <c r="D1674" s="1" t="s">
        <v>199</v>
      </c>
      <c r="E1674" s="1" t="s">
        <v>749</v>
      </c>
      <c r="H1674" s="1" t="s">
        <v>22</v>
      </c>
      <c r="I1674" s="1" t="s">
        <v>23</v>
      </c>
      <c r="L1674" s="1">
        <v>1</v>
      </c>
      <c r="M1674" s="1">
        <v>1</v>
      </c>
    </row>
    <row r="1675" spans="4:13">
      <c r="D1675" s="1" t="s">
        <v>199</v>
      </c>
      <c r="E1675" s="1" t="s">
        <v>750</v>
      </c>
      <c r="H1675" s="1" t="s">
        <v>22</v>
      </c>
      <c r="I1675" s="1" t="s">
        <v>23</v>
      </c>
      <c r="L1675" s="1">
        <v>1</v>
      </c>
      <c r="M1675" s="1">
        <v>1</v>
      </c>
    </row>
    <row r="1676" spans="4:13">
      <c r="D1676" s="1" t="s">
        <v>199</v>
      </c>
      <c r="E1676" s="1" t="s">
        <v>751</v>
      </c>
      <c r="H1676" s="1" t="s">
        <v>22</v>
      </c>
      <c r="I1676" s="1" t="s">
        <v>23</v>
      </c>
      <c r="L1676" s="1">
        <v>1</v>
      </c>
      <c r="M1676" s="1">
        <v>1.1000000000000001</v>
      </c>
    </row>
    <row r="1677" spans="4:13">
      <c r="D1677" s="1" t="s">
        <v>199</v>
      </c>
      <c r="E1677" s="1" t="s">
        <v>752</v>
      </c>
      <c r="H1677" s="1" t="s">
        <v>22</v>
      </c>
      <c r="I1677" s="1" t="s">
        <v>23</v>
      </c>
      <c r="L1677" s="1">
        <v>1</v>
      </c>
      <c r="M1677" s="1">
        <v>1.1000000000000001</v>
      </c>
    </row>
    <row r="1678" spans="4:13">
      <c r="D1678" s="1" t="s">
        <v>199</v>
      </c>
      <c r="E1678" s="1" t="s">
        <v>753</v>
      </c>
      <c r="H1678" s="1" t="s">
        <v>22</v>
      </c>
      <c r="I1678" s="1" t="s">
        <v>23</v>
      </c>
      <c r="L1678" s="1">
        <v>1</v>
      </c>
      <c r="M1678" s="1">
        <v>1.1000000000000001</v>
      </c>
    </row>
    <row r="1679" spans="4:13">
      <c r="D1679" s="1" t="s">
        <v>199</v>
      </c>
      <c r="E1679" s="1" t="s">
        <v>754</v>
      </c>
      <c r="H1679" s="1" t="s">
        <v>22</v>
      </c>
      <c r="I1679" s="1" t="s">
        <v>23</v>
      </c>
      <c r="L1679" s="1">
        <v>1</v>
      </c>
      <c r="M1679" s="1">
        <v>1.1000000000000001</v>
      </c>
    </row>
    <row r="1680" spans="4:13">
      <c r="D1680" s="1" t="s">
        <v>199</v>
      </c>
      <c r="E1680" s="1" t="s">
        <v>755</v>
      </c>
      <c r="H1680" s="1" t="s">
        <v>22</v>
      </c>
      <c r="I1680" s="1" t="s">
        <v>23</v>
      </c>
      <c r="L1680" s="1">
        <v>1</v>
      </c>
      <c r="M1680" s="1">
        <v>1.1000000000000001</v>
      </c>
    </row>
    <row r="1681" spans="4:13">
      <c r="D1681" s="1" t="s">
        <v>199</v>
      </c>
      <c r="E1681" s="1" t="s">
        <v>756</v>
      </c>
      <c r="H1681" s="1" t="s">
        <v>22</v>
      </c>
      <c r="I1681" s="1" t="s">
        <v>23</v>
      </c>
      <c r="L1681" s="1">
        <v>1</v>
      </c>
      <c r="M1681" s="1">
        <v>1.1000000000000001</v>
      </c>
    </row>
    <row r="1682" spans="4:13">
      <c r="D1682" s="1" t="s">
        <v>199</v>
      </c>
      <c r="E1682" s="1" t="s">
        <v>757</v>
      </c>
      <c r="H1682" s="1" t="s">
        <v>22</v>
      </c>
      <c r="I1682" s="1" t="s">
        <v>23</v>
      </c>
      <c r="L1682" s="1">
        <v>1</v>
      </c>
      <c r="M1682" s="1">
        <v>1.1000000000000001</v>
      </c>
    </row>
    <row r="1683" spans="4:13">
      <c r="D1683" s="1" t="s">
        <v>199</v>
      </c>
      <c r="E1683" s="1" t="s">
        <v>758</v>
      </c>
      <c r="H1683" s="1" t="s">
        <v>22</v>
      </c>
      <c r="I1683" s="1" t="s">
        <v>23</v>
      </c>
      <c r="L1683" s="1">
        <v>1</v>
      </c>
      <c r="M1683" s="1">
        <v>1.1000000000000001</v>
      </c>
    </row>
    <row r="1684" spans="4:13">
      <c r="D1684" s="1" t="s">
        <v>199</v>
      </c>
      <c r="E1684" s="1" t="s">
        <v>759</v>
      </c>
      <c r="H1684" s="1" t="s">
        <v>22</v>
      </c>
      <c r="I1684" s="1" t="s">
        <v>23</v>
      </c>
      <c r="L1684" s="1">
        <v>1</v>
      </c>
      <c r="M1684" s="1">
        <v>1.1000000000000001</v>
      </c>
    </row>
    <row r="1685" spans="4:13">
      <c r="D1685" s="1" t="s">
        <v>199</v>
      </c>
      <c r="E1685" s="1" t="s">
        <v>760</v>
      </c>
      <c r="H1685" s="1" t="s">
        <v>22</v>
      </c>
      <c r="I1685" s="1" t="s">
        <v>23</v>
      </c>
      <c r="L1685" s="1">
        <v>1</v>
      </c>
      <c r="M1685" s="1">
        <v>1.2</v>
      </c>
    </row>
    <row r="1686" spans="4:13">
      <c r="D1686" s="1" t="s">
        <v>199</v>
      </c>
      <c r="E1686" s="1" t="s">
        <v>761</v>
      </c>
      <c r="H1686" s="1" t="s">
        <v>22</v>
      </c>
      <c r="I1686" s="1" t="s">
        <v>23</v>
      </c>
      <c r="L1686" s="1">
        <v>1</v>
      </c>
      <c r="M1686" s="1">
        <v>1.2</v>
      </c>
    </row>
    <row r="1687" spans="4:13">
      <c r="D1687" s="1" t="s">
        <v>199</v>
      </c>
      <c r="E1687" s="1" t="s">
        <v>762</v>
      </c>
      <c r="H1687" s="1" t="s">
        <v>22</v>
      </c>
      <c r="I1687" s="1" t="s">
        <v>23</v>
      </c>
      <c r="L1687" s="1">
        <v>1</v>
      </c>
      <c r="M1687" s="1">
        <v>1.2</v>
      </c>
    </row>
    <row r="1688" spans="4:13">
      <c r="D1688" s="1" t="s">
        <v>199</v>
      </c>
      <c r="E1688" s="1" t="s">
        <v>763</v>
      </c>
      <c r="H1688" s="1" t="s">
        <v>22</v>
      </c>
      <c r="I1688" s="1" t="s">
        <v>23</v>
      </c>
      <c r="L1688" s="1">
        <v>1</v>
      </c>
      <c r="M1688" s="1">
        <v>1.2</v>
      </c>
    </row>
    <row r="1689" spans="4:13">
      <c r="D1689" s="1" t="s">
        <v>199</v>
      </c>
      <c r="E1689" s="1" t="s">
        <v>764</v>
      </c>
      <c r="H1689" s="1" t="s">
        <v>22</v>
      </c>
      <c r="I1689" s="1" t="s">
        <v>23</v>
      </c>
      <c r="L1689" s="1">
        <v>1</v>
      </c>
      <c r="M1689" s="1">
        <v>1.2</v>
      </c>
    </row>
    <row r="1690" spans="4:13">
      <c r="D1690" s="1" t="s">
        <v>199</v>
      </c>
      <c r="E1690" s="1" t="s">
        <v>765</v>
      </c>
      <c r="H1690" s="1" t="s">
        <v>22</v>
      </c>
      <c r="I1690" s="1" t="s">
        <v>23</v>
      </c>
      <c r="L1690" s="1">
        <v>1</v>
      </c>
      <c r="M1690" s="1">
        <v>1.2</v>
      </c>
    </row>
    <row r="1691" spans="4:13">
      <c r="D1691" s="1" t="s">
        <v>199</v>
      </c>
      <c r="E1691" s="1" t="s">
        <v>766</v>
      </c>
      <c r="H1691" s="1" t="s">
        <v>22</v>
      </c>
      <c r="I1691" s="1" t="s">
        <v>23</v>
      </c>
      <c r="L1691" s="1">
        <v>1</v>
      </c>
      <c r="M1691" s="1">
        <v>1.2</v>
      </c>
    </row>
    <row r="1692" spans="4:13">
      <c r="D1692" s="1" t="s">
        <v>199</v>
      </c>
      <c r="E1692" s="1" t="s">
        <v>767</v>
      </c>
      <c r="H1692" s="1" t="s">
        <v>22</v>
      </c>
      <c r="I1692" s="1" t="s">
        <v>23</v>
      </c>
      <c r="L1692" s="1">
        <v>1</v>
      </c>
      <c r="M1692" s="1">
        <v>1.2</v>
      </c>
    </row>
    <row r="1693" spans="4:13">
      <c r="D1693" s="1" t="s">
        <v>199</v>
      </c>
      <c r="E1693" s="1" t="s">
        <v>768</v>
      </c>
      <c r="H1693" s="1" t="s">
        <v>22</v>
      </c>
      <c r="I1693" s="1" t="s">
        <v>23</v>
      </c>
      <c r="L1693" s="1">
        <v>1</v>
      </c>
      <c r="M1693" s="1">
        <v>1.2</v>
      </c>
    </row>
    <row r="1694" spans="4:13">
      <c r="D1694" s="1" t="s">
        <v>199</v>
      </c>
      <c r="E1694" s="1" t="s">
        <v>769</v>
      </c>
      <c r="H1694" s="1" t="s">
        <v>22</v>
      </c>
      <c r="I1694" s="1" t="s">
        <v>23</v>
      </c>
      <c r="L1694" s="1">
        <v>1</v>
      </c>
      <c r="M1694" s="1">
        <v>1.3</v>
      </c>
    </row>
    <row r="1695" spans="4:13">
      <c r="D1695" s="1" t="s">
        <v>199</v>
      </c>
      <c r="E1695" s="1" t="s">
        <v>770</v>
      </c>
      <c r="H1695" s="1" t="s">
        <v>22</v>
      </c>
      <c r="I1695" s="1" t="s">
        <v>23</v>
      </c>
      <c r="L1695" s="1">
        <v>1</v>
      </c>
      <c r="M1695" s="1">
        <v>1.3</v>
      </c>
    </row>
    <row r="1696" spans="4:13">
      <c r="D1696" s="1" t="s">
        <v>199</v>
      </c>
      <c r="E1696" s="1" t="s">
        <v>771</v>
      </c>
      <c r="H1696" s="1" t="s">
        <v>22</v>
      </c>
      <c r="I1696" s="1" t="s">
        <v>23</v>
      </c>
      <c r="L1696" s="1">
        <v>1</v>
      </c>
      <c r="M1696" s="1">
        <v>1.3</v>
      </c>
    </row>
    <row r="1697" spans="4:13">
      <c r="D1697" s="1" t="s">
        <v>199</v>
      </c>
      <c r="E1697" s="1" t="s">
        <v>772</v>
      </c>
      <c r="H1697" s="1" t="s">
        <v>22</v>
      </c>
      <c r="I1697" s="1" t="s">
        <v>23</v>
      </c>
      <c r="L1697" s="1">
        <v>1</v>
      </c>
      <c r="M1697" s="1">
        <v>1.3</v>
      </c>
    </row>
    <row r="1698" spans="4:13">
      <c r="D1698" s="1" t="s">
        <v>199</v>
      </c>
      <c r="E1698" s="1" t="s">
        <v>773</v>
      </c>
      <c r="H1698" s="1" t="s">
        <v>22</v>
      </c>
      <c r="I1698" s="1" t="s">
        <v>23</v>
      </c>
      <c r="L1698" s="1">
        <v>1</v>
      </c>
      <c r="M1698" s="1">
        <v>1.3</v>
      </c>
    </row>
    <row r="1699" spans="4:13">
      <c r="D1699" s="1" t="s">
        <v>199</v>
      </c>
      <c r="E1699" s="1" t="s">
        <v>774</v>
      </c>
      <c r="H1699" s="1" t="s">
        <v>22</v>
      </c>
      <c r="I1699" s="1" t="s">
        <v>23</v>
      </c>
      <c r="L1699" s="1">
        <v>1</v>
      </c>
      <c r="M1699" s="1">
        <v>1.3</v>
      </c>
    </row>
    <row r="1700" spans="4:13">
      <c r="D1700" s="1" t="s">
        <v>199</v>
      </c>
      <c r="E1700" s="1" t="s">
        <v>775</v>
      </c>
      <c r="H1700" s="1" t="s">
        <v>22</v>
      </c>
      <c r="I1700" s="1" t="s">
        <v>23</v>
      </c>
      <c r="L1700" s="1">
        <v>1</v>
      </c>
      <c r="M1700" s="1">
        <v>1.3</v>
      </c>
    </row>
    <row r="1701" spans="4:13">
      <c r="D1701" s="1" t="s">
        <v>199</v>
      </c>
      <c r="E1701" s="1" t="s">
        <v>776</v>
      </c>
      <c r="H1701" s="1" t="s">
        <v>22</v>
      </c>
      <c r="I1701" s="1" t="s">
        <v>23</v>
      </c>
      <c r="L1701" s="1">
        <v>1</v>
      </c>
      <c r="M1701" s="1">
        <v>1.3</v>
      </c>
    </row>
    <row r="1702" spans="4:13">
      <c r="D1702" s="1" t="s">
        <v>199</v>
      </c>
      <c r="E1702" s="1" t="s">
        <v>777</v>
      </c>
      <c r="H1702" s="1" t="s">
        <v>22</v>
      </c>
      <c r="I1702" s="1" t="s">
        <v>23</v>
      </c>
      <c r="L1702" s="1">
        <v>1</v>
      </c>
      <c r="M1702" s="1">
        <v>1.3</v>
      </c>
    </row>
    <row r="1703" spans="4:13">
      <c r="D1703" s="1" t="s">
        <v>199</v>
      </c>
      <c r="E1703" s="1" t="s">
        <v>778</v>
      </c>
      <c r="H1703" s="1" t="s">
        <v>22</v>
      </c>
      <c r="I1703" s="1" t="s">
        <v>23</v>
      </c>
      <c r="L1703" s="1">
        <v>1</v>
      </c>
      <c r="M1703" s="1">
        <v>1.4</v>
      </c>
    </row>
    <row r="1704" spans="4:13">
      <c r="D1704" s="1" t="s">
        <v>199</v>
      </c>
      <c r="E1704" s="1" t="s">
        <v>779</v>
      </c>
      <c r="H1704" s="1" t="s">
        <v>22</v>
      </c>
      <c r="I1704" s="1" t="s">
        <v>23</v>
      </c>
      <c r="L1704" s="1">
        <v>1</v>
      </c>
      <c r="M1704" s="1">
        <v>1.4</v>
      </c>
    </row>
    <row r="1705" spans="4:13">
      <c r="D1705" s="1" t="s">
        <v>199</v>
      </c>
      <c r="E1705" s="1" t="s">
        <v>780</v>
      </c>
      <c r="H1705" s="1" t="s">
        <v>22</v>
      </c>
      <c r="I1705" s="1" t="s">
        <v>23</v>
      </c>
      <c r="L1705" s="1">
        <v>1</v>
      </c>
      <c r="M1705" s="1">
        <v>1.4</v>
      </c>
    </row>
    <row r="1706" spans="4:13">
      <c r="D1706" s="1" t="s">
        <v>199</v>
      </c>
      <c r="E1706" s="1" t="s">
        <v>781</v>
      </c>
      <c r="H1706" s="1" t="s">
        <v>22</v>
      </c>
      <c r="I1706" s="1" t="s">
        <v>23</v>
      </c>
      <c r="L1706" s="1">
        <v>1</v>
      </c>
      <c r="M1706" s="1">
        <v>1.4</v>
      </c>
    </row>
    <row r="1707" spans="4:13">
      <c r="D1707" s="1" t="s">
        <v>199</v>
      </c>
      <c r="E1707" s="1" t="s">
        <v>782</v>
      </c>
      <c r="H1707" s="1" t="s">
        <v>22</v>
      </c>
      <c r="I1707" s="1" t="s">
        <v>23</v>
      </c>
      <c r="L1707" s="1">
        <v>1</v>
      </c>
      <c r="M1707" s="1">
        <v>1.4</v>
      </c>
    </row>
    <row r="1708" spans="4:13">
      <c r="D1708" s="1" t="s">
        <v>199</v>
      </c>
      <c r="E1708" s="1" t="s">
        <v>783</v>
      </c>
      <c r="H1708" s="1" t="s">
        <v>22</v>
      </c>
      <c r="I1708" s="1" t="s">
        <v>23</v>
      </c>
      <c r="L1708" s="1">
        <v>1</v>
      </c>
      <c r="M1708" s="1">
        <v>1.4</v>
      </c>
    </row>
    <row r="1709" spans="4:13">
      <c r="D1709" s="1" t="s">
        <v>199</v>
      </c>
      <c r="E1709" s="1" t="s">
        <v>784</v>
      </c>
      <c r="H1709" s="1" t="s">
        <v>22</v>
      </c>
      <c r="I1709" s="1" t="s">
        <v>23</v>
      </c>
      <c r="L1709" s="1">
        <v>1</v>
      </c>
      <c r="M1709" s="1">
        <v>1.4</v>
      </c>
    </row>
    <row r="1710" spans="4:13">
      <c r="D1710" s="1" t="s">
        <v>199</v>
      </c>
      <c r="E1710" s="1" t="s">
        <v>785</v>
      </c>
      <c r="H1710" s="1" t="s">
        <v>22</v>
      </c>
      <c r="I1710" s="1" t="s">
        <v>23</v>
      </c>
      <c r="L1710" s="1">
        <v>1</v>
      </c>
      <c r="M1710" s="1">
        <v>1.4</v>
      </c>
    </row>
    <row r="1711" spans="4:13">
      <c r="D1711" s="1" t="s">
        <v>199</v>
      </c>
      <c r="E1711" s="1" t="s">
        <v>786</v>
      </c>
      <c r="H1711" s="1" t="s">
        <v>22</v>
      </c>
      <c r="I1711" s="1" t="s">
        <v>23</v>
      </c>
      <c r="L1711" s="1">
        <v>1</v>
      </c>
      <c r="M1711" s="1">
        <v>1.4</v>
      </c>
    </row>
    <row r="1712" spans="4:13">
      <c r="D1712" s="1" t="s">
        <v>199</v>
      </c>
      <c r="E1712" s="1" t="s">
        <v>787</v>
      </c>
      <c r="H1712" s="1" t="s">
        <v>22</v>
      </c>
      <c r="I1712" s="1" t="s">
        <v>23</v>
      </c>
      <c r="L1712" s="1">
        <v>1</v>
      </c>
      <c r="M1712" s="1">
        <v>1.5</v>
      </c>
    </row>
    <row r="1713" spans="4:13">
      <c r="D1713" s="1" t="s">
        <v>199</v>
      </c>
      <c r="E1713" s="1" t="s">
        <v>788</v>
      </c>
      <c r="H1713" s="1" t="s">
        <v>22</v>
      </c>
      <c r="I1713" s="1" t="s">
        <v>23</v>
      </c>
      <c r="L1713" s="1">
        <v>1</v>
      </c>
      <c r="M1713" s="1">
        <v>1.5</v>
      </c>
    </row>
    <row r="1714" spans="4:13">
      <c r="D1714" s="1" t="s">
        <v>199</v>
      </c>
      <c r="E1714" s="1" t="s">
        <v>789</v>
      </c>
      <c r="H1714" s="1" t="s">
        <v>22</v>
      </c>
      <c r="I1714" s="1" t="s">
        <v>23</v>
      </c>
      <c r="L1714" s="1">
        <v>1</v>
      </c>
      <c r="M1714" s="1">
        <v>1.5</v>
      </c>
    </row>
    <row r="1715" spans="4:13">
      <c r="D1715" s="1" t="s">
        <v>199</v>
      </c>
      <c r="E1715" s="1" t="s">
        <v>790</v>
      </c>
      <c r="H1715" s="1" t="s">
        <v>22</v>
      </c>
      <c r="I1715" s="1" t="s">
        <v>23</v>
      </c>
      <c r="L1715" s="1">
        <v>1</v>
      </c>
      <c r="M1715" s="1">
        <v>1.5</v>
      </c>
    </row>
    <row r="1716" spans="4:13">
      <c r="D1716" s="1" t="s">
        <v>199</v>
      </c>
      <c r="E1716" s="1" t="s">
        <v>791</v>
      </c>
      <c r="H1716" s="1" t="s">
        <v>22</v>
      </c>
      <c r="I1716" s="1" t="s">
        <v>23</v>
      </c>
      <c r="L1716" s="1">
        <v>1</v>
      </c>
      <c r="M1716" s="1">
        <v>1.5</v>
      </c>
    </row>
    <row r="1717" spans="4:13">
      <c r="D1717" s="1" t="s">
        <v>199</v>
      </c>
      <c r="E1717" s="1" t="s">
        <v>792</v>
      </c>
      <c r="H1717" s="1" t="s">
        <v>22</v>
      </c>
      <c r="I1717" s="1" t="s">
        <v>23</v>
      </c>
      <c r="L1717" s="1">
        <v>1</v>
      </c>
      <c r="M1717" s="1">
        <v>1.5</v>
      </c>
    </row>
    <row r="1718" spans="4:13">
      <c r="D1718" s="1" t="s">
        <v>199</v>
      </c>
      <c r="E1718" s="1" t="s">
        <v>793</v>
      </c>
      <c r="H1718" s="1" t="s">
        <v>22</v>
      </c>
      <c r="I1718" s="1" t="s">
        <v>23</v>
      </c>
      <c r="L1718" s="1">
        <v>1</v>
      </c>
      <c r="M1718" s="1">
        <v>1.5</v>
      </c>
    </row>
    <row r="1719" spans="4:13">
      <c r="D1719" s="1" t="s">
        <v>199</v>
      </c>
      <c r="E1719" s="1" t="s">
        <v>794</v>
      </c>
      <c r="H1719" s="1" t="s">
        <v>22</v>
      </c>
      <c r="I1719" s="1" t="s">
        <v>23</v>
      </c>
      <c r="L1719" s="1">
        <v>1</v>
      </c>
      <c r="M1719" s="1">
        <v>1.5</v>
      </c>
    </row>
    <row r="1720" spans="4:13">
      <c r="D1720" s="1" t="s">
        <v>199</v>
      </c>
      <c r="E1720" s="1" t="s">
        <v>795</v>
      </c>
      <c r="H1720" s="1" t="s">
        <v>22</v>
      </c>
      <c r="I1720" s="1" t="s">
        <v>23</v>
      </c>
      <c r="L1720" s="1">
        <v>1</v>
      </c>
      <c r="M1720" s="1">
        <v>1.5</v>
      </c>
    </row>
    <row r="1721" spans="4:13">
      <c r="D1721" s="1" t="s">
        <v>199</v>
      </c>
      <c r="E1721" s="1" t="s">
        <v>796</v>
      </c>
      <c r="H1721" s="1" t="s">
        <v>22</v>
      </c>
      <c r="I1721" s="1" t="s">
        <v>23</v>
      </c>
      <c r="L1721" s="1">
        <v>1</v>
      </c>
      <c r="M1721" s="1">
        <v>0</v>
      </c>
    </row>
    <row r="1722" spans="4:13">
      <c r="D1722" s="1" t="s">
        <v>199</v>
      </c>
      <c r="E1722" s="1" t="s">
        <v>797</v>
      </c>
      <c r="H1722" s="1" t="s">
        <v>22</v>
      </c>
      <c r="I1722" s="1" t="s">
        <v>23</v>
      </c>
      <c r="L1722" s="1">
        <v>1</v>
      </c>
      <c r="M1722" s="1">
        <v>0</v>
      </c>
    </row>
    <row r="1723" spans="4:13">
      <c r="D1723" s="1" t="s">
        <v>199</v>
      </c>
      <c r="E1723" s="1" t="s">
        <v>798</v>
      </c>
      <c r="H1723" s="1" t="s">
        <v>22</v>
      </c>
      <c r="I1723" s="1" t="s">
        <v>23</v>
      </c>
      <c r="L1723" s="1">
        <v>1</v>
      </c>
      <c r="M1723" s="1">
        <v>0</v>
      </c>
    </row>
    <row r="1724" spans="4:13">
      <c r="D1724" s="1" t="s">
        <v>199</v>
      </c>
      <c r="E1724" s="1" t="s">
        <v>799</v>
      </c>
      <c r="H1724" s="1" t="s">
        <v>22</v>
      </c>
      <c r="I1724" s="1" t="s">
        <v>23</v>
      </c>
      <c r="L1724" s="1">
        <v>1</v>
      </c>
      <c r="M1724" s="1">
        <v>0</v>
      </c>
    </row>
    <row r="1725" spans="4:13">
      <c r="D1725" s="1" t="s">
        <v>199</v>
      </c>
      <c r="E1725" s="1" t="s">
        <v>800</v>
      </c>
      <c r="H1725" s="1" t="s">
        <v>22</v>
      </c>
      <c r="I1725" s="1" t="s">
        <v>23</v>
      </c>
      <c r="L1725" s="1">
        <v>1</v>
      </c>
      <c r="M1725" s="1">
        <v>0</v>
      </c>
    </row>
    <row r="1726" spans="4:13">
      <c r="D1726" s="1" t="s">
        <v>199</v>
      </c>
      <c r="E1726" s="1" t="s">
        <v>801</v>
      </c>
      <c r="H1726" s="1" t="s">
        <v>22</v>
      </c>
      <c r="I1726" s="1" t="s">
        <v>23</v>
      </c>
      <c r="L1726" s="1">
        <v>1</v>
      </c>
      <c r="M1726" s="1">
        <v>0</v>
      </c>
    </row>
    <row r="1727" spans="4:13">
      <c r="D1727" s="1" t="s">
        <v>199</v>
      </c>
      <c r="E1727" s="1" t="s">
        <v>802</v>
      </c>
      <c r="H1727" s="1" t="s">
        <v>22</v>
      </c>
      <c r="I1727" s="1" t="s">
        <v>23</v>
      </c>
      <c r="L1727" s="1">
        <v>1</v>
      </c>
      <c r="M1727" s="1">
        <v>0</v>
      </c>
    </row>
    <row r="1728" spans="4:13">
      <c r="D1728" s="1" t="s">
        <v>199</v>
      </c>
      <c r="E1728" s="1" t="s">
        <v>803</v>
      </c>
      <c r="H1728" s="1" t="s">
        <v>22</v>
      </c>
      <c r="I1728" s="1" t="s">
        <v>23</v>
      </c>
      <c r="L1728" s="1">
        <v>1</v>
      </c>
      <c r="M1728" s="1">
        <v>0</v>
      </c>
    </row>
    <row r="1729" spans="4:13">
      <c r="D1729" s="1" t="s">
        <v>199</v>
      </c>
      <c r="E1729" s="1" t="s">
        <v>804</v>
      </c>
      <c r="H1729" s="1" t="s">
        <v>22</v>
      </c>
      <c r="I1729" s="1" t="s">
        <v>23</v>
      </c>
      <c r="L1729" s="1">
        <v>1</v>
      </c>
      <c r="M1729" s="1">
        <v>0</v>
      </c>
    </row>
    <row r="1730" spans="4:13">
      <c r="D1730" s="1" t="s">
        <v>199</v>
      </c>
      <c r="E1730" s="1" t="s">
        <v>805</v>
      </c>
      <c r="H1730" s="1" t="s">
        <v>22</v>
      </c>
      <c r="I1730" s="1" t="s">
        <v>23</v>
      </c>
      <c r="L1730" s="1">
        <v>1</v>
      </c>
      <c r="M1730" s="1">
        <v>0.1</v>
      </c>
    </row>
    <row r="1731" spans="4:13">
      <c r="D1731" s="1" t="s">
        <v>199</v>
      </c>
      <c r="E1731" s="1" t="s">
        <v>806</v>
      </c>
      <c r="H1731" s="1" t="s">
        <v>22</v>
      </c>
      <c r="I1731" s="1" t="s">
        <v>23</v>
      </c>
      <c r="L1731" s="1">
        <v>1</v>
      </c>
      <c r="M1731" s="1">
        <v>0.1</v>
      </c>
    </row>
    <row r="1732" spans="4:13">
      <c r="D1732" s="1" t="s">
        <v>199</v>
      </c>
      <c r="E1732" s="1" t="s">
        <v>807</v>
      </c>
      <c r="H1732" s="1" t="s">
        <v>22</v>
      </c>
      <c r="I1732" s="1" t="s">
        <v>23</v>
      </c>
      <c r="L1732" s="1">
        <v>1</v>
      </c>
      <c r="M1732" s="1">
        <v>0.2</v>
      </c>
    </row>
    <row r="1733" spans="4:13">
      <c r="D1733" s="1" t="s">
        <v>199</v>
      </c>
      <c r="E1733" s="1" t="s">
        <v>808</v>
      </c>
      <c r="H1733" s="1" t="s">
        <v>22</v>
      </c>
      <c r="I1733" s="1" t="s">
        <v>23</v>
      </c>
      <c r="L1733" s="1">
        <v>1</v>
      </c>
      <c r="M1733" s="1">
        <v>0.2</v>
      </c>
    </row>
    <row r="1734" spans="4:13">
      <c r="D1734" s="1" t="s">
        <v>199</v>
      </c>
      <c r="E1734" s="1" t="s">
        <v>809</v>
      </c>
      <c r="H1734" s="1" t="s">
        <v>22</v>
      </c>
      <c r="I1734" s="1" t="s">
        <v>23</v>
      </c>
      <c r="L1734" s="1">
        <v>1</v>
      </c>
      <c r="M1734" s="1">
        <v>0.2</v>
      </c>
    </row>
    <row r="1735" spans="4:13">
      <c r="D1735" s="1" t="s">
        <v>199</v>
      </c>
      <c r="E1735" s="1" t="s">
        <v>810</v>
      </c>
      <c r="H1735" s="1" t="s">
        <v>22</v>
      </c>
      <c r="I1735" s="1" t="s">
        <v>23</v>
      </c>
      <c r="L1735" s="1">
        <v>1</v>
      </c>
      <c r="M1735" s="1">
        <v>0.2</v>
      </c>
    </row>
    <row r="1736" spans="4:13">
      <c r="D1736" s="1" t="s">
        <v>199</v>
      </c>
      <c r="E1736" s="1" t="s">
        <v>811</v>
      </c>
      <c r="H1736" s="1" t="s">
        <v>22</v>
      </c>
      <c r="I1736" s="1" t="s">
        <v>23</v>
      </c>
      <c r="L1736" s="1">
        <v>1</v>
      </c>
      <c r="M1736" s="1">
        <v>0.2</v>
      </c>
    </row>
    <row r="1737" spans="4:13">
      <c r="D1737" s="1" t="s">
        <v>199</v>
      </c>
      <c r="E1737" s="1" t="s">
        <v>812</v>
      </c>
      <c r="H1737" s="1" t="s">
        <v>22</v>
      </c>
      <c r="I1737" s="1" t="s">
        <v>23</v>
      </c>
      <c r="L1737" s="1">
        <v>1</v>
      </c>
      <c r="M1737" s="1">
        <v>0.3</v>
      </c>
    </row>
    <row r="1738" spans="4:13">
      <c r="D1738" s="1" t="s">
        <v>199</v>
      </c>
      <c r="E1738" s="1" t="s">
        <v>813</v>
      </c>
      <c r="H1738" s="1" t="s">
        <v>22</v>
      </c>
      <c r="I1738" s="1" t="s">
        <v>23</v>
      </c>
      <c r="L1738" s="1">
        <v>1</v>
      </c>
      <c r="M1738" s="1">
        <v>0.3</v>
      </c>
    </row>
    <row r="1739" spans="4:13">
      <c r="D1739" s="1" t="s">
        <v>199</v>
      </c>
      <c r="E1739" s="1" t="s">
        <v>814</v>
      </c>
      <c r="H1739" s="1" t="s">
        <v>22</v>
      </c>
      <c r="I1739" s="1" t="s">
        <v>23</v>
      </c>
      <c r="L1739" s="1">
        <v>1</v>
      </c>
      <c r="M1739" s="1">
        <v>0.3</v>
      </c>
    </row>
    <row r="1740" spans="4:13">
      <c r="D1740" s="1" t="s">
        <v>199</v>
      </c>
      <c r="E1740" s="1" t="s">
        <v>815</v>
      </c>
      <c r="H1740" s="1" t="s">
        <v>22</v>
      </c>
      <c r="I1740" s="1" t="s">
        <v>23</v>
      </c>
      <c r="L1740" s="1">
        <v>1</v>
      </c>
      <c r="M1740" s="1">
        <v>0.3</v>
      </c>
    </row>
    <row r="1741" spans="4:13">
      <c r="D1741" s="1" t="s">
        <v>199</v>
      </c>
      <c r="E1741" s="1" t="s">
        <v>816</v>
      </c>
      <c r="H1741" s="1" t="s">
        <v>22</v>
      </c>
      <c r="I1741" s="1" t="s">
        <v>23</v>
      </c>
      <c r="L1741" s="1">
        <v>1</v>
      </c>
      <c r="M1741" s="1">
        <v>0.4</v>
      </c>
    </row>
    <row r="1742" spans="4:13">
      <c r="D1742" s="1" t="s">
        <v>199</v>
      </c>
      <c r="E1742" s="1" t="s">
        <v>817</v>
      </c>
      <c r="H1742" s="1" t="s">
        <v>22</v>
      </c>
      <c r="I1742" s="1" t="s">
        <v>23</v>
      </c>
      <c r="L1742" s="1">
        <v>1</v>
      </c>
      <c r="M1742" s="1">
        <v>0.4</v>
      </c>
    </row>
    <row r="1743" spans="4:13">
      <c r="D1743" s="1" t="s">
        <v>199</v>
      </c>
      <c r="E1743" s="1" t="s">
        <v>818</v>
      </c>
      <c r="H1743" s="1" t="s">
        <v>22</v>
      </c>
      <c r="I1743" s="1" t="s">
        <v>23</v>
      </c>
      <c r="L1743" s="1">
        <v>1</v>
      </c>
      <c r="M1743" s="1">
        <v>0.5</v>
      </c>
    </row>
    <row r="1744" spans="4:13">
      <c r="D1744" s="1" t="s">
        <v>199</v>
      </c>
      <c r="E1744" s="1" t="s">
        <v>819</v>
      </c>
      <c r="H1744" s="1" t="s">
        <v>22</v>
      </c>
      <c r="I1744" s="1" t="s">
        <v>23</v>
      </c>
      <c r="L1744" s="1">
        <v>1</v>
      </c>
      <c r="M1744" s="1">
        <v>0.5</v>
      </c>
    </row>
    <row r="1745" spans="4:13">
      <c r="D1745" s="1" t="s">
        <v>199</v>
      </c>
      <c r="E1745" s="1" t="s">
        <v>820</v>
      </c>
      <c r="H1745" s="1" t="s">
        <v>22</v>
      </c>
      <c r="I1745" s="1" t="s">
        <v>23</v>
      </c>
      <c r="L1745" s="1">
        <v>1</v>
      </c>
      <c r="M1745" s="1">
        <v>0.5</v>
      </c>
    </row>
    <row r="1746" spans="4:13">
      <c r="D1746" s="1" t="s">
        <v>199</v>
      </c>
      <c r="E1746" s="1" t="s">
        <v>821</v>
      </c>
      <c r="H1746" s="1" t="s">
        <v>22</v>
      </c>
      <c r="I1746" s="1" t="s">
        <v>23</v>
      </c>
      <c r="L1746" s="1">
        <v>1</v>
      </c>
      <c r="M1746" s="1">
        <v>0.5</v>
      </c>
    </row>
    <row r="1747" spans="4:13">
      <c r="D1747" s="1" t="s">
        <v>199</v>
      </c>
      <c r="E1747" s="1" t="s">
        <v>822</v>
      </c>
      <c r="H1747" s="1" t="s">
        <v>22</v>
      </c>
      <c r="I1747" s="1" t="s">
        <v>23</v>
      </c>
      <c r="L1747" s="1">
        <v>1</v>
      </c>
      <c r="M1747" s="1">
        <v>0.5</v>
      </c>
    </row>
    <row r="1748" spans="4:13">
      <c r="D1748" s="1" t="s">
        <v>199</v>
      </c>
      <c r="E1748" s="1" t="s">
        <v>823</v>
      </c>
      <c r="H1748" s="1" t="s">
        <v>22</v>
      </c>
      <c r="I1748" s="1" t="s">
        <v>23</v>
      </c>
      <c r="L1748" s="1">
        <v>1</v>
      </c>
      <c r="M1748" s="1">
        <v>0.5</v>
      </c>
    </row>
    <row r="1749" spans="4:13">
      <c r="D1749" s="1" t="s">
        <v>199</v>
      </c>
      <c r="E1749" s="1" t="s">
        <v>824</v>
      </c>
      <c r="H1749" s="1" t="s">
        <v>22</v>
      </c>
      <c r="I1749" s="1" t="s">
        <v>23</v>
      </c>
      <c r="L1749" s="1">
        <v>1</v>
      </c>
      <c r="M1749" s="1">
        <v>0.6</v>
      </c>
    </row>
    <row r="1750" spans="4:13">
      <c r="D1750" s="1" t="s">
        <v>199</v>
      </c>
      <c r="E1750" s="1" t="s">
        <v>825</v>
      </c>
      <c r="H1750" s="1" t="s">
        <v>22</v>
      </c>
      <c r="I1750" s="1" t="s">
        <v>23</v>
      </c>
      <c r="L1750" s="1">
        <v>1</v>
      </c>
      <c r="M1750" s="1">
        <v>0.6</v>
      </c>
    </row>
    <row r="1751" spans="4:13">
      <c r="D1751" s="1" t="s">
        <v>199</v>
      </c>
      <c r="E1751" s="1" t="s">
        <v>826</v>
      </c>
      <c r="H1751" s="1" t="s">
        <v>22</v>
      </c>
      <c r="I1751" s="1" t="s">
        <v>23</v>
      </c>
      <c r="L1751" s="1">
        <v>1</v>
      </c>
      <c r="M1751" s="1">
        <v>0.6</v>
      </c>
    </row>
    <row r="1752" spans="4:13">
      <c r="D1752" s="1" t="s">
        <v>199</v>
      </c>
      <c r="E1752" s="1" t="s">
        <v>827</v>
      </c>
      <c r="H1752" s="1" t="s">
        <v>22</v>
      </c>
      <c r="I1752" s="1" t="s">
        <v>23</v>
      </c>
      <c r="L1752" s="1">
        <v>1</v>
      </c>
      <c r="M1752" s="1">
        <v>0.6</v>
      </c>
    </row>
    <row r="1753" spans="4:13">
      <c r="D1753" s="1" t="s">
        <v>199</v>
      </c>
      <c r="E1753" s="1" t="s">
        <v>828</v>
      </c>
      <c r="H1753" s="1" t="s">
        <v>22</v>
      </c>
      <c r="I1753" s="1" t="s">
        <v>23</v>
      </c>
      <c r="L1753" s="1">
        <v>1</v>
      </c>
      <c r="M1753" s="1">
        <v>0.7</v>
      </c>
    </row>
    <row r="1754" spans="4:13">
      <c r="D1754" s="1" t="s">
        <v>199</v>
      </c>
      <c r="E1754" s="1" t="s">
        <v>829</v>
      </c>
      <c r="H1754" s="1" t="s">
        <v>22</v>
      </c>
      <c r="I1754" s="1" t="s">
        <v>23</v>
      </c>
      <c r="L1754" s="1">
        <v>1</v>
      </c>
      <c r="M1754" s="1">
        <v>0.7</v>
      </c>
    </row>
    <row r="1755" spans="4:13">
      <c r="D1755" s="1" t="s">
        <v>199</v>
      </c>
      <c r="E1755" s="1" t="s">
        <v>830</v>
      </c>
      <c r="H1755" s="1" t="s">
        <v>22</v>
      </c>
      <c r="I1755" s="1" t="s">
        <v>23</v>
      </c>
      <c r="L1755" s="1">
        <v>1</v>
      </c>
      <c r="M1755" s="1">
        <v>0.7</v>
      </c>
    </row>
    <row r="1756" spans="4:13">
      <c r="D1756" s="1" t="s">
        <v>199</v>
      </c>
      <c r="E1756" s="1" t="s">
        <v>831</v>
      </c>
      <c r="H1756" s="1" t="s">
        <v>22</v>
      </c>
      <c r="I1756" s="1" t="s">
        <v>23</v>
      </c>
      <c r="L1756" s="1">
        <v>1</v>
      </c>
      <c r="M1756" s="1">
        <v>0.7</v>
      </c>
    </row>
    <row r="1757" spans="4:13">
      <c r="D1757" s="1" t="s">
        <v>199</v>
      </c>
      <c r="E1757" s="1" t="s">
        <v>832</v>
      </c>
      <c r="H1757" s="1" t="s">
        <v>22</v>
      </c>
      <c r="I1757" s="1" t="s">
        <v>23</v>
      </c>
      <c r="L1757" s="1">
        <v>1</v>
      </c>
      <c r="M1757" s="1">
        <v>0.7</v>
      </c>
    </row>
    <row r="1758" spans="4:13">
      <c r="D1758" s="1" t="s">
        <v>199</v>
      </c>
      <c r="E1758" s="1" t="s">
        <v>833</v>
      </c>
      <c r="H1758" s="1" t="s">
        <v>22</v>
      </c>
      <c r="I1758" s="1" t="s">
        <v>23</v>
      </c>
      <c r="L1758" s="1">
        <v>1</v>
      </c>
      <c r="M1758" s="1">
        <v>0.7</v>
      </c>
    </row>
    <row r="1759" spans="4:13">
      <c r="D1759" s="1" t="s">
        <v>199</v>
      </c>
      <c r="E1759" s="1" t="s">
        <v>834</v>
      </c>
      <c r="H1759" s="1" t="s">
        <v>22</v>
      </c>
      <c r="I1759" s="1" t="s">
        <v>23</v>
      </c>
      <c r="L1759" s="1">
        <v>1</v>
      </c>
      <c r="M1759" s="1">
        <v>0.7</v>
      </c>
    </row>
    <row r="1760" spans="4:13">
      <c r="D1760" s="1" t="s">
        <v>199</v>
      </c>
      <c r="E1760" s="1" t="s">
        <v>835</v>
      </c>
      <c r="H1760" s="1" t="s">
        <v>22</v>
      </c>
      <c r="I1760" s="1" t="s">
        <v>23</v>
      </c>
      <c r="L1760" s="1">
        <v>1</v>
      </c>
      <c r="M1760" s="1">
        <v>0.8</v>
      </c>
    </row>
    <row r="1761" spans="4:13">
      <c r="D1761" s="1" t="s">
        <v>199</v>
      </c>
      <c r="E1761" s="1" t="s">
        <v>836</v>
      </c>
      <c r="H1761" s="1" t="s">
        <v>22</v>
      </c>
      <c r="I1761" s="1" t="s">
        <v>23</v>
      </c>
      <c r="L1761" s="1">
        <v>1</v>
      </c>
      <c r="M1761" s="1">
        <v>0.8</v>
      </c>
    </row>
    <row r="1762" spans="4:13">
      <c r="D1762" s="1" t="s">
        <v>199</v>
      </c>
      <c r="E1762" s="1" t="s">
        <v>837</v>
      </c>
      <c r="H1762" s="1" t="s">
        <v>22</v>
      </c>
      <c r="I1762" s="1" t="s">
        <v>23</v>
      </c>
      <c r="L1762" s="1">
        <v>1</v>
      </c>
      <c r="M1762" s="1">
        <v>0.8</v>
      </c>
    </row>
    <row r="1763" spans="4:13">
      <c r="D1763" s="1" t="s">
        <v>199</v>
      </c>
      <c r="E1763" s="1" t="s">
        <v>838</v>
      </c>
      <c r="H1763" s="1" t="s">
        <v>22</v>
      </c>
      <c r="I1763" s="1" t="s">
        <v>23</v>
      </c>
      <c r="L1763" s="1">
        <v>1</v>
      </c>
      <c r="M1763" s="1">
        <v>0.9</v>
      </c>
    </row>
    <row r="1764" spans="4:13">
      <c r="D1764" s="1" t="s">
        <v>199</v>
      </c>
      <c r="E1764" s="1" t="s">
        <v>839</v>
      </c>
      <c r="H1764" s="1" t="s">
        <v>22</v>
      </c>
      <c r="I1764" s="1" t="s">
        <v>23</v>
      </c>
      <c r="L1764" s="1">
        <v>1</v>
      </c>
      <c r="M1764" s="1">
        <v>0.9</v>
      </c>
    </row>
    <row r="1765" spans="4:13">
      <c r="D1765" s="1" t="s">
        <v>199</v>
      </c>
      <c r="E1765" s="1" t="s">
        <v>840</v>
      </c>
      <c r="H1765" s="1" t="s">
        <v>22</v>
      </c>
      <c r="I1765" s="1" t="s">
        <v>23</v>
      </c>
      <c r="L1765" s="1">
        <v>1</v>
      </c>
      <c r="M1765" s="1">
        <v>1</v>
      </c>
    </row>
    <row r="1766" spans="4:13">
      <c r="D1766" s="1" t="s">
        <v>199</v>
      </c>
      <c r="E1766" s="1" t="s">
        <v>841</v>
      </c>
      <c r="H1766" s="1" t="s">
        <v>22</v>
      </c>
      <c r="I1766" s="1" t="s">
        <v>23</v>
      </c>
      <c r="L1766" s="1">
        <v>1</v>
      </c>
      <c r="M1766" s="1">
        <v>1</v>
      </c>
    </row>
    <row r="1767" spans="4:13">
      <c r="D1767" s="1" t="s">
        <v>199</v>
      </c>
      <c r="E1767" s="1" t="s">
        <v>842</v>
      </c>
      <c r="H1767" s="1" t="s">
        <v>22</v>
      </c>
      <c r="I1767" s="1" t="s">
        <v>23</v>
      </c>
      <c r="L1767" s="1">
        <v>1</v>
      </c>
      <c r="M1767" s="1">
        <v>1</v>
      </c>
    </row>
    <row r="1768" spans="4:13">
      <c r="D1768" s="1" t="s">
        <v>199</v>
      </c>
      <c r="E1768" s="1" t="s">
        <v>843</v>
      </c>
      <c r="H1768" s="1" t="s">
        <v>22</v>
      </c>
      <c r="I1768" s="1" t="s">
        <v>23</v>
      </c>
      <c r="L1768" s="1">
        <v>1</v>
      </c>
      <c r="M1768" s="1">
        <v>1</v>
      </c>
    </row>
    <row r="1769" spans="4:13">
      <c r="D1769" s="1" t="s">
        <v>199</v>
      </c>
      <c r="E1769" s="1" t="s">
        <v>844</v>
      </c>
      <c r="H1769" s="1" t="s">
        <v>22</v>
      </c>
      <c r="I1769" s="1" t="s">
        <v>23</v>
      </c>
      <c r="L1769" s="1">
        <v>1</v>
      </c>
      <c r="M1769" s="1">
        <v>1.1000000000000001</v>
      </c>
    </row>
    <row r="1770" spans="4:13">
      <c r="D1770" s="1" t="s">
        <v>199</v>
      </c>
      <c r="E1770" s="1" t="s">
        <v>845</v>
      </c>
      <c r="H1770" s="1" t="s">
        <v>22</v>
      </c>
      <c r="I1770" s="1" t="s">
        <v>23</v>
      </c>
      <c r="L1770" s="1">
        <v>1</v>
      </c>
      <c r="M1770" s="1">
        <v>1.1000000000000001</v>
      </c>
    </row>
    <row r="1771" spans="4:13">
      <c r="D1771" s="1" t="s">
        <v>199</v>
      </c>
      <c r="E1771" s="1" t="s">
        <v>846</v>
      </c>
      <c r="H1771" s="1" t="s">
        <v>22</v>
      </c>
      <c r="I1771" s="1" t="s">
        <v>23</v>
      </c>
      <c r="L1771" s="1">
        <v>1</v>
      </c>
      <c r="M1771" s="1">
        <v>1.1000000000000001</v>
      </c>
    </row>
    <row r="1772" spans="4:13">
      <c r="D1772" s="1" t="s">
        <v>199</v>
      </c>
      <c r="E1772" s="1" t="s">
        <v>847</v>
      </c>
      <c r="H1772" s="1" t="s">
        <v>22</v>
      </c>
      <c r="I1772" s="1" t="s">
        <v>23</v>
      </c>
      <c r="L1772" s="1">
        <v>1</v>
      </c>
      <c r="M1772" s="1">
        <v>1.1000000000000001</v>
      </c>
    </row>
    <row r="1773" spans="4:13">
      <c r="D1773" s="1" t="s">
        <v>199</v>
      </c>
      <c r="E1773" s="1" t="s">
        <v>848</v>
      </c>
      <c r="H1773" s="1" t="s">
        <v>22</v>
      </c>
      <c r="I1773" s="1" t="s">
        <v>23</v>
      </c>
      <c r="L1773" s="1">
        <v>1</v>
      </c>
      <c r="M1773" s="1">
        <v>1.1000000000000001</v>
      </c>
    </row>
    <row r="1774" spans="4:13">
      <c r="D1774" s="1" t="s">
        <v>199</v>
      </c>
      <c r="E1774" s="1" t="s">
        <v>849</v>
      </c>
      <c r="H1774" s="1" t="s">
        <v>22</v>
      </c>
      <c r="I1774" s="1" t="s">
        <v>23</v>
      </c>
      <c r="L1774" s="1">
        <v>1</v>
      </c>
      <c r="M1774" s="1">
        <v>1.1000000000000001</v>
      </c>
    </row>
    <row r="1775" spans="4:13">
      <c r="D1775" s="1" t="s">
        <v>199</v>
      </c>
      <c r="E1775" s="1" t="s">
        <v>850</v>
      </c>
      <c r="H1775" s="1" t="s">
        <v>22</v>
      </c>
      <c r="I1775" s="1" t="s">
        <v>23</v>
      </c>
      <c r="L1775" s="1">
        <v>1</v>
      </c>
      <c r="M1775" s="1">
        <v>1.2</v>
      </c>
    </row>
    <row r="1776" spans="4:13">
      <c r="D1776" s="1" t="s">
        <v>199</v>
      </c>
      <c r="E1776" s="1" t="s">
        <v>851</v>
      </c>
      <c r="H1776" s="1" t="s">
        <v>22</v>
      </c>
      <c r="I1776" s="1" t="s">
        <v>23</v>
      </c>
      <c r="L1776" s="1">
        <v>1</v>
      </c>
      <c r="M1776" s="1">
        <v>1.2</v>
      </c>
    </row>
    <row r="1777" spans="4:13">
      <c r="D1777" s="1" t="s">
        <v>199</v>
      </c>
      <c r="E1777" s="1" t="s">
        <v>852</v>
      </c>
      <c r="H1777" s="1" t="s">
        <v>22</v>
      </c>
      <c r="I1777" s="1" t="s">
        <v>23</v>
      </c>
      <c r="L1777" s="1">
        <v>1</v>
      </c>
      <c r="M1777" s="1">
        <v>1.2</v>
      </c>
    </row>
    <row r="1778" spans="4:13">
      <c r="D1778" s="1" t="s">
        <v>199</v>
      </c>
      <c r="E1778" s="1" t="s">
        <v>853</v>
      </c>
      <c r="H1778" s="1" t="s">
        <v>22</v>
      </c>
      <c r="I1778" s="1" t="s">
        <v>23</v>
      </c>
      <c r="L1778" s="1">
        <v>1</v>
      </c>
      <c r="M1778" s="1">
        <v>1.2</v>
      </c>
    </row>
    <row r="1779" spans="4:13">
      <c r="D1779" s="1" t="s">
        <v>199</v>
      </c>
      <c r="E1779" s="1" t="s">
        <v>854</v>
      </c>
      <c r="H1779" s="1" t="s">
        <v>22</v>
      </c>
      <c r="I1779" s="1" t="s">
        <v>23</v>
      </c>
      <c r="L1779" s="1">
        <v>1</v>
      </c>
      <c r="M1779" s="1">
        <v>1.2</v>
      </c>
    </row>
    <row r="1780" spans="4:13">
      <c r="D1780" s="1" t="s">
        <v>199</v>
      </c>
      <c r="E1780" s="1" t="s">
        <v>855</v>
      </c>
      <c r="H1780" s="1" t="s">
        <v>22</v>
      </c>
      <c r="I1780" s="1" t="s">
        <v>23</v>
      </c>
      <c r="L1780" s="1">
        <v>1</v>
      </c>
      <c r="M1780" s="1">
        <v>1.3</v>
      </c>
    </row>
    <row r="1781" spans="4:13">
      <c r="D1781" s="1" t="s">
        <v>199</v>
      </c>
      <c r="E1781" s="1" t="s">
        <v>856</v>
      </c>
      <c r="H1781" s="1" t="s">
        <v>22</v>
      </c>
      <c r="I1781" s="1" t="s">
        <v>23</v>
      </c>
      <c r="L1781" s="1">
        <v>1</v>
      </c>
      <c r="M1781" s="1">
        <v>1.3</v>
      </c>
    </row>
    <row r="1782" spans="4:13">
      <c r="D1782" s="1" t="s">
        <v>199</v>
      </c>
      <c r="E1782" s="1" t="s">
        <v>857</v>
      </c>
      <c r="H1782" s="1" t="s">
        <v>22</v>
      </c>
      <c r="I1782" s="1" t="s">
        <v>23</v>
      </c>
      <c r="L1782" s="1">
        <v>1</v>
      </c>
      <c r="M1782" s="1">
        <v>1.4</v>
      </c>
    </row>
    <row r="1783" spans="4:13">
      <c r="D1783" s="1" t="s">
        <v>199</v>
      </c>
      <c r="E1783" s="1" t="s">
        <v>858</v>
      </c>
      <c r="H1783" s="1" t="s">
        <v>22</v>
      </c>
      <c r="I1783" s="1" t="s">
        <v>23</v>
      </c>
      <c r="L1783" s="1">
        <v>1</v>
      </c>
      <c r="M1783" s="1">
        <v>1.4</v>
      </c>
    </row>
    <row r="1784" spans="4:13">
      <c r="D1784" s="1" t="s">
        <v>199</v>
      </c>
      <c r="E1784" s="1" t="s">
        <v>859</v>
      </c>
      <c r="H1784" s="1" t="s">
        <v>22</v>
      </c>
      <c r="I1784" s="1" t="s">
        <v>23</v>
      </c>
      <c r="L1784" s="1">
        <v>1</v>
      </c>
      <c r="M1784" s="1">
        <v>1.4</v>
      </c>
    </row>
    <row r="1785" spans="4:13">
      <c r="D1785" s="1" t="s">
        <v>199</v>
      </c>
      <c r="E1785" s="1" t="s">
        <v>860</v>
      </c>
      <c r="H1785" s="1" t="s">
        <v>22</v>
      </c>
      <c r="I1785" s="1" t="s">
        <v>23</v>
      </c>
      <c r="L1785" s="1">
        <v>1</v>
      </c>
      <c r="M1785" s="1">
        <v>1.4</v>
      </c>
    </row>
    <row r="1786" spans="4:13">
      <c r="D1786" s="1" t="s">
        <v>199</v>
      </c>
      <c r="E1786" s="1" t="s">
        <v>861</v>
      </c>
      <c r="H1786" s="1" t="s">
        <v>22</v>
      </c>
      <c r="I1786" s="1" t="s">
        <v>23</v>
      </c>
      <c r="L1786" s="1">
        <v>1</v>
      </c>
      <c r="M1786" s="1">
        <v>1.4</v>
      </c>
    </row>
    <row r="1787" spans="4:13">
      <c r="D1787" s="1" t="s">
        <v>199</v>
      </c>
      <c r="E1787" s="1" t="s">
        <v>862</v>
      </c>
      <c r="H1787" s="1" t="s">
        <v>22</v>
      </c>
      <c r="I1787" s="1" t="s">
        <v>23</v>
      </c>
      <c r="L1787" s="1">
        <v>1</v>
      </c>
      <c r="M1787" s="1">
        <v>1.4</v>
      </c>
    </row>
    <row r="1788" spans="4:13">
      <c r="D1788" s="1" t="s">
        <v>199</v>
      </c>
      <c r="E1788" s="1" t="s">
        <v>863</v>
      </c>
      <c r="H1788" s="1" t="s">
        <v>22</v>
      </c>
      <c r="I1788" s="1" t="s">
        <v>23</v>
      </c>
      <c r="L1788" s="1">
        <v>1</v>
      </c>
      <c r="M1788" s="1">
        <v>1.4</v>
      </c>
    </row>
    <row r="1789" spans="4:13">
      <c r="D1789" s="1" t="s">
        <v>199</v>
      </c>
      <c r="E1789" s="1" t="s">
        <v>864</v>
      </c>
      <c r="H1789" s="1" t="s">
        <v>22</v>
      </c>
      <c r="I1789" s="1" t="s">
        <v>23</v>
      </c>
      <c r="L1789" s="1">
        <v>1</v>
      </c>
      <c r="M1789" s="1">
        <v>1.5</v>
      </c>
    </row>
    <row r="1790" spans="4:13">
      <c r="D1790" s="1" t="s">
        <v>199</v>
      </c>
      <c r="E1790" s="1" t="s">
        <v>865</v>
      </c>
      <c r="H1790" s="1" t="s">
        <v>22</v>
      </c>
      <c r="I1790" s="1" t="s">
        <v>23</v>
      </c>
      <c r="L1790" s="1">
        <v>1</v>
      </c>
      <c r="M1790" s="1">
        <v>1.5</v>
      </c>
    </row>
    <row r="1791" spans="4:13">
      <c r="D1791" s="1" t="s">
        <v>199</v>
      </c>
      <c r="E1791" s="1" t="s">
        <v>866</v>
      </c>
      <c r="H1791" s="1" t="s">
        <v>22</v>
      </c>
      <c r="I1791" s="1" t="s">
        <v>23</v>
      </c>
      <c r="L1791" s="1">
        <v>1</v>
      </c>
      <c r="M1791" s="1">
        <v>1.5</v>
      </c>
    </row>
    <row r="1792" spans="4:13">
      <c r="D1792" s="1" t="s">
        <v>199</v>
      </c>
      <c r="E1792" s="1" t="s">
        <v>867</v>
      </c>
      <c r="H1792" s="1" t="s">
        <v>22</v>
      </c>
      <c r="I1792" s="1" t="s">
        <v>23</v>
      </c>
      <c r="L1792" s="1">
        <v>1</v>
      </c>
      <c r="M1792" s="1">
        <v>1.5</v>
      </c>
    </row>
    <row r="1793" spans="4:13">
      <c r="D1793" s="1" t="s">
        <v>199</v>
      </c>
      <c r="E1793" s="1" t="s">
        <v>868</v>
      </c>
      <c r="H1793" s="1" t="s">
        <v>22</v>
      </c>
      <c r="I1793" s="1" t="s">
        <v>23</v>
      </c>
      <c r="L1793" s="1">
        <v>1</v>
      </c>
      <c r="M1793" s="1">
        <v>1.5</v>
      </c>
    </row>
    <row r="1794" spans="4:13">
      <c r="D1794" s="1" t="s">
        <v>199</v>
      </c>
      <c r="E1794" s="1" t="s">
        <v>869</v>
      </c>
      <c r="H1794" s="1" t="s">
        <v>22</v>
      </c>
      <c r="I1794" s="1" t="s">
        <v>23</v>
      </c>
      <c r="L1794" s="1">
        <v>1</v>
      </c>
      <c r="M1794" s="1">
        <v>1.5</v>
      </c>
    </row>
    <row r="1795" spans="4:13">
      <c r="D1795" s="1" t="s">
        <v>199</v>
      </c>
      <c r="E1795" s="1" t="s">
        <v>870</v>
      </c>
      <c r="H1795" s="1" t="s">
        <v>22</v>
      </c>
      <c r="I1795" s="1" t="s">
        <v>23</v>
      </c>
      <c r="L1795" s="1">
        <v>1</v>
      </c>
      <c r="M1795" s="1">
        <v>1.5</v>
      </c>
    </row>
    <row r="1796" spans="4:13">
      <c r="D1796" s="1" t="s">
        <v>199</v>
      </c>
      <c r="E1796" s="1" t="s">
        <v>871</v>
      </c>
      <c r="H1796" s="1" t="s">
        <v>25</v>
      </c>
      <c r="I1796" s="1" t="s">
        <v>23</v>
      </c>
      <c r="M1796" s="1" t="b">
        <v>1</v>
      </c>
    </row>
    <row r="1797" spans="4:13">
      <c r="D1797" s="1" t="s">
        <v>199</v>
      </c>
      <c r="E1797" s="1" t="s">
        <v>872</v>
      </c>
      <c r="F1797" s="1" t="s">
        <v>147</v>
      </c>
      <c r="G1797" s="1" t="s">
        <v>148</v>
      </c>
      <c r="H1797" s="1" t="s">
        <v>22</v>
      </c>
      <c r="I1797" s="1" t="s">
        <v>23</v>
      </c>
      <c r="J1797" s="1">
        <v>0</v>
      </c>
      <c r="K1797" s="1">
        <v>34121416.351331003</v>
      </c>
      <c r="L1797" s="1">
        <v>3.4121416351331</v>
      </c>
      <c r="M1797" s="1">
        <v>1706.07081756655</v>
      </c>
    </row>
    <row r="1798" spans="4:13">
      <c r="D1798" s="1" t="s">
        <v>199</v>
      </c>
      <c r="E1798" s="1" t="s">
        <v>873</v>
      </c>
      <c r="F1798" s="1" t="s">
        <v>874</v>
      </c>
      <c r="G1798" s="1" t="s">
        <v>874</v>
      </c>
      <c r="H1798" s="1" t="s">
        <v>22</v>
      </c>
      <c r="I1798" s="1" t="s">
        <v>23</v>
      </c>
      <c r="L1798" s="1">
        <v>1</v>
      </c>
      <c r="M1798" s="1">
        <v>6000</v>
      </c>
    </row>
    <row r="1799" spans="4:13">
      <c r="D1799" s="1" t="s">
        <v>199</v>
      </c>
      <c r="E1799" s="1" t="s">
        <v>875</v>
      </c>
      <c r="H1799" s="1" t="s">
        <v>63</v>
      </c>
      <c r="I1799" s="1" t="s">
        <v>23</v>
      </c>
      <c r="M1799" s="1">
        <v>0</v>
      </c>
    </row>
    <row r="1800" spans="4:13">
      <c r="D1800" s="1" t="s">
        <v>199</v>
      </c>
      <c r="E1800" s="1" t="s">
        <v>876</v>
      </c>
      <c r="H1800" s="1" t="s">
        <v>22</v>
      </c>
      <c r="I1800" s="1" t="s">
        <v>29</v>
      </c>
      <c r="J1800" s="1">
        <v>0</v>
      </c>
      <c r="K1800" s="1">
        <v>3</v>
      </c>
      <c r="L1800" s="1">
        <v>1</v>
      </c>
    </row>
    <row r="1801" spans="4:13">
      <c r="D1801" s="1" t="s">
        <v>199</v>
      </c>
      <c r="E1801" s="1" t="s">
        <v>877</v>
      </c>
      <c r="H1801" s="1" t="s">
        <v>22</v>
      </c>
      <c r="I1801" s="1" t="s">
        <v>23</v>
      </c>
      <c r="J1801" s="1">
        <v>0</v>
      </c>
      <c r="K1801" s="1">
        <v>3</v>
      </c>
      <c r="L1801" s="1">
        <v>1</v>
      </c>
      <c r="M1801" s="1">
        <v>1.05</v>
      </c>
    </row>
    <row r="1802" spans="4:13">
      <c r="D1802" s="1" t="s">
        <v>199</v>
      </c>
      <c r="E1802" s="1" t="s">
        <v>878</v>
      </c>
      <c r="F1802" s="1" t="s">
        <v>879</v>
      </c>
      <c r="G1802" s="1" t="s">
        <v>880</v>
      </c>
      <c r="H1802" s="1" t="s">
        <v>22</v>
      </c>
      <c r="I1802" s="1" t="s">
        <v>29</v>
      </c>
      <c r="J1802" s="1">
        <v>0</v>
      </c>
      <c r="K1802" s="1">
        <v>107.6391041670972</v>
      </c>
      <c r="L1802" s="1">
        <v>0.10763910416709721</v>
      </c>
    </row>
    <row r="1803" spans="4:13">
      <c r="D1803" s="1" t="s">
        <v>199</v>
      </c>
      <c r="E1803" s="1" t="s">
        <v>881</v>
      </c>
      <c r="F1803" s="1" t="s">
        <v>879</v>
      </c>
      <c r="G1803" s="1" t="s">
        <v>880</v>
      </c>
      <c r="H1803" s="1" t="s">
        <v>22</v>
      </c>
      <c r="I1803" s="1" t="s">
        <v>29</v>
      </c>
      <c r="J1803" s="1">
        <v>0</v>
      </c>
      <c r="K1803" s="1">
        <v>107.6391041670972</v>
      </c>
      <c r="L1803" s="1">
        <v>0.10763910416709721</v>
      </c>
    </row>
    <row r="1804" spans="4:13">
      <c r="D1804" s="1" t="s">
        <v>199</v>
      </c>
      <c r="E1804" s="1" t="s">
        <v>882</v>
      </c>
      <c r="H1804" s="1" t="s">
        <v>22</v>
      </c>
      <c r="I1804" s="1" t="s">
        <v>29</v>
      </c>
      <c r="L1804" s="1">
        <v>1</v>
      </c>
    </row>
    <row r="1805" spans="4:13">
      <c r="D1805" s="1" t="s">
        <v>199</v>
      </c>
      <c r="E1805" s="1" t="s">
        <v>883</v>
      </c>
      <c r="H1805" s="1" t="s">
        <v>22</v>
      </c>
      <c r="I1805" s="1" t="s">
        <v>29</v>
      </c>
      <c r="L1805" s="1">
        <v>1</v>
      </c>
    </row>
    <row r="1806" spans="4:13">
      <c r="D1806" s="1" t="s">
        <v>199</v>
      </c>
      <c r="E1806" s="1" t="s">
        <v>884</v>
      </c>
      <c r="H1806" s="1" t="s">
        <v>22</v>
      </c>
      <c r="I1806" s="1" t="s">
        <v>29</v>
      </c>
      <c r="L1806" s="1">
        <v>1</v>
      </c>
    </row>
    <row r="1807" spans="4:13">
      <c r="D1807" s="1" t="s">
        <v>199</v>
      </c>
      <c r="E1807" s="1" t="s">
        <v>885</v>
      </c>
      <c r="H1807" s="1" t="s">
        <v>22</v>
      </c>
      <c r="I1807" s="1" t="s">
        <v>29</v>
      </c>
      <c r="L1807" s="1">
        <v>1</v>
      </c>
    </row>
    <row r="1808" spans="4:13">
      <c r="D1808" s="1" t="s">
        <v>199</v>
      </c>
      <c r="E1808" s="1" t="s">
        <v>886</v>
      </c>
      <c r="F1808" s="1" t="s">
        <v>45</v>
      </c>
      <c r="G1808" s="1" t="s">
        <v>46</v>
      </c>
      <c r="H1808" s="1" t="s">
        <v>22</v>
      </c>
      <c r="I1808" s="1" t="s">
        <v>29</v>
      </c>
      <c r="J1808" s="1">
        <v>-6.3932502128443591</v>
      </c>
      <c r="K1808" s="1">
        <v>358.61435929656</v>
      </c>
      <c r="L1808" s="1">
        <v>114.79148749423418</v>
      </c>
    </row>
    <row r="1809" spans="4:13">
      <c r="D1809" s="1" t="s">
        <v>199</v>
      </c>
      <c r="E1809" s="1" t="s">
        <v>887</v>
      </c>
      <c r="F1809" s="1" t="s">
        <v>45</v>
      </c>
      <c r="G1809" s="1" t="s">
        <v>46</v>
      </c>
      <c r="H1809" s="1" t="s">
        <v>22</v>
      </c>
      <c r="I1809" s="1" t="s">
        <v>29</v>
      </c>
      <c r="J1809" s="1">
        <v>-6.3932502128443591</v>
      </c>
      <c r="K1809" s="1">
        <v>358.61435929656</v>
      </c>
      <c r="L1809" s="1">
        <v>114.79148749423418</v>
      </c>
    </row>
    <row r="1810" spans="4:13">
      <c r="D1810" s="1" t="s">
        <v>199</v>
      </c>
      <c r="E1810" s="1" t="s">
        <v>888</v>
      </c>
      <c r="F1810" s="1" t="s">
        <v>45</v>
      </c>
      <c r="G1810" s="1" t="s">
        <v>46</v>
      </c>
      <c r="H1810" s="1" t="s">
        <v>22</v>
      </c>
      <c r="I1810" s="1" t="s">
        <v>29</v>
      </c>
      <c r="J1810" s="1">
        <v>-6.3932502128443591</v>
      </c>
      <c r="K1810" s="1">
        <v>358.61435929656</v>
      </c>
      <c r="L1810" s="1">
        <v>114.79148749423418</v>
      </c>
    </row>
    <row r="1811" spans="4:13">
      <c r="D1811" s="1" t="s">
        <v>199</v>
      </c>
      <c r="E1811" s="1" t="s">
        <v>889</v>
      </c>
      <c r="F1811" s="1" t="s">
        <v>52</v>
      </c>
      <c r="G1811" s="1" t="s">
        <v>53</v>
      </c>
      <c r="H1811" s="1" t="s">
        <v>22</v>
      </c>
      <c r="I1811" s="1" t="s">
        <v>29</v>
      </c>
      <c r="J1811" s="1">
        <v>-7936641438.6555996</v>
      </c>
      <c r="K1811" s="1">
        <v>7936641438.6555996</v>
      </c>
      <c r="L1811" s="1">
        <v>7936.6414386555998</v>
      </c>
    </row>
    <row r="1812" spans="4:13">
      <c r="D1812" s="1" t="s">
        <v>199</v>
      </c>
      <c r="E1812" s="1" t="s">
        <v>890</v>
      </c>
      <c r="F1812" s="1" t="s">
        <v>56</v>
      </c>
      <c r="G1812" s="1" t="s">
        <v>57</v>
      </c>
      <c r="H1812" s="1" t="s">
        <v>22</v>
      </c>
      <c r="I1812" s="1" t="s">
        <v>29</v>
      </c>
      <c r="J1812" s="1">
        <v>4.9312830828271128</v>
      </c>
      <c r="K1812" s="1">
        <v>623.66227223989961</v>
      </c>
      <c r="L1812" s="1">
        <v>50.713895374744951</v>
      </c>
    </row>
    <row r="1813" spans="4:13">
      <c r="D1813" s="1" t="s">
        <v>199</v>
      </c>
      <c r="E1813" s="1" t="s">
        <v>891</v>
      </c>
      <c r="F1813" s="1" t="s">
        <v>56</v>
      </c>
      <c r="G1813" s="1" t="s">
        <v>57</v>
      </c>
      <c r="H1813" s="1" t="s">
        <v>22</v>
      </c>
      <c r="I1813" s="1" t="s">
        <v>29</v>
      </c>
      <c r="J1813" s="1">
        <v>4.9312830828271128</v>
      </c>
      <c r="K1813" s="1">
        <v>623.66227223989961</v>
      </c>
      <c r="L1813" s="1">
        <v>50.713895374744951</v>
      </c>
    </row>
    <row r="1814" spans="4:13">
      <c r="D1814" s="1" t="s">
        <v>199</v>
      </c>
      <c r="E1814" s="1" t="s">
        <v>892</v>
      </c>
      <c r="H1814" s="1" t="s">
        <v>22</v>
      </c>
      <c r="I1814" s="1" t="s">
        <v>23</v>
      </c>
      <c r="J1814" s="1">
        <v>0.5</v>
      </c>
      <c r="K1814" s="1">
        <v>2</v>
      </c>
      <c r="L1814" s="1">
        <v>1</v>
      </c>
      <c r="M1814" s="1">
        <v>1</v>
      </c>
    </row>
    <row r="1815" spans="4:13">
      <c r="D1815" s="1" t="s">
        <v>199</v>
      </c>
      <c r="E1815" s="1" t="s">
        <v>893</v>
      </c>
      <c r="H1815" s="1" t="s">
        <v>25</v>
      </c>
      <c r="I1815" s="1" t="s">
        <v>23</v>
      </c>
      <c r="M1815" s="1" t="b">
        <v>0</v>
      </c>
    </row>
    <row r="1816" spans="4:13">
      <c r="D1816" s="1" t="s">
        <v>199</v>
      </c>
      <c r="E1816" s="1" t="s">
        <v>894</v>
      </c>
      <c r="H1816" s="1" t="s">
        <v>22</v>
      </c>
      <c r="I1816" s="1" t="s">
        <v>23</v>
      </c>
      <c r="J1816" s="1">
        <v>0.5</v>
      </c>
      <c r="K1816" s="1">
        <v>2</v>
      </c>
      <c r="L1816" s="1">
        <v>1</v>
      </c>
      <c r="M1816" s="1">
        <v>1</v>
      </c>
    </row>
    <row r="1817" spans="4:13">
      <c r="D1817" s="1" t="s">
        <v>199</v>
      </c>
      <c r="E1817" s="1" t="s">
        <v>895</v>
      </c>
      <c r="H1817" s="1" t="s">
        <v>25</v>
      </c>
      <c r="I1817" s="1" t="s">
        <v>23</v>
      </c>
      <c r="M1817" s="1" t="b">
        <v>0</v>
      </c>
    </row>
    <row r="1818" spans="4:13">
      <c r="D1818" s="1" t="s">
        <v>199</v>
      </c>
      <c r="E1818" s="1" t="s">
        <v>896</v>
      </c>
      <c r="H1818" s="1" t="s">
        <v>22</v>
      </c>
      <c r="I1818" s="1" t="s">
        <v>23</v>
      </c>
      <c r="J1818" s="1">
        <v>0.5</v>
      </c>
      <c r="K1818" s="1">
        <v>2</v>
      </c>
      <c r="L1818" s="1">
        <v>1</v>
      </c>
      <c r="M1818" s="1">
        <v>1</v>
      </c>
    </row>
    <row r="1819" spans="4:13">
      <c r="D1819" s="1" t="s">
        <v>199</v>
      </c>
      <c r="E1819" s="1" t="s">
        <v>897</v>
      </c>
      <c r="H1819" s="1" t="s">
        <v>25</v>
      </c>
      <c r="I1819" s="1" t="s">
        <v>23</v>
      </c>
      <c r="M1819" s="1" t="b">
        <v>1</v>
      </c>
    </row>
    <row r="1820" spans="4:13">
      <c r="D1820" s="1" t="s">
        <v>199</v>
      </c>
      <c r="E1820" s="1" t="s">
        <v>898</v>
      </c>
      <c r="H1820" s="1" t="s">
        <v>22</v>
      </c>
      <c r="I1820" s="1" t="s">
        <v>23</v>
      </c>
      <c r="L1820" s="1">
        <v>1</v>
      </c>
      <c r="M1820" s="1">
        <v>1.1172202</v>
      </c>
    </row>
    <row r="1821" spans="4:13">
      <c r="D1821" s="1" t="s">
        <v>199</v>
      </c>
      <c r="E1821" s="1" t="s">
        <v>899</v>
      </c>
      <c r="H1821" s="1" t="s">
        <v>22</v>
      </c>
      <c r="I1821" s="1" t="s">
        <v>23</v>
      </c>
      <c r="L1821" s="1">
        <v>1</v>
      </c>
      <c r="M1821" s="1">
        <v>0.87132120000000002</v>
      </c>
    </row>
    <row r="1822" spans="4:13">
      <c r="D1822" s="1" t="s">
        <v>199</v>
      </c>
      <c r="E1822" s="1" t="s">
        <v>900</v>
      </c>
      <c r="H1822" s="1" t="s">
        <v>22</v>
      </c>
      <c r="I1822" s="1" t="s">
        <v>23</v>
      </c>
      <c r="L1822" s="1">
        <v>1</v>
      </c>
      <c r="M1822" s="1">
        <v>1.0089676999999999</v>
      </c>
    </row>
    <row r="1823" spans="4:13">
      <c r="D1823" s="1" t="s">
        <v>199</v>
      </c>
      <c r="E1823" s="1" t="s">
        <v>901</v>
      </c>
      <c r="H1823" s="1" t="s">
        <v>22</v>
      </c>
      <c r="I1823" s="1" t="s">
        <v>23</v>
      </c>
      <c r="L1823" s="1">
        <v>1</v>
      </c>
      <c r="M1823" s="1">
        <v>0.98033800000000004</v>
      </c>
    </row>
    <row r="1824" spans="4:13">
      <c r="D1824" s="1" t="s">
        <v>199</v>
      </c>
      <c r="E1824" s="1" t="s">
        <v>902</v>
      </c>
      <c r="H1824" s="1" t="s">
        <v>22</v>
      </c>
      <c r="I1824" s="1" t="s">
        <v>23</v>
      </c>
      <c r="L1824" s="1">
        <v>1</v>
      </c>
      <c r="M1824" s="1">
        <v>0.60685299999999998</v>
      </c>
    </row>
    <row r="1825" spans="4:13">
      <c r="D1825" s="1" t="s">
        <v>199</v>
      </c>
      <c r="E1825" s="1" t="s">
        <v>903</v>
      </c>
      <c r="H1825" s="1" t="s">
        <v>22</v>
      </c>
      <c r="I1825" s="1" t="s">
        <v>23</v>
      </c>
      <c r="L1825" s="1">
        <v>1</v>
      </c>
      <c r="M1825" s="1">
        <v>0.65223129999999996</v>
      </c>
    </row>
    <row r="1826" spans="4:13">
      <c r="D1826" s="1" t="s">
        <v>199</v>
      </c>
      <c r="E1826" s="1" t="s">
        <v>904</v>
      </c>
      <c r="H1826" s="1" t="s">
        <v>22</v>
      </c>
      <c r="I1826" s="1" t="s">
        <v>23</v>
      </c>
      <c r="L1826" s="1">
        <v>1</v>
      </c>
      <c r="M1826" s="1">
        <v>-0.13990669999999999</v>
      </c>
    </row>
    <row r="1827" spans="4:13">
      <c r="D1827" s="1" t="s">
        <v>199</v>
      </c>
      <c r="E1827" s="1" t="s">
        <v>905</v>
      </c>
      <c r="H1827" s="1" t="s">
        <v>22</v>
      </c>
      <c r="I1827" s="1" t="s">
        <v>23</v>
      </c>
      <c r="L1827" s="1">
        <v>1</v>
      </c>
      <c r="M1827" s="1">
        <v>-0.18227769999999999</v>
      </c>
    </row>
    <row r="1828" spans="4:13">
      <c r="D1828" s="1" t="s">
        <v>199</v>
      </c>
      <c r="E1828" s="1" t="s">
        <v>906</v>
      </c>
      <c r="H1828" s="1" t="s">
        <v>22</v>
      </c>
      <c r="I1828" s="1" t="s">
        <v>23</v>
      </c>
      <c r="J1828" s="1">
        <v>0.5</v>
      </c>
      <c r="K1828" s="1">
        <v>2</v>
      </c>
      <c r="L1828" s="1">
        <v>1</v>
      </c>
      <c r="M1828" s="1">
        <v>1</v>
      </c>
    </row>
    <row r="1829" spans="4:13">
      <c r="D1829" s="1" t="s">
        <v>199</v>
      </c>
      <c r="E1829" s="1" t="s">
        <v>907</v>
      </c>
      <c r="H1829" s="1" t="s">
        <v>25</v>
      </c>
      <c r="I1829" s="1" t="s">
        <v>23</v>
      </c>
      <c r="M1829" s="1" t="b">
        <v>1</v>
      </c>
    </row>
    <row r="1830" spans="4:13">
      <c r="D1830" s="1" t="s">
        <v>199</v>
      </c>
      <c r="E1830" s="1" t="s">
        <v>908</v>
      </c>
      <c r="H1830" s="1" t="s">
        <v>22</v>
      </c>
      <c r="I1830" s="1" t="s">
        <v>29</v>
      </c>
      <c r="J1830" s="1">
        <v>0.1</v>
      </c>
      <c r="K1830" s="1">
        <v>10</v>
      </c>
      <c r="L1830" s="1">
        <v>5.05</v>
      </c>
    </row>
    <row r="1831" spans="4:13">
      <c r="D1831" s="1" t="s">
        <v>199</v>
      </c>
      <c r="E1831" s="1" t="s">
        <v>909</v>
      </c>
      <c r="H1831" s="1" t="s">
        <v>22</v>
      </c>
      <c r="I1831" s="1" t="s">
        <v>29</v>
      </c>
      <c r="J1831" s="1">
        <v>0.1</v>
      </c>
      <c r="K1831" s="1">
        <v>10</v>
      </c>
      <c r="L1831" s="1">
        <v>5.05</v>
      </c>
    </row>
    <row r="1832" spans="4:13">
      <c r="D1832" s="1" t="s">
        <v>199</v>
      </c>
      <c r="E1832" s="1" t="s">
        <v>910</v>
      </c>
      <c r="H1832" s="1" t="s">
        <v>22</v>
      </c>
      <c r="I1832" s="1" t="s">
        <v>29</v>
      </c>
      <c r="J1832" s="1">
        <v>0.1</v>
      </c>
      <c r="K1832" s="1">
        <v>10</v>
      </c>
      <c r="L1832" s="1">
        <v>5.05</v>
      </c>
    </row>
    <row r="1833" spans="4:13">
      <c r="D1833" s="1" t="s">
        <v>199</v>
      </c>
      <c r="E1833" s="1" t="s">
        <v>911</v>
      </c>
      <c r="H1833" s="1" t="s">
        <v>22</v>
      </c>
      <c r="I1833" s="1" t="s">
        <v>29</v>
      </c>
      <c r="J1833" s="1">
        <v>0.1</v>
      </c>
      <c r="K1833" s="1">
        <v>10</v>
      </c>
      <c r="L1833" s="1">
        <v>5.05</v>
      </c>
    </row>
    <row r="1834" spans="4:13">
      <c r="D1834" s="1" t="s">
        <v>199</v>
      </c>
      <c r="E1834" s="1" t="s">
        <v>912</v>
      </c>
      <c r="H1834" s="1" t="s">
        <v>22</v>
      </c>
      <c r="I1834" s="1" t="s">
        <v>29</v>
      </c>
      <c r="J1834" s="1">
        <v>0.1</v>
      </c>
      <c r="K1834" s="1">
        <v>10</v>
      </c>
      <c r="L1834" s="1">
        <v>5.05</v>
      </c>
    </row>
    <row r="1835" spans="4:13">
      <c r="D1835" s="1" t="s">
        <v>199</v>
      </c>
      <c r="E1835" s="1" t="s">
        <v>913</v>
      </c>
      <c r="H1835" s="1" t="s">
        <v>22</v>
      </c>
      <c r="I1835" s="1" t="s">
        <v>29</v>
      </c>
      <c r="J1835" s="1">
        <v>0.1</v>
      </c>
      <c r="K1835" s="1">
        <v>10</v>
      </c>
      <c r="L1835" s="1">
        <v>5.05</v>
      </c>
    </row>
    <row r="1836" spans="4:13">
      <c r="D1836" s="1" t="s">
        <v>199</v>
      </c>
      <c r="E1836" s="1" t="s">
        <v>914</v>
      </c>
      <c r="H1836" s="1" t="s">
        <v>22</v>
      </c>
      <c r="I1836" s="1" t="s">
        <v>29</v>
      </c>
      <c r="J1836" s="1">
        <v>0.1</v>
      </c>
      <c r="K1836" s="1">
        <v>10</v>
      </c>
      <c r="L1836" s="1">
        <v>5.05</v>
      </c>
    </row>
    <row r="1837" spans="4:13">
      <c r="D1837" s="1" t="s">
        <v>199</v>
      </c>
      <c r="E1837" s="1" t="s">
        <v>915</v>
      </c>
      <c r="H1837" s="1" t="s">
        <v>181</v>
      </c>
      <c r="I1837" s="1" t="s">
        <v>23</v>
      </c>
      <c r="J1837" s="1">
        <v>1</v>
      </c>
      <c r="K1837" s="1">
        <v>2</v>
      </c>
      <c r="M1837" s="1" t="s">
        <v>916</v>
      </c>
    </row>
    <row r="1838" spans="4:13">
      <c r="D1838" s="1" t="s">
        <v>199</v>
      </c>
      <c r="E1838" s="1" t="s">
        <v>917</v>
      </c>
      <c r="H1838" s="1" t="s">
        <v>22</v>
      </c>
      <c r="I1838" s="1" t="s">
        <v>23</v>
      </c>
      <c r="L1838" s="1">
        <v>1</v>
      </c>
      <c r="M1838" s="1">
        <v>9.9999999999999995E-7</v>
      </c>
    </row>
    <row r="1839" spans="4:13">
      <c r="D1839" s="1" t="s">
        <v>199</v>
      </c>
      <c r="E1839" s="1" t="s">
        <v>918</v>
      </c>
      <c r="H1839" s="1" t="s">
        <v>22</v>
      </c>
      <c r="I1839" s="1" t="s">
        <v>23</v>
      </c>
      <c r="L1839" s="1">
        <v>1</v>
      </c>
      <c r="M1839" s="1">
        <v>3.4856456179999999</v>
      </c>
    </row>
    <row r="1840" spans="4:13">
      <c r="D1840" s="1" t="s">
        <v>199</v>
      </c>
      <c r="E1840" s="1" t="s">
        <v>919</v>
      </c>
      <c r="H1840" s="1" t="s">
        <v>22</v>
      </c>
      <c r="I1840" s="1" t="s">
        <v>23</v>
      </c>
      <c r="L1840" s="1">
        <v>1</v>
      </c>
      <c r="M1840" s="1">
        <v>2.9632862709999999</v>
      </c>
    </row>
    <row r="1841" spans="4:13">
      <c r="D1841" s="1" t="s">
        <v>199</v>
      </c>
      <c r="E1841" s="1" t="s">
        <v>47</v>
      </c>
      <c r="H1841" s="1" t="s">
        <v>25</v>
      </c>
      <c r="I1841" s="1" t="s">
        <v>23</v>
      </c>
      <c r="M1841" s="1" t="b">
        <v>0</v>
      </c>
    </row>
    <row r="1842" spans="4:13">
      <c r="D1842" s="1" t="s">
        <v>199</v>
      </c>
      <c r="E1842" s="1" t="s">
        <v>920</v>
      </c>
      <c r="H1842" s="1" t="s">
        <v>22</v>
      </c>
      <c r="I1842" s="1" t="s">
        <v>23</v>
      </c>
      <c r="J1842" s="1">
        <v>-1</v>
      </c>
      <c r="K1842" s="1">
        <v>1</v>
      </c>
      <c r="L1842" s="1">
        <v>1</v>
      </c>
      <c r="M1842" s="1">
        <v>0</v>
      </c>
    </row>
    <row r="1843" spans="4:13">
      <c r="D1843" s="1" t="s">
        <v>199</v>
      </c>
      <c r="E1843" s="1" t="s">
        <v>921</v>
      </c>
      <c r="H1843" s="1" t="s">
        <v>22</v>
      </c>
      <c r="I1843" s="1" t="s">
        <v>23</v>
      </c>
      <c r="J1843" s="1">
        <v>-1</v>
      </c>
      <c r="K1843" s="1">
        <v>1</v>
      </c>
      <c r="L1843" s="1">
        <v>1</v>
      </c>
      <c r="M1843" s="1">
        <v>0</v>
      </c>
    </row>
    <row r="1844" spans="4:13">
      <c r="D1844" s="1" t="s">
        <v>199</v>
      </c>
      <c r="E1844" s="1" t="s">
        <v>922</v>
      </c>
      <c r="F1844" s="1" t="s">
        <v>56</v>
      </c>
      <c r="G1844" s="1" t="s">
        <v>57</v>
      </c>
      <c r="H1844" s="1" t="s">
        <v>22</v>
      </c>
      <c r="I1844" s="1" t="s">
        <v>29</v>
      </c>
      <c r="J1844" s="1">
        <v>4.9312830828271128</v>
      </c>
      <c r="K1844" s="1">
        <v>623.66227223989961</v>
      </c>
      <c r="L1844" s="1">
        <v>50.713895374744951</v>
      </c>
    </row>
    <row r="1845" spans="4:13">
      <c r="D1845" s="1" t="s">
        <v>199</v>
      </c>
      <c r="E1845" s="1" t="s">
        <v>923</v>
      </c>
      <c r="H1845" s="1" t="s">
        <v>22</v>
      </c>
      <c r="I1845" s="1" t="s">
        <v>29</v>
      </c>
      <c r="J1845" s="1">
        <v>0.9</v>
      </c>
      <c r="K1845" s="1">
        <v>10</v>
      </c>
      <c r="L1845" s="1">
        <v>1.01</v>
      </c>
    </row>
    <row r="1846" spans="4:13">
      <c r="D1846" s="1" t="s">
        <v>199</v>
      </c>
      <c r="E1846" s="1" t="s">
        <v>924</v>
      </c>
      <c r="F1846" s="1" t="s">
        <v>56</v>
      </c>
      <c r="G1846" s="1" t="s">
        <v>57</v>
      </c>
      <c r="H1846" s="1" t="s">
        <v>22</v>
      </c>
      <c r="I1846" s="1" t="s">
        <v>29</v>
      </c>
      <c r="J1846" s="1">
        <v>4.9312830828271128</v>
      </c>
      <c r="K1846" s="1">
        <v>623.66227223989961</v>
      </c>
      <c r="L1846" s="1">
        <v>50.713895374744951</v>
      </c>
    </row>
    <row r="1847" spans="4:13">
      <c r="D1847" s="1" t="s">
        <v>199</v>
      </c>
      <c r="E1847" s="1" t="s">
        <v>925</v>
      </c>
      <c r="H1847" s="1" t="s">
        <v>22</v>
      </c>
      <c r="I1847" s="1" t="s">
        <v>29</v>
      </c>
      <c r="J1847" s="1">
        <v>0.9</v>
      </c>
      <c r="K1847" s="1">
        <v>10</v>
      </c>
      <c r="L1847" s="1">
        <v>1.01</v>
      </c>
    </row>
    <row r="1848" spans="4:13">
      <c r="D1848" s="1" t="s">
        <v>199</v>
      </c>
      <c r="E1848" s="1" t="s">
        <v>926</v>
      </c>
      <c r="H1848" s="1" t="s">
        <v>22</v>
      </c>
      <c r="I1848" s="1" t="s">
        <v>29</v>
      </c>
      <c r="J1848" s="1">
        <v>34000</v>
      </c>
      <c r="K1848" s="1">
        <v>4300000</v>
      </c>
      <c r="L1848" s="1">
        <v>349660</v>
      </c>
    </row>
    <row r="1849" spans="4:13">
      <c r="D1849" s="1" t="s">
        <v>199</v>
      </c>
      <c r="E1849" s="1" t="s">
        <v>927</v>
      </c>
      <c r="H1849" s="1" t="s">
        <v>22</v>
      </c>
      <c r="I1849" s="1" t="s">
        <v>29</v>
      </c>
      <c r="J1849" s="1">
        <v>-3.94</v>
      </c>
      <c r="K1849" s="1">
        <v>3.66</v>
      </c>
      <c r="L1849" s="1">
        <v>1</v>
      </c>
    </row>
    <row r="1850" spans="4:13">
      <c r="D1850" s="1" t="s">
        <v>199</v>
      </c>
      <c r="E1850" s="1" t="s">
        <v>928</v>
      </c>
      <c r="H1850" s="1" t="s">
        <v>22</v>
      </c>
      <c r="I1850" s="1" t="s">
        <v>29</v>
      </c>
      <c r="J1850" s="1">
        <v>0</v>
      </c>
      <c r="K1850" s="1">
        <v>100</v>
      </c>
      <c r="L1850" s="1">
        <v>1</v>
      </c>
    </row>
    <row r="1851" spans="4:13">
      <c r="D1851" s="1" t="s">
        <v>199</v>
      </c>
      <c r="E1851" s="1" t="s">
        <v>929</v>
      </c>
      <c r="H1851" s="1" t="s">
        <v>22</v>
      </c>
      <c r="I1851" s="1" t="s">
        <v>29</v>
      </c>
      <c r="J1851" s="1">
        <v>-3.94</v>
      </c>
      <c r="K1851" s="1">
        <v>3.66</v>
      </c>
      <c r="L1851" s="1">
        <v>1</v>
      </c>
    </row>
    <row r="1852" spans="4:13">
      <c r="D1852" s="1" t="s">
        <v>199</v>
      </c>
      <c r="E1852" s="1" t="s">
        <v>930</v>
      </c>
      <c r="H1852" s="1" t="s">
        <v>22</v>
      </c>
      <c r="I1852" s="1" t="s">
        <v>29</v>
      </c>
      <c r="J1852" s="1">
        <v>34000</v>
      </c>
      <c r="K1852" s="1">
        <v>4300000</v>
      </c>
      <c r="L1852" s="1">
        <v>349660</v>
      </c>
    </row>
    <row r="1853" spans="4:13">
      <c r="D1853" s="1" t="s">
        <v>199</v>
      </c>
      <c r="E1853" s="1" t="s">
        <v>931</v>
      </c>
      <c r="H1853" s="1" t="s">
        <v>22</v>
      </c>
      <c r="I1853" s="1" t="s">
        <v>29</v>
      </c>
      <c r="J1853" s="1">
        <v>-3.94</v>
      </c>
      <c r="K1853" s="1">
        <v>3.66</v>
      </c>
      <c r="L1853" s="1">
        <v>1</v>
      </c>
    </row>
    <row r="1854" spans="4:13">
      <c r="D1854" s="1" t="s">
        <v>199</v>
      </c>
      <c r="E1854" s="1" t="s">
        <v>932</v>
      </c>
      <c r="H1854" s="1" t="s">
        <v>22</v>
      </c>
      <c r="I1854" s="1" t="s">
        <v>29</v>
      </c>
      <c r="J1854" s="1">
        <v>0</v>
      </c>
      <c r="K1854" s="1">
        <v>100</v>
      </c>
      <c r="L1854" s="1">
        <v>1</v>
      </c>
    </row>
    <row r="1855" spans="4:13">
      <c r="D1855" s="1" t="s">
        <v>199</v>
      </c>
      <c r="E1855" s="1" t="s">
        <v>933</v>
      </c>
      <c r="H1855" s="1" t="s">
        <v>22</v>
      </c>
      <c r="I1855" s="1" t="s">
        <v>29</v>
      </c>
      <c r="J1855" s="1">
        <v>-3.94</v>
      </c>
      <c r="K1855" s="1">
        <v>3.66</v>
      </c>
      <c r="L1855" s="1">
        <v>1</v>
      </c>
    </row>
    <row r="1856" spans="4:13">
      <c r="D1856" s="1" t="s">
        <v>199</v>
      </c>
      <c r="E1856" s="1" t="s">
        <v>934</v>
      </c>
      <c r="H1856" s="1" t="s">
        <v>22</v>
      </c>
      <c r="I1856" s="1" t="s">
        <v>29</v>
      </c>
      <c r="J1856" s="1">
        <v>34000</v>
      </c>
      <c r="K1856" s="1">
        <v>4300000</v>
      </c>
      <c r="L1856" s="1">
        <v>349660</v>
      </c>
    </row>
    <row r="1857" spans="4:13">
      <c r="D1857" s="1" t="s">
        <v>199</v>
      </c>
      <c r="E1857" s="1" t="s">
        <v>935</v>
      </c>
      <c r="H1857" s="1" t="s">
        <v>22</v>
      </c>
      <c r="I1857" s="1" t="s">
        <v>29</v>
      </c>
      <c r="J1857" s="1">
        <v>-3.94</v>
      </c>
      <c r="K1857" s="1">
        <v>3.66</v>
      </c>
      <c r="L1857" s="1">
        <v>1</v>
      </c>
    </row>
    <row r="1858" spans="4:13">
      <c r="D1858" s="1" t="s">
        <v>199</v>
      </c>
      <c r="E1858" s="1" t="s">
        <v>936</v>
      </c>
      <c r="H1858" s="1" t="s">
        <v>22</v>
      </c>
      <c r="I1858" s="1" t="s">
        <v>29</v>
      </c>
      <c r="J1858" s="1">
        <v>0</v>
      </c>
      <c r="K1858" s="1">
        <v>100</v>
      </c>
      <c r="L1858" s="1">
        <v>1</v>
      </c>
    </row>
    <row r="1859" spans="4:13">
      <c r="D1859" s="1" t="s">
        <v>199</v>
      </c>
      <c r="E1859" s="1" t="s">
        <v>937</v>
      </c>
      <c r="H1859" s="1" t="s">
        <v>22</v>
      </c>
      <c r="I1859" s="1" t="s">
        <v>29</v>
      </c>
      <c r="J1859" s="1">
        <v>-3.94</v>
      </c>
      <c r="K1859" s="1">
        <v>3.66</v>
      </c>
      <c r="L1859" s="1">
        <v>1</v>
      </c>
    </row>
    <row r="1860" spans="4:13">
      <c r="D1860" s="1" t="s">
        <v>199</v>
      </c>
      <c r="E1860" s="1" t="s">
        <v>938</v>
      </c>
      <c r="H1860" s="1" t="s">
        <v>22</v>
      </c>
      <c r="I1860" s="1" t="s">
        <v>29</v>
      </c>
      <c r="J1860" s="1">
        <v>34000</v>
      </c>
      <c r="K1860" s="1">
        <v>4300000</v>
      </c>
      <c r="L1860" s="1">
        <v>349660</v>
      </c>
    </row>
    <row r="1861" spans="4:13">
      <c r="D1861" s="1" t="s">
        <v>199</v>
      </c>
      <c r="E1861" s="1" t="s">
        <v>939</v>
      </c>
      <c r="H1861" s="1" t="s">
        <v>22</v>
      </c>
      <c r="I1861" s="1" t="s">
        <v>29</v>
      </c>
      <c r="J1861" s="1">
        <v>-3.94</v>
      </c>
      <c r="K1861" s="1">
        <v>3.66</v>
      </c>
      <c r="L1861" s="1">
        <v>1</v>
      </c>
    </row>
    <row r="1862" spans="4:13">
      <c r="D1862" s="1" t="s">
        <v>199</v>
      </c>
      <c r="E1862" s="1" t="s">
        <v>940</v>
      </c>
      <c r="H1862" s="1" t="s">
        <v>22</v>
      </c>
      <c r="I1862" s="1" t="s">
        <v>29</v>
      </c>
      <c r="J1862" s="1">
        <v>0</v>
      </c>
      <c r="K1862" s="1">
        <v>100</v>
      </c>
      <c r="L1862" s="1">
        <v>1</v>
      </c>
    </row>
    <row r="1863" spans="4:13">
      <c r="D1863" s="1" t="s">
        <v>199</v>
      </c>
      <c r="E1863" s="1" t="s">
        <v>941</v>
      </c>
      <c r="H1863" s="1" t="s">
        <v>22</v>
      </c>
      <c r="I1863" s="1" t="s">
        <v>29</v>
      </c>
      <c r="J1863" s="1">
        <v>-3.94</v>
      </c>
      <c r="K1863" s="1">
        <v>3.66</v>
      </c>
      <c r="L1863" s="1">
        <v>1</v>
      </c>
    </row>
    <row r="1864" spans="4:13">
      <c r="D1864" s="1" t="s">
        <v>199</v>
      </c>
      <c r="E1864" s="1" t="s">
        <v>942</v>
      </c>
      <c r="H1864" s="1" t="s">
        <v>25</v>
      </c>
      <c r="I1864" s="1" t="s">
        <v>23</v>
      </c>
      <c r="M1864" s="1" t="b">
        <v>0</v>
      </c>
    </row>
    <row r="1865" spans="4:13">
      <c r="D1865" s="1" t="s">
        <v>199</v>
      </c>
      <c r="E1865" s="1" t="s">
        <v>943</v>
      </c>
      <c r="H1865" s="1" t="s">
        <v>25</v>
      </c>
      <c r="I1865" s="1" t="s">
        <v>23</v>
      </c>
      <c r="M1865" s="1" t="b">
        <v>0</v>
      </c>
    </row>
    <row r="1866" spans="4:13">
      <c r="D1866" s="1" t="s">
        <v>199</v>
      </c>
      <c r="E1866" s="1" t="s">
        <v>944</v>
      </c>
      <c r="F1866" s="1" t="s">
        <v>147</v>
      </c>
      <c r="G1866" s="1" t="s">
        <v>148</v>
      </c>
      <c r="H1866" s="1" t="s">
        <v>22</v>
      </c>
      <c r="I1866" s="1" t="s">
        <v>23</v>
      </c>
      <c r="J1866" s="1">
        <v>0</v>
      </c>
      <c r="K1866" s="1">
        <v>34121416.351331003</v>
      </c>
      <c r="L1866" s="1">
        <v>3.4121416351331</v>
      </c>
      <c r="M1866" s="1">
        <v>170607.08175665501</v>
      </c>
    </row>
    <row r="1867" spans="4:13">
      <c r="D1867" s="1" t="s">
        <v>199</v>
      </c>
      <c r="E1867" s="1" t="s">
        <v>945</v>
      </c>
      <c r="H1867" s="1" t="s">
        <v>25</v>
      </c>
      <c r="I1867" s="1" t="s">
        <v>23</v>
      </c>
      <c r="M1867" s="1" t="b">
        <v>0</v>
      </c>
    </row>
    <row r="1868" spans="4:13">
      <c r="D1868" s="1" t="s">
        <v>199</v>
      </c>
      <c r="E1868" s="1" t="s">
        <v>946</v>
      </c>
      <c r="F1868" s="1" t="s">
        <v>147</v>
      </c>
      <c r="G1868" s="1" t="s">
        <v>148</v>
      </c>
      <c r="H1868" s="1" t="s">
        <v>22</v>
      </c>
      <c r="I1868" s="1" t="s">
        <v>23</v>
      </c>
      <c r="J1868" s="1">
        <v>0</v>
      </c>
      <c r="K1868" s="1">
        <v>34121416.351331003</v>
      </c>
      <c r="L1868" s="1">
        <v>3.4121416351331</v>
      </c>
      <c r="M1868" s="1">
        <v>170607.08175665501</v>
      </c>
    </row>
    <row r="1869" spans="4:13">
      <c r="D1869" s="1" t="s">
        <v>199</v>
      </c>
      <c r="E1869" s="1" t="s">
        <v>947</v>
      </c>
      <c r="H1869" s="1" t="s">
        <v>25</v>
      </c>
      <c r="I1869" s="1" t="s">
        <v>23</v>
      </c>
      <c r="M1869" s="1" t="b">
        <v>0</v>
      </c>
    </row>
    <row r="1870" spans="4:13">
      <c r="D1870" s="1" t="s">
        <v>199</v>
      </c>
      <c r="E1870" s="1" t="s">
        <v>948</v>
      </c>
      <c r="F1870" s="1" t="s">
        <v>147</v>
      </c>
      <c r="G1870" s="1" t="s">
        <v>148</v>
      </c>
      <c r="H1870" s="1" t="s">
        <v>22</v>
      </c>
      <c r="I1870" s="1" t="s">
        <v>23</v>
      </c>
      <c r="J1870" s="1">
        <v>0</v>
      </c>
      <c r="K1870" s="1">
        <v>34121416.351331003</v>
      </c>
      <c r="L1870" s="1">
        <v>3.4121416351331</v>
      </c>
      <c r="M1870" s="1">
        <v>341214.16351331002</v>
      </c>
    </row>
    <row r="1871" spans="4:13">
      <c r="D1871" s="1" t="s">
        <v>199</v>
      </c>
      <c r="E1871" s="1" t="s">
        <v>949</v>
      </c>
      <c r="H1871" s="1" t="s">
        <v>181</v>
      </c>
      <c r="I1871" s="1" t="s">
        <v>23</v>
      </c>
      <c r="J1871" s="1">
        <v>1</v>
      </c>
      <c r="K1871" s="1">
        <v>19</v>
      </c>
      <c r="M1871" s="1" t="s">
        <v>950</v>
      </c>
    </row>
    <row r="1872" spans="4:13">
      <c r="D1872" s="1" t="s">
        <v>199</v>
      </c>
      <c r="E1872" s="1" t="s">
        <v>951</v>
      </c>
      <c r="H1872" s="1" t="s">
        <v>181</v>
      </c>
      <c r="I1872" s="1" t="s">
        <v>23</v>
      </c>
      <c r="J1872" s="1">
        <v>1</v>
      </c>
      <c r="K1872" s="1">
        <v>8</v>
      </c>
      <c r="M1872" s="1" t="s">
        <v>952</v>
      </c>
    </row>
    <row r="1873" spans="4:12">
      <c r="D1873" s="1" t="s">
        <v>199</v>
      </c>
      <c r="E1873" s="1" t="s">
        <v>953</v>
      </c>
      <c r="F1873" s="1" t="s">
        <v>874</v>
      </c>
      <c r="G1873" s="1" t="s">
        <v>874</v>
      </c>
      <c r="H1873" s="1" t="s">
        <v>22</v>
      </c>
      <c r="I1873" s="1" t="s">
        <v>29</v>
      </c>
      <c r="L1873" s="1">
        <v>1</v>
      </c>
    </row>
    <row r="1874" spans="4:12">
      <c r="D1874" s="1" t="s">
        <v>199</v>
      </c>
      <c r="E1874" s="1" t="s">
        <v>954</v>
      </c>
      <c r="F1874" s="1">
        <v>1</v>
      </c>
      <c r="G1874" s="1">
        <v>1</v>
      </c>
      <c r="H1874" s="1" t="s">
        <v>22</v>
      </c>
      <c r="I1874" s="1" t="s">
        <v>65</v>
      </c>
      <c r="J1874" s="1">
        <v>0</v>
      </c>
      <c r="L1874" s="1">
        <v>1</v>
      </c>
    </row>
    <row r="1875" spans="4:12">
      <c r="D1875" s="1" t="s">
        <v>199</v>
      </c>
      <c r="E1875" s="1" t="s">
        <v>955</v>
      </c>
      <c r="F1875" s="1">
        <v>1</v>
      </c>
      <c r="G1875" s="1">
        <v>1</v>
      </c>
      <c r="H1875" s="1" t="s">
        <v>22</v>
      </c>
      <c r="I1875" s="1" t="s">
        <v>65</v>
      </c>
      <c r="J1875" s="1">
        <v>0</v>
      </c>
      <c r="L1875" s="1">
        <v>1</v>
      </c>
    </row>
    <row r="1876" spans="4:12">
      <c r="D1876" s="1" t="s">
        <v>199</v>
      </c>
      <c r="E1876" s="1" t="s">
        <v>956</v>
      </c>
      <c r="F1876" s="1">
        <v>1</v>
      </c>
      <c r="G1876" s="1">
        <v>1</v>
      </c>
      <c r="H1876" s="1" t="s">
        <v>22</v>
      </c>
      <c r="I1876" s="1" t="s">
        <v>65</v>
      </c>
      <c r="J1876" s="1">
        <v>0</v>
      </c>
      <c r="L1876" s="1">
        <v>1</v>
      </c>
    </row>
    <row r="1877" spans="4:12">
      <c r="D1877" s="1" t="s">
        <v>199</v>
      </c>
      <c r="E1877" s="1" t="s">
        <v>957</v>
      </c>
      <c r="H1877" s="1" t="s">
        <v>22</v>
      </c>
      <c r="I1877" s="1" t="s">
        <v>65</v>
      </c>
      <c r="L1877" s="1">
        <v>1</v>
      </c>
    </row>
    <row r="1878" spans="4:12">
      <c r="D1878" s="1" t="s">
        <v>199</v>
      </c>
      <c r="E1878" s="1" t="s">
        <v>958</v>
      </c>
      <c r="H1878" s="1" t="s">
        <v>22</v>
      </c>
      <c r="I1878" s="1" t="s">
        <v>65</v>
      </c>
      <c r="L1878" s="1">
        <v>1</v>
      </c>
    </row>
    <row r="1879" spans="4:12">
      <c r="D1879" s="1" t="s">
        <v>199</v>
      </c>
      <c r="E1879" s="1" t="s">
        <v>959</v>
      </c>
      <c r="H1879" s="1" t="s">
        <v>22</v>
      </c>
      <c r="I1879" s="1" t="s">
        <v>65</v>
      </c>
      <c r="L1879" s="1">
        <v>1</v>
      </c>
    </row>
    <row r="1880" spans="4:12">
      <c r="D1880" s="1" t="s">
        <v>199</v>
      </c>
      <c r="E1880" s="1" t="s">
        <v>960</v>
      </c>
      <c r="H1880" s="1" t="s">
        <v>22</v>
      </c>
      <c r="I1880" s="1" t="s">
        <v>65</v>
      </c>
      <c r="L1880" s="1">
        <v>1</v>
      </c>
    </row>
    <row r="1881" spans="4:12">
      <c r="D1881" s="1" t="s">
        <v>199</v>
      </c>
      <c r="E1881" s="1" t="s">
        <v>961</v>
      </c>
      <c r="H1881" s="1" t="s">
        <v>22</v>
      </c>
      <c r="I1881" s="1" t="s">
        <v>65</v>
      </c>
      <c r="L1881" s="1">
        <v>1</v>
      </c>
    </row>
    <row r="1882" spans="4:12">
      <c r="D1882" s="1" t="s">
        <v>199</v>
      </c>
      <c r="E1882" s="1" t="s">
        <v>962</v>
      </c>
      <c r="H1882" s="1" t="s">
        <v>22</v>
      </c>
      <c r="I1882" s="1" t="s">
        <v>65</v>
      </c>
      <c r="L1882" s="1">
        <v>1</v>
      </c>
    </row>
    <row r="1883" spans="4:12">
      <c r="D1883" s="1" t="s">
        <v>199</v>
      </c>
      <c r="E1883" s="1" t="s">
        <v>963</v>
      </c>
      <c r="H1883" s="1" t="s">
        <v>22</v>
      </c>
      <c r="I1883" s="1" t="s">
        <v>65</v>
      </c>
      <c r="L1883" s="1">
        <v>1</v>
      </c>
    </row>
    <row r="1884" spans="4:12">
      <c r="D1884" s="1" t="s">
        <v>199</v>
      </c>
      <c r="E1884" s="1" t="s">
        <v>964</v>
      </c>
      <c r="H1884" s="1" t="s">
        <v>25</v>
      </c>
      <c r="I1884" s="1" t="s">
        <v>65</v>
      </c>
    </row>
    <row r="1885" spans="4:12">
      <c r="D1885" s="1" t="s">
        <v>199</v>
      </c>
      <c r="E1885" s="1" t="s">
        <v>965</v>
      </c>
      <c r="H1885" s="1" t="s">
        <v>22</v>
      </c>
      <c r="I1885" s="1" t="s">
        <v>65</v>
      </c>
      <c r="L1885" s="1">
        <v>1</v>
      </c>
    </row>
    <row r="1886" spans="4:12">
      <c r="D1886" s="1" t="s">
        <v>199</v>
      </c>
      <c r="E1886" s="1" t="s">
        <v>966</v>
      </c>
      <c r="H1886" s="1" t="s">
        <v>22</v>
      </c>
      <c r="I1886" s="1" t="s">
        <v>65</v>
      </c>
      <c r="L1886" s="1">
        <v>1</v>
      </c>
    </row>
    <row r="1887" spans="4:12">
      <c r="D1887" s="1" t="s">
        <v>199</v>
      </c>
      <c r="E1887" s="1" t="s">
        <v>967</v>
      </c>
      <c r="F1887" s="1" t="s">
        <v>147</v>
      </c>
      <c r="G1887" s="1" t="s">
        <v>148</v>
      </c>
      <c r="H1887" s="1" t="s">
        <v>22</v>
      </c>
      <c r="I1887" s="1" t="s">
        <v>65</v>
      </c>
      <c r="L1887" s="1">
        <v>3.4121416351331</v>
      </c>
    </row>
    <row r="1888" spans="4:12">
      <c r="D1888" s="1" t="s">
        <v>199</v>
      </c>
      <c r="E1888" s="1" t="s">
        <v>968</v>
      </c>
      <c r="F1888" s="1" t="s">
        <v>874</v>
      </c>
      <c r="G1888" s="1" t="s">
        <v>874</v>
      </c>
      <c r="H1888" s="1" t="s">
        <v>22</v>
      </c>
      <c r="I1888" s="1" t="s">
        <v>65</v>
      </c>
      <c r="L1888" s="1">
        <v>1</v>
      </c>
    </row>
    <row r="1889" spans="4:12">
      <c r="D1889" s="1" t="s">
        <v>199</v>
      </c>
      <c r="E1889" s="1" t="s">
        <v>969</v>
      </c>
      <c r="H1889" s="1" t="s">
        <v>22</v>
      </c>
      <c r="I1889" s="1" t="s">
        <v>65</v>
      </c>
      <c r="L1889" s="1">
        <v>1</v>
      </c>
    </row>
    <row r="1890" spans="4:12">
      <c r="D1890" s="1" t="s">
        <v>199</v>
      </c>
      <c r="E1890" s="1" t="s">
        <v>970</v>
      </c>
      <c r="H1890" s="1" t="s">
        <v>22</v>
      </c>
      <c r="I1890" s="1" t="s">
        <v>65</v>
      </c>
      <c r="L1890" s="1">
        <v>1</v>
      </c>
    </row>
    <row r="1891" spans="4:12">
      <c r="D1891" s="1" t="s">
        <v>199</v>
      </c>
      <c r="E1891" s="1" t="s">
        <v>971</v>
      </c>
      <c r="H1891" s="1" t="s">
        <v>22</v>
      </c>
      <c r="I1891" s="1" t="s">
        <v>65</v>
      </c>
      <c r="L1891" s="1">
        <v>1</v>
      </c>
    </row>
    <row r="1892" spans="4:12">
      <c r="D1892" s="1" t="s">
        <v>199</v>
      </c>
      <c r="E1892" s="1" t="s">
        <v>972</v>
      </c>
      <c r="F1892" s="1" t="s">
        <v>147</v>
      </c>
      <c r="G1892" s="1" t="s">
        <v>148</v>
      </c>
      <c r="H1892" s="1" t="s">
        <v>22</v>
      </c>
      <c r="I1892" s="1" t="s">
        <v>65</v>
      </c>
      <c r="L1892" s="1">
        <v>3.4121416351331</v>
      </c>
    </row>
    <row r="1893" spans="4:12">
      <c r="D1893" s="1" t="s">
        <v>199</v>
      </c>
      <c r="E1893" s="1" t="s">
        <v>973</v>
      </c>
      <c r="F1893" s="1" t="s">
        <v>147</v>
      </c>
      <c r="G1893" s="1" t="s">
        <v>148</v>
      </c>
      <c r="H1893" s="1" t="s">
        <v>22</v>
      </c>
      <c r="I1893" s="1" t="s">
        <v>65</v>
      </c>
      <c r="L1893" s="1">
        <v>3.4121416351331</v>
      </c>
    </row>
    <row r="1894" spans="4:12">
      <c r="D1894" s="1" t="s">
        <v>199</v>
      </c>
      <c r="E1894" s="1" t="s">
        <v>974</v>
      </c>
      <c r="F1894" s="1" t="s">
        <v>147</v>
      </c>
      <c r="G1894" s="1" t="s">
        <v>148</v>
      </c>
      <c r="H1894" s="1" t="s">
        <v>22</v>
      </c>
      <c r="I1894" s="1" t="s">
        <v>65</v>
      </c>
      <c r="L1894" s="1">
        <v>3.4121416351331</v>
      </c>
    </row>
    <row r="1895" spans="4:12">
      <c r="D1895" s="1" t="s">
        <v>199</v>
      </c>
      <c r="E1895" s="1" t="s">
        <v>975</v>
      </c>
      <c r="F1895" s="1" t="s">
        <v>35</v>
      </c>
      <c r="G1895" s="1" t="s">
        <v>36</v>
      </c>
      <c r="H1895" s="1" t="s">
        <v>22</v>
      </c>
      <c r="I1895" s="1" t="s">
        <v>65</v>
      </c>
      <c r="J1895" s="1">
        <v>-459.67</v>
      </c>
      <c r="L1895" s="1">
        <v>80.329999999999984</v>
      </c>
    </row>
    <row r="1896" spans="4:12">
      <c r="D1896" s="1" t="s">
        <v>199</v>
      </c>
      <c r="E1896" s="1" t="s">
        <v>976</v>
      </c>
      <c r="F1896" s="1" t="s">
        <v>35</v>
      </c>
      <c r="G1896" s="1" t="s">
        <v>36</v>
      </c>
      <c r="H1896" s="1" t="s">
        <v>22</v>
      </c>
      <c r="I1896" s="1" t="s">
        <v>65</v>
      </c>
      <c r="J1896" s="1">
        <v>-459.67</v>
      </c>
      <c r="L1896" s="1">
        <v>80.329999999999984</v>
      </c>
    </row>
    <row r="1897" spans="4:12">
      <c r="D1897" s="1" t="s">
        <v>199</v>
      </c>
      <c r="E1897" s="1" t="s">
        <v>977</v>
      </c>
      <c r="F1897" s="1" t="s">
        <v>35</v>
      </c>
      <c r="G1897" s="1" t="s">
        <v>36</v>
      </c>
      <c r="H1897" s="1" t="s">
        <v>22</v>
      </c>
      <c r="I1897" s="1" t="s">
        <v>65</v>
      </c>
      <c r="J1897" s="1">
        <v>-459.67</v>
      </c>
      <c r="L1897" s="1">
        <v>80.329999999999984</v>
      </c>
    </row>
    <row r="1898" spans="4:12">
      <c r="D1898" s="1" t="s">
        <v>199</v>
      </c>
      <c r="E1898" s="1" t="s">
        <v>978</v>
      </c>
      <c r="F1898" s="1" t="s">
        <v>35</v>
      </c>
      <c r="G1898" s="1" t="s">
        <v>36</v>
      </c>
      <c r="H1898" s="1" t="s">
        <v>22</v>
      </c>
      <c r="I1898" s="1" t="s">
        <v>65</v>
      </c>
      <c r="J1898" s="1">
        <v>-459.67</v>
      </c>
      <c r="L1898" s="1">
        <v>80.329999999999984</v>
      </c>
    </row>
    <row r="1899" spans="4:12">
      <c r="D1899" s="1" t="s">
        <v>199</v>
      </c>
      <c r="E1899" s="1" t="s">
        <v>979</v>
      </c>
      <c r="F1899" s="1" t="s">
        <v>35</v>
      </c>
      <c r="G1899" s="1" t="s">
        <v>36</v>
      </c>
      <c r="H1899" s="1" t="s">
        <v>22</v>
      </c>
      <c r="I1899" s="1" t="s">
        <v>65</v>
      </c>
      <c r="J1899" s="1">
        <v>-459.67</v>
      </c>
      <c r="L1899" s="1">
        <v>80.329999999999984</v>
      </c>
    </row>
    <row r="1900" spans="4:12">
      <c r="D1900" s="1" t="s">
        <v>199</v>
      </c>
      <c r="E1900" s="1" t="s">
        <v>980</v>
      </c>
      <c r="F1900" s="1" t="s">
        <v>35</v>
      </c>
      <c r="G1900" s="1" t="s">
        <v>36</v>
      </c>
      <c r="H1900" s="1" t="s">
        <v>22</v>
      </c>
      <c r="I1900" s="1" t="s">
        <v>65</v>
      </c>
      <c r="J1900" s="1">
        <v>-459.67</v>
      </c>
      <c r="L1900" s="1">
        <v>80.329999999999984</v>
      </c>
    </row>
    <row r="1901" spans="4:12">
      <c r="D1901" s="1" t="s">
        <v>199</v>
      </c>
      <c r="E1901" s="1" t="s">
        <v>981</v>
      </c>
      <c r="F1901" s="1" t="s">
        <v>35</v>
      </c>
      <c r="G1901" s="1" t="s">
        <v>36</v>
      </c>
      <c r="H1901" s="1" t="s">
        <v>22</v>
      </c>
      <c r="I1901" s="1" t="s">
        <v>65</v>
      </c>
      <c r="J1901" s="1">
        <v>-459.67</v>
      </c>
      <c r="L1901" s="1">
        <v>80.329999999999984</v>
      </c>
    </row>
    <row r="1902" spans="4:12">
      <c r="D1902" s="1" t="s">
        <v>199</v>
      </c>
      <c r="E1902" s="1" t="s">
        <v>982</v>
      </c>
      <c r="F1902" s="1" t="s">
        <v>35</v>
      </c>
      <c r="G1902" s="1" t="s">
        <v>36</v>
      </c>
      <c r="H1902" s="1" t="s">
        <v>22</v>
      </c>
      <c r="I1902" s="1" t="s">
        <v>65</v>
      </c>
      <c r="J1902" s="1">
        <v>-459.67</v>
      </c>
      <c r="L1902" s="1">
        <v>80.329999999999984</v>
      </c>
    </row>
    <row r="1903" spans="4:12">
      <c r="D1903" s="1" t="s">
        <v>199</v>
      </c>
      <c r="E1903" s="1" t="s">
        <v>983</v>
      </c>
      <c r="F1903" s="1" t="s">
        <v>41</v>
      </c>
      <c r="G1903" s="1" t="s">
        <v>42</v>
      </c>
      <c r="H1903" s="1" t="s">
        <v>22</v>
      </c>
      <c r="I1903" s="1" t="s">
        <v>65</v>
      </c>
      <c r="L1903" s="1">
        <v>1.8</v>
      </c>
    </row>
    <row r="1904" spans="4:12">
      <c r="D1904" s="1" t="s">
        <v>199</v>
      </c>
      <c r="E1904" s="1" t="s">
        <v>984</v>
      </c>
      <c r="F1904" s="1" t="s">
        <v>41</v>
      </c>
      <c r="G1904" s="1" t="s">
        <v>42</v>
      </c>
      <c r="H1904" s="1" t="s">
        <v>22</v>
      </c>
      <c r="I1904" s="1" t="s">
        <v>65</v>
      </c>
      <c r="L1904" s="1">
        <v>1.8</v>
      </c>
    </row>
    <row r="1905" spans="4:12">
      <c r="D1905" s="1" t="s">
        <v>199</v>
      </c>
      <c r="E1905" s="1" t="s">
        <v>985</v>
      </c>
      <c r="F1905" s="1" t="s">
        <v>41</v>
      </c>
      <c r="G1905" s="1" t="s">
        <v>42</v>
      </c>
      <c r="H1905" s="1" t="s">
        <v>22</v>
      </c>
      <c r="I1905" s="1" t="s">
        <v>65</v>
      </c>
      <c r="L1905" s="1">
        <v>1.8</v>
      </c>
    </row>
    <row r="1906" spans="4:12">
      <c r="D1906" s="1" t="s">
        <v>199</v>
      </c>
      <c r="E1906" s="1" t="s">
        <v>986</v>
      </c>
      <c r="F1906" s="1" t="s">
        <v>41</v>
      </c>
      <c r="G1906" s="1" t="s">
        <v>42</v>
      </c>
      <c r="H1906" s="1" t="s">
        <v>22</v>
      </c>
      <c r="I1906" s="1" t="s">
        <v>65</v>
      </c>
      <c r="L1906" s="1">
        <v>1.8</v>
      </c>
    </row>
    <row r="1907" spans="4:12">
      <c r="D1907" s="1" t="s">
        <v>199</v>
      </c>
      <c r="E1907" s="1" t="s">
        <v>987</v>
      </c>
      <c r="H1907" s="1" t="s">
        <v>22</v>
      </c>
      <c r="I1907" s="1" t="s">
        <v>65</v>
      </c>
      <c r="L1907" s="1">
        <v>1</v>
      </c>
    </row>
    <row r="1908" spans="4:12">
      <c r="D1908" s="1" t="s">
        <v>199</v>
      </c>
      <c r="E1908" s="1" t="s">
        <v>988</v>
      </c>
      <c r="H1908" s="1" t="s">
        <v>22</v>
      </c>
      <c r="I1908" s="1" t="s">
        <v>65</v>
      </c>
      <c r="L1908" s="1">
        <v>1</v>
      </c>
    </row>
    <row r="1909" spans="4:12">
      <c r="D1909" s="1" t="s">
        <v>199</v>
      </c>
      <c r="E1909" s="1" t="s">
        <v>989</v>
      </c>
      <c r="H1909" s="1" t="s">
        <v>22</v>
      </c>
      <c r="I1909" s="1" t="s">
        <v>65</v>
      </c>
      <c r="L1909" s="1">
        <v>1</v>
      </c>
    </row>
    <row r="1910" spans="4:12">
      <c r="D1910" s="1" t="s">
        <v>199</v>
      </c>
      <c r="E1910" s="1" t="s">
        <v>990</v>
      </c>
      <c r="H1910" s="1" t="s">
        <v>22</v>
      </c>
      <c r="I1910" s="1" t="s">
        <v>65</v>
      </c>
      <c r="L1910" s="1">
        <v>1</v>
      </c>
    </row>
    <row r="1911" spans="4:12">
      <c r="D1911" s="1" t="s">
        <v>199</v>
      </c>
      <c r="E1911" s="1" t="s">
        <v>991</v>
      </c>
      <c r="F1911" s="1" t="s">
        <v>118</v>
      </c>
      <c r="G1911" s="1" t="s">
        <v>119</v>
      </c>
      <c r="H1911" s="1" t="s">
        <v>22</v>
      </c>
      <c r="I1911" s="1" t="s">
        <v>120</v>
      </c>
      <c r="J1911" s="1">
        <v>0</v>
      </c>
      <c r="L1911" s="1">
        <v>2.20462262185</v>
      </c>
    </row>
    <row r="1912" spans="4:12">
      <c r="D1912" s="1" t="s">
        <v>199</v>
      </c>
      <c r="E1912" s="1" t="s">
        <v>992</v>
      </c>
      <c r="F1912" s="1" t="s">
        <v>52</v>
      </c>
      <c r="G1912" s="1" t="s">
        <v>53</v>
      </c>
      <c r="H1912" s="1" t="s">
        <v>22</v>
      </c>
      <c r="I1912" s="1" t="s">
        <v>65</v>
      </c>
      <c r="L1912" s="1">
        <v>7936.6414386555998</v>
      </c>
    </row>
    <row r="1913" spans="4:12">
      <c r="D1913" s="1" t="s">
        <v>199</v>
      </c>
      <c r="E1913" s="1" t="s">
        <v>993</v>
      </c>
      <c r="F1913" s="1" t="s">
        <v>52</v>
      </c>
      <c r="G1913" s="1" t="s">
        <v>53</v>
      </c>
      <c r="H1913" s="1" t="s">
        <v>22</v>
      </c>
      <c r="I1913" s="1" t="s">
        <v>65</v>
      </c>
      <c r="L1913" s="1">
        <v>7936.6414386555998</v>
      </c>
    </row>
    <row r="1914" spans="4:12">
      <c r="D1914" s="1" t="s">
        <v>199</v>
      </c>
      <c r="E1914" s="1" t="s">
        <v>994</v>
      </c>
      <c r="F1914" s="1" t="s">
        <v>52</v>
      </c>
      <c r="G1914" s="1" t="s">
        <v>53</v>
      </c>
      <c r="H1914" s="1" t="s">
        <v>22</v>
      </c>
      <c r="I1914" s="1" t="s">
        <v>65</v>
      </c>
      <c r="L1914" s="1">
        <v>7936.6414386555998</v>
      </c>
    </row>
    <row r="1915" spans="4:12">
      <c r="D1915" s="1" t="s">
        <v>199</v>
      </c>
      <c r="E1915" s="1" t="s">
        <v>995</v>
      </c>
      <c r="F1915" s="1" t="s">
        <v>52</v>
      </c>
      <c r="G1915" s="1" t="s">
        <v>53</v>
      </c>
      <c r="H1915" s="1" t="s">
        <v>22</v>
      </c>
      <c r="I1915" s="1" t="s">
        <v>65</v>
      </c>
      <c r="L1915" s="1">
        <v>7936.6414386555998</v>
      </c>
    </row>
    <row r="1916" spans="4:12">
      <c r="D1916" s="1" t="s">
        <v>199</v>
      </c>
      <c r="E1916" s="1" t="s">
        <v>996</v>
      </c>
      <c r="H1916" s="1" t="s">
        <v>22</v>
      </c>
      <c r="I1916" s="1" t="s">
        <v>120</v>
      </c>
      <c r="L1916" s="1">
        <v>1</v>
      </c>
    </row>
    <row r="1917" spans="4:12">
      <c r="D1917" s="1" t="s">
        <v>199</v>
      </c>
      <c r="E1917" s="1" t="s">
        <v>997</v>
      </c>
      <c r="H1917" s="1" t="s">
        <v>22</v>
      </c>
      <c r="I1917" s="1" t="s">
        <v>65</v>
      </c>
      <c r="L1917" s="1">
        <v>1</v>
      </c>
    </row>
    <row r="1918" spans="4:12">
      <c r="D1918" s="1" t="s">
        <v>199</v>
      </c>
      <c r="E1918" s="1" t="s">
        <v>998</v>
      </c>
      <c r="F1918" s="1" t="s">
        <v>56</v>
      </c>
      <c r="G1918" s="1" t="s">
        <v>57</v>
      </c>
      <c r="H1918" s="1" t="s">
        <v>22</v>
      </c>
      <c r="I1918" s="1" t="s">
        <v>65</v>
      </c>
      <c r="L1918" s="1">
        <v>1.4503773773020921E-4</v>
      </c>
    </row>
    <row r="1919" spans="4:12">
      <c r="D1919" s="1" t="s">
        <v>199</v>
      </c>
      <c r="E1919" s="1" t="s">
        <v>999</v>
      </c>
      <c r="F1919" s="1" t="s">
        <v>56</v>
      </c>
      <c r="G1919" s="1" t="s">
        <v>57</v>
      </c>
      <c r="H1919" s="1" t="s">
        <v>22</v>
      </c>
      <c r="I1919" s="1" t="s">
        <v>65</v>
      </c>
      <c r="L1919" s="1">
        <v>1.4503773773020921E-4</v>
      </c>
    </row>
    <row r="1920" spans="4:12">
      <c r="D1920" s="1" t="s">
        <v>199</v>
      </c>
      <c r="E1920" s="1" t="s">
        <v>1000</v>
      </c>
      <c r="F1920" s="1" t="s">
        <v>56</v>
      </c>
      <c r="G1920" s="1" t="s">
        <v>57</v>
      </c>
      <c r="H1920" s="1" t="s">
        <v>22</v>
      </c>
      <c r="I1920" s="1" t="s">
        <v>65</v>
      </c>
      <c r="L1920" s="1">
        <v>1.4503773773020921E-4</v>
      </c>
    </row>
    <row r="1921" spans="4:13">
      <c r="D1921" s="1" t="s">
        <v>199</v>
      </c>
      <c r="E1921" s="1" t="s">
        <v>1001</v>
      </c>
      <c r="F1921" s="1" t="s">
        <v>56</v>
      </c>
      <c r="G1921" s="1" t="s">
        <v>57</v>
      </c>
      <c r="H1921" s="1" t="s">
        <v>22</v>
      </c>
      <c r="I1921" s="1" t="s">
        <v>65</v>
      </c>
      <c r="L1921" s="1">
        <v>1.4503773773020921E-4</v>
      </c>
    </row>
    <row r="1922" spans="4:13">
      <c r="D1922" s="1" t="s">
        <v>199</v>
      </c>
      <c r="E1922" s="1" t="s">
        <v>1002</v>
      </c>
      <c r="F1922" s="1" t="s">
        <v>124</v>
      </c>
      <c r="G1922" s="1" t="s">
        <v>125</v>
      </c>
      <c r="H1922" s="1" t="s">
        <v>22</v>
      </c>
      <c r="I1922" s="1" t="s">
        <v>120</v>
      </c>
      <c r="L1922" s="1">
        <v>35.314666699999997</v>
      </c>
    </row>
    <row r="1923" spans="4:13">
      <c r="D1923" s="1" t="s">
        <v>199</v>
      </c>
      <c r="E1923" s="1" t="s">
        <v>1003</v>
      </c>
      <c r="H1923" s="1" t="s">
        <v>22</v>
      </c>
      <c r="I1923" s="1" t="s">
        <v>65</v>
      </c>
      <c r="L1923" s="1">
        <v>1</v>
      </c>
    </row>
    <row r="1924" spans="4:13">
      <c r="D1924" s="1" t="s">
        <v>199</v>
      </c>
      <c r="E1924" s="1" t="s">
        <v>1004</v>
      </c>
      <c r="H1924" s="1" t="s">
        <v>22</v>
      </c>
      <c r="I1924" s="1" t="s">
        <v>65</v>
      </c>
      <c r="L1924" s="1">
        <v>1</v>
      </c>
    </row>
    <row r="1925" spans="4:13">
      <c r="D1925" s="1" t="s">
        <v>199</v>
      </c>
      <c r="E1925" s="1" t="s">
        <v>1005</v>
      </c>
      <c r="H1925" s="1" t="s">
        <v>22</v>
      </c>
      <c r="I1925" s="1" t="s">
        <v>65</v>
      </c>
      <c r="L1925" s="1">
        <v>1</v>
      </c>
    </row>
    <row r="1926" spans="4:13">
      <c r="D1926" s="1" t="s">
        <v>199</v>
      </c>
      <c r="E1926" s="1" t="s">
        <v>1006</v>
      </c>
      <c r="H1926" s="1" t="s">
        <v>22</v>
      </c>
      <c r="I1926" s="1" t="s">
        <v>65</v>
      </c>
      <c r="L1926" s="1">
        <v>1</v>
      </c>
    </row>
    <row r="1927" spans="4:13">
      <c r="D1927" s="1" t="s">
        <v>199</v>
      </c>
      <c r="E1927" s="1" t="s">
        <v>1007</v>
      </c>
      <c r="H1927" s="1" t="s">
        <v>25</v>
      </c>
      <c r="I1927" s="1" t="s">
        <v>23</v>
      </c>
      <c r="M1927" s="1" t="b">
        <v>1</v>
      </c>
    </row>
    <row r="1928" spans="4:13">
      <c r="D1928" s="1" t="s">
        <v>199</v>
      </c>
      <c r="E1928" s="1" t="s">
        <v>1008</v>
      </c>
      <c r="H1928" s="1" t="s">
        <v>25</v>
      </c>
      <c r="I1928" s="1" t="s">
        <v>23</v>
      </c>
      <c r="M1928" s="1" t="b">
        <v>1</v>
      </c>
    </row>
    <row r="1929" spans="4:13">
      <c r="D1929" s="1" t="s">
        <v>199</v>
      </c>
      <c r="E1929" s="1" t="s">
        <v>1009</v>
      </c>
      <c r="H1929" s="1" t="s">
        <v>25</v>
      </c>
      <c r="I1929" s="1" t="s">
        <v>23</v>
      </c>
      <c r="M1929" s="1" t="b">
        <v>1</v>
      </c>
    </row>
    <row r="1930" spans="4:13">
      <c r="D1930" s="1" t="s">
        <v>199</v>
      </c>
      <c r="E1930" s="1" t="s">
        <v>1010</v>
      </c>
      <c r="H1930" s="1" t="s">
        <v>25</v>
      </c>
      <c r="I1930" s="1" t="s">
        <v>23</v>
      </c>
      <c r="M1930" s="1" t="b">
        <v>0</v>
      </c>
    </row>
    <row r="1931" spans="4:13">
      <c r="D1931" s="1" t="s">
        <v>199</v>
      </c>
      <c r="E1931" s="1" t="s">
        <v>1011</v>
      </c>
      <c r="H1931" s="1" t="s">
        <v>25</v>
      </c>
      <c r="I1931" s="1" t="s">
        <v>23</v>
      </c>
      <c r="M1931" s="1" t="b">
        <v>0</v>
      </c>
    </row>
    <row r="1932" spans="4:13">
      <c r="D1932" s="1" t="s">
        <v>199</v>
      </c>
      <c r="E1932" s="1" t="s">
        <v>1012</v>
      </c>
      <c r="H1932" s="1" t="s">
        <v>25</v>
      </c>
      <c r="I1932" s="1" t="s">
        <v>23</v>
      </c>
      <c r="M1932" s="1" t="b">
        <v>0</v>
      </c>
    </row>
    <row r="1933" spans="4:13">
      <c r="D1933" s="1" t="s">
        <v>199</v>
      </c>
      <c r="E1933" s="1" t="s">
        <v>1013</v>
      </c>
      <c r="H1933" s="1" t="s">
        <v>25</v>
      </c>
      <c r="I1933" s="1" t="s">
        <v>23</v>
      </c>
      <c r="M1933" s="1" t="b">
        <v>0</v>
      </c>
    </row>
    <row r="1934" spans="4:13">
      <c r="D1934" s="1" t="s">
        <v>1014</v>
      </c>
      <c r="E1934" s="1" t="s">
        <v>1015</v>
      </c>
      <c r="F1934" s="1" t="s">
        <v>176</v>
      </c>
      <c r="G1934" s="1" t="s">
        <v>177</v>
      </c>
      <c r="H1934" s="1" t="s">
        <v>22</v>
      </c>
      <c r="I1934" s="1" t="s">
        <v>23</v>
      </c>
      <c r="J1934" s="1">
        <v>0</v>
      </c>
      <c r="L1934" s="1">
        <v>39.370078740157467</v>
      </c>
      <c r="M1934" s="1">
        <v>0.24803149606299205</v>
      </c>
    </row>
    <row r="1935" spans="4:13">
      <c r="D1935" s="1" t="s">
        <v>1014</v>
      </c>
      <c r="E1935" s="1" t="s">
        <v>1016</v>
      </c>
      <c r="F1935" s="1" t="s">
        <v>176</v>
      </c>
      <c r="G1935" s="1" t="s">
        <v>177</v>
      </c>
      <c r="H1935" s="1" t="s">
        <v>22</v>
      </c>
      <c r="I1935" s="1" t="s">
        <v>23</v>
      </c>
      <c r="L1935" s="1">
        <v>39.370078740157467</v>
      </c>
      <c r="M1935" s="1">
        <v>0</v>
      </c>
    </row>
    <row r="1936" spans="4:13">
      <c r="D1936" s="1" t="s">
        <v>1014</v>
      </c>
      <c r="E1936" s="1" t="s">
        <v>1017</v>
      </c>
      <c r="F1936" s="1" t="s">
        <v>41</v>
      </c>
      <c r="G1936" s="1" t="s">
        <v>42</v>
      </c>
      <c r="H1936" s="1" t="s">
        <v>22</v>
      </c>
      <c r="I1936" s="1" t="s">
        <v>23</v>
      </c>
      <c r="J1936" s="1">
        <v>0</v>
      </c>
      <c r="K1936" s="1">
        <v>27</v>
      </c>
      <c r="L1936" s="1">
        <v>1.8</v>
      </c>
      <c r="M1936" s="1">
        <v>0.9</v>
      </c>
    </row>
    <row r="1937" spans="4:13">
      <c r="D1937" s="1" t="s">
        <v>1014</v>
      </c>
      <c r="E1937" s="1" t="s">
        <v>1018</v>
      </c>
      <c r="H1937" s="1" t="s">
        <v>25</v>
      </c>
      <c r="I1937" s="1" t="s">
        <v>23</v>
      </c>
      <c r="M1937" s="1" t="b">
        <v>0</v>
      </c>
    </row>
    <row r="1938" spans="4:13">
      <c r="D1938" s="1" t="s">
        <v>1014</v>
      </c>
      <c r="E1938" s="1" t="s">
        <v>1019</v>
      </c>
      <c r="F1938" s="1" t="s">
        <v>41</v>
      </c>
      <c r="G1938" s="1" t="s">
        <v>42</v>
      </c>
      <c r="H1938" s="1" t="s">
        <v>22</v>
      </c>
      <c r="I1938" s="1" t="s">
        <v>23</v>
      </c>
      <c r="J1938" s="1">
        <v>0</v>
      </c>
      <c r="K1938" s="1">
        <v>27</v>
      </c>
      <c r="L1938" s="1">
        <v>1.8</v>
      </c>
      <c r="M1938" s="1">
        <v>0.9</v>
      </c>
    </row>
    <row r="1939" spans="4:13">
      <c r="D1939" s="1" t="s">
        <v>1014</v>
      </c>
      <c r="E1939" s="1" t="s">
        <v>1020</v>
      </c>
      <c r="F1939" s="1" t="s">
        <v>176</v>
      </c>
      <c r="G1939" s="1" t="s">
        <v>177</v>
      </c>
      <c r="H1939" s="1" t="s">
        <v>22</v>
      </c>
      <c r="I1939" s="1" t="s">
        <v>23</v>
      </c>
      <c r="L1939" s="1">
        <v>39.370078740157467</v>
      </c>
      <c r="M1939" s="1">
        <v>0.8748031496062989</v>
      </c>
    </row>
    <row r="1940" spans="4:13">
      <c r="D1940" s="1" t="s">
        <v>1014</v>
      </c>
      <c r="E1940" s="1" t="s">
        <v>1021</v>
      </c>
      <c r="F1940" s="1" t="s">
        <v>176</v>
      </c>
      <c r="G1940" s="1" t="s">
        <v>177</v>
      </c>
      <c r="H1940" s="1" t="s">
        <v>22</v>
      </c>
      <c r="I1940" s="1" t="s">
        <v>23</v>
      </c>
      <c r="L1940" s="1">
        <v>39.370078740157467</v>
      </c>
      <c r="M1940" s="1">
        <v>1.5157480314960625</v>
      </c>
    </row>
    <row r="1941" spans="4:13">
      <c r="D1941" s="1" t="s">
        <v>1014</v>
      </c>
      <c r="E1941" s="1" t="s">
        <v>1022</v>
      </c>
      <c r="F1941" s="1" t="s">
        <v>143</v>
      </c>
      <c r="G1941" s="1" t="s">
        <v>144</v>
      </c>
      <c r="H1941" s="1" t="s">
        <v>22</v>
      </c>
      <c r="I1941" s="1" t="s">
        <v>23</v>
      </c>
      <c r="J1941" s="1">
        <v>0</v>
      </c>
      <c r="K1941" s="1">
        <v>9.9937434836636016E-3</v>
      </c>
      <c r="L1941" s="1">
        <v>5.6782633429906824</v>
      </c>
      <c r="M1941" s="1">
        <v>2.4984358709159E-4</v>
      </c>
    </row>
    <row r="1942" spans="4:13">
      <c r="D1942" s="1" t="s">
        <v>1014</v>
      </c>
      <c r="E1942" s="1" t="s">
        <v>1023</v>
      </c>
      <c r="F1942" s="1" t="s">
        <v>35</v>
      </c>
      <c r="G1942" s="1" t="s">
        <v>36</v>
      </c>
      <c r="H1942" s="1" t="s">
        <v>22</v>
      </c>
      <c r="I1942" s="1" t="s">
        <v>23</v>
      </c>
      <c r="J1942" s="1">
        <v>-99.670000000000016</v>
      </c>
      <c r="K1942" s="1">
        <v>211.99999999999994</v>
      </c>
      <c r="L1942" s="1">
        <v>80.329999999999984</v>
      </c>
      <c r="M1942" s="1">
        <v>85.999999999999943</v>
      </c>
    </row>
    <row r="1943" spans="4:13">
      <c r="D1943" s="1" t="s">
        <v>1014</v>
      </c>
      <c r="E1943" s="1" t="s">
        <v>1024</v>
      </c>
      <c r="F1943" s="1" t="s">
        <v>35</v>
      </c>
      <c r="G1943" s="1" t="s">
        <v>36</v>
      </c>
      <c r="H1943" s="1" t="s">
        <v>22</v>
      </c>
      <c r="I1943" s="1" t="s">
        <v>23</v>
      </c>
      <c r="J1943" s="1">
        <v>-99.670000000000016</v>
      </c>
      <c r="K1943" s="1">
        <v>211.99999999999994</v>
      </c>
      <c r="L1943" s="1">
        <v>80.329999999999984</v>
      </c>
      <c r="M1943" s="1">
        <v>94.999999999999943</v>
      </c>
    </row>
    <row r="1944" spans="4:13">
      <c r="D1944" s="1" t="s">
        <v>1014</v>
      </c>
      <c r="E1944" s="1" t="s">
        <v>1025</v>
      </c>
      <c r="F1944" s="1" t="s">
        <v>41</v>
      </c>
      <c r="G1944" s="1" t="s">
        <v>42</v>
      </c>
      <c r="H1944" s="1" t="s">
        <v>22</v>
      </c>
      <c r="I1944" s="1" t="s">
        <v>23</v>
      </c>
      <c r="J1944" s="1">
        <v>0</v>
      </c>
      <c r="K1944" s="1">
        <v>36</v>
      </c>
      <c r="L1944" s="1">
        <v>1.8</v>
      </c>
      <c r="M1944" s="1">
        <v>3.6</v>
      </c>
    </row>
    <row r="1945" spans="4:13">
      <c r="D1945" s="1" t="s">
        <v>1014</v>
      </c>
      <c r="E1945" s="1" t="s">
        <v>163</v>
      </c>
      <c r="H1945" s="1" t="s">
        <v>22</v>
      </c>
      <c r="I1945" s="1" t="s">
        <v>23</v>
      </c>
      <c r="J1945" s="1">
        <v>0</v>
      </c>
      <c r="K1945" s="1">
        <v>1</v>
      </c>
      <c r="L1945" s="1">
        <v>0.1</v>
      </c>
      <c r="M1945" s="1">
        <v>0.2</v>
      </c>
    </row>
    <row r="1946" spans="4:13">
      <c r="D1946" s="1" t="s">
        <v>1014</v>
      </c>
      <c r="E1946" s="1" t="s">
        <v>1026</v>
      </c>
      <c r="H1946" s="1" t="s">
        <v>22</v>
      </c>
      <c r="I1946" s="1" t="s">
        <v>23</v>
      </c>
      <c r="J1946" s="1">
        <v>0.5</v>
      </c>
      <c r="K1946" s="1">
        <v>2</v>
      </c>
      <c r="L1946" s="1">
        <v>1</v>
      </c>
      <c r="M1946" s="1">
        <v>1</v>
      </c>
    </row>
    <row r="1947" spans="4:13">
      <c r="D1947" s="1" t="s">
        <v>1014</v>
      </c>
      <c r="E1947" s="1" t="s">
        <v>1027</v>
      </c>
      <c r="H1947" s="1" t="s">
        <v>22</v>
      </c>
      <c r="I1947" s="1" t="s">
        <v>23</v>
      </c>
      <c r="J1947" s="1">
        <v>0.5</v>
      </c>
      <c r="K1947" s="1">
        <v>2</v>
      </c>
      <c r="L1947" s="1">
        <v>1</v>
      </c>
      <c r="M1947" s="1">
        <v>1</v>
      </c>
    </row>
    <row r="1948" spans="4:13">
      <c r="D1948" s="1" t="s">
        <v>1014</v>
      </c>
      <c r="E1948" s="1" t="s">
        <v>1028</v>
      </c>
      <c r="H1948" s="1" t="s">
        <v>25</v>
      </c>
      <c r="I1948" s="1" t="s">
        <v>23</v>
      </c>
      <c r="M1948" s="1" t="b">
        <v>1</v>
      </c>
    </row>
    <row r="1949" spans="4:13">
      <c r="D1949" s="1" t="s">
        <v>1014</v>
      </c>
      <c r="E1949" s="1" t="s">
        <v>1029</v>
      </c>
      <c r="H1949" s="1" t="s">
        <v>25</v>
      </c>
      <c r="I1949" s="1" t="s">
        <v>23</v>
      </c>
      <c r="M1949" s="1" t="b">
        <v>1</v>
      </c>
    </row>
    <row r="1950" spans="4:13">
      <c r="D1950" s="1" t="s">
        <v>1014</v>
      </c>
      <c r="E1950" s="1" t="s">
        <v>1030</v>
      </c>
      <c r="H1950" s="1" t="s">
        <v>22</v>
      </c>
      <c r="I1950" s="1" t="s">
        <v>23</v>
      </c>
      <c r="J1950" s="1">
        <v>0.5</v>
      </c>
      <c r="K1950" s="1">
        <v>2</v>
      </c>
      <c r="L1950" s="1">
        <v>1</v>
      </c>
      <c r="M1950" s="1">
        <v>1</v>
      </c>
    </row>
    <row r="1951" spans="4:13">
      <c r="D1951" s="1" t="s">
        <v>1014</v>
      </c>
      <c r="E1951" s="1" t="s">
        <v>1031</v>
      </c>
      <c r="H1951" s="1" t="s">
        <v>25</v>
      </c>
      <c r="I1951" s="1" t="s">
        <v>23</v>
      </c>
      <c r="M1951" s="1" t="b">
        <v>1</v>
      </c>
    </row>
    <row r="1952" spans="4:13">
      <c r="D1952" s="1" t="s">
        <v>1014</v>
      </c>
      <c r="E1952" s="1" t="s">
        <v>1032</v>
      </c>
      <c r="H1952" s="1" t="s">
        <v>22</v>
      </c>
      <c r="I1952" s="1" t="s">
        <v>23</v>
      </c>
      <c r="J1952" s="1">
        <v>0.5</v>
      </c>
      <c r="K1952" s="1">
        <v>2</v>
      </c>
      <c r="L1952" s="1">
        <v>1</v>
      </c>
      <c r="M1952" s="1">
        <v>1</v>
      </c>
    </row>
    <row r="1953" spans="4:13">
      <c r="D1953" s="1" t="s">
        <v>1014</v>
      </c>
      <c r="E1953" s="1" t="s">
        <v>1033</v>
      </c>
      <c r="H1953" s="1" t="s">
        <v>25</v>
      </c>
      <c r="I1953" s="1" t="s">
        <v>23</v>
      </c>
      <c r="M1953" s="1" t="b">
        <v>1</v>
      </c>
    </row>
    <row r="1954" spans="4:13">
      <c r="D1954" s="1" t="s">
        <v>1014</v>
      </c>
      <c r="E1954" s="1" t="s">
        <v>1034</v>
      </c>
      <c r="H1954" s="1" t="s">
        <v>22</v>
      </c>
      <c r="I1954" s="1" t="s">
        <v>23</v>
      </c>
      <c r="J1954" s="1">
        <v>0.5</v>
      </c>
      <c r="K1954" s="1">
        <v>2</v>
      </c>
      <c r="L1954" s="1">
        <v>1</v>
      </c>
      <c r="M1954" s="1">
        <v>1</v>
      </c>
    </row>
    <row r="1955" spans="4:13">
      <c r="D1955" s="1" t="s">
        <v>1014</v>
      </c>
      <c r="E1955" s="1" t="s">
        <v>1035</v>
      </c>
      <c r="H1955" s="1" t="s">
        <v>25</v>
      </c>
      <c r="I1955" s="1" t="s">
        <v>23</v>
      </c>
      <c r="M1955" s="1" t="b">
        <v>1</v>
      </c>
    </row>
    <row r="1956" spans="4:13">
      <c r="D1956" s="1" t="s">
        <v>1014</v>
      </c>
      <c r="E1956" s="1" t="s">
        <v>1036</v>
      </c>
      <c r="H1956" s="1" t="s">
        <v>22</v>
      </c>
      <c r="I1956" s="1" t="s">
        <v>23</v>
      </c>
      <c r="J1956" s="1">
        <v>0.5</v>
      </c>
      <c r="K1956" s="1">
        <v>2</v>
      </c>
      <c r="L1956" s="1">
        <v>1</v>
      </c>
      <c r="M1956" s="1">
        <v>1</v>
      </c>
    </row>
    <row r="1957" spans="4:13">
      <c r="D1957" s="1" t="s">
        <v>1014</v>
      </c>
      <c r="E1957" s="1" t="s">
        <v>1037</v>
      </c>
      <c r="H1957" s="1" t="s">
        <v>25</v>
      </c>
      <c r="I1957" s="1" t="s">
        <v>23</v>
      </c>
      <c r="M1957" s="1" t="b">
        <v>1</v>
      </c>
    </row>
    <row r="1958" spans="4:13">
      <c r="D1958" s="1" t="s">
        <v>1014</v>
      </c>
      <c r="E1958" s="1" t="s">
        <v>1038</v>
      </c>
      <c r="H1958" s="1" t="s">
        <v>22</v>
      </c>
      <c r="I1958" s="1" t="s">
        <v>23</v>
      </c>
      <c r="J1958" s="1">
        <v>0.5</v>
      </c>
      <c r="K1958" s="1">
        <v>2</v>
      </c>
      <c r="L1958" s="1">
        <v>1</v>
      </c>
      <c r="M1958" s="1">
        <v>1</v>
      </c>
    </row>
    <row r="1959" spans="4:13">
      <c r="D1959" s="1" t="s">
        <v>1014</v>
      </c>
      <c r="E1959" s="1" t="s">
        <v>1039</v>
      </c>
      <c r="H1959" s="1" t="s">
        <v>25</v>
      </c>
      <c r="I1959" s="1" t="s">
        <v>23</v>
      </c>
      <c r="M1959" s="1" t="b">
        <v>1</v>
      </c>
    </row>
    <row r="1960" spans="4:13">
      <c r="D1960" s="1" t="s">
        <v>1014</v>
      </c>
      <c r="E1960" s="1" t="s">
        <v>1040</v>
      </c>
      <c r="F1960" s="1" t="s">
        <v>1041</v>
      </c>
      <c r="G1960" s="1" t="s">
        <v>1042</v>
      </c>
      <c r="H1960" s="1" t="s">
        <v>22</v>
      </c>
      <c r="I1960" s="1" t="s">
        <v>23</v>
      </c>
      <c r="J1960" s="1">
        <v>1.7611018362408509E-2</v>
      </c>
      <c r="K1960" s="1">
        <v>88.055091812042548</v>
      </c>
      <c r="L1960" s="1">
        <v>0.17611018362408509</v>
      </c>
      <c r="M1960" s="1">
        <v>0</v>
      </c>
    </row>
    <row r="1961" spans="4:13">
      <c r="D1961" s="1" t="s">
        <v>1014</v>
      </c>
      <c r="E1961" s="1" t="s">
        <v>1043</v>
      </c>
      <c r="F1961" s="1" t="s">
        <v>1044</v>
      </c>
      <c r="G1961" s="1" t="s">
        <v>1045</v>
      </c>
      <c r="H1961" s="1" t="s">
        <v>22</v>
      </c>
      <c r="I1961" s="1" t="s">
        <v>23</v>
      </c>
      <c r="L1961" s="1">
        <v>57.29577951308238</v>
      </c>
      <c r="M1961" s="1">
        <v>30.000000000000028</v>
      </c>
    </row>
    <row r="1962" spans="4:13">
      <c r="D1962" s="1" t="s">
        <v>1014</v>
      </c>
      <c r="E1962" s="1" t="s">
        <v>1046</v>
      </c>
      <c r="F1962" s="1" t="s">
        <v>1044</v>
      </c>
      <c r="G1962" s="1" t="s">
        <v>1045</v>
      </c>
      <c r="H1962" s="1" t="s">
        <v>22</v>
      </c>
      <c r="I1962" s="1" t="s">
        <v>23</v>
      </c>
      <c r="L1962" s="1">
        <v>57.29577951308238</v>
      </c>
      <c r="M1962" s="1">
        <v>30.000000000000028</v>
      </c>
    </row>
    <row r="1963" spans="4:13">
      <c r="D1963" s="1" t="s">
        <v>1014</v>
      </c>
      <c r="E1963" s="1" t="s">
        <v>1047</v>
      </c>
      <c r="H1963" s="1" t="s">
        <v>22</v>
      </c>
      <c r="I1963" s="1" t="s">
        <v>29</v>
      </c>
      <c r="J1963" s="1">
        <v>0.1</v>
      </c>
      <c r="K1963" s="1">
        <v>10</v>
      </c>
      <c r="L1963" s="1">
        <v>5.05</v>
      </c>
    </row>
    <row r="1964" spans="4:13">
      <c r="D1964" s="1" t="s">
        <v>1014</v>
      </c>
      <c r="E1964" s="1" t="s">
        <v>1048</v>
      </c>
      <c r="H1964" s="1" t="s">
        <v>22</v>
      </c>
      <c r="I1964" s="1" t="s">
        <v>29</v>
      </c>
      <c r="J1964" s="1">
        <v>0.1</v>
      </c>
      <c r="K1964" s="1">
        <v>10</v>
      </c>
      <c r="L1964" s="1">
        <v>5.05</v>
      </c>
    </row>
    <row r="1965" spans="4:13">
      <c r="D1965" s="1" t="s">
        <v>1014</v>
      </c>
      <c r="E1965" s="1" t="s">
        <v>1049</v>
      </c>
      <c r="H1965" s="1" t="s">
        <v>22</v>
      </c>
      <c r="I1965" s="1" t="s">
        <v>29</v>
      </c>
      <c r="J1965" s="1">
        <v>0.1</v>
      </c>
      <c r="K1965" s="1">
        <v>10</v>
      </c>
      <c r="L1965" s="1">
        <v>5.05</v>
      </c>
    </row>
    <row r="1966" spans="4:13">
      <c r="D1966" s="1" t="s">
        <v>1014</v>
      </c>
      <c r="E1966" s="1" t="s">
        <v>1050</v>
      </c>
      <c r="H1966" s="1" t="s">
        <v>22</v>
      </c>
      <c r="I1966" s="1" t="s">
        <v>29</v>
      </c>
      <c r="J1966" s="1">
        <v>0.1</v>
      </c>
      <c r="K1966" s="1">
        <v>10</v>
      </c>
      <c r="L1966" s="1">
        <v>5.05</v>
      </c>
    </row>
    <row r="1967" spans="4:13">
      <c r="D1967" s="1" t="s">
        <v>1014</v>
      </c>
      <c r="E1967" s="1" t="s">
        <v>1051</v>
      </c>
      <c r="H1967" s="1" t="s">
        <v>22</v>
      </c>
      <c r="I1967" s="1" t="s">
        <v>29</v>
      </c>
      <c r="J1967" s="1">
        <v>0.1</v>
      </c>
      <c r="K1967" s="1">
        <v>10</v>
      </c>
      <c r="L1967" s="1">
        <v>5.05</v>
      </c>
    </row>
    <row r="1968" spans="4:13">
      <c r="D1968" s="1" t="s">
        <v>1014</v>
      </c>
      <c r="E1968" s="1" t="s">
        <v>1052</v>
      </c>
      <c r="H1968" s="1" t="s">
        <v>22</v>
      </c>
      <c r="I1968" s="1" t="s">
        <v>29</v>
      </c>
      <c r="J1968" s="1">
        <v>0.1</v>
      </c>
      <c r="K1968" s="1">
        <v>10</v>
      </c>
      <c r="L1968" s="1">
        <v>5.05</v>
      </c>
    </row>
    <row r="1969" spans="4:13">
      <c r="D1969" s="1" t="s">
        <v>1014</v>
      </c>
      <c r="E1969" s="1" t="s">
        <v>1053</v>
      </c>
      <c r="H1969" s="1" t="s">
        <v>22</v>
      </c>
      <c r="I1969" s="1" t="s">
        <v>29</v>
      </c>
      <c r="J1969" s="1">
        <v>0.1</v>
      </c>
      <c r="K1969" s="1">
        <v>10</v>
      </c>
      <c r="L1969" s="1">
        <v>5.05</v>
      </c>
    </row>
    <row r="1970" spans="4:13">
      <c r="D1970" s="1" t="s">
        <v>1014</v>
      </c>
      <c r="E1970" s="1" t="s">
        <v>1054</v>
      </c>
      <c r="F1970" s="1" t="s">
        <v>147</v>
      </c>
      <c r="G1970" s="1" t="s">
        <v>148</v>
      </c>
      <c r="H1970" s="1" t="s">
        <v>22</v>
      </c>
      <c r="I1970" s="1" t="s">
        <v>23</v>
      </c>
      <c r="J1970" s="1">
        <v>0</v>
      </c>
      <c r="K1970" s="1">
        <v>68242832.702662006</v>
      </c>
      <c r="L1970" s="1">
        <v>3.4121416351331</v>
      </c>
      <c r="M1970" s="1">
        <v>3412141.6351331002</v>
      </c>
    </row>
    <row r="1971" spans="4:13">
      <c r="D1971" s="1" t="s">
        <v>1014</v>
      </c>
      <c r="E1971" s="1" t="s">
        <v>1055</v>
      </c>
      <c r="H1971" s="1" t="s">
        <v>25</v>
      </c>
      <c r="I1971" s="1" t="s">
        <v>23</v>
      </c>
      <c r="M1971" s="1" t="b">
        <v>0</v>
      </c>
    </row>
    <row r="1972" spans="4:13">
      <c r="D1972" s="1" t="s">
        <v>1014</v>
      </c>
      <c r="E1972" s="1" t="s">
        <v>1056</v>
      </c>
      <c r="F1972" s="1" t="s">
        <v>56</v>
      </c>
      <c r="G1972" s="1" t="s">
        <v>57</v>
      </c>
      <c r="H1972" s="1" t="s">
        <v>22</v>
      </c>
      <c r="I1972" s="1" t="s">
        <v>23</v>
      </c>
      <c r="L1972" s="1">
        <v>1.4503773773020921E-4</v>
      </c>
      <c r="M1972" s="1">
        <v>0.72518868865104602</v>
      </c>
    </row>
    <row r="1973" spans="4:13">
      <c r="D1973" s="1" t="s">
        <v>1014</v>
      </c>
      <c r="E1973" s="1" t="s">
        <v>1057</v>
      </c>
      <c r="H1973" s="1" t="s">
        <v>25</v>
      </c>
      <c r="I1973" s="1" t="s">
        <v>23</v>
      </c>
      <c r="M1973" s="1" t="b">
        <v>0</v>
      </c>
    </row>
    <row r="1974" spans="4:13">
      <c r="D1974" s="1" t="s">
        <v>1014</v>
      </c>
      <c r="E1974" s="1" t="s">
        <v>1058</v>
      </c>
      <c r="F1974" s="1" t="s">
        <v>56</v>
      </c>
      <c r="G1974" s="1" t="s">
        <v>57</v>
      </c>
      <c r="H1974" s="1" t="s">
        <v>22</v>
      </c>
      <c r="I1974" s="1" t="s">
        <v>29</v>
      </c>
      <c r="J1974" s="1">
        <v>4.9312830828271128</v>
      </c>
      <c r="K1974" s="1">
        <v>623.66227223989961</v>
      </c>
      <c r="L1974" s="1">
        <v>50.713895374744951</v>
      </c>
    </row>
    <row r="1975" spans="4:13">
      <c r="D1975" s="1" t="s">
        <v>1014</v>
      </c>
      <c r="E1975" s="1" t="s">
        <v>1059</v>
      </c>
      <c r="F1975" s="1" t="s">
        <v>45</v>
      </c>
      <c r="G1975" s="1" t="s">
        <v>46</v>
      </c>
      <c r="H1975" s="1" t="s">
        <v>22</v>
      </c>
      <c r="I1975" s="1" t="s">
        <v>29</v>
      </c>
      <c r="J1975" s="1">
        <v>-6.3932502128443591</v>
      </c>
      <c r="K1975" s="1">
        <v>358.61435929656</v>
      </c>
      <c r="L1975" s="1">
        <v>114.79148749423418</v>
      </c>
    </row>
    <row r="1976" spans="4:13">
      <c r="D1976" s="1" t="s">
        <v>1014</v>
      </c>
      <c r="E1976" s="1" t="s">
        <v>1060</v>
      </c>
      <c r="F1976" s="1" t="s">
        <v>56</v>
      </c>
      <c r="G1976" s="1" t="s">
        <v>57</v>
      </c>
      <c r="H1976" s="1" t="s">
        <v>22</v>
      </c>
      <c r="I1976" s="1" t="s">
        <v>29</v>
      </c>
      <c r="J1976" s="1">
        <v>4.9312830828271128</v>
      </c>
      <c r="K1976" s="1">
        <v>623.66227223989961</v>
      </c>
      <c r="L1976" s="1">
        <v>50.713895374744951</v>
      </c>
    </row>
    <row r="1977" spans="4:13">
      <c r="D1977" s="1" t="s">
        <v>1014</v>
      </c>
      <c r="E1977" s="1" t="s">
        <v>1061</v>
      </c>
      <c r="H1977" s="1" t="s">
        <v>22</v>
      </c>
      <c r="I1977" s="1" t="s">
        <v>29</v>
      </c>
      <c r="L1977" s="1">
        <v>1</v>
      </c>
    </row>
    <row r="1978" spans="4:13">
      <c r="D1978" s="1" t="s">
        <v>1014</v>
      </c>
      <c r="E1978" s="1" t="s">
        <v>1062</v>
      </c>
      <c r="F1978" s="1" t="s">
        <v>176</v>
      </c>
      <c r="G1978" s="1" t="s">
        <v>177</v>
      </c>
      <c r="H1978" s="1" t="s">
        <v>22</v>
      </c>
      <c r="I1978" s="1" t="s">
        <v>23</v>
      </c>
      <c r="J1978" s="1">
        <v>0</v>
      </c>
      <c r="L1978" s="1">
        <v>39.370078740157467</v>
      </c>
      <c r="M1978" s="1">
        <v>0.19685039370078733</v>
      </c>
    </row>
    <row r="1979" spans="4:13">
      <c r="D1979" s="1" t="s">
        <v>1014</v>
      </c>
      <c r="E1979" s="1" t="s">
        <v>1063</v>
      </c>
      <c r="F1979" s="1" t="s">
        <v>176</v>
      </c>
      <c r="G1979" s="1" t="s">
        <v>177</v>
      </c>
      <c r="H1979" s="1" t="s">
        <v>22</v>
      </c>
      <c r="I1979" s="1" t="s">
        <v>23</v>
      </c>
      <c r="J1979" s="1">
        <v>0</v>
      </c>
      <c r="L1979" s="1">
        <v>39.370078740157467</v>
      </c>
      <c r="M1979" s="1">
        <v>0.78740157480314932</v>
      </c>
    </row>
    <row r="1980" spans="4:13">
      <c r="D1980" s="1" t="s">
        <v>1014</v>
      </c>
      <c r="E1980" s="1" t="s">
        <v>1064</v>
      </c>
      <c r="F1980" s="1" t="s">
        <v>176</v>
      </c>
      <c r="G1980" s="1" t="s">
        <v>177</v>
      </c>
      <c r="H1980" s="1" t="s">
        <v>22</v>
      </c>
      <c r="I1980" s="1" t="s">
        <v>23</v>
      </c>
      <c r="J1980" s="1">
        <v>0</v>
      </c>
      <c r="L1980" s="1">
        <v>39.370078740157467</v>
      </c>
      <c r="M1980" s="1">
        <v>0.39370078740157466</v>
      </c>
    </row>
    <row r="1981" spans="4:13">
      <c r="D1981" s="1" t="s">
        <v>1014</v>
      </c>
      <c r="E1981" s="1" t="s">
        <v>1065</v>
      </c>
      <c r="F1981" s="1" t="s">
        <v>56</v>
      </c>
      <c r="G1981" s="1" t="s">
        <v>57</v>
      </c>
      <c r="H1981" s="1" t="s">
        <v>22</v>
      </c>
      <c r="I1981" s="1" t="s">
        <v>29</v>
      </c>
      <c r="J1981" s="1">
        <v>4.9312830828271128</v>
      </c>
      <c r="K1981" s="1">
        <v>623.66227223989961</v>
      </c>
      <c r="L1981" s="1">
        <v>50.713895374744951</v>
      </c>
    </row>
    <row r="1982" spans="4:13">
      <c r="D1982" s="1" t="s">
        <v>1014</v>
      </c>
      <c r="E1982" s="1" t="s">
        <v>1066</v>
      </c>
      <c r="H1982" s="1" t="s">
        <v>25</v>
      </c>
      <c r="I1982" s="1" t="s">
        <v>23</v>
      </c>
      <c r="M1982" s="1" t="b">
        <v>0</v>
      </c>
    </row>
    <row r="1983" spans="4:13">
      <c r="D1983" s="1" t="s">
        <v>1014</v>
      </c>
      <c r="E1983" s="1" t="s">
        <v>1067</v>
      </c>
      <c r="F1983" s="1" t="s">
        <v>176</v>
      </c>
      <c r="G1983" s="1" t="s">
        <v>177</v>
      </c>
      <c r="H1983" s="1" t="s">
        <v>22</v>
      </c>
      <c r="I1983" s="1" t="s">
        <v>23</v>
      </c>
      <c r="J1983" s="1">
        <v>0</v>
      </c>
      <c r="L1983" s="1">
        <v>39.370078740157467</v>
      </c>
      <c r="M1983" s="1">
        <v>0</v>
      </c>
    </row>
    <row r="1984" spans="4:13">
      <c r="D1984" s="1" t="s">
        <v>1014</v>
      </c>
      <c r="E1984" s="1" t="s">
        <v>1068</v>
      </c>
      <c r="F1984" s="1" t="s">
        <v>176</v>
      </c>
      <c r="G1984" s="1" t="s">
        <v>177</v>
      </c>
      <c r="H1984" s="1" t="s">
        <v>22</v>
      </c>
      <c r="I1984" s="1" t="s">
        <v>23</v>
      </c>
      <c r="J1984" s="1">
        <v>0</v>
      </c>
      <c r="L1984" s="1">
        <v>39.370078740157467</v>
      </c>
      <c r="M1984" s="1">
        <v>4.7244094488188955</v>
      </c>
    </row>
    <row r="1985" spans="4:13">
      <c r="D1985" s="1" t="s">
        <v>1014</v>
      </c>
      <c r="E1985" s="1" t="s">
        <v>47</v>
      </c>
      <c r="H1985" s="1" t="s">
        <v>25</v>
      </c>
      <c r="I1985" s="1" t="s">
        <v>23</v>
      </c>
      <c r="M1985" s="1" t="b">
        <v>0</v>
      </c>
    </row>
    <row r="1986" spans="4:13">
      <c r="D1986" s="1" t="s">
        <v>1014</v>
      </c>
      <c r="E1986" s="1" t="s">
        <v>1069</v>
      </c>
      <c r="H1986" s="1" t="s">
        <v>25</v>
      </c>
      <c r="I1986" s="1" t="s">
        <v>23</v>
      </c>
      <c r="M1986" s="1" t="b">
        <v>0</v>
      </c>
    </row>
    <row r="1987" spans="4:13">
      <c r="D1987" s="1" t="s">
        <v>1014</v>
      </c>
      <c r="E1987" s="1" t="s">
        <v>920</v>
      </c>
      <c r="H1987" s="1" t="s">
        <v>22</v>
      </c>
      <c r="I1987" s="1" t="s">
        <v>23</v>
      </c>
      <c r="J1987" s="1">
        <v>0</v>
      </c>
      <c r="K1987" s="1">
        <v>1</v>
      </c>
      <c r="L1987" s="1">
        <v>1</v>
      </c>
      <c r="M1987" s="1">
        <v>0</v>
      </c>
    </row>
    <row r="1988" spans="4:13">
      <c r="D1988" s="1" t="s">
        <v>1014</v>
      </c>
      <c r="E1988" s="1" t="s">
        <v>921</v>
      </c>
      <c r="H1988" s="1" t="s">
        <v>22</v>
      </c>
      <c r="I1988" s="1" t="s">
        <v>23</v>
      </c>
      <c r="J1988" s="1">
        <v>0</v>
      </c>
      <c r="K1988" s="1">
        <v>1</v>
      </c>
      <c r="L1988" s="1">
        <v>1</v>
      </c>
      <c r="M1988" s="1">
        <v>1</v>
      </c>
    </row>
    <row r="1989" spans="4:13">
      <c r="D1989" s="1" t="s">
        <v>1014</v>
      </c>
      <c r="E1989" s="1" t="s">
        <v>1070</v>
      </c>
      <c r="F1989" s="1" t="s">
        <v>1071</v>
      </c>
      <c r="G1989" s="1" t="s">
        <v>1072</v>
      </c>
      <c r="H1989" s="1" t="s">
        <v>22</v>
      </c>
      <c r="I1989" s="1" t="s">
        <v>23</v>
      </c>
      <c r="J1989" s="1">
        <v>5.7778931654299819E-4</v>
      </c>
      <c r="K1989" s="1">
        <v>0.57778931654299814</v>
      </c>
      <c r="L1989" s="1">
        <v>0.57778931654299814</v>
      </c>
      <c r="M1989" s="1">
        <v>2.1672877263527863E-2</v>
      </c>
    </row>
    <row r="1990" spans="4:13">
      <c r="D1990" s="1" t="s">
        <v>1014</v>
      </c>
      <c r="E1990" s="1" t="s">
        <v>1073</v>
      </c>
      <c r="H1990" s="1" t="s">
        <v>22</v>
      </c>
      <c r="I1990" s="1" t="s">
        <v>23</v>
      </c>
      <c r="J1990" s="1">
        <v>0.5</v>
      </c>
      <c r="K1990" s="1">
        <v>1</v>
      </c>
      <c r="L1990" s="1">
        <v>1</v>
      </c>
      <c r="M1990" s="1">
        <v>1</v>
      </c>
    </row>
    <row r="1991" spans="4:13">
      <c r="D1991" s="1" t="s">
        <v>1014</v>
      </c>
      <c r="E1991" s="1" t="s">
        <v>1074</v>
      </c>
      <c r="H1991" s="1" t="s">
        <v>25</v>
      </c>
      <c r="I1991" s="1" t="s">
        <v>23</v>
      </c>
      <c r="M1991" s="1" t="b">
        <v>0</v>
      </c>
    </row>
    <row r="1992" spans="4:13">
      <c r="D1992" s="1" t="s">
        <v>1014</v>
      </c>
      <c r="E1992" s="1" t="s">
        <v>1075</v>
      </c>
      <c r="H1992" s="1" t="s">
        <v>25</v>
      </c>
      <c r="I1992" s="1" t="s">
        <v>23</v>
      </c>
      <c r="M1992" s="1" t="b">
        <v>0</v>
      </c>
    </row>
    <row r="1993" spans="4:13">
      <c r="D1993" s="1" t="s">
        <v>1014</v>
      </c>
      <c r="E1993" s="1" t="s">
        <v>1076</v>
      </c>
      <c r="F1993" s="1" t="s">
        <v>118</v>
      </c>
      <c r="G1993" s="1" t="s">
        <v>119</v>
      </c>
      <c r="H1993" s="1" t="s">
        <v>22</v>
      </c>
      <c r="I1993" s="1" t="s">
        <v>23</v>
      </c>
      <c r="J1993" s="1">
        <v>0</v>
      </c>
      <c r="K1993" s="1">
        <v>6613.8678655499998</v>
      </c>
      <c r="L1993" s="1">
        <v>2.20462262185</v>
      </c>
      <c r="M1993" s="1">
        <v>440.92452437000003</v>
      </c>
    </row>
    <row r="1994" spans="4:13">
      <c r="D1994" s="1" t="s">
        <v>1014</v>
      </c>
      <c r="E1994" s="1" t="s">
        <v>1077</v>
      </c>
      <c r="H1994" s="1" t="s">
        <v>25</v>
      </c>
      <c r="I1994" s="1" t="s">
        <v>23</v>
      </c>
      <c r="M1994" s="1" t="b">
        <v>0</v>
      </c>
    </row>
    <row r="1995" spans="4:13">
      <c r="D1995" s="1" t="s">
        <v>1014</v>
      </c>
      <c r="E1995" s="1" t="s">
        <v>1078</v>
      </c>
      <c r="H1995" s="1" t="s">
        <v>22</v>
      </c>
      <c r="I1995" s="1" t="s">
        <v>23</v>
      </c>
      <c r="J1995" s="1">
        <v>0</v>
      </c>
      <c r="K1995" s="1">
        <v>1</v>
      </c>
      <c r="L1995" s="1">
        <v>1</v>
      </c>
      <c r="M1995" s="1">
        <v>0.03</v>
      </c>
    </row>
    <row r="1996" spans="4:13">
      <c r="D1996" s="1" t="s">
        <v>1014</v>
      </c>
      <c r="E1996" s="1" t="s">
        <v>1079</v>
      </c>
      <c r="H1996" s="1" t="s">
        <v>25</v>
      </c>
      <c r="I1996" s="1" t="s">
        <v>23</v>
      </c>
      <c r="M1996" s="1" t="b">
        <v>0</v>
      </c>
    </row>
    <row r="1997" spans="4:13">
      <c r="D1997" s="1" t="s">
        <v>1014</v>
      </c>
      <c r="E1997" s="1" t="s">
        <v>1080</v>
      </c>
      <c r="H1997" s="1" t="s">
        <v>22</v>
      </c>
      <c r="I1997" s="1" t="s">
        <v>23</v>
      </c>
      <c r="J1997" s="1">
        <v>0</v>
      </c>
      <c r="K1997" s="1">
        <v>1</v>
      </c>
      <c r="L1997" s="1">
        <v>1</v>
      </c>
      <c r="M1997" s="1">
        <v>0.5</v>
      </c>
    </row>
    <row r="1998" spans="4:13">
      <c r="D1998" s="1" t="s">
        <v>1014</v>
      </c>
      <c r="E1998" s="1" t="s">
        <v>1081</v>
      </c>
      <c r="H1998" s="1" t="s">
        <v>22</v>
      </c>
      <c r="I1998" s="1" t="s">
        <v>23</v>
      </c>
      <c r="J1998" s="1">
        <v>0</v>
      </c>
      <c r="K1998" s="1">
        <v>1</v>
      </c>
      <c r="L1998" s="1">
        <v>1</v>
      </c>
      <c r="M1998" s="1">
        <v>0.2</v>
      </c>
    </row>
    <row r="1999" spans="4:13">
      <c r="D1999" s="1" t="s">
        <v>1014</v>
      </c>
      <c r="E1999" s="1" t="s">
        <v>1082</v>
      </c>
      <c r="H1999" s="1" t="s">
        <v>22</v>
      </c>
      <c r="I1999" s="1" t="s">
        <v>23</v>
      </c>
      <c r="J1999" s="1">
        <v>0</v>
      </c>
      <c r="K1999" s="1">
        <v>1</v>
      </c>
      <c r="L1999" s="1">
        <v>1</v>
      </c>
      <c r="M1999" s="1">
        <v>0.2</v>
      </c>
    </row>
    <row r="2000" spans="4:13">
      <c r="D2000" s="1" t="s">
        <v>1014</v>
      </c>
      <c r="E2000" s="1" t="s">
        <v>1083</v>
      </c>
      <c r="H2000" s="1" t="s">
        <v>181</v>
      </c>
      <c r="I2000" s="1" t="s">
        <v>23</v>
      </c>
      <c r="J2000" s="1">
        <v>1</v>
      </c>
      <c r="K2000" s="1">
        <v>94</v>
      </c>
      <c r="M2000" s="1" t="s">
        <v>952</v>
      </c>
    </row>
    <row r="2001" spans="4:13">
      <c r="D2001" s="1" t="s">
        <v>1014</v>
      </c>
      <c r="E2001" s="1" t="s">
        <v>1084</v>
      </c>
      <c r="H2001" s="1" t="s">
        <v>181</v>
      </c>
      <c r="I2001" s="1" t="s">
        <v>23</v>
      </c>
      <c r="J2001" s="1">
        <v>1</v>
      </c>
      <c r="K2001" s="1">
        <v>3</v>
      </c>
      <c r="M2001" s="1" t="s">
        <v>1085</v>
      </c>
    </row>
    <row r="2002" spans="4:13">
      <c r="D2002" s="1" t="s">
        <v>1014</v>
      </c>
      <c r="E2002" s="1" t="s">
        <v>1086</v>
      </c>
      <c r="H2002" s="1" t="s">
        <v>181</v>
      </c>
      <c r="I2002" s="1" t="s">
        <v>23</v>
      </c>
      <c r="J2002" s="1">
        <v>1</v>
      </c>
      <c r="K2002" s="1">
        <v>54</v>
      </c>
      <c r="M2002" s="1" t="s">
        <v>1087</v>
      </c>
    </row>
    <row r="2003" spans="4:13">
      <c r="D2003" s="1" t="s">
        <v>1014</v>
      </c>
      <c r="E2003" s="1" t="s">
        <v>1088</v>
      </c>
      <c r="H2003" s="1" t="s">
        <v>25</v>
      </c>
      <c r="I2003" s="1" t="s">
        <v>23</v>
      </c>
      <c r="M2003" s="1" t="b">
        <v>0</v>
      </c>
    </row>
    <row r="2004" spans="4:13">
      <c r="D2004" s="1" t="s">
        <v>1014</v>
      </c>
      <c r="E2004" s="1" t="s">
        <v>1089</v>
      </c>
      <c r="F2004" s="1" t="s">
        <v>35</v>
      </c>
      <c r="G2004" s="1" t="s">
        <v>36</v>
      </c>
      <c r="H2004" s="1" t="s">
        <v>22</v>
      </c>
      <c r="I2004" s="1" t="s">
        <v>29</v>
      </c>
      <c r="J2004" s="1">
        <v>-31.018000000000029</v>
      </c>
      <c r="K2004" s="1">
        <v>256.99999999999994</v>
      </c>
      <c r="L2004" s="1">
        <v>80.329999999999984</v>
      </c>
    </row>
    <row r="2005" spans="4:13">
      <c r="D2005" s="1" t="s">
        <v>1014</v>
      </c>
      <c r="E2005" s="1" t="s">
        <v>1090</v>
      </c>
      <c r="F2005" s="1" t="s">
        <v>35</v>
      </c>
      <c r="G2005" s="1" t="s">
        <v>36</v>
      </c>
      <c r="H2005" s="1" t="s">
        <v>22</v>
      </c>
      <c r="I2005" s="1" t="s">
        <v>29</v>
      </c>
      <c r="J2005" s="1">
        <v>-31.018000000000029</v>
      </c>
      <c r="K2005" s="1">
        <v>256.99999999999994</v>
      </c>
      <c r="L2005" s="1">
        <v>80.329999999999984</v>
      </c>
    </row>
    <row r="2006" spans="4:13">
      <c r="D2006" s="1" t="s">
        <v>1014</v>
      </c>
      <c r="E2006" s="1" t="s">
        <v>1091</v>
      </c>
      <c r="F2006" s="1" t="s">
        <v>35</v>
      </c>
      <c r="G2006" s="1" t="s">
        <v>36</v>
      </c>
      <c r="H2006" s="1" t="s">
        <v>22</v>
      </c>
      <c r="I2006" s="1" t="s">
        <v>29</v>
      </c>
      <c r="J2006" s="1">
        <v>-31.018000000000029</v>
      </c>
      <c r="K2006" s="1">
        <v>256.99999999999994</v>
      </c>
      <c r="L2006" s="1">
        <v>80.329999999999984</v>
      </c>
    </row>
    <row r="2007" spans="4:13">
      <c r="D2007" s="1" t="s">
        <v>1014</v>
      </c>
      <c r="E2007" s="1" t="s">
        <v>1092</v>
      </c>
      <c r="F2007" s="1" t="s">
        <v>35</v>
      </c>
      <c r="G2007" s="1" t="s">
        <v>36</v>
      </c>
      <c r="H2007" s="1" t="s">
        <v>22</v>
      </c>
      <c r="I2007" s="1" t="s">
        <v>29</v>
      </c>
      <c r="J2007" s="1">
        <v>-31.018000000000029</v>
      </c>
      <c r="K2007" s="1">
        <v>256.99999999999994</v>
      </c>
      <c r="L2007" s="1">
        <v>80.329999999999984</v>
      </c>
    </row>
    <row r="2008" spans="4:13">
      <c r="D2008" s="1" t="s">
        <v>1014</v>
      </c>
      <c r="E2008" s="1" t="s">
        <v>1093</v>
      </c>
      <c r="F2008" s="1" t="s">
        <v>45</v>
      </c>
      <c r="G2008" s="1" t="s">
        <v>46</v>
      </c>
      <c r="H2008" s="1" t="s">
        <v>22</v>
      </c>
      <c r="I2008" s="1" t="s">
        <v>29</v>
      </c>
      <c r="J2008" s="1">
        <v>-6.3932502128443591</v>
      </c>
      <c r="K2008" s="1">
        <v>358.61435929656</v>
      </c>
      <c r="L2008" s="1">
        <v>114.79148749423418</v>
      </c>
    </row>
    <row r="2009" spans="4:13">
      <c r="D2009" s="1" t="s">
        <v>1014</v>
      </c>
      <c r="E2009" s="1" t="s">
        <v>1094</v>
      </c>
      <c r="F2009" s="1" t="s">
        <v>45</v>
      </c>
      <c r="G2009" s="1" t="s">
        <v>46</v>
      </c>
      <c r="H2009" s="1" t="s">
        <v>22</v>
      </c>
      <c r="I2009" s="1" t="s">
        <v>29</v>
      </c>
      <c r="J2009" s="1">
        <v>-6.3932502128443591</v>
      </c>
      <c r="K2009" s="1">
        <v>358.61435929656</v>
      </c>
      <c r="L2009" s="1">
        <v>114.79148749423418</v>
      </c>
    </row>
    <row r="2010" spans="4:13">
      <c r="D2010" s="1" t="s">
        <v>1014</v>
      </c>
      <c r="E2010" s="1" t="s">
        <v>1095</v>
      </c>
      <c r="F2010" s="1" t="s">
        <v>45</v>
      </c>
      <c r="G2010" s="1" t="s">
        <v>46</v>
      </c>
      <c r="H2010" s="1" t="s">
        <v>22</v>
      </c>
      <c r="I2010" s="1" t="s">
        <v>29</v>
      </c>
      <c r="J2010" s="1">
        <v>-6.3932502128443591</v>
      </c>
      <c r="K2010" s="1">
        <v>358.61435929656</v>
      </c>
      <c r="L2010" s="1">
        <v>114.79148749423418</v>
      </c>
    </row>
    <row r="2011" spans="4:13">
      <c r="D2011" s="1" t="s">
        <v>1014</v>
      </c>
      <c r="E2011" s="1" t="s">
        <v>1096</v>
      </c>
      <c r="F2011" s="1" t="s">
        <v>45</v>
      </c>
      <c r="G2011" s="1" t="s">
        <v>46</v>
      </c>
      <c r="H2011" s="1" t="s">
        <v>22</v>
      </c>
      <c r="I2011" s="1" t="s">
        <v>29</v>
      </c>
      <c r="J2011" s="1">
        <v>-6.3932502128443591</v>
      </c>
      <c r="K2011" s="1">
        <v>358.61435929656</v>
      </c>
      <c r="L2011" s="1">
        <v>114.79148749423418</v>
      </c>
    </row>
    <row r="2012" spans="4:13">
      <c r="D2012" s="1" t="s">
        <v>1014</v>
      </c>
      <c r="E2012" s="1" t="s">
        <v>1097</v>
      </c>
      <c r="F2012" s="1" t="s">
        <v>45</v>
      </c>
      <c r="G2012" s="1" t="s">
        <v>46</v>
      </c>
      <c r="H2012" s="1" t="s">
        <v>22</v>
      </c>
      <c r="I2012" s="1" t="s">
        <v>29</v>
      </c>
      <c r="J2012" s="1">
        <v>-6.3932502128443591</v>
      </c>
      <c r="K2012" s="1">
        <v>358.61435929656</v>
      </c>
      <c r="L2012" s="1">
        <v>114.79148749423418</v>
      </c>
    </row>
    <row r="2013" spans="4:13">
      <c r="D2013" s="1" t="s">
        <v>1014</v>
      </c>
      <c r="E2013" s="1" t="s">
        <v>1098</v>
      </c>
      <c r="F2013" s="1" t="s">
        <v>45</v>
      </c>
      <c r="G2013" s="1" t="s">
        <v>46</v>
      </c>
      <c r="H2013" s="1" t="s">
        <v>22</v>
      </c>
      <c r="I2013" s="1" t="s">
        <v>29</v>
      </c>
      <c r="J2013" s="1">
        <v>-6.3932502128443591</v>
      </c>
      <c r="K2013" s="1">
        <v>358.61435929656</v>
      </c>
      <c r="L2013" s="1">
        <v>114.79148749423418</v>
      </c>
    </row>
    <row r="2014" spans="4:13">
      <c r="D2014" s="1" t="s">
        <v>1014</v>
      </c>
      <c r="E2014" s="1" t="s">
        <v>1099</v>
      </c>
      <c r="F2014" s="1" t="s">
        <v>45</v>
      </c>
      <c r="G2014" s="1" t="s">
        <v>46</v>
      </c>
      <c r="H2014" s="1" t="s">
        <v>22</v>
      </c>
      <c r="I2014" s="1" t="s">
        <v>29</v>
      </c>
      <c r="J2014" s="1">
        <v>-6.3932502128443591</v>
      </c>
      <c r="K2014" s="1">
        <v>358.61435929656</v>
      </c>
      <c r="L2014" s="1">
        <v>114.79148749423418</v>
      </c>
    </row>
    <row r="2015" spans="4:13">
      <c r="D2015" s="1" t="s">
        <v>1014</v>
      </c>
      <c r="E2015" s="1" t="s">
        <v>1100</v>
      </c>
      <c r="F2015" s="1" t="s">
        <v>45</v>
      </c>
      <c r="G2015" s="1" t="s">
        <v>46</v>
      </c>
      <c r="H2015" s="1" t="s">
        <v>22</v>
      </c>
      <c r="I2015" s="1" t="s">
        <v>29</v>
      </c>
      <c r="J2015" s="1">
        <v>-6.3932502128443591</v>
      </c>
      <c r="K2015" s="1">
        <v>358.61435929656</v>
      </c>
      <c r="L2015" s="1">
        <v>114.79148749423418</v>
      </c>
    </row>
    <row r="2016" spans="4:13">
      <c r="D2016" s="1" t="s">
        <v>1014</v>
      </c>
      <c r="E2016" s="1" t="s">
        <v>1101</v>
      </c>
      <c r="F2016" s="1" t="s">
        <v>45</v>
      </c>
      <c r="G2016" s="1" t="s">
        <v>46</v>
      </c>
      <c r="H2016" s="1" t="s">
        <v>22</v>
      </c>
      <c r="I2016" s="1" t="s">
        <v>29</v>
      </c>
      <c r="J2016" s="1">
        <v>-6.3932502128443591</v>
      </c>
      <c r="K2016" s="1">
        <v>358.61435929656</v>
      </c>
      <c r="L2016" s="1">
        <v>114.79148749423418</v>
      </c>
    </row>
    <row r="2017" spans="4:12">
      <c r="D2017" s="1" t="s">
        <v>1014</v>
      </c>
      <c r="E2017" s="1" t="s">
        <v>1102</v>
      </c>
      <c r="F2017" s="1" t="s">
        <v>45</v>
      </c>
      <c r="G2017" s="1" t="s">
        <v>46</v>
      </c>
      <c r="H2017" s="1" t="s">
        <v>22</v>
      </c>
      <c r="I2017" s="1" t="s">
        <v>29</v>
      </c>
      <c r="J2017" s="1">
        <v>-6.3932502128443591</v>
      </c>
      <c r="K2017" s="1">
        <v>358.61435929656</v>
      </c>
      <c r="L2017" s="1">
        <v>114.79148749423418</v>
      </c>
    </row>
    <row r="2018" spans="4:12">
      <c r="D2018" s="1" t="s">
        <v>1014</v>
      </c>
      <c r="E2018" s="1" t="s">
        <v>1103</v>
      </c>
      <c r="H2018" s="1" t="s">
        <v>22</v>
      </c>
      <c r="I2018" s="1" t="s">
        <v>29</v>
      </c>
      <c r="J2018" s="1">
        <v>-3.94</v>
      </c>
      <c r="K2018" s="1">
        <v>3.66</v>
      </c>
      <c r="L2018" s="1">
        <v>1</v>
      </c>
    </row>
    <row r="2019" spans="4:12">
      <c r="D2019" s="1" t="s">
        <v>1014</v>
      </c>
      <c r="E2019" s="1" t="s">
        <v>1104</v>
      </c>
      <c r="F2019" s="1" t="s">
        <v>35</v>
      </c>
      <c r="G2019" s="1" t="s">
        <v>36</v>
      </c>
      <c r="H2019" s="1" t="s">
        <v>22</v>
      </c>
      <c r="I2019" s="1" t="s">
        <v>29</v>
      </c>
      <c r="J2019" s="1">
        <v>-99.670000000000016</v>
      </c>
      <c r="K2019" s="1">
        <v>440.33</v>
      </c>
      <c r="L2019" s="1">
        <v>80.329999999999984</v>
      </c>
    </row>
    <row r="2020" spans="4:12">
      <c r="D2020" s="1" t="s">
        <v>1014</v>
      </c>
      <c r="E2020" s="1" t="s">
        <v>1105</v>
      </c>
      <c r="F2020" s="1" t="s">
        <v>35</v>
      </c>
      <c r="G2020" s="1" t="s">
        <v>36</v>
      </c>
      <c r="H2020" s="1" t="s">
        <v>22</v>
      </c>
      <c r="I2020" s="1" t="s">
        <v>29</v>
      </c>
      <c r="J2020" s="1">
        <v>-99.670000000000016</v>
      </c>
      <c r="K2020" s="1">
        <v>440.33</v>
      </c>
      <c r="L2020" s="1">
        <v>80.329999999999984</v>
      </c>
    </row>
    <row r="2021" spans="4:12">
      <c r="D2021" s="1" t="s">
        <v>1014</v>
      </c>
      <c r="E2021" s="1" t="s">
        <v>1106</v>
      </c>
      <c r="F2021" s="1" t="s">
        <v>35</v>
      </c>
      <c r="G2021" s="1" t="s">
        <v>36</v>
      </c>
      <c r="H2021" s="1" t="s">
        <v>22</v>
      </c>
      <c r="I2021" s="1" t="s">
        <v>29</v>
      </c>
      <c r="J2021" s="1">
        <v>-99.670000000000016</v>
      </c>
      <c r="K2021" s="1">
        <v>440.33</v>
      </c>
      <c r="L2021" s="1">
        <v>80.329999999999984</v>
      </c>
    </row>
    <row r="2022" spans="4:12">
      <c r="D2022" s="1" t="s">
        <v>1014</v>
      </c>
      <c r="E2022" s="1" t="s">
        <v>1107</v>
      </c>
      <c r="F2022" s="1" t="s">
        <v>35</v>
      </c>
      <c r="G2022" s="1" t="s">
        <v>36</v>
      </c>
      <c r="H2022" s="1" t="s">
        <v>22</v>
      </c>
      <c r="I2022" s="1" t="s">
        <v>29</v>
      </c>
      <c r="J2022" s="1">
        <v>-99.670000000000016</v>
      </c>
      <c r="K2022" s="1">
        <v>440.33</v>
      </c>
      <c r="L2022" s="1">
        <v>80.329999999999984</v>
      </c>
    </row>
    <row r="2023" spans="4:12">
      <c r="D2023" s="1" t="s">
        <v>1014</v>
      </c>
      <c r="E2023" s="1" t="s">
        <v>1108</v>
      </c>
      <c r="F2023" s="1" t="s">
        <v>35</v>
      </c>
      <c r="G2023" s="1" t="s">
        <v>36</v>
      </c>
      <c r="H2023" s="1" t="s">
        <v>22</v>
      </c>
      <c r="I2023" s="1" t="s">
        <v>29</v>
      </c>
      <c r="J2023" s="1">
        <v>-99.670000000000016</v>
      </c>
      <c r="K2023" s="1">
        <v>440.33</v>
      </c>
      <c r="L2023" s="1">
        <v>80.329999999999984</v>
      </c>
    </row>
    <row r="2024" spans="4:12">
      <c r="D2024" s="1" t="s">
        <v>1014</v>
      </c>
      <c r="E2024" s="1" t="s">
        <v>1109</v>
      </c>
      <c r="F2024" s="1" t="s">
        <v>35</v>
      </c>
      <c r="G2024" s="1" t="s">
        <v>36</v>
      </c>
      <c r="H2024" s="1" t="s">
        <v>22</v>
      </c>
      <c r="I2024" s="1" t="s">
        <v>29</v>
      </c>
      <c r="J2024" s="1">
        <v>-99.670000000000016</v>
      </c>
      <c r="K2024" s="1">
        <v>440.33</v>
      </c>
      <c r="L2024" s="1">
        <v>80.329999999999984</v>
      </c>
    </row>
    <row r="2025" spans="4:12">
      <c r="D2025" s="1" t="s">
        <v>1014</v>
      </c>
      <c r="E2025" s="1" t="s">
        <v>1110</v>
      </c>
      <c r="F2025" s="1" t="s">
        <v>35</v>
      </c>
      <c r="G2025" s="1" t="s">
        <v>36</v>
      </c>
      <c r="H2025" s="1" t="s">
        <v>22</v>
      </c>
      <c r="I2025" s="1" t="s">
        <v>29</v>
      </c>
      <c r="J2025" s="1">
        <v>-99.670000000000016</v>
      </c>
      <c r="K2025" s="1">
        <v>440.33</v>
      </c>
      <c r="L2025" s="1">
        <v>80.329999999999984</v>
      </c>
    </row>
    <row r="2026" spans="4:12">
      <c r="D2026" s="1" t="s">
        <v>1014</v>
      </c>
      <c r="E2026" s="1" t="s">
        <v>1111</v>
      </c>
      <c r="F2026" s="1" t="s">
        <v>35</v>
      </c>
      <c r="G2026" s="1" t="s">
        <v>36</v>
      </c>
      <c r="H2026" s="1" t="s">
        <v>22</v>
      </c>
      <c r="I2026" s="1" t="s">
        <v>29</v>
      </c>
      <c r="J2026" s="1">
        <v>-99.670000000000016</v>
      </c>
      <c r="K2026" s="1">
        <v>440.33</v>
      </c>
      <c r="L2026" s="1">
        <v>80.329999999999984</v>
      </c>
    </row>
    <row r="2027" spans="4:12">
      <c r="D2027" s="1" t="s">
        <v>1014</v>
      </c>
      <c r="E2027" s="1" t="s">
        <v>1112</v>
      </c>
      <c r="F2027" s="1" t="s">
        <v>35</v>
      </c>
      <c r="G2027" s="1" t="s">
        <v>36</v>
      </c>
      <c r="H2027" s="1" t="s">
        <v>22</v>
      </c>
      <c r="I2027" s="1" t="s">
        <v>29</v>
      </c>
      <c r="J2027" s="1">
        <v>-99.670000000000016</v>
      </c>
      <c r="K2027" s="1">
        <v>440.33</v>
      </c>
      <c r="L2027" s="1">
        <v>80.329999999999984</v>
      </c>
    </row>
    <row r="2028" spans="4:12">
      <c r="D2028" s="1" t="s">
        <v>1014</v>
      </c>
      <c r="E2028" s="1" t="s">
        <v>1113</v>
      </c>
      <c r="F2028" s="1" t="s">
        <v>35</v>
      </c>
      <c r="G2028" s="1" t="s">
        <v>36</v>
      </c>
      <c r="H2028" s="1" t="s">
        <v>22</v>
      </c>
      <c r="I2028" s="1" t="s">
        <v>29</v>
      </c>
      <c r="J2028" s="1">
        <v>-99.670000000000016</v>
      </c>
      <c r="K2028" s="1">
        <v>440.33</v>
      </c>
      <c r="L2028" s="1">
        <v>80.329999999999984</v>
      </c>
    </row>
    <row r="2029" spans="4:12">
      <c r="D2029" s="1" t="s">
        <v>1014</v>
      </c>
      <c r="E2029" s="1" t="s">
        <v>1114</v>
      </c>
      <c r="F2029" s="1" t="s">
        <v>35</v>
      </c>
      <c r="G2029" s="1" t="s">
        <v>36</v>
      </c>
      <c r="H2029" s="1" t="s">
        <v>22</v>
      </c>
      <c r="I2029" s="1" t="s">
        <v>29</v>
      </c>
      <c r="J2029" s="1">
        <v>-31.018000000000029</v>
      </c>
      <c r="K2029" s="1">
        <v>256.99999999999994</v>
      </c>
      <c r="L2029" s="1">
        <v>80.329999999999984</v>
      </c>
    </row>
    <row r="2030" spans="4:12">
      <c r="D2030" s="1" t="s">
        <v>1014</v>
      </c>
      <c r="E2030" s="1" t="s">
        <v>1115</v>
      </c>
      <c r="F2030" s="1" t="s">
        <v>35</v>
      </c>
      <c r="G2030" s="1" t="s">
        <v>36</v>
      </c>
      <c r="H2030" s="1" t="s">
        <v>22</v>
      </c>
      <c r="I2030" s="1" t="s">
        <v>29</v>
      </c>
      <c r="J2030" s="1">
        <v>-31.018000000000029</v>
      </c>
      <c r="K2030" s="1">
        <v>256.99999999999994</v>
      </c>
      <c r="L2030" s="1">
        <v>80.329999999999984</v>
      </c>
    </row>
    <row r="2031" spans="4:12">
      <c r="D2031" s="1" t="s">
        <v>1014</v>
      </c>
      <c r="E2031" s="1" t="s">
        <v>1116</v>
      </c>
      <c r="F2031" s="1" t="s">
        <v>35</v>
      </c>
      <c r="G2031" s="1" t="s">
        <v>36</v>
      </c>
      <c r="H2031" s="1" t="s">
        <v>22</v>
      </c>
      <c r="I2031" s="1" t="s">
        <v>29</v>
      </c>
      <c r="J2031" s="1">
        <v>-31.018000000000029</v>
      </c>
      <c r="K2031" s="1">
        <v>256.99999999999994</v>
      </c>
      <c r="L2031" s="1">
        <v>80.329999999999984</v>
      </c>
    </row>
    <row r="2032" spans="4:12">
      <c r="D2032" s="1" t="s">
        <v>1014</v>
      </c>
      <c r="E2032" s="1" t="s">
        <v>1117</v>
      </c>
      <c r="F2032" s="1" t="s">
        <v>35</v>
      </c>
      <c r="G2032" s="1" t="s">
        <v>36</v>
      </c>
      <c r="H2032" s="1" t="s">
        <v>22</v>
      </c>
      <c r="I2032" s="1" t="s">
        <v>29</v>
      </c>
      <c r="J2032" s="1">
        <v>-31.018000000000029</v>
      </c>
      <c r="K2032" s="1">
        <v>256.99999999999994</v>
      </c>
      <c r="L2032" s="1">
        <v>80.329999999999984</v>
      </c>
    </row>
    <row r="2033" spans="4:12">
      <c r="D2033" s="1" t="s">
        <v>1014</v>
      </c>
      <c r="E2033" s="1" t="s">
        <v>1118</v>
      </c>
      <c r="F2033" s="1" t="s">
        <v>35</v>
      </c>
      <c r="G2033" s="1" t="s">
        <v>36</v>
      </c>
      <c r="H2033" s="1" t="s">
        <v>22</v>
      </c>
      <c r="I2033" s="1" t="s">
        <v>29</v>
      </c>
      <c r="J2033" s="1">
        <v>-31.018000000000029</v>
      </c>
      <c r="K2033" s="1">
        <v>256.99999999999994</v>
      </c>
      <c r="L2033" s="1">
        <v>80.329999999999984</v>
      </c>
    </row>
    <row r="2034" spans="4:12">
      <c r="D2034" s="1" t="s">
        <v>1014</v>
      </c>
      <c r="E2034" s="1" t="s">
        <v>1119</v>
      </c>
      <c r="F2034" s="1" t="s">
        <v>35</v>
      </c>
      <c r="G2034" s="1" t="s">
        <v>36</v>
      </c>
      <c r="H2034" s="1" t="s">
        <v>22</v>
      </c>
      <c r="I2034" s="1" t="s">
        <v>29</v>
      </c>
      <c r="J2034" s="1">
        <v>-31.018000000000029</v>
      </c>
      <c r="K2034" s="1">
        <v>256.99999999999994</v>
      </c>
      <c r="L2034" s="1">
        <v>80.329999999999984</v>
      </c>
    </row>
    <row r="2035" spans="4:12">
      <c r="D2035" s="1" t="s">
        <v>1014</v>
      </c>
      <c r="E2035" s="1" t="s">
        <v>1120</v>
      </c>
      <c r="F2035" s="1" t="s">
        <v>35</v>
      </c>
      <c r="G2035" s="1" t="s">
        <v>36</v>
      </c>
      <c r="H2035" s="1" t="s">
        <v>22</v>
      </c>
      <c r="I2035" s="1" t="s">
        <v>29</v>
      </c>
      <c r="J2035" s="1">
        <v>-31.018000000000029</v>
      </c>
      <c r="K2035" s="1">
        <v>256.99999999999994</v>
      </c>
      <c r="L2035" s="1">
        <v>80.329999999999984</v>
      </c>
    </row>
    <row r="2036" spans="4:12">
      <c r="D2036" s="1" t="s">
        <v>1014</v>
      </c>
      <c r="E2036" s="1" t="s">
        <v>1121</v>
      </c>
      <c r="F2036" s="1" t="s">
        <v>35</v>
      </c>
      <c r="G2036" s="1" t="s">
        <v>36</v>
      </c>
      <c r="H2036" s="1" t="s">
        <v>22</v>
      </c>
      <c r="I2036" s="1" t="s">
        <v>29</v>
      </c>
      <c r="J2036" s="1">
        <v>-31.018000000000029</v>
      </c>
      <c r="K2036" s="1">
        <v>256.99999999999994</v>
      </c>
      <c r="L2036" s="1">
        <v>80.329999999999984</v>
      </c>
    </row>
    <row r="2037" spans="4:12">
      <c r="D2037" s="1" t="s">
        <v>1014</v>
      </c>
      <c r="E2037" s="1" t="s">
        <v>1122</v>
      </c>
      <c r="F2037" s="1" t="s">
        <v>35</v>
      </c>
      <c r="G2037" s="1" t="s">
        <v>36</v>
      </c>
      <c r="H2037" s="1" t="s">
        <v>22</v>
      </c>
      <c r="I2037" s="1" t="s">
        <v>29</v>
      </c>
      <c r="J2037" s="1">
        <v>-31.018000000000029</v>
      </c>
      <c r="K2037" s="1">
        <v>256.99999999999994</v>
      </c>
      <c r="L2037" s="1">
        <v>80.329999999999984</v>
      </c>
    </row>
    <row r="2038" spans="4:12">
      <c r="D2038" s="1" t="s">
        <v>1014</v>
      </c>
      <c r="E2038" s="1" t="s">
        <v>1123</v>
      </c>
      <c r="F2038" s="1" t="s">
        <v>35</v>
      </c>
      <c r="G2038" s="1" t="s">
        <v>36</v>
      </c>
      <c r="H2038" s="1" t="s">
        <v>22</v>
      </c>
      <c r="I2038" s="1" t="s">
        <v>29</v>
      </c>
      <c r="J2038" s="1">
        <v>-31.018000000000029</v>
      </c>
      <c r="K2038" s="1">
        <v>256.99999999999994</v>
      </c>
      <c r="L2038" s="1">
        <v>80.329999999999984</v>
      </c>
    </row>
    <row r="2039" spans="4:12">
      <c r="D2039" s="1" t="s">
        <v>1014</v>
      </c>
      <c r="E2039" s="1" t="s">
        <v>1124</v>
      </c>
      <c r="F2039" s="1" t="s">
        <v>35</v>
      </c>
      <c r="G2039" s="1" t="s">
        <v>36</v>
      </c>
      <c r="H2039" s="1" t="s">
        <v>22</v>
      </c>
      <c r="I2039" s="1" t="s">
        <v>29</v>
      </c>
      <c r="J2039" s="1">
        <v>-31.018000000000029</v>
      </c>
      <c r="K2039" s="1">
        <v>256.99999999999994</v>
      </c>
      <c r="L2039" s="1">
        <v>80.329999999999984</v>
      </c>
    </row>
    <row r="2040" spans="4:12">
      <c r="D2040" s="1" t="s">
        <v>1014</v>
      </c>
      <c r="E2040" s="1" t="s">
        <v>1125</v>
      </c>
      <c r="F2040" s="1" t="s">
        <v>35</v>
      </c>
      <c r="G2040" s="1" t="s">
        <v>36</v>
      </c>
      <c r="H2040" s="1" t="s">
        <v>22</v>
      </c>
      <c r="I2040" s="1" t="s">
        <v>29</v>
      </c>
      <c r="J2040" s="1">
        <v>-31.018000000000029</v>
      </c>
      <c r="K2040" s="1">
        <v>256.99999999999994</v>
      </c>
      <c r="L2040" s="1">
        <v>80.329999999999984</v>
      </c>
    </row>
    <row r="2041" spans="4:12">
      <c r="D2041" s="1" t="s">
        <v>1014</v>
      </c>
      <c r="E2041" s="1" t="s">
        <v>1126</v>
      </c>
      <c r="F2041" s="1" t="s">
        <v>35</v>
      </c>
      <c r="G2041" s="1" t="s">
        <v>36</v>
      </c>
      <c r="H2041" s="1" t="s">
        <v>22</v>
      </c>
      <c r="I2041" s="1" t="s">
        <v>29</v>
      </c>
      <c r="J2041" s="1">
        <v>-99.670000000000016</v>
      </c>
      <c r="K2041" s="1">
        <v>440.33</v>
      </c>
      <c r="L2041" s="1">
        <v>80.329999999999984</v>
      </c>
    </row>
    <row r="2042" spans="4:12">
      <c r="D2042" s="1" t="s">
        <v>1014</v>
      </c>
      <c r="E2042" s="1" t="s">
        <v>1127</v>
      </c>
      <c r="F2042" s="1" t="s">
        <v>35</v>
      </c>
      <c r="G2042" s="1" t="s">
        <v>36</v>
      </c>
      <c r="H2042" s="1" t="s">
        <v>22</v>
      </c>
      <c r="I2042" s="1" t="s">
        <v>29</v>
      </c>
      <c r="J2042" s="1">
        <v>-99.670000000000016</v>
      </c>
      <c r="K2042" s="1">
        <v>440.33</v>
      </c>
      <c r="L2042" s="1">
        <v>80.329999999999984</v>
      </c>
    </row>
    <row r="2043" spans="4:12">
      <c r="D2043" s="1" t="s">
        <v>1014</v>
      </c>
      <c r="E2043" s="1" t="s">
        <v>1128</v>
      </c>
      <c r="F2043" s="1" t="s">
        <v>35</v>
      </c>
      <c r="G2043" s="1" t="s">
        <v>36</v>
      </c>
      <c r="H2043" s="1" t="s">
        <v>22</v>
      </c>
      <c r="I2043" s="1" t="s">
        <v>29</v>
      </c>
      <c r="J2043" s="1">
        <v>-99.670000000000016</v>
      </c>
      <c r="K2043" s="1">
        <v>440.33</v>
      </c>
      <c r="L2043" s="1">
        <v>80.329999999999984</v>
      </c>
    </row>
    <row r="2044" spans="4:12">
      <c r="D2044" s="1" t="s">
        <v>1014</v>
      </c>
      <c r="E2044" s="1" t="s">
        <v>1129</v>
      </c>
      <c r="F2044" s="1" t="s">
        <v>35</v>
      </c>
      <c r="G2044" s="1" t="s">
        <v>36</v>
      </c>
      <c r="H2044" s="1" t="s">
        <v>22</v>
      </c>
      <c r="I2044" s="1" t="s">
        <v>29</v>
      </c>
      <c r="J2044" s="1">
        <v>-99.670000000000016</v>
      </c>
      <c r="K2044" s="1">
        <v>440.33</v>
      </c>
      <c r="L2044" s="1">
        <v>80.329999999999984</v>
      </c>
    </row>
    <row r="2045" spans="4:12">
      <c r="D2045" s="1" t="s">
        <v>1014</v>
      </c>
      <c r="E2045" s="1" t="s">
        <v>1130</v>
      </c>
      <c r="F2045" s="1" t="s">
        <v>35</v>
      </c>
      <c r="G2045" s="1" t="s">
        <v>36</v>
      </c>
      <c r="H2045" s="1" t="s">
        <v>22</v>
      </c>
      <c r="I2045" s="1" t="s">
        <v>29</v>
      </c>
      <c r="J2045" s="1">
        <v>-99.670000000000016</v>
      </c>
      <c r="K2045" s="1">
        <v>440.33</v>
      </c>
      <c r="L2045" s="1">
        <v>80.329999999999984</v>
      </c>
    </row>
    <row r="2046" spans="4:12">
      <c r="D2046" s="1" t="s">
        <v>1014</v>
      </c>
      <c r="E2046" s="1" t="s">
        <v>1131</v>
      </c>
      <c r="F2046" s="1" t="s">
        <v>35</v>
      </c>
      <c r="G2046" s="1" t="s">
        <v>36</v>
      </c>
      <c r="H2046" s="1" t="s">
        <v>22</v>
      </c>
      <c r="I2046" s="1" t="s">
        <v>29</v>
      </c>
      <c r="J2046" s="1">
        <v>-99.670000000000016</v>
      </c>
      <c r="K2046" s="1">
        <v>440.33</v>
      </c>
      <c r="L2046" s="1">
        <v>80.329999999999984</v>
      </c>
    </row>
    <row r="2047" spans="4:12">
      <c r="D2047" s="1" t="s">
        <v>1014</v>
      </c>
      <c r="E2047" s="1" t="s">
        <v>1132</v>
      </c>
      <c r="F2047" s="1" t="s">
        <v>35</v>
      </c>
      <c r="G2047" s="1" t="s">
        <v>36</v>
      </c>
      <c r="H2047" s="1" t="s">
        <v>22</v>
      </c>
      <c r="I2047" s="1" t="s">
        <v>29</v>
      </c>
      <c r="J2047" s="1">
        <v>-99.670000000000016</v>
      </c>
      <c r="K2047" s="1">
        <v>440.33</v>
      </c>
      <c r="L2047" s="1">
        <v>80.329999999999984</v>
      </c>
    </row>
    <row r="2048" spans="4:12">
      <c r="D2048" s="1" t="s">
        <v>1014</v>
      </c>
      <c r="E2048" s="1" t="s">
        <v>1133</v>
      </c>
      <c r="F2048" s="1" t="s">
        <v>35</v>
      </c>
      <c r="G2048" s="1" t="s">
        <v>36</v>
      </c>
      <c r="H2048" s="1" t="s">
        <v>22</v>
      </c>
      <c r="I2048" s="1" t="s">
        <v>29</v>
      </c>
      <c r="J2048" s="1">
        <v>-99.670000000000016</v>
      </c>
      <c r="K2048" s="1">
        <v>440.33</v>
      </c>
      <c r="L2048" s="1">
        <v>80.329999999999984</v>
      </c>
    </row>
    <row r="2049" spans="4:12">
      <c r="D2049" s="1" t="s">
        <v>1014</v>
      </c>
      <c r="E2049" s="1" t="s">
        <v>1134</v>
      </c>
      <c r="F2049" s="1" t="s">
        <v>35</v>
      </c>
      <c r="G2049" s="1" t="s">
        <v>36</v>
      </c>
      <c r="H2049" s="1" t="s">
        <v>22</v>
      </c>
      <c r="I2049" s="1" t="s">
        <v>29</v>
      </c>
      <c r="J2049" s="1">
        <v>-99.670000000000016</v>
      </c>
      <c r="K2049" s="1">
        <v>440.33</v>
      </c>
      <c r="L2049" s="1">
        <v>80.329999999999984</v>
      </c>
    </row>
    <row r="2050" spans="4:12">
      <c r="D2050" s="1" t="s">
        <v>1014</v>
      </c>
      <c r="E2050" s="1" t="s">
        <v>1135</v>
      </c>
      <c r="F2050" s="1" t="s">
        <v>35</v>
      </c>
      <c r="G2050" s="1" t="s">
        <v>36</v>
      </c>
      <c r="H2050" s="1" t="s">
        <v>22</v>
      </c>
      <c r="I2050" s="1" t="s">
        <v>29</v>
      </c>
      <c r="J2050" s="1">
        <v>-99.670000000000016</v>
      </c>
      <c r="K2050" s="1">
        <v>440.33</v>
      </c>
      <c r="L2050" s="1">
        <v>80.329999999999984</v>
      </c>
    </row>
    <row r="2051" spans="4:12">
      <c r="D2051" s="1" t="s">
        <v>1014</v>
      </c>
      <c r="E2051" s="1" t="s">
        <v>1136</v>
      </c>
      <c r="F2051" s="1" t="s">
        <v>35</v>
      </c>
      <c r="G2051" s="1" t="s">
        <v>36</v>
      </c>
      <c r="H2051" s="1" t="s">
        <v>22</v>
      </c>
      <c r="I2051" s="1" t="s">
        <v>29</v>
      </c>
      <c r="J2051" s="1">
        <v>-31.018000000000029</v>
      </c>
      <c r="K2051" s="1">
        <v>256.99999999999994</v>
      </c>
      <c r="L2051" s="1">
        <v>80.329999999999984</v>
      </c>
    </row>
    <row r="2052" spans="4:12">
      <c r="D2052" s="1" t="s">
        <v>1014</v>
      </c>
      <c r="E2052" s="1" t="s">
        <v>1137</v>
      </c>
      <c r="F2052" s="1" t="s">
        <v>35</v>
      </c>
      <c r="G2052" s="1" t="s">
        <v>36</v>
      </c>
      <c r="H2052" s="1" t="s">
        <v>22</v>
      </c>
      <c r="I2052" s="1" t="s">
        <v>29</v>
      </c>
      <c r="J2052" s="1">
        <v>-31.018000000000029</v>
      </c>
      <c r="K2052" s="1">
        <v>256.99999999999994</v>
      </c>
      <c r="L2052" s="1">
        <v>80.329999999999984</v>
      </c>
    </row>
    <row r="2053" spans="4:12">
      <c r="D2053" s="1" t="s">
        <v>1014</v>
      </c>
      <c r="E2053" s="1" t="s">
        <v>1138</v>
      </c>
      <c r="F2053" s="1" t="s">
        <v>35</v>
      </c>
      <c r="G2053" s="1" t="s">
        <v>36</v>
      </c>
      <c r="H2053" s="1" t="s">
        <v>22</v>
      </c>
      <c r="I2053" s="1" t="s">
        <v>29</v>
      </c>
      <c r="J2053" s="1">
        <v>-31.018000000000029</v>
      </c>
      <c r="K2053" s="1">
        <v>256.99999999999994</v>
      </c>
      <c r="L2053" s="1">
        <v>80.329999999999984</v>
      </c>
    </row>
    <row r="2054" spans="4:12">
      <c r="D2054" s="1" t="s">
        <v>1014</v>
      </c>
      <c r="E2054" s="1" t="s">
        <v>1139</v>
      </c>
      <c r="F2054" s="1" t="s">
        <v>35</v>
      </c>
      <c r="G2054" s="1" t="s">
        <v>36</v>
      </c>
      <c r="H2054" s="1" t="s">
        <v>22</v>
      </c>
      <c r="I2054" s="1" t="s">
        <v>29</v>
      </c>
      <c r="J2054" s="1">
        <v>-31.018000000000029</v>
      </c>
      <c r="K2054" s="1">
        <v>256.99999999999994</v>
      </c>
      <c r="L2054" s="1">
        <v>80.329999999999984</v>
      </c>
    </row>
    <row r="2055" spans="4:12">
      <c r="D2055" s="1" t="s">
        <v>1014</v>
      </c>
      <c r="E2055" s="1" t="s">
        <v>1140</v>
      </c>
      <c r="F2055" s="1" t="s">
        <v>35</v>
      </c>
      <c r="G2055" s="1" t="s">
        <v>36</v>
      </c>
      <c r="H2055" s="1" t="s">
        <v>22</v>
      </c>
      <c r="I2055" s="1" t="s">
        <v>29</v>
      </c>
      <c r="J2055" s="1">
        <v>-31.018000000000029</v>
      </c>
      <c r="K2055" s="1">
        <v>256.99999999999994</v>
      </c>
      <c r="L2055" s="1">
        <v>80.329999999999984</v>
      </c>
    </row>
    <row r="2056" spans="4:12">
      <c r="D2056" s="1" t="s">
        <v>1014</v>
      </c>
      <c r="E2056" s="1" t="s">
        <v>1141</v>
      </c>
      <c r="F2056" s="1" t="s">
        <v>35</v>
      </c>
      <c r="G2056" s="1" t="s">
        <v>36</v>
      </c>
      <c r="H2056" s="1" t="s">
        <v>22</v>
      </c>
      <c r="I2056" s="1" t="s">
        <v>29</v>
      </c>
      <c r="J2056" s="1">
        <v>-31.018000000000029</v>
      </c>
      <c r="K2056" s="1">
        <v>256.99999999999994</v>
      </c>
      <c r="L2056" s="1">
        <v>80.329999999999984</v>
      </c>
    </row>
    <row r="2057" spans="4:12">
      <c r="D2057" s="1" t="s">
        <v>1014</v>
      </c>
      <c r="E2057" s="1" t="s">
        <v>1142</v>
      </c>
      <c r="F2057" s="1" t="s">
        <v>35</v>
      </c>
      <c r="G2057" s="1" t="s">
        <v>36</v>
      </c>
      <c r="H2057" s="1" t="s">
        <v>22</v>
      </c>
      <c r="I2057" s="1" t="s">
        <v>29</v>
      </c>
      <c r="J2057" s="1">
        <v>-31.018000000000029</v>
      </c>
      <c r="K2057" s="1">
        <v>256.99999999999994</v>
      </c>
      <c r="L2057" s="1">
        <v>80.329999999999984</v>
      </c>
    </row>
    <row r="2058" spans="4:12">
      <c r="D2058" s="1" t="s">
        <v>1014</v>
      </c>
      <c r="E2058" s="1" t="s">
        <v>1143</v>
      </c>
      <c r="F2058" s="1" t="s">
        <v>35</v>
      </c>
      <c r="G2058" s="1" t="s">
        <v>36</v>
      </c>
      <c r="H2058" s="1" t="s">
        <v>22</v>
      </c>
      <c r="I2058" s="1" t="s">
        <v>29</v>
      </c>
      <c r="J2058" s="1">
        <v>-31.018000000000029</v>
      </c>
      <c r="K2058" s="1">
        <v>256.99999999999994</v>
      </c>
      <c r="L2058" s="1">
        <v>80.329999999999984</v>
      </c>
    </row>
    <row r="2059" spans="4:12">
      <c r="D2059" s="1" t="s">
        <v>1014</v>
      </c>
      <c r="E2059" s="1" t="s">
        <v>1144</v>
      </c>
      <c r="F2059" s="1" t="s">
        <v>35</v>
      </c>
      <c r="G2059" s="1" t="s">
        <v>36</v>
      </c>
      <c r="H2059" s="1" t="s">
        <v>22</v>
      </c>
      <c r="I2059" s="1" t="s">
        <v>29</v>
      </c>
      <c r="J2059" s="1">
        <v>-31.018000000000029</v>
      </c>
      <c r="K2059" s="1">
        <v>256.99999999999994</v>
      </c>
      <c r="L2059" s="1">
        <v>80.329999999999984</v>
      </c>
    </row>
    <row r="2060" spans="4:12">
      <c r="D2060" s="1" t="s">
        <v>1014</v>
      </c>
      <c r="E2060" s="1" t="s">
        <v>1145</v>
      </c>
      <c r="F2060" s="1" t="s">
        <v>35</v>
      </c>
      <c r="G2060" s="1" t="s">
        <v>36</v>
      </c>
      <c r="H2060" s="1" t="s">
        <v>22</v>
      </c>
      <c r="I2060" s="1" t="s">
        <v>29</v>
      </c>
      <c r="J2060" s="1">
        <v>-31.018000000000029</v>
      </c>
      <c r="K2060" s="1">
        <v>256.99999999999994</v>
      </c>
      <c r="L2060" s="1">
        <v>80.329999999999984</v>
      </c>
    </row>
    <row r="2061" spans="4:12">
      <c r="D2061" s="1" t="s">
        <v>1014</v>
      </c>
      <c r="E2061" s="1" t="s">
        <v>1146</v>
      </c>
      <c r="F2061" s="1" t="s">
        <v>35</v>
      </c>
      <c r="G2061" s="1" t="s">
        <v>36</v>
      </c>
      <c r="H2061" s="1" t="s">
        <v>22</v>
      </c>
      <c r="I2061" s="1" t="s">
        <v>29</v>
      </c>
      <c r="J2061" s="1">
        <v>-31.018000000000029</v>
      </c>
      <c r="K2061" s="1">
        <v>256.99999999999994</v>
      </c>
      <c r="L2061" s="1">
        <v>80.329999999999984</v>
      </c>
    </row>
    <row r="2062" spans="4:12">
      <c r="D2062" s="1" t="s">
        <v>1014</v>
      </c>
      <c r="E2062" s="1" t="s">
        <v>1147</v>
      </c>
      <c r="F2062" s="1" t="s">
        <v>35</v>
      </c>
      <c r="G2062" s="1" t="s">
        <v>36</v>
      </c>
      <c r="H2062" s="1" t="s">
        <v>22</v>
      </c>
      <c r="I2062" s="1" t="s">
        <v>29</v>
      </c>
      <c r="J2062" s="1">
        <v>-31.018000000000029</v>
      </c>
      <c r="K2062" s="1">
        <v>256.99999999999994</v>
      </c>
      <c r="L2062" s="1">
        <v>80.329999999999984</v>
      </c>
    </row>
    <row r="2063" spans="4:12">
      <c r="D2063" s="1" t="s">
        <v>1014</v>
      </c>
      <c r="E2063" s="1" t="s">
        <v>1148</v>
      </c>
      <c r="F2063" s="1" t="s">
        <v>35</v>
      </c>
      <c r="G2063" s="1" t="s">
        <v>36</v>
      </c>
      <c r="H2063" s="1" t="s">
        <v>22</v>
      </c>
      <c r="I2063" s="1" t="s">
        <v>29</v>
      </c>
      <c r="J2063" s="1">
        <v>-99.670000000000016</v>
      </c>
      <c r="K2063" s="1">
        <v>440.33</v>
      </c>
      <c r="L2063" s="1">
        <v>80.329999999999984</v>
      </c>
    </row>
    <row r="2064" spans="4:12">
      <c r="D2064" s="1" t="s">
        <v>1014</v>
      </c>
      <c r="E2064" s="1" t="s">
        <v>1149</v>
      </c>
      <c r="F2064" s="1" t="s">
        <v>35</v>
      </c>
      <c r="G2064" s="1" t="s">
        <v>36</v>
      </c>
      <c r="H2064" s="1" t="s">
        <v>22</v>
      </c>
      <c r="I2064" s="1" t="s">
        <v>29</v>
      </c>
      <c r="J2064" s="1">
        <v>-99.670000000000016</v>
      </c>
      <c r="K2064" s="1">
        <v>440.33</v>
      </c>
      <c r="L2064" s="1">
        <v>80.329999999999984</v>
      </c>
    </row>
    <row r="2065" spans="4:12">
      <c r="D2065" s="1" t="s">
        <v>1014</v>
      </c>
      <c r="E2065" s="1" t="s">
        <v>1150</v>
      </c>
      <c r="F2065" s="1" t="s">
        <v>35</v>
      </c>
      <c r="G2065" s="1" t="s">
        <v>36</v>
      </c>
      <c r="H2065" s="1" t="s">
        <v>22</v>
      </c>
      <c r="I2065" s="1" t="s">
        <v>29</v>
      </c>
      <c r="J2065" s="1">
        <v>-99.670000000000016</v>
      </c>
      <c r="K2065" s="1">
        <v>440.33</v>
      </c>
      <c r="L2065" s="1">
        <v>80.329999999999984</v>
      </c>
    </row>
    <row r="2066" spans="4:12">
      <c r="D2066" s="1" t="s">
        <v>1014</v>
      </c>
      <c r="E2066" s="1" t="s">
        <v>1151</v>
      </c>
      <c r="F2066" s="1" t="s">
        <v>35</v>
      </c>
      <c r="G2066" s="1" t="s">
        <v>36</v>
      </c>
      <c r="H2066" s="1" t="s">
        <v>22</v>
      </c>
      <c r="I2066" s="1" t="s">
        <v>29</v>
      </c>
      <c r="J2066" s="1">
        <v>-99.670000000000016</v>
      </c>
      <c r="K2066" s="1">
        <v>440.33</v>
      </c>
      <c r="L2066" s="1">
        <v>80.329999999999984</v>
      </c>
    </row>
    <row r="2067" spans="4:12">
      <c r="D2067" s="1" t="s">
        <v>1014</v>
      </c>
      <c r="E2067" s="1" t="s">
        <v>1152</v>
      </c>
      <c r="F2067" s="1" t="s">
        <v>35</v>
      </c>
      <c r="G2067" s="1" t="s">
        <v>36</v>
      </c>
      <c r="H2067" s="1" t="s">
        <v>22</v>
      </c>
      <c r="I2067" s="1" t="s">
        <v>29</v>
      </c>
      <c r="J2067" s="1">
        <v>-99.670000000000016</v>
      </c>
      <c r="K2067" s="1">
        <v>440.33</v>
      </c>
      <c r="L2067" s="1">
        <v>80.329999999999984</v>
      </c>
    </row>
    <row r="2068" spans="4:12">
      <c r="D2068" s="1" t="s">
        <v>1014</v>
      </c>
      <c r="E2068" s="1" t="s">
        <v>1153</v>
      </c>
      <c r="F2068" s="1" t="s">
        <v>35</v>
      </c>
      <c r="G2068" s="1" t="s">
        <v>36</v>
      </c>
      <c r="H2068" s="1" t="s">
        <v>22</v>
      </c>
      <c r="I2068" s="1" t="s">
        <v>29</v>
      </c>
      <c r="J2068" s="1">
        <v>-99.670000000000016</v>
      </c>
      <c r="K2068" s="1">
        <v>440.33</v>
      </c>
      <c r="L2068" s="1">
        <v>80.329999999999984</v>
      </c>
    </row>
    <row r="2069" spans="4:12">
      <c r="D2069" s="1" t="s">
        <v>1014</v>
      </c>
      <c r="E2069" s="1" t="s">
        <v>1154</v>
      </c>
      <c r="F2069" s="1" t="s">
        <v>35</v>
      </c>
      <c r="G2069" s="1" t="s">
        <v>36</v>
      </c>
      <c r="H2069" s="1" t="s">
        <v>22</v>
      </c>
      <c r="I2069" s="1" t="s">
        <v>29</v>
      </c>
      <c r="J2069" s="1">
        <v>-99.670000000000016</v>
      </c>
      <c r="K2069" s="1">
        <v>440.33</v>
      </c>
      <c r="L2069" s="1">
        <v>80.329999999999984</v>
      </c>
    </row>
    <row r="2070" spans="4:12">
      <c r="D2070" s="1" t="s">
        <v>1014</v>
      </c>
      <c r="E2070" s="1" t="s">
        <v>1155</v>
      </c>
      <c r="F2070" s="1" t="s">
        <v>35</v>
      </c>
      <c r="G2070" s="1" t="s">
        <v>36</v>
      </c>
      <c r="H2070" s="1" t="s">
        <v>22</v>
      </c>
      <c r="I2070" s="1" t="s">
        <v>29</v>
      </c>
      <c r="J2070" s="1">
        <v>-99.670000000000016</v>
      </c>
      <c r="K2070" s="1">
        <v>440.33</v>
      </c>
      <c r="L2070" s="1">
        <v>80.329999999999984</v>
      </c>
    </row>
    <row r="2071" spans="4:12">
      <c r="D2071" s="1" t="s">
        <v>1014</v>
      </c>
      <c r="E2071" s="1" t="s">
        <v>1156</v>
      </c>
      <c r="F2071" s="1" t="s">
        <v>35</v>
      </c>
      <c r="G2071" s="1" t="s">
        <v>36</v>
      </c>
      <c r="H2071" s="1" t="s">
        <v>22</v>
      </c>
      <c r="I2071" s="1" t="s">
        <v>29</v>
      </c>
      <c r="J2071" s="1">
        <v>-99.670000000000016</v>
      </c>
      <c r="K2071" s="1">
        <v>440.33</v>
      </c>
      <c r="L2071" s="1">
        <v>80.329999999999984</v>
      </c>
    </row>
    <row r="2072" spans="4:12">
      <c r="D2072" s="1" t="s">
        <v>1014</v>
      </c>
      <c r="E2072" s="1" t="s">
        <v>1157</v>
      </c>
      <c r="F2072" s="1" t="s">
        <v>35</v>
      </c>
      <c r="G2072" s="1" t="s">
        <v>36</v>
      </c>
      <c r="H2072" s="1" t="s">
        <v>22</v>
      </c>
      <c r="I2072" s="1" t="s">
        <v>29</v>
      </c>
      <c r="J2072" s="1">
        <v>-99.670000000000016</v>
      </c>
      <c r="K2072" s="1">
        <v>440.33</v>
      </c>
      <c r="L2072" s="1">
        <v>80.329999999999984</v>
      </c>
    </row>
    <row r="2073" spans="4:12">
      <c r="D2073" s="1" t="s">
        <v>1014</v>
      </c>
      <c r="E2073" s="1" t="s">
        <v>1158</v>
      </c>
      <c r="F2073" s="1" t="s">
        <v>35</v>
      </c>
      <c r="G2073" s="1" t="s">
        <v>36</v>
      </c>
      <c r="H2073" s="1" t="s">
        <v>22</v>
      </c>
      <c r="I2073" s="1" t="s">
        <v>29</v>
      </c>
      <c r="J2073" s="1">
        <v>-99.670000000000016</v>
      </c>
      <c r="K2073" s="1">
        <v>440.33</v>
      </c>
      <c r="L2073" s="1">
        <v>80.329999999999984</v>
      </c>
    </row>
    <row r="2074" spans="4:12">
      <c r="D2074" s="1" t="s">
        <v>1014</v>
      </c>
      <c r="E2074" s="1" t="s">
        <v>1159</v>
      </c>
      <c r="F2074" s="1" t="s">
        <v>35</v>
      </c>
      <c r="G2074" s="1" t="s">
        <v>36</v>
      </c>
      <c r="H2074" s="1" t="s">
        <v>22</v>
      </c>
      <c r="I2074" s="1" t="s">
        <v>29</v>
      </c>
      <c r="J2074" s="1">
        <v>-99.670000000000016</v>
      </c>
      <c r="K2074" s="1">
        <v>440.33</v>
      </c>
      <c r="L2074" s="1">
        <v>80.329999999999984</v>
      </c>
    </row>
    <row r="2075" spans="4:12">
      <c r="D2075" s="1" t="s">
        <v>1014</v>
      </c>
      <c r="E2075" s="1" t="s">
        <v>1160</v>
      </c>
      <c r="F2075" s="1" t="s">
        <v>35</v>
      </c>
      <c r="G2075" s="1" t="s">
        <v>36</v>
      </c>
      <c r="H2075" s="1" t="s">
        <v>22</v>
      </c>
      <c r="I2075" s="1" t="s">
        <v>29</v>
      </c>
      <c r="J2075" s="1">
        <v>-99.670000000000016</v>
      </c>
      <c r="K2075" s="1">
        <v>440.33</v>
      </c>
      <c r="L2075" s="1">
        <v>80.329999999999984</v>
      </c>
    </row>
    <row r="2076" spans="4:12">
      <c r="D2076" s="1" t="s">
        <v>1014</v>
      </c>
      <c r="E2076" s="1" t="s">
        <v>1161</v>
      </c>
      <c r="F2076" s="1" t="s">
        <v>35</v>
      </c>
      <c r="G2076" s="1" t="s">
        <v>36</v>
      </c>
      <c r="H2076" s="1" t="s">
        <v>22</v>
      </c>
      <c r="I2076" s="1" t="s">
        <v>29</v>
      </c>
      <c r="J2076" s="1">
        <v>-99.670000000000016</v>
      </c>
      <c r="K2076" s="1">
        <v>440.33</v>
      </c>
      <c r="L2076" s="1">
        <v>80.329999999999984</v>
      </c>
    </row>
    <row r="2077" spans="4:12">
      <c r="D2077" s="1" t="s">
        <v>1014</v>
      </c>
      <c r="E2077" s="1" t="s">
        <v>1162</v>
      </c>
      <c r="F2077" s="1" t="s">
        <v>35</v>
      </c>
      <c r="G2077" s="1" t="s">
        <v>36</v>
      </c>
      <c r="H2077" s="1" t="s">
        <v>22</v>
      </c>
      <c r="I2077" s="1" t="s">
        <v>29</v>
      </c>
      <c r="J2077" s="1">
        <v>-99.670000000000016</v>
      </c>
      <c r="K2077" s="1">
        <v>440.33</v>
      </c>
      <c r="L2077" s="1">
        <v>80.329999999999984</v>
      </c>
    </row>
    <row r="2078" spans="4:12">
      <c r="D2078" s="1" t="s">
        <v>1014</v>
      </c>
      <c r="E2078" s="1" t="s">
        <v>1163</v>
      </c>
      <c r="F2078" s="1" t="s">
        <v>35</v>
      </c>
      <c r="G2078" s="1" t="s">
        <v>36</v>
      </c>
      <c r="H2078" s="1" t="s">
        <v>22</v>
      </c>
      <c r="I2078" s="1" t="s">
        <v>29</v>
      </c>
      <c r="J2078" s="1">
        <v>-99.670000000000016</v>
      </c>
      <c r="K2078" s="1">
        <v>440.33</v>
      </c>
      <c r="L2078" s="1">
        <v>80.329999999999984</v>
      </c>
    </row>
    <row r="2079" spans="4:12">
      <c r="D2079" s="1" t="s">
        <v>1014</v>
      </c>
      <c r="E2079" s="1" t="s">
        <v>1164</v>
      </c>
      <c r="F2079" s="1" t="s">
        <v>35</v>
      </c>
      <c r="G2079" s="1" t="s">
        <v>36</v>
      </c>
      <c r="H2079" s="1" t="s">
        <v>22</v>
      </c>
      <c r="I2079" s="1" t="s">
        <v>29</v>
      </c>
      <c r="J2079" s="1">
        <v>-99.670000000000016</v>
      </c>
      <c r="K2079" s="1">
        <v>440.33</v>
      </c>
      <c r="L2079" s="1">
        <v>80.329999999999984</v>
      </c>
    </row>
    <row r="2080" spans="4:12">
      <c r="D2080" s="1" t="s">
        <v>1014</v>
      </c>
      <c r="E2080" s="1" t="s">
        <v>1165</v>
      </c>
      <c r="F2080" s="1" t="s">
        <v>35</v>
      </c>
      <c r="G2080" s="1" t="s">
        <v>36</v>
      </c>
      <c r="H2080" s="1" t="s">
        <v>22</v>
      </c>
      <c r="I2080" s="1" t="s">
        <v>29</v>
      </c>
      <c r="J2080" s="1">
        <v>-99.670000000000016</v>
      </c>
      <c r="K2080" s="1">
        <v>440.33</v>
      </c>
      <c r="L2080" s="1">
        <v>80.329999999999984</v>
      </c>
    </row>
    <row r="2081" spans="4:12">
      <c r="D2081" s="1" t="s">
        <v>1014</v>
      </c>
      <c r="E2081" s="1" t="s">
        <v>1166</v>
      </c>
      <c r="F2081" s="1" t="s">
        <v>35</v>
      </c>
      <c r="G2081" s="1" t="s">
        <v>36</v>
      </c>
      <c r="H2081" s="1" t="s">
        <v>22</v>
      </c>
      <c r="I2081" s="1" t="s">
        <v>29</v>
      </c>
      <c r="J2081" s="1">
        <v>-99.670000000000016</v>
      </c>
      <c r="K2081" s="1">
        <v>440.33</v>
      </c>
      <c r="L2081" s="1">
        <v>80.329999999999984</v>
      </c>
    </row>
    <row r="2082" spans="4:12">
      <c r="D2082" s="1" t="s">
        <v>1014</v>
      </c>
      <c r="E2082" s="1" t="s">
        <v>1167</v>
      </c>
      <c r="F2082" s="1" t="s">
        <v>35</v>
      </c>
      <c r="G2082" s="1" t="s">
        <v>36</v>
      </c>
      <c r="H2082" s="1" t="s">
        <v>22</v>
      </c>
      <c r="I2082" s="1" t="s">
        <v>29</v>
      </c>
      <c r="J2082" s="1">
        <v>-99.670000000000016</v>
      </c>
      <c r="K2082" s="1">
        <v>440.33</v>
      </c>
      <c r="L2082" s="1">
        <v>80.329999999999984</v>
      </c>
    </row>
    <row r="2083" spans="4:12">
      <c r="D2083" s="1" t="s">
        <v>1014</v>
      </c>
      <c r="E2083" s="1" t="s">
        <v>1168</v>
      </c>
      <c r="F2083" s="1" t="s">
        <v>35</v>
      </c>
      <c r="G2083" s="1" t="s">
        <v>36</v>
      </c>
      <c r="H2083" s="1" t="s">
        <v>22</v>
      </c>
      <c r="I2083" s="1" t="s">
        <v>29</v>
      </c>
      <c r="J2083" s="1">
        <v>-31.018000000000029</v>
      </c>
      <c r="K2083" s="1">
        <v>256.99999999999994</v>
      </c>
      <c r="L2083" s="1">
        <v>80.329999999999984</v>
      </c>
    </row>
    <row r="2084" spans="4:12">
      <c r="D2084" s="1" t="s">
        <v>1014</v>
      </c>
      <c r="E2084" s="1" t="s">
        <v>1169</v>
      </c>
      <c r="F2084" s="1" t="s">
        <v>35</v>
      </c>
      <c r="G2084" s="1" t="s">
        <v>36</v>
      </c>
      <c r="H2084" s="1" t="s">
        <v>22</v>
      </c>
      <c r="I2084" s="1" t="s">
        <v>29</v>
      </c>
      <c r="J2084" s="1">
        <v>-31.018000000000029</v>
      </c>
      <c r="K2084" s="1">
        <v>256.99999999999994</v>
      </c>
      <c r="L2084" s="1">
        <v>80.329999999999984</v>
      </c>
    </row>
    <row r="2085" spans="4:12">
      <c r="D2085" s="1" t="s">
        <v>1014</v>
      </c>
      <c r="E2085" s="1" t="s">
        <v>1170</v>
      </c>
      <c r="F2085" s="1" t="s">
        <v>35</v>
      </c>
      <c r="G2085" s="1" t="s">
        <v>36</v>
      </c>
      <c r="H2085" s="1" t="s">
        <v>22</v>
      </c>
      <c r="I2085" s="1" t="s">
        <v>29</v>
      </c>
      <c r="J2085" s="1">
        <v>-31.018000000000029</v>
      </c>
      <c r="K2085" s="1">
        <v>256.99999999999994</v>
      </c>
      <c r="L2085" s="1">
        <v>80.329999999999984</v>
      </c>
    </row>
    <row r="2086" spans="4:12">
      <c r="D2086" s="1" t="s">
        <v>1014</v>
      </c>
      <c r="E2086" s="1" t="s">
        <v>1171</v>
      </c>
      <c r="F2086" s="1" t="s">
        <v>35</v>
      </c>
      <c r="G2086" s="1" t="s">
        <v>36</v>
      </c>
      <c r="H2086" s="1" t="s">
        <v>22</v>
      </c>
      <c r="I2086" s="1" t="s">
        <v>29</v>
      </c>
      <c r="J2086" s="1">
        <v>-31.018000000000029</v>
      </c>
      <c r="K2086" s="1">
        <v>256.99999999999994</v>
      </c>
      <c r="L2086" s="1">
        <v>80.329999999999984</v>
      </c>
    </row>
    <row r="2087" spans="4:12">
      <c r="D2087" s="1" t="s">
        <v>1014</v>
      </c>
      <c r="E2087" s="1" t="s">
        <v>1172</v>
      </c>
      <c r="F2087" s="1" t="s">
        <v>35</v>
      </c>
      <c r="G2087" s="1" t="s">
        <v>36</v>
      </c>
      <c r="H2087" s="1" t="s">
        <v>22</v>
      </c>
      <c r="I2087" s="1" t="s">
        <v>29</v>
      </c>
      <c r="J2087" s="1">
        <v>-31.018000000000029</v>
      </c>
      <c r="K2087" s="1">
        <v>256.99999999999994</v>
      </c>
      <c r="L2087" s="1">
        <v>80.329999999999984</v>
      </c>
    </row>
    <row r="2088" spans="4:12">
      <c r="D2088" s="1" t="s">
        <v>1014</v>
      </c>
      <c r="E2088" s="1" t="s">
        <v>1173</v>
      </c>
      <c r="F2088" s="1" t="s">
        <v>35</v>
      </c>
      <c r="G2088" s="1" t="s">
        <v>36</v>
      </c>
      <c r="H2088" s="1" t="s">
        <v>22</v>
      </c>
      <c r="I2088" s="1" t="s">
        <v>29</v>
      </c>
      <c r="J2088" s="1">
        <v>-31.018000000000029</v>
      </c>
      <c r="K2088" s="1">
        <v>256.99999999999994</v>
      </c>
      <c r="L2088" s="1">
        <v>80.329999999999984</v>
      </c>
    </row>
    <row r="2089" spans="4:12">
      <c r="D2089" s="1" t="s">
        <v>1014</v>
      </c>
      <c r="E2089" s="1" t="s">
        <v>1174</v>
      </c>
      <c r="F2089" s="1" t="s">
        <v>35</v>
      </c>
      <c r="G2089" s="1" t="s">
        <v>36</v>
      </c>
      <c r="H2089" s="1" t="s">
        <v>22</v>
      </c>
      <c r="I2089" s="1" t="s">
        <v>29</v>
      </c>
      <c r="J2089" s="1">
        <v>-31.018000000000029</v>
      </c>
      <c r="K2089" s="1">
        <v>256.99999999999994</v>
      </c>
      <c r="L2089" s="1">
        <v>80.329999999999984</v>
      </c>
    </row>
    <row r="2090" spans="4:12">
      <c r="D2090" s="1" t="s">
        <v>1014</v>
      </c>
      <c r="E2090" s="1" t="s">
        <v>1175</v>
      </c>
      <c r="F2090" s="1" t="s">
        <v>35</v>
      </c>
      <c r="G2090" s="1" t="s">
        <v>36</v>
      </c>
      <c r="H2090" s="1" t="s">
        <v>22</v>
      </c>
      <c r="I2090" s="1" t="s">
        <v>29</v>
      </c>
      <c r="J2090" s="1">
        <v>-31.018000000000029</v>
      </c>
      <c r="K2090" s="1">
        <v>256.99999999999994</v>
      </c>
      <c r="L2090" s="1">
        <v>80.329999999999984</v>
      </c>
    </row>
    <row r="2091" spans="4:12">
      <c r="D2091" s="1" t="s">
        <v>1014</v>
      </c>
      <c r="E2091" s="1" t="s">
        <v>1176</v>
      </c>
      <c r="F2091" s="1" t="s">
        <v>35</v>
      </c>
      <c r="G2091" s="1" t="s">
        <v>36</v>
      </c>
      <c r="H2091" s="1" t="s">
        <v>22</v>
      </c>
      <c r="I2091" s="1" t="s">
        <v>29</v>
      </c>
      <c r="J2091" s="1">
        <v>-31.018000000000029</v>
      </c>
      <c r="K2091" s="1">
        <v>256.99999999999994</v>
      </c>
      <c r="L2091" s="1">
        <v>80.329999999999984</v>
      </c>
    </row>
    <row r="2092" spans="4:12">
      <c r="D2092" s="1" t="s">
        <v>1014</v>
      </c>
      <c r="E2092" s="1" t="s">
        <v>1177</v>
      </c>
      <c r="F2092" s="1" t="s">
        <v>35</v>
      </c>
      <c r="G2092" s="1" t="s">
        <v>36</v>
      </c>
      <c r="H2092" s="1" t="s">
        <v>22</v>
      </c>
      <c r="I2092" s="1" t="s">
        <v>29</v>
      </c>
      <c r="J2092" s="1">
        <v>-31.018000000000029</v>
      </c>
      <c r="K2092" s="1">
        <v>256.99999999999994</v>
      </c>
      <c r="L2092" s="1">
        <v>80.329999999999984</v>
      </c>
    </row>
    <row r="2093" spans="4:12">
      <c r="D2093" s="1" t="s">
        <v>1014</v>
      </c>
      <c r="E2093" s="1" t="s">
        <v>1178</v>
      </c>
      <c r="F2093" s="1" t="s">
        <v>35</v>
      </c>
      <c r="G2093" s="1" t="s">
        <v>36</v>
      </c>
      <c r="H2093" s="1" t="s">
        <v>22</v>
      </c>
      <c r="I2093" s="1" t="s">
        <v>29</v>
      </c>
      <c r="J2093" s="1">
        <v>-31.018000000000029</v>
      </c>
      <c r="K2093" s="1">
        <v>256.99999999999994</v>
      </c>
      <c r="L2093" s="1">
        <v>80.329999999999984</v>
      </c>
    </row>
    <row r="2094" spans="4:12">
      <c r="D2094" s="1" t="s">
        <v>1014</v>
      </c>
      <c r="E2094" s="1" t="s">
        <v>1179</v>
      </c>
      <c r="F2094" s="1" t="s">
        <v>35</v>
      </c>
      <c r="G2094" s="1" t="s">
        <v>36</v>
      </c>
      <c r="H2094" s="1" t="s">
        <v>22</v>
      </c>
      <c r="I2094" s="1" t="s">
        <v>29</v>
      </c>
      <c r="J2094" s="1">
        <v>-31.018000000000029</v>
      </c>
      <c r="K2094" s="1">
        <v>256.99999999999994</v>
      </c>
      <c r="L2094" s="1">
        <v>80.329999999999984</v>
      </c>
    </row>
    <row r="2095" spans="4:12">
      <c r="D2095" s="1" t="s">
        <v>1014</v>
      </c>
      <c r="E2095" s="1" t="s">
        <v>1180</v>
      </c>
      <c r="F2095" s="1" t="s">
        <v>35</v>
      </c>
      <c r="G2095" s="1" t="s">
        <v>36</v>
      </c>
      <c r="H2095" s="1" t="s">
        <v>22</v>
      </c>
      <c r="I2095" s="1" t="s">
        <v>29</v>
      </c>
      <c r="J2095" s="1">
        <v>-31.018000000000029</v>
      </c>
      <c r="K2095" s="1">
        <v>256.99999999999994</v>
      </c>
      <c r="L2095" s="1">
        <v>80.329999999999984</v>
      </c>
    </row>
    <row r="2096" spans="4:12">
      <c r="D2096" s="1" t="s">
        <v>1014</v>
      </c>
      <c r="E2096" s="1" t="s">
        <v>1181</v>
      </c>
      <c r="F2096" s="1" t="s">
        <v>35</v>
      </c>
      <c r="G2096" s="1" t="s">
        <v>36</v>
      </c>
      <c r="H2096" s="1" t="s">
        <v>22</v>
      </c>
      <c r="I2096" s="1" t="s">
        <v>29</v>
      </c>
      <c r="J2096" s="1">
        <v>-31.018000000000029</v>
      </c>
      <c r="K2096" s="1">
        <v>256.99999999999994</v>
      </c>
      <c r="L2096" s="1">
        <v>80.329999999999984</v>
      </c>
    </row>
    <row r="2097" spans="4:12">
      <c r="D2097" s="1" t="s">
        <v>1014</v>
      </c>
      <c r="E2097" s="1" t="s">
        <v>1182</v>
      </c>
      <c r="F2097" s="1" t="s">
        <v>35</v>
      </c>
      <c r="G2097" s="1" t="s">
        <v>36</v>
      </c>
      <c r="H2097" s="1" t="s">
        <v>22</v>
      </c>
      <c r="I2097" s="1" t="s">
        <v>29</v>
      </c>
      <c r="J2097" s="1">
        <v>-31.018000000000029</v>
      </c>
      <c r="K2097" s="1">
        <v>256.99999999999994</v>
      </c>
      <c r="L2097" s="1">
        <v>80.329999999999984</v>
      </c>
    </row>
    <row r="2098" spans="4:12">
      <c r="D2098" s="1" t="s">
        <v>1014</v>
      </c>
      <c r="E2098" s="1" t="s">
        <v>1183</v>
      </c>
      <c r="F2098" s="1" t="s">
        <v>35</v>
      </c>
      <c r="G2098" s="1" t="s">
        <v>36</v>
      </c>
      <c r="H2098" s="1" t="s">
        <v>22</v>
      </c>
      <c r="I2098" s="1" t="s">
        <v>29</v>
      </c>
      <c r="J2098" s="1">
        <v>-31.018000000000029</v>
      </c>
      <c r="K2098" s="1">
        <v>256.99999999999994</v>
      </c>
      <c r="L2098" s="1">
        <v>80.329999999999984</v>
      </c>
    </row>
    <row r="2099" spans="4:12">
      <c r="D2099" s="1" t="s">
        <v>1014</v>
      </c>
      <c r="E2099" s="1" t="s">
        <v>1184</v>
      </c>
      <c r="F2099" s="1" t="s">
        <v>35</v>
      </c>
      <c r="G2099" s="1" t="s">
        <v>36</v>
      </c>
      <c r="H2099" s="1" t="s">
        <v>22</v>
      </c>
      <c r="I2099" s="1" t="s">
        <v>29</v>
      </c>
      <c r="J2099" s="1">
        <v>-31.018000000000029</v>
      </c>
      <c r="K2099" s="1">
        <v>256.99999999999994</v>
      </c>
      <c r="L2099" s="1">
        <v>80.329999999999984</v>
      </c>
    </row>
    <row r="2100" spans="4:12">
      <c r="D2100" s="1" t="s">
        <v>1014</v>
      </c>
      <c r="E2100" s="1" t="s">
        <v>1185</v>
      </c>
      <c r="F2100" s="1" t="s">
        <v>35</v>
      </c>
      <c r="G2100" s="1" t="s">
        <v>36</v>
      </c>
      <c r="H2100" s="1" t="s">
        <v>22</v>
      </c>
      <c r="I2100" s="1" t="s">
        <v>29</v>
      </c>
      <c r="J2100" s="1">
        <v>-31.018000000000029</v>
      </c>
      <c r="K2100" s="1">
        <v>256.99999999999994</v>
      </c>
      <c r="L2100" s="1">
        <v>80.329999999999984</v>
      </c>
    </row>
    <row r="2101" spans="4:12">
      <c r="D2101" s="1" t="s">
        <v>1014</v>
      </c>
      <c r="E2101" s="1" t="s">
        <v>1186</v>
      </c>
      <c r="F2101" s="1" t="s">
        <v>35</v>
      </c>
      <c r="G2101" s="1" t="s">
        <v>36</v>
      </c>
      <c r="H2101" s="1" t="s">
        <v>22</v>
      </c>
      <c r="I2101" s="1" t="s">
        <v>29</v>
      </c>
      <c r="J2101" s="1">
        <v>-31.018000000000029</v>
      </c>
      <c r="K2101" s="1">
        <v>256.99999999999994</v>
      </c>
      <c r="L2101" s="1">
        <v>80.329999999999984</v>
      </c>
    </row>
    <row r="2102" spans="4:12">
      <c r="D2102" s="1" t="s">
        <v>1014</v>
      </c>
      <c r="E2102" s="1" t="s">
        <v>1187</v>
      </c>
      <c r="F2102" s="1" t="s">
        <v>35</v>
      </c>
      <c r="G2102" s="1" t="s">
        <v>36</v>
      </c>
      <c r="H2102" s="1" t="s">
        <v>22</v>
      </c>
      <c r="I2102" s="1" t="s">
        <v>29</v>
      </c>
      <c r="J2102" s="1">
        <v>-31.018000000000029</v>
      </c>
      <c r="K2102" s="1">
        <v>256.99999999999994</v>
      </c>
      <c r="L2102" s="1">
        <v>80.329999999999984</v>
      </c>
    </row>
    <row r="2103" spans="4:12">
      <c r="D2103" s="1" t="s">
        <v>1014</v>
      </c>
      <c r="E2103" s="1" t="s">
        <v>1188</v>
      </c>
      <c r="F2103" s="1" t="s">
        <v>35</v>
      </c>
      <c r="G2103" s="1" t="s">
        <v>36</v>
      </c>
      <c r="H2103" s="1" t="s">
        <v>22</v>
      </c>
      <c r="I2103" s="1" t="s">
        <v>29</v>
      </c>
      <c r="J2103" s="1">
        <v>-31.018000000000029</v>
      </c>
      <c r="K2103" s="1">
        <v>256.99999999999994</v>
      </c>
      <c r="L2103" s="1">
        <v>80.329999999999984</v>
      </c>
    </row>
    <row r="2104" spans="4:12">
      <c r="D2104" s="1" t="s">
        <v>1014</v>
      </c>
      <c r="E2104" s="1" t="s">
        <v>1189</v>
      </c>
      <c r="F2104" s="1" t="s">
        <v>35</v>
      </c>
      <c r="G2104" s="1" t="s">
        <v>36</v>
      </c>
      <c r="H2104" s="1" t="s">
        <v>22</v>
      </c>
      <c r="I2104" s="1" t="s">
        <v>29</v>
      </c>
      <c r="J2104" s="1">
        <v>-31.018000000000029</v>
      </c>
      <c r="K2104" s="1">
        <v>256.99999999999994</v>
      </c>
      <c r="L2104" s="1">
        <v>80.329999999999984</v>
      </c>
    </row>
    <row r="2105" spans="4:12">
      <c r="D2105" s="1" t="s">
        <v>1014</v>
      </c>
      <c r="E2105" s="1" t="s">
        <v>1190</v>
      </c>
      <c r="F2105" s="1" t="s">
        <v>35</v>
      </c>
      <c r="G2105" s="1" t="s">
        <v>36</v>
      </c>
      <c r="H2105" s="1" t="s">
        <v>22</v>
      </c>
      <c r="I2105" s="1" t="s">
        <v>29</v>
      </c>
      <c r="J2105" s="1">
        <v>-99.670000000000016</v>
      </c>
      <c r="K2105" s="1">
        <v>440.33</v>
      </c>
      <c r="L2105" s="1">
        <v>80.329999999999984</v>
      </c>
    </row>
    <row r="2106" spans="4:12">
      <c r="D2106" s="1" t="s">
        <v>1014</v>
      </c>
      <c r="E2106" s="1" t="s">
        <v>1191</v>
      </c>
      <c r="F2106" s="1" t="s">
        <v>35</v>
      </c>
      <c r="G2106" s="1" t="s">
        <v>36</v>
      </c>
      <c r="H2106" s="1" t="s">
        <v>22</v>
      </c>
      <c r="I2106" s="1" t="s">
        <v>29</v>
      </c>
      <c r="J2106" s="1">
        <v>-99.670000000000016</v>
      </c>
      <c r="K2106" s="1">
        <v>440.33</v>
      </c>
      <c r="L2106" s="1">
        <v>80.329999999999984</v>
      </c>
    </row>
    <row r="2107" spans="4:12">
      <c r="D2107" s="1" t="s">
        <v>1014</v>
      </c>
      <c r="E2107" s="1" t="s">
        <v>1192</v>
      </c>
      <c r="F2107" s="1" t="s">
        <v>35</v>
      </c>
      <c r="G2107" s="1" t="s">
        <v>36</v>
      </c>
      <c r="H2107" s="1" t="s">
        <v>22</v>
      </c>
      <c r="I2107" s="1" t="s">
        <v>29</v>
      </c>
      <c r="J2107" s="1">
        <v>-99.670000000000016</v>
      </c>
      <c r="K2107" s="1">
        <v>440.33</v>
      </c>
      <c r="L2107" s="1">
        <v>80.329999999999984</v>
      </c>
    </row>
    <row r="2108" spans="4:12">
      <c r="D2108" s="1" t="s">
        <v>1014</v>
      </c>
      <c r="E2108" s="1" t="s">
        <v>1193</v>
      </c>
      <c r="F2108" s="1" t="s">
        <v>35</v>
      </c>
      <c r="G2108" s="1" t="s">
        <v>36</v>
      </c>
      <c r="H2108" s="1" t="s">
        <v>22</v>
      </c>
      <c r="I2108" s="1" t="s">
        <v>29</v>
      </c>
      <c r="J2108" s="1">
        <v>-99.670000000000016</v>
      </c>
      <c r="K2108" s="1">
        <v>440.33</v>
      </c>
      <c r="L2108" s="1">
        <v>80.329999999999984</v>
      </c>
    </row>
    <row r="2109" spans="4:12">
      <c r="D2109" s="1" t="s">
        <v>1014</v>
      </c>
      <c r="E2109" s="1" t="s">
        <v>1194</v>
      </c>
      <c r="F2109" s="1" t="s">
        <v>35</v>
      </c>
      <c r="G2109" s="1" t="s">
        <v>36</v>
      </c>
      <c r="H2109" s="1" t="s">
        <v>22</v>
      </c>
      <c r="I2109" s="1" t="s">
        <v>29</v>
      </c>
      <c r="J2109" s="1">
        <v>-99.670000000000016</v>
      </c>
      <c r="K2109" s="1">
        <v>440.33</v>
      </c>
      <c r="L2109" s="1">
        <v>80.329999999999984</v>
      </c>
    </row>
    <row r="2110" spans="4:12">
      <c r="D2110" s="1" t="s">
        <v>1014</v>
      </c>
      <c r="E2110" s="1" t="s">
        <v>1195</v>
      </c>
      <c r="F2110" s="1" t="s">
        <v>35</v>
      </c>
      <c r="G2110" s="1" t="s">
        <v>36</v>
      </c>
      <c r="H2110" s="1" t="s">
        <v>22</v>
      </c>
      <c r="I2110" s="1" t="s">
        <v>29</v>
      </c>
      <c r="J2110" s="1">
        <v>-99.670000000000016</v>
      </c>
      <c r="K2110" s="1">
        <v>440.33</v>
      </c>
      <c r="L2110" s="1">
        <v>80.329999999999984</v>
      </c>
    </row>
    <row r="2111" spans="4:12">
      <c r="D2111" s="1" t="s">
        <v>1014</v>
      </c>
      <c r="E2111" s="1" t="s">
        <v>1196</v>
      </c>
      <c r="F2111" s="1" t="s">
        <v>35</v>
      </c>
      <c r="G2111" s="1" t="s">
        <v>36</v>
      </c>
      <c r="H2111" s="1" t="s">
        <v>22</v>
      </c>
      <c r="I2111" s="1" t="s">
        <v>29</v>
      </c>
      <c r="J2111" s="1">
        <v>-99.670000000000016</v>
      </c>
      <c r="K2111" s="1">
        <v>440.33</v>
      </c>
      <c r="L2111" s="1">
        <v>80.329999999999984</v>
      </c>
    </row>
    <row r="2112" spans="4:12">
      <c r="D2112" s="1" t="s">
        <v>1014</v>
      </c>
      <c r="E2112" s="1" t="s">
        <v>1197</v>
      </c>
      <c r="F2112" s="1" t="s">
        <v>35</v>
      </c>
      <c r="G2112" s="1" t="s">
        <v>36</v>
      </c>
      <c r="H2112" s="1" t="s">
        <v>22</v>
      </c>
      <c r="I2112" s="1" t="s">
        <v>29</v>
      </c>
      <c r="J2112" s="1">
        <v>-99.670000000000016</v>
      </c>
      <c r="K2112" s="1">
        <v>440.33</v>
      </c>
      <c r="L2112" s="1">
        <v>80.329999999999984</v>
      </c>
    </row>
    <row r="2113" spans="4:12">
      <c r="D2113" s="1" t="s">
        <v>1014</v>
      </c>
      <c r="E2113" s="1" t="s">
        <v>1198</v>
      </c>
      <c r="F2113" s="1" t="s">
        <v>35</v>
      </c>
      <c r="G2113" s="1" t="s">
        <v>36</v>
      </c>
      <c r="H2113" s="1" t="s">
        <v>22</v>
      </c>
      <c r="I2113" s="1" t="s">
        <v>29</v>
      </c>
      <c r="J2113" s="1">
        <v>-99.670000000000016</v>
      </c>
      <c r="K2113" s="1">
        <v>440.33</v>
      </c>
      <c r="L2113" s="1">
        <v>80.329999999999984</v>
      </c>
    </row>
    <row r="2114" spans="4:12">
      <c r="D2114" s="1" t="s">
        <v>1014</v>
      </c>
      <c r="E2114" s="1" t="s">
        <v>1199</v>
      </c>
      <c r="F2114" s="1" t="s">
        <v>35</v>
      </c>
      <c r="G2114" s="1" t="s">
        <v>36</v>
      </c>
      <c r="H2114" s="1" t="s">
        <v>22</v>
      </c>
      <c r="I2114" s="1" t="s">
        <v>29</v>
      </c>
      <c r="J2114" s="1">
        <v>-99.670000000000016</v>
      </c>
      <c r="K2114" s="1">
        <v>440.33</v>
      </c>
      <c r="L2114" s="1">
        <v>80.329999999999984</v>
      </c>
    </row>
    <row r="2115" spans="4:12">
      <c r="D2115" s="1" t="s">
        <v>1014</v>
      </c>
      <c r="E2115" s="1" t="s">
        <v>1200</v>
      </c>
      <c r="F2115" s="1" t="s">
        <v>35</v>
      </c>
      <c r="G2115" s="1" t="s">
        <v>36</v>
      </c>
      <c r="H2115" s="1" t="s">
        <v>22</v>
      </c>
      <c r="I2115" s="1" t="s">
        <v>29</v>
      </c>
      <c r="J2115" s="1">
        <v>-99.670000000000016</v>
      </c>
      <c r="K2115" s="1">
        <v>440.33</v>
      </c>
      <c r="L2115" s="1">
        <v>80.329999999999984</v>
      </c>
    </row>
    <row r="2116" spans="4:12">
      <c r="D2116" s="1" t="s">
        <v>1014</v>
      </c>
      <c r="E2116" s="1" t="s">
        <v>1201</v>
      </c>
      <c r="F2116" s="1" t="s">
        <v>35</v>
      </c>
      <c r="G2116" s="1" t="s">
        <v>36</v>
      </c>
      <c r="H2116" s="1" t="s">
        <v>22</v>
      </c>
      <c r="I2116" s="1" t="s">
        <v>29</v>
      </c>
      <c r="J2116" s="1">
        <v>-99.670000000000016</v>
      </c>
      <c r="K2116" s="1">
        <v>440.33</v>
      </c>
      <c r="L2116" s="1">
        <v>80.329999999999984</v>
      </c>
    </row>
    <row r="2117" spans="4:12">
      <c r="D2117" s="1" t="s">
        <v>1014</v>
      </c>
      <c r="E2117" s="1" t="s">
        <v>1202</v>
      </c>
      <c r="F2117" s="1" t="s">
        <v>35</v>
      </c>
      <c r="G2117" s="1" t="s">
        <v>36</v>
      </c>
      <c r="H2117" s="1" t="s">
        <v>22</v>
      </c>
      <c r="I2117" s="1" t="s">
        <v>29</v>
      </c>
      <c r="J2117" s="1">
        <v>-99.670000000000016</v>
      </c>
      <c r="K2117" s="1">
        <v>440.33</v>
      </c>
      <c r="L2117" s="1">
        <v>80.329999999999984</v>
      </c>
    </row>
    <row r="2118" spans="4:12">
      <c r="D2118" s="1" t="s">
        <v>1014</v>
      </c>
      <c r="E2118" s="1" t="s">
        <v>1203</v>
      </c>
      <c r="F2118" s="1" t="s">
        <v>35</v>
      </c>
      <c r="G2118" s="1" t="s">
        <v>36</v>
      </c>
      <c r="H2118" s="1" t="s">
        <v>22</v>
      </c>
      <c r="I2118" s="1" t="s">
        <v>29</v>
      </c>
      <c r="J2118" s="1">
        <v>-99.670000000000016</v>
      </c>
      <c r="K2118" s="1">
        <v>440.33</v>
      </c>
      <c r="L2118" s="1">
        <v>80.329999999999984</v>
      </c>
    </row>
    <row r="2119" spans="4:12">
      <c r="D2119" s="1" t="s">
        <v>1014</v>
      </c>
      <c r="E2119" s="1" t="s">
        <v>1204</v>
      </c>
      <c r="F2119" s="1" t="s">
        <v>35</v>
      </c>
      <c r="G2119" s="1" t="s">
        <v>36</v>
      </c>
      <c r="H2119" s="1" t="s">
        <v>22</v>
      </c>
      <c r="I2119" s="1" t="s">
        <v>29</v>
      </c>
      <c r="J2119" s="1">
        <v>-99.670000000000016</v>
      </c>
      <c r="K2119" s="1">
        <v>440.33</v>
      </c>
      <c r="L2119" s="1">
        <v>80.329999999999984</v>
      </c>
    </row>
    <row r="2120" spans="4:12">
      <c r="D2120" s="1" t="s">
        <v>1014</v>
      </c>
      <c r="E2120" s="1" t="s">
        <v>1205</v>
      </c>
      <c r="F2120" s="1" t="s">
        <v>35</v>
      </c>
      <c r="G2120" s="1" t="s">
        <v>36</v>
      </c>
      <c r="H2120" s="1" t="s">
        <v>22</v>
      </c>
      <c r="I2120" s="1" t="s">
        <v>29</v>
      </c>
      <c r="J2120" s="1">
        <v>-99.670000000000016</v>
      </c>
      <c r="K2120" s="1">
        <v>440.33</v>
      </c>
      <c r="L2120" s="1">
        <v>80.329999999999984</v>
      </c>
    </row>
    <row r="2121" spans="4:12">
      <c r="D2121" s="1" t="s">
        <v>1014</v>
      </c>
      <c r="E2121" s="1" t="s">
        <v>1206</v>
      </c>
      <c r="F2121" s="1" t="s">
        <v>35</v>
      </c>
      <c r="G2121" s="1" t="s">
        <v>36</v>
      </c>
      <c r="H2121" s="1" t="s">
        <v>22</v>
      </c>
      <c r="I2121" s="1" t="s">
        <v>29</v>
      </c>
      <c r="J2121" s="1">
        <v>-99.670000000000016</v>
      </c>
      <c r="K2121" s="1">
        <v>440.33</v>
      </c>
      <c r="L2121" s="1">
        <v>80.329999999999984</v>
      </c>
    </row>
    <row r="2122" spans="4:12">
      <c r="D2122" s="1" t="s">
        <v>1014</v>
      </c>
      <c r="E2122" s="1" t="s">
        <v>1207</v>
      </c>
      <c r="F2122" s="1" t="s">
        <v>35</v>
      </c>
      <c r="G2122" s="1" t="s">
        <v>36</v>
      </c>
      <c r="H2122" s="1" t="s">
        <v>22</v>
      </c>
      <c r="I2122" s="1" t="s">
        <v>29</v>
      </c>
      <c r="J2122" s="1">
        <v>-99.670000000000016</v>
      </c>
      <c r="K2122" s="1">
        <v>440.33</v>
      </c>
      <c r="L2122" s="1">
        <v>80.329999999999984</v>
      </c>
    </row>
    <row r="2123" spans="4:12">
      <c r="D2123" s="1" t="s">
        <v>1014</v>
      </c>
      <c r="E2123" s="1" t="s">
        <v>1208</v>
      </c>
      <c r="F2123" s="1" t="s">
        <v>35</v>
      </c>
      <c r="G2123" s="1" t="s">
        <v>36</v>
      </c>
      <c r="H2123" s="1" t="s">
        <v>22</v>
      </c>
      <c r="I2123" s="1" t="s">
        <v>29</v>
      </c>
      <c r="J2123" s="1">
        <v>-99.670000000000016</v>
      </c>
      <c r="K2123" s="1">
        <v>440.33</v>
      </c>
      <c r="L2123" s="1">
        <v>80.329999999999984</v>
      </c>
    </row>
    <row r="2124" spans="4:12">
      <c r="D2124" s="1" t="s">
        <v>1014</v>
      </c>
      <c r="E2124" s="1" t="s">
        <v>1209</v>
      </c>
      <c r="F2124" s="1" t="s">
        <v>35</v>
      </c>
      <c r="G2124" s="1" t="s">
        <v>36</v>
      </c>
      <c r="H2124" s="1" t="s">
        <v>22</v>
      </c>
      <c r="I2124" s="1" t="s">
        <v>29</v>
      </c>
      <c r="J2124" s="1">
        <v>-99.670000000000016</v>
      </c>
      <c r="K2124" s="1">
        <v>440.33</v>
      </c>
      <c r="L2124" s="1">
        <v>80.329999999999984</v>
      </c>
    </row>
    <row r="2125" spans="4:12">
      <c r="D2125" s="1" t="s">
        <v>1014</v>
      </c>
      <c r="E2125" s="1" t="s">
        <v>1210</v>
      </c>
      <c r="F2125" s="1" t="s">
        <v>35</v>
      </c>
      <c r="G2125" s="1" t="s">
        <v>36</v>
      </c>
      <c r="H2125" s="1" t="s">
        <v>22</v>
      </c>
      <c r="I2125" s="1" t="s">
        <v>29</v>
      </c>
      <c r="J2125" s="1">
        <v>-31.018000000000029</v>
      </c>
      <c r="K2125" s="1">
        <v>256.99999999999994</v>
      </c>
      <c r="L2125" s="1">
        <v>80.329999999999984</v>
      </c>
    </row>
    <row r="2126" spans="4:12">
      <c r="D2126" s="1" t="s">
        <v>1014</v>
      </c>
      <c r="E2126" s="1" t="s">
        <v>1211</v>
      </c>
      <c r="F2126" s="1" t="s">
        <v>35</v>
      </c>
      <c r="G2126" s="1" t="s">
        <v>36</v>
      </c>
      <c r="H2126" s="1" t="s">
        <v>22</v>
      </c>
      <c r="I2126" s="1" t="s">
        <v>29</v>
      </c>
      <c r="J2126" s="1">
        <v>-31.018000000000029</v>
      </c>
      <c r="K2126" s="1">
        <v>256.99999999999994</v>
      </c>
      <c r="L2126" s="1">
        <v>80.329999999999984</v>
      </c>
    </row>
    <row r="2127" spans="4:12">
      <c r="D2127" s="1" t="s">
        <v>1014</v>
      </c>
      <c r="E2127" s="1" t="s">
        <v>1212</v>
      </c>
      <c r="F2127" s="1" t="s">
        <v>35</v>
      </c>
      <c r="G2127" s="1" t="s">
        <v>36</v>
      </c>
      <c r="H2127" s="1" t="s">
        <v>22</v>
      </c>
      <c r="I2127" s="1" t="s">
        <v>29</v>
      </c>
      <c r="J2127" s="1">
        <v>-31.018000000000029</v>
      </c>
      <c r="K2127" s="1">
        <v>256.99999999999994</v>
      </c>
      <c r="L2127" s="1">
        <v>80.329999999999984</v>
      </c>
    </row>
    <row r="2128" spans="4:12">
      <c r="D2128" s="1" t="s">
        <v>1014</v>
      </c>
      <c r="E2128" s="1" t="s">
        <v>1213</v>
      </c>
      <c r="F2128" s="1" t="s">
        <v>35</v>
      </c>
      <c r="G2128" s="1" t="s">
        <v>36</v>
      </c>
      <c r="H2128" s="1" t="s">
        <v>22</v>
      </c>
      <c r="I2128" s="1" t="s">
        <v>29</v>
      </c>
      <c r="J2128" s="1">
        <v>-31.018000000000029</v>
      </c>
      <c r="K2128" s="1">
        <v>256.99999999999994</v>
      </c>
      <c r="L2128" s="1">
        <v>80.329999999999984</v>
      </c>
    </row>
    <row r="2129" spans="4:12">
      <c r="D2129" s="1" t="s">
        <v>1014</v>
      </c>
      <c r="E2129" s="1" t="s">
        <v>1214</v>
      </c>
      <c r="F2129" s="1" t="s">
        <v>35</v>
      </c>
      <c r="G2129" s="1" t="s">
        <v>36</v>
      </c>
      <c r="H2129" s="1" t="s">
        <v>22</v>
      </c>
      <c r="I2129" s="1" t="s">
        <v>29</v>
      </c>
      <c r="J2129" s="1">
        <v>-31.018000000000029</v>
      </c>
      <c r="K2129" s="1">
        <v>256.99999999999994</v>
      </c>
      <c r="L2129" s="1">
        <v>80.329999999999984</v>
      </c>
    </row>
    <row r="2130" spans="4:12">
      <c r="D2130" s="1" t="s">
        <v>1014</v>
      </c>
      <c r="E2130" s="1" t="s">
        <v>1215</v>
      </c>
      <c r="F2130" s="1" t="s">
        <v>35</v>
      </c>
      <c r="G2130" s="1" t="s">
        <v>36</v>
      </c>
      <c r="H2130" s="1" t="s">
        <v>22</v>
      </c>
      <c r="I2130" s="1" t="s">
        <v>29</v>
      </c>
      <c r="J2130" s="1">
        <v>-31.018000000000029</v>
      </c>
      <c r="K2130" s="1">
        <v>256.99999999999994</v>
      </c>
      <c r="L2130" s="1">
        <v>80.329999999999984</v>
      </c>
    </row>
    <row r="2131" spans="4:12">
      <c r="D2131" s="1" t="s">
        <v>1014</v>
      </c>
      <c r="E2131" s="1" t="s">
        <v>1216</v>
      </c>
      <c r="F2131" s="1" t="s">
        <v>35</v>
      </c>
      <c r="G2131" s="1" t="s">
        <v>36</v>
      </c>
      <c r="H2131" s="1" t="s">
        <v>22</v>
      </c>
      <c r="I2131" s="1" t="s">
        <v>29</v>
      </c>
      <c r="J2131" s="1">
        <v>-31.018000000000029</v>
      </c>
      <c r="K2131" s="1">
        <v>256.99999999999994</v>
      </c>
      <c r="L2131" s="1">
        <v>80.329999999999984</v>
      </c>
    </row>
    <row r="2132" spans="4:12">
      <c r="D2132" s="1" t="s">
        <v>1014</v>
      </c>
      <c r="E2132" s="1" t="s">
        <v>1217</v>
      </c>
      <c r="F2132" s="1" t="s">
        <v>35</v>
      </c>
      <c r="G2132" s="1" t="s">
        <v>36</v>
      </c>
      <c r="H2132" s="1" t="s">
        <v>22</v>
      </c>
      <c r="I2132" s="1" t="s">
        <v>29</v>
      </c>
      <c r="J2132" s="1">
        <v>-31.018000000000029</v>
      </c>
      <c r="K2132" s="1">
        <v>256.99999999999994</v>
      </c>
      <c r="L2132" s="1">
        <v>80.329999999999984</v>
      </c>
    </row>
    <row r="2133" spans="4:12">
      <c r="D2133" s="1" t="s">
        <v>1014</v>
      </c>
      <c r="E2133" s="1" t="s">
        <v>1218</v>
      </c>
      <c r="F2133" s="1" t="s">
        <v>35</v>
      </c>
      <c r="G2133" s="1" t="s">
        <v>36</v>
      </c>
      <c r="H2133" s="1" t="s">
        <v>22</v>
      </c>
      <c r="I2133" s="1" t="s">
        <v>29</v>
      </c>
      <c r="J2133" s="1">
        <v>-31.018000000000029</v>
      </c>
      <c r="K2133" s="1">
        <v>256.99999999999994</v>
      </c>
      <c r="L2133" s="1">
        <v>80.329999999999984</v>
      </c>
    </row>
    <row r="2134" spans="4:12">
      <c r="D2134" s="1" t="s">
        <v>1014</v>
      </c>
      <c r="E2134" s="1" t="s">
        <v>1219</v>
      </c>
      <c r="F2134" s="1" t="s">
        <v>35</v>
      </c>
      <c r="G2134" s="1" t="s">
        <v>36</v>
      </c>
      <c r="H2134" s="1" t="s">
        <v>22</v>
      </c>
      <c r="I2134" s="1" t="s">
        <v>29</v>
      </c>
      <c r="J2134" s="1">
        <v>-31.018000000000029</v>
      </c>
      <c r="K2134" s="1">
        <v>256.99999999999994</v>
      </c>
      <c r="L2134" s="1">
        <v>80.329999999999984</v>
      </c>
    </row>
    <row r="2135" spans="4:12">
      <c r="D2135" s="1" t="s">
        <v>1014</v>
      </c>
      <c r="E2135" s="1" t="s">
        <v>1220</v>
      </c>
      <c r="F2135" s="1" t="s">
        <v>35</v>
      </c>
      <c r="G2135" s="1" t="s">
        <v>36</v>
      </c>
      <c r="H2135" s="1" t="s">
        <v>22</v>
      </c>
      <c r="I2135" s="1" t="s">
        <v>29</v>
      </c>
      <c r="J2135" s="1">
        <v>-31.018000000000029</v>
      </c>
      <c r="K2135" s="1">
        <v>256.99999999999994</v>
      </c>
      <c r="L2135" s="1">
        <v>80.329999999999984</v>
      </c>
    </row>
    <row r="2136" spans="4:12">
      <c r="D2136" s="1" t="s">
        <v>1014</v>
      </c>
      <c r="E2136" s="1" t="s">
        <v>1221</v>
      </c>
      <c r="F2136" s="1" t="s">
        <v>35</v>
      </c>
      <c r="G2136" s="1" t="s">
        <v>36</v>
      </c>
      <c r="H2136" s="1" t="s">
        <v>22</v>
      </c>
      <c r="I2136" s="1" t="s">
        <v>29</v>
      </c>
      <c r="J2136" s="1">
        <v>-31.018000000000029</v>
      </c>
      <c r="K2136" s="1">
        <v>256.99999999999994</v>
      </c>
      <c r="L2136" s="1">
        <v>80.329999999999984</v>
      </c>
    </row>
    <row r="2137" spans="4:12">
      <c r="D2137" s="1" t="s">
        <v>1014</v>
      </c>
      <c r="E2137" s="1" t="s">
        <v>1222</v>
      </c>
      <c r="F2137" s="1" t="s">
        <v>35</v>
      </c>
      <c r="G2137" s="1" t="s">
        <v>36</v>
      </c>
      <c r="H2137" s="1" t="s">
        <v>22</v>
      </c>
      <c r="I2137" s="1" t="s">
        <v>29</v>
      </c>
      <c r="J2137" s="1">
        <v>-31.018000000000029</v>
      </c>
      <c r="K2137" s="1">
        <v>256.99999999999994</v>
      </c>
      <c r="L2137" s="1">
        <v>80.329999999999984</v>
      </c>
    </row>
    <row r="2138" spans="4:12">
      <c r="D2138" s="1" t="s">
        <v>1014</v>
      </c>
      <c r="E2138" s="1" t="s">
        <v>1223</v>
      </c>
      <c r="F2138" s="1" t="s">
        <v>35</v>
      </c>
      <c r="G2138" s="1" t="s">
        <v>36</v>
      </c>
      <c r="H2138" s="1" t="s">
        <v>22</v>
      </c>
      <c r="I2138" s="1" t="s">
        <v>29</v>
      </c>
      <c r="J2138" s="1">
        <v>-31.018000000000029</v>
      </c>
      <c r="K2138" s="1">
        <v>256.99999999999994</v>
      </c>
      <c r="L2138" s="1">
        <v>80.329999999999984</v>
      </c>
    </row>
    <row r="2139" spans="4:12">
      <c r="D2139" s="1" t="s">
        <v>1014</v>
      </c>
      <c r="E2139" s="1" t="s">
        <v>1224</v>
      </c>
      <c r="F2139" s="1" t="s">
        <v>35</v>
      </c>
      <c r="G2139" s="1" t="s">
        <v>36</v>
      </c>
      <c r="H2139" s="1" t="s">
        <v>22</v>
      </c>
      <c r="I2139" s="1" t="s">
        <v>29</v>
      </c>
      <c r="J2139" s="1">
        <v>-31.018000000000029</v>
      </c>
      <c r="K2139" s="1">
        <v>256.99999999999994</v>
      </c>
      <c r="L2139" s="1">
        <v>80.329999999999984</v>
      </c>
    </row>
    <row r="2140" spans="4:12">
      <c r="D2140" s="1" t="s">
        <v>1014</v>
      </c>
      <c r="E2140" s="1" t="s">
        <v>1225</v>
      </c>
      <c r="F2140" s="1" t="s">
        <v>35</v>
      </c>
      <c r="G2140" s="1" t="s">
        <v>36</v>
      </c>
      <c r="H2140" s="1" t="s">
        <v>22</v>
      </c>
      <c r="I2140" s="1" t="s">
        <v>29</v>
      </c>
      <c r="J2140" s="1">
        <v>-31.018000000000029</v>
      </c>
      <c r="K2140" s="1">
        <v>256.99999999999994</v>
      </c>
      <c r="L2140" s="1">
        <v>80.329999999999984</v>
      </c>
    </row>
    <row r="2141" spans="4:12">
      <c r="D2141" s="1" t="s">
        <v>1014</v>
      </c>
      <c r="E2141" s="1" t="s">
        <v>1226</v>
      </c>
      <c r="F2141" s="1" t="s">
        <v>35</v>
      </c>
      <c r="G2141" s="1" t="s">
        <v>36</v>
      </c>
      <c r="H2141" s="1" t="s">
        <v>22</v>
      </c>
      <c r="I2141" s="1" t="s">
        <v>29</v>
      </c>
      <c r="J2141" s="1">
        <v>-31.018000000000029</v>
      </c>
      <c r="K2141" s="1">
        <v>256.99999999999994</v>
      </c>
      <c r="L2141" s="1">
        <v>80.329999999999984</v>
      </c>
    </row>
    <row r="2142" spans="4:12">
      <c r="D2142" s="1" t="s">
        <v>1014</v>
      </c>
      <c r="E2142" s="1" t="s">
        <v>1227</v>
      </c>
      <c r="F2142" s="1" t="s">
        <v>35</v>
      </c>
      <c r="G2142" s="1" t="s">
        <v>36</v>
      </c>
      <c r="H2142" s="1" t="s">
        <v>22</v>
      </c>
      <c r="I2142" s="1" t="s">
        <v>29</v>
      </c>
      <c r="J2142" s="1">
        <v>-31.018000000000029</v>
      </c>
      <c r="K2142" s="1">
        <v>256.99999999999994</v>
      </c>
      <c r="L2142" s="1">
        <v>80.329999999999984</v>
      </c>
    </row>
    <row r="2143" spans="4:12">
      <c r="D2143" s="1" t="s">
        <v>1014</v>
      </c>
      <c r="E2143" s="1" t="s">
        <v>1228</v>
      </c>
      <c r="F2143" s="1" t="s">
        <v>35</v>
      </c>
      <c r="G2143" s="1" t="s">
        <v>36</v>
      </c>
      <c r="H2143" s="1" t="s">
        <v>22</v>
      </c>
      <c r="I2143" s="1" t="s">
        <v>29</v>
      </c>
      <c r="J2143" s="1">
        <v>-31.018000000000029</v>
      </c>
      <c r="K2143" s="1">
        <v>256.99999999999994</v>
      </c>
      <c r="L2143" s="1">
        <v>80.329999999999984</v>
      </c>
    </row>
    <row r="2144" spans="4:12">
      <c r="D2144" s="1" t="s">
        <v>1014</v>
      </c>
      <c r="E2144" s="1" t="s">
        <v>1229</v>
      </c>
      <c r="F2144" s="1" t="s">
        <v>35</v>
      </c>
      <c r="G2144" s="1" t="s">
        <v>36</v>
      </c>
      <c r="H2144" s="1" t="s">
        <v>22</v>
      </c>
      <c r="I2144" s="1" t="s">
        <v>29</v>
      </c>
      <c r="J2144" s="1">
        <v>-31.018000000000029</v>
      </c>
      <c r="K2144" s="1">
        <v>256.99999999999994</v>
      </c>
      <c r="L2144" s="1">
        <v>80.329999999999984</v>
      </c>
    </row>
    <row r="2145" spans="4:12">
      <c r="D2145" s="1" t="s">
        <v>1014</v>
      </c>
      <c r="E2145" s="1" t="s">
        <v>1230</v>
      </c>
      <c r="F2145" s="1" t="s">
        <v>35</v>
      </c>
      <c r="G2145" s="1" t="s">
        <v>36</v>
      </c>
      <c r="H2145" s="1" t="s">
        <v>22</v>
      </c>
      <c r="I2145" s="1" t="s">
        <v>29</v>
      </c>
      <c r="J2145" s="1">
        <v>-31.018000000000029</v>
      </c>
      <c r="K2145" s="1">
        <v>256.99999999999994</v>
      </c>
      <c r="L2145" s="1">
        <v>80.329999999999984</v>
      </c>
    </row>
    <row r="2146" spans="4:12">
      <c r="D2146" s="1" t="s">
        <v>1014</v>
      </c>
      <c r="E2146" s="1" t="s">
        <v>1231</v>
      </c>
      <c r="F2146" s="1" t="s">
        <v>35</v>
      </c>
      <c r="G2146" s="1" t="s">
        <v>36</v>
      </c>
      <c r="H2146" s="1" t="s">
        <v>22</v>
      </c>
      <c r="I2146" s="1" t="s">
        <v>29</v>
      </c>
      <c r="J2146" s="1">
        <v>-31.018000000000029</v>
      </c>
      <c r="K2146" s="1">
        <v>256.99999999999994</v>
      </c>
      <c r="L2146" s="1">
        <v>80.329999999999984</v>
      </c>
    </row>
    <row r="2147" spans="4:12">
      <c r="D2147" s="1" t="s">
        <v>1014</v>
      </c>
      <c r="E2147" s="1" t="s">
        <v>1232</v>
      </c>
      <c r="H2147" s="1" t="s">
        <v>22</v>
      </c>
      <c r="I2147" s="1" t="s">
        <v>29</v>
      </c>
      <c r="J2147" s="1">
        <v>-5</v>
      </c>
      <c r="K2147" s="1">
        <v>5</v>
      </c>
      <c r="L2147" s="1">
        <v>1</v>
      </c>
    </row>
    <row r="2148" spans="4:12">
      <c r="D2148" s="1" t="s">
        <v>1014</v>
      </c>
      <c r="E2148" s="1" t="s">
        <v>1233</v>
      </c>
      <c r="H2148" s="1" t="s">
        <v>22</v>
      </c>
      <c r="I2148" s="1" t="s">
        <v>29</v>
      </c>
      <c r="L2148" s="1">
        <v>1</v>
      </c>
    </row>
    <row r="2149" spans="4:12">
      <c r="D2149" s="1" t="s">
        <v>1014</v>
      </c>
      <c r="E2149" s="1" t="s">
        <v>1234</v>
      </c>
      <c r="F2149" s="1" t="s">
        <v>35</v>
      </c>
      <c r="G2149" s="1" t="s">
        <v>36</v>
      </c>
      <c r="H2149" s="1" t="s">
        <v>22</v>
      </c>
      <c r="I2149" s="1" t="s">
        <v>29</v>
      </c>
      <c r="J2149" s="1">
        <v>-99.670000000000016</v>
      </c>
      <c r="K2149" s="1">
        <v>440.33</v>
      </c>
      <c r="L2149" s="1">
        <v>80.329999999999984</v>
      </c>
    </row>
    <row r="2150" spans="4:12">
      <c r="D2150" s="1" t="s">
        <v>1014</v>
      </c>
      <c r="E2150" s="1" t="s">
        <v>1235</v>
      </c>
      <c r="F2150" s="1" t="s">
        <v>35</v>
      </c>
      <c r="G2150" s="1" t="s">
        <v>36</v>
      </c>
      <c r="H2150" s="1" t="s">
        <v>22</v>
      </c>
      <c r="I2150" s="1" t="s">
        <v>29</v>
      </c>
      <c r="J2150" s="1">
        <v>-99.670000000000016</v>
      </c>
      <c r="K2150" s="1">
        <v>440.33</v>
      </c>
      <c r="L2150" s="1">
        <v>80.329999999999984</v>
      </c>
    </row>
    <row r="2151" spans="4:12">
      <c r="D2151" s="1" t="s">
        <v>1014</v>
      </c>
      <c r="E2151" s="1" t="s">
        <v>1236</v>
      </c>
      <c r="F2151" s="1" t="s">
        <v>35</v>
      </c>
      <c r="G2151" s="1" t="s">
        <v>36</v>
      </c>
      <c r="H2151" s="1" t="s">
        <v>22</v>
      </c>
      <c r="I2151" s="1" t="s">
        <v>29</v>
      </c>
      <c r="J2151" s="1">
        <v>-99.670000000000016</v>
      </c>
      <c r="K2151" s="1">
        <v>440.33</v>
      </c>
      <c r="L2151" s="1">
        <v>80.329999999999984</v>
      </c>
    </row>
    <row r="2152" spans="4:12">
      <c r="D2152" s="1" t="s">
        <v>1014</v>
      </c>
      <c r="E2152" s="1" t="s">
        <v>1237</v>
      </c>
      <c r="F2152" s="1" t="s">
        <v>35</v>
      </c>
      <c r="G2152" s="1" t="s">
        <v>36</v>
      </c>
      <c r="H2152" s="1" t="s">
        <v>22</v>
      </c>
      <c r="I2152" s="1" t="s">
        <v>29</v>
      </c>
      <c r="J2152" s="1">
        <v>-99.670000000000016</v>
      </c>
      <c r="K2152" s="1">
        <v>440.33</v>
      </c>
      <c r="L2152" s="1">
        <v>80.329999999999984</v>
      </c>
    </row>
    <row r="2153" spans="4:12">
      <c r="D2153" s="1" t="s">
        <v>1014</v>
      </c>
      <c r="E2153" s="1" t="s">
        <v>1238</v>
      </c>
      <c r="F2153" s="1" t="s">
        <v>35</v>
      </c>
      <c r="G2153" s="1" t="s">
        <v>36</v>
      </c>
      <c r="H2153" s="1" t="s">
        <v>22</v>
      </c>
      <c r="I2153" s="1" t="s">
        <v>29</v>
      </c>
      <c r="J2153" s="1">
        <v>-99.670000000000016</v>
      </c>
      <c r="K2153" s="1">
        <v>440.33</v>
      </c>
      <c r="L2153" s="1">
        <v>80.329999999999984</v>
      </c>
    </row>
    <row r="2154" spans="4:12">
      <c r="D2154" s="1" t="s">
        <v>1014</v>
      </c>
      <c r="E2154" s="1" t="s">
        <v>1239</v>
      </c>
      <c r="F2154" s="1" t="s">
        <v>35</v>
      </c>
      <c r="G2154" s="1" t="s">
        <v>36</v>
      </c>
      <c r="H2154" s="1" t="s">
        <v>22</v>
      </c>
      <c r="I2154" s="1" t="s">
        <v>29</v>
      </c>
      <c r="J2154" s="1">
        <v>-99.670000000000016</v>
      </c>
      <c r="K2154" s="1">
        <v>440.33</v>
      </c>
      <c r="L2154" s="1">
        <v>80.329999999999984</v>
      </c>
    </row>
    <row r="2155" spans="4:12">
      <c r="D2155" s="1" t="s">
        <v>1014</v>
      </c>
      <c r="E2155" s="1" t="s">
        <v>1240</v>
      </c>
      <c r="F2155" s="1" t="s">
        <v>35</v>
      </c>
      <c r="G2155" s="1" t="s">
        <v>36</v>
      </c>
      <c r="H2155" s="1" t="s">
        <v>22</v>
      </c>
      <c r="I2155" s="1" t="s">
        <v>29</v>
      </c>
      <c r="J2155" s="1">
        <v>-99.670000000000016</v>
      </c>
      <c r="K2155" s="1">
        <v>440.33</v>
      </c>
      <c r="L2155" s="1">
        <v>80.329999999999984</v>
      </c>
    </row>
    <row r="2156" spans="4:12">
      <c r="D2156" s="1" t="s">
        <v>1014</v>
      </c>
      <c r="E2156" s="1" t="s">
        <v>1241</v>
      </c>
      <c r="F2156" s="1" t="s">
        <v>35</v>
      </c>
      <c r="G2156" s="1" t="s">
        <v>36</v>
      </c>
      <c r="H2156" s="1" t="s">
        <v>22</v>
      </c>
      <c r="I2156" s="1" t="s">
        <v>29</v>
      </c>
      <c r="J2156" s="1">
        <v>-99.670000000000016</v>
      </c>
      <c r="K2156" s="1">
        <v>440.33</v>
      </c>
      <c r="L2156" s="1">
        <v>80.329999999999984</v>
      </c>
    </row>
    <row r="2157" spans="4:12">
      <c r="D2157" s="1" t="s">
        <v>1014</v>
      </c>
      <c r="E2157" s="1" t="s">
        <v>1242</v>
      </c>
      <c r="F2157" s="1" t="s">
        <v>35</v>
      </c>
      <c r="G2157" s="1" t="s">
        <v>36</v>
      </c>
      <c r="H2157" s="1" t="s">
        <v>22</v>
      </c>
      <c r="I2157" s="1" t="s">
        <v>29</v>
      </c>
      <c r="J2157" s="1">
        <v>-99.670000000000016</v>
      </c>
      <c r="K2157" s="1">
        <v>440.33</v>
      </c>
      <c r="L2157" s="1">
        <v>80.329999999999984</v>
      </c>
    </row>
    <row r="2158" spans="4:12">
      <c r="D2158" s="1" t="s">
        <v>1014</v>
      </c>
      <c r="E2158" s="1" t="s">
        <v>1243</v>
      </c>
      <c r="F2158" s="1" t="s">
        <v>35</v>
      </c>
      <c r="G2158" s="1" t="s">
        <v>36</v>
      </c>
      <c r="H2158" s="1" t="s">
        <v>22</v>
      </c>
      <c r="I2158" s="1" t="s">
        <v>29</v>
      </c>
      <c r="J2158" s="1">
        <v>-99.670000000000016</v>
      </c>
      <c r="K2158" s="1">
        <v>440.33</v>
      </c>
      <c r="L2158" s="1">
        <v>80.329999999999984</v>
      </c>
    </row>
    <row r="2159" spans="4:12">
      <c r="D2159" s="1" t="s">
        <v>1014</v>
      </c>
      <c r="E2159" s="1" t="s">
        <v>1244</v>
      </c>
      <c r="F2159" s="1" t="s">
        <v>35</v>
      </c>
      <c r="G2159" s="1" t="s">
        <v>36</v>
      </c>
      <c r="H2159" s="1" t="s">
        <v>22</v>
      </c>
      <c r="I2159" s="1" t="s">
        <v>29</v>
      </c>
      <c r="J2159" s="1">
        <v>-99.670000000000016</v>
      </c>
      <c r="K2159" s="1">
        <v>440.33</v>
      </c>
      <c r="L2159" s="1">
        <v>80.329999999999984</v>
      </c>
    </row>
    <row r="2160" spans="4:12">
      <c r="D2160" s="1" t="s">
        <v>1014</v>
      </c>
      <c r="E2160" s="1" t="s">
        <v>1245</v>
      </c>
      <c r="F2160" s="1" t="s">
        <v>35</v>
      </c>
      <c r="G2160" s="1" t="s">
        <v>36</v>
      </c>
      <c r="H2160" s="1" t="s">
        <v>22</v>
      </c>
      <c r="I2160" s="1" t="s">
        <v>29</v>
      </c>
      <c r="J2160" s="1">
        <v>-99.670000000000016</v>
      </c>
      <c r="K2160" s="1">
        <v>440.33</v>
      </c>
      <c r="L2160" s="1">
        <v>80.329999999999984</v>
      </c>
    </row>
    <row r="2161" spans="4:12">
      <c r="D2161" s="1" t="s">
        <v>1014</v>
      </c>
      <c r="E2161" s="1" t="s">
        <v>1246</v>
      </c>
      <c r="F2161" s="1" t="s">
        <v>35</v>
      </c>
      <c r="G2161" s="1" t="s">
        <v>36</v>
      </c>
      <c r="H2161" s="1" t="s">
        <v>22</v>
      </c>
      <c r="I2161" s="1" t="s">
        <v>29</v>
      </c>
      <c r="J2161" s="1">
        <v>-99.670000000000016</v>
      </c>
      <c r="K2161" s="1">
        <v>440.33</v>
      </c>
      <c r="L2161" s="1">
        <v>80.329999999999984</v>
      </c>
    </row>
    <row r="2162" spans="4:12">
      <c r="D2162" s="1" t="s">
        <v>1014</v>
      </c>
      <c r="E2162" s="1" t="s">
        <v>1247</v>
      </c>
      <c r="F2162" s="1" t="s">
        <v>35</v>
      </c>
      <c r="G2162" s="1" t="s">
        <v>36</v>
      </c>
      <c r="H2162" s="1" t="s">
        <v>22</v>
      </c>
      <c r="I2162" s="1" t="s">
        <v>29</v>
      </c>
      <c r="J2162" s="1">
        <v>-99.670000000000016</v>
      </c>
      <c r="K2162" s="1">
        <v>440.33</v>
      </c>
      <c r="L2162" s="1">
        <v>80.329999999999984</v>
      </c>
    </row>
    <row r="2163" spans="4:12">
      <c r="D2163" s="1" t="s">
        <v>1014</v>
      </c>
      <c r="E2163" s="1" t="s">
        <v>1248</v>
      </c>
      <c r="F2163" s="1" t="s">
        <v>35</v>
      </c>
      <c r="G2163" s="1" t="s">
        <v>36</v>
      </c>
      <c r="H2163" s="1" t="s">
        <v>22</v>
      </c>
      <c r="I2163" s="1" t="s">
        <v>29</v>
      </c>
      <c r="J2163" s="1">
        <v>-99.670000000000016</v>
      </c>
      <c r="K2163" s="1">
        <v>440.33</v>
      </c>
      <c r="L2163" s="1">
        <v>80.329999999999984</v>
      </c>
    </row>
    <row r="2164" spans="4:12">
      <c r="D2164" s="1" t="s">
        <v>1014</v>
      </c>
      <c r="E2164" s="1" t="s">
        <v>1249</v>
      </c>
      <c r="F2164" s="1" t="s">
        <v>35</v>
      </c>
      <c r="G2164" s="1" t="s">
        <v>36</v>
      </c>
      <c r="H2164" s="1" t="s">
        <v>22</v>
      </c>
      <c r="I2164" s="1" t="s">
        <v>29</v>
      </c>
      <c r="J2164" s="1">
        <v>-99.670000000000016</v>
      </c>
      <c r="K2164" s="1">
        <v>440.33</v>
      </c>
      <c r="L2164" s="1">
        <v>80.329999999999984</v>
      </c>
    </row>
    <row r="2165" spans="4:12">
      <c r="D2165" s="1" t="s">
        <v>1014</v>
      </c>
      <c r="E2165" s="1" t="s">
        <v>1250</v>
      </c>
      <c r="F2165" s="1" t="s">
        <v>35</v>
      </c>
      <c r="G2165" s="1" t="s">
        <v>36</v>
      </c>
      <c r="H2165" s="1" t="s">
        <v>22</v>
      </c>
      <c r="I2165" s="1" t="s">
        <v>29</v>
      </c>
      <c r="J2165" s="1">
        <v>-99.670000000000016</v>
      </c>
      <c r="K2165" s="1">
        <v>440.33</v>
      </c>
      <c r="L2165" s="1">
        <v>80.329999999999984</v>
      </c>
    </row>
    <row r="2166" spans="4:12">
      <c r="D2166" s="1" t="s">
        <v>1014</v>
      </c>
      <c r="E2166" s="1" t="s">
        <v>1251</v>
      </c>
      <c r="F2166" s="1" t="s">
        <v>35</v>
      </c>
      <c r="G2166" s="1" t="s">
        <v>36</v>
      </c>
      <c r="H2166" s="1" t="s">
        <v>22</v>
      </c>
      <c r="I2166" s="1" t="s">
        <v>29</v>
      </c>
      <c r="J2166" s="1">
        <v>-99.670000000000016</v>
      </c>
      <c r="K2166" s="1">
        <v>440.33</v>
      </c>
      <c r="L2166" s="1">
        <v>80.329999999999984</v>
      </c>
    </row>
    <row r="2167" spans="4:12">
      <c r="D2167" s="1" t="s">
        <v>1014</v>
      </c>
      <c r="E2167" s="1" t="s">
        <v>1252</v>
      </c>
      <c r="F2167" s="1" t="s">
        <v>35</v>
      </c>
      <c r="G2167" s="1" t="s">
        <v>36</v>
      </c>
      <c r="H2167" s="1" t="s">
        <v>22</v>
      </c>
      <c r="I2167" s="1" t="s">
        <v>29</v>
      </c>
      <c r="J2167" s="1">
        <v>-99.670000000000016</v>
      </c>
      <c r="K2167" s="1">
        <v>440.33</v>
      </c>
      <c r="L2167" s="1">
        <v>80.329999999999984</v>
      </c>
    </row>
    <row r="2168" spans="4:12">
      <c r="D2168" s="1" t="s">
        <v>1014</v>
      </c>
      <c r="E2168" s="1" t="s">
        <v>1253</v>
      </c>
      <c r="F2168" s="1" t="s">
        <v>35</v>
      </c>
      <c r="G2168" s="1" t="s">
        <v>36</v>
      </c>
      <c r="H2168" s="1" t="s">
        <v>22</v>
      </c>
      <c r="I2168" s="1" t="s">
        <v>29</v>
      </c>
      <c r="J2168" s="1">
        <v>-99.670000000000016</v>
      </c>
      <c r="K2168" s="1">
        <v>440.33</v>
      </c>
      <c r="L2168" s="1">
        <v>80.329999999999984</v>
      </c>
    </row>
    <row r="2169" spans="4:12">
      <c r="D2169" s="1" t="s">
        <v>1014</v>
      </c>
      <c r="E2169" s="1" t="s">
        <v>1254</v>
      </c>
      <c r="F2169" s="1" t="s">
        <v>35</v>
      </c>
      <c r="G2169" s="1" t="s">
        <v>36</v>
      </c>
      <c r="H2169" s="1" t="s">
        <v>22</v>
      </c>
      <c r="I2169" s="1" t="s">
        <v>29</v>
      </c>
      <c r="J2169" s="1">
        <v>-99.670000000000016</v>
      </c>
      <c r="K2169" s="1">
        <v>440.33</v>
      </c>
      <c r="L2169" s="1">
        <v>80.329999999999984</v>
      </c>
    </row>
    <row r="2170" spans="4:12">
      <c r="D2170" s="1" t="s">
        <v>1014</v>
      </c>
      <c r="E2170" s="1" t="s">
        <v>1255</v>
      </c>
      <c r="F2170" s="1" t="s">
        <v>35</v>
      </c>
      <c r="G2170" s="1" t="s">
        <v>36</v>
      </c>
      <c r="H2170" s="1" t="s">
        <v>22</v>
      </c>
      <c r="I2170" s="1" t="s">
        <v>29</v>
      </c>
      <c r="J2170" s="1">
        <v>-99.670000000000016</v>
      </c>
      <c r="K2170" s="1">
        <v>440.33</v>
      </c>
      <c r="L2170" s="1">
        <v>80.329999999999984</v>
      </c>
    </row>
    <row r="2171" spans="4:12">
      <c r="D2171" s="1" t="s">
        <v>1014</v>
      </c>
      <c r="E2171" s="1" t="s">
        <v>1256</v>
      </c>
      <c r="F2171" s="1" t="s">
        <v>35</v>
      </c>
      <c r="G2171" s="1" t="s">
        <v>36</v>
      </c>
      <c r="H2171" s="1" t="s">
        <v>22</v>
      </c>
      <c r="I2171" s="1" t="s">
        <v>29</v>
      </c>
      <c r="J2171" s="1">
        <v>-99.670000000000016</v>
      </c>
      <c r="K2171" s="1">
        <v>440.33</v>
      </c>
      <c r="L2171" s="1">
        <v>80.329999999999984</v>
      </c>
    </row>
    <row r="2172" spans="4:12">
      <c r="D2172" s="1" t="s">
        <v>1014</v>
      </c>
      <c r="E2172" s="1" t="s">
        <v>1257</v>
      </c>
      <c r="F2172" s="1" t="s">
        <v>35</v>
      </c>
      <c r="G2172" s="1" t="s">
        <v>36</v>
      </c>
      <c r="H2172" s="1" t="s">
        <v>22</v>
      </c>
      <c r="I2172" s="1" t="s">
        <v>29</v>
      </c>
      <c r="J2172" s="1">
        <v>-99.670000000000016</v>
      </c>
      <c r="K2172" s="1">
        <v>440.33</v>
      </c>
      <c r="L2172" s="1">
        <v>80.329999999999984</v>
      </c>
    </row>
    <row r="2173" spans="4:12">
      <c r="D2173" s="1" t="s">
        <v>1014</v>
      </c>
      <c r="E2173" s="1" t="s">
        <v>1258</v>
      </c>
      <c r="F2173" s="1" t="s">
        <v>35</v>
      </c>
      <c r="G2173" s="1" t="s">
        <v>36</v>
      </c>
      <c r="H2173" s="1" t="s">
        <v>22</v>
      </c>
      <c r="I2173" s="1" t="s">
        <v>29</v>
      </c>
      <c r="J2173" s="1">
        <v>-99.670000000000016</v>
      </c>
      <c r="K2173" s="1">
        <v>440.33</v>
      </c>
      <c r="L2173" s="1">
        <v>80.329999999999984</v>
      </c>
    </row>
    <row r="2174" spans="4:12">
      <c r="D2174" s="1" t="s">
        <v>1014</v>
      </c>
      <c r="E2174" s="1" t="s">
        <v>1259</v>
      </c>
      <c r="F2174" s="1" t="s">
        <v>35</v>
      </c>
      <c r="G2174" s="1" t="s">
        <v>36</v>
      </c>
      <c r="H2174" s="1" t="s">
        <v>22</v>
      </c>
      <c r="I2174" s="1" t="s">
        <v>29</v>
      </c>
      <c r="J2174" s="1">
        <v>-99.670000000000016</v>
      </c>
      <c r="K2174" s="1">
        <v>440.33</v>
      </c>
      <c r="L2174" s="1">
        <v>80.329999999999984</v>
      </c>
    </row>
    <row r="2175" spans="4:12">
      <c r="D2175" s="1" t="s">
        <v>1014</v>
      </c>
      <c r="E2175" s="1" t="s">
        <v>1260</v>
      </c>
      <c r="F2175" s="1" t="s">
        <v>35</v>
      </c>
      <c r="G2175" s="1" t="s">
        <v>36</v>
      </c>
      <c r="H2175" s="1" t="s">
        <v>22</v>
      </c>
      <c r="I2175" s="1" t="s">
        <v>29</v>
      </c>
      <c r="J2175" s="1">
        <v>-99.670000000000016</v>
      </c>
      <c r="K2175" s="1">
        <v>440.33</v>
      </c>
      <c r="L2175" s="1">
        <v>80.329999999999984</v>
      </c>
    </row>
    <row r="2176" spans="4:12">
      <c r="D2176" s="1" t="s">
        <v>1014</v>
      </c>
      <c r="E2176" s="1" t="s">
        <v>1261</v>
      </c>
      <c r="F2176" s="1" t="s">
        <v>35</v>
      </c>
      <c r="G2176" s="1" t="s">
        <v>36</v>
      </c>
      <c r="H2176" s="1" t="s">
        <v>22</v>
      </c>
      <c r="I2176" s="1" t="s">
        <v>29</v>
      </c>
      <c r="J2176" s="1">
        <v>-99.670000000000016</v>
      </c>
      <c r="K2176" s="1">
        <v>440.33</v>
      </c>
      <c r="L2176" s="1">
        <v>80.329999999999984</v>
      </c>
    </row>
    <row r="2177" spans="4:12">
      <c r="D2177" s="1" t="s">
        <v>1014</v>
      </c>
      <c r="E2177" s="1" t="s">
        <v>1262</v>
      </c>
      <c r="F2177" s="1" t="s">
        <v>35</v>
      </c>
      <c r="G2177" s="1" t="s">
        <v>36</v>
      </c>
      <c r="H2177" s="1" t="s">
        <v>22</v>
      </c>
      <c r="I2177" s="1" t="s">
        <v>29</v>
      </c>
      <c r="J2177" s="1">
        <v>-99.670000000000016</v>
      </c>
      <c r="K2177" s="1">
        <v>440.33</v>
      </c>
      <c r="L2177" s="1">
        <v>80.329999999999984</v>
      </c>
    </row>
    <row r="2178" spans="4:12">
      <c r="D2178" s="1" t="s">
        <v>1014</v>
      </c>
      <c r="E2178" s="1" t="s">
        <v>1263</v>
      </c>
      <c r="F2178" s="1" t="s">
        <v>35</v>
      </c>
      <c r="G2178" s="1" t="s">
        <v>36</v>
      </c>
      <c r="H2178" s="1" t="s">
        <v>22</v>
      </c>
      <c r="I2178" s="1" t="s">
        <v>29</v>
      </c>
      <c r="J2178" s="1">
        <v>-99.670000000000016</v>
      </c>
      <c r="K2178" s="1">
        <v>440.33</v>
      </c>
      <c r="L2178" s="1">
        <v>80.329999999999984</v>
      </c>
    </row>
    <row r="2179" spans="4:12">
      <c r="D2179" s="1" t="s">
        <v>1014</v>
      </c>
      <c r="E2179" s="1" t="s">
        <v>1264</v>
      </c>
      <c r="F2179" s="1" t="s">
        <v>35</v>
      </c>
      <c r="G2179" s="1" t="s">
        <v>36</v>
      </c>
      <c r="H2179" s="1" t="s">
        <v>22</v>
      </c>
      <c r="I2179" s="1" t="s">
        <v>29</v>
      </c>
      <c r="J2179" s="1">
        <v>-99.670000000000016</v>
      </c>
      <c r="K2179" s="1">
        <v>440.33</v>
      </c>
      <c r="L2179" s="1">
        <v>80.329999999999984</v>
      </c>
    </row>
    <row r="2180" spans="4:12">
      <c r="D2180" s="1" t="s">
        <v>1014</v>
      </c>
      <c r="E2180" s="1" t="s">
        <v>1265</v>
      </c>
      <c r="F2180" s="1" t="s">
        <v>35</v>
      </c>
      <c r="G2180" s="1" t="s">
        <v>36</v>
      </c>
      <c r="H2180" s="1" t="s">
        <v>22</v>
      </c>
      <c r="I2180" s="1" t="s">
        <v>29</v>
      </c>
      <c r="J2180" s="1">
        <v>-99.670000000000016</v>
      </c>
      <c r="K2180" s="1">
        <v>440.33</v>
      </c>
      <c r="L2180" s="1">
        <v>80.329999999999984</v>
      </c>
    </row>
    <row r="2181" spans="4:12">
      <c r="D2181" s="1" t="s">
        <v>1014</v>
      </c>
      <c r="E2181" s="1" t="s">
        <v>1266</v>
      </c>
      <c r="F2181" s="1" t="s">
        <v>35</v>
      </c>
      <c r="G2181" s="1" t="s">
        <v>36</v>
      </c>
      <c r="H2181" s="1" t="s">
        <v>22</v>
      </c>
      <c r="I2181" s="1" t="s">
        <v>29</v>
      </c>
      <c r="J2181" s="1">
        <v>-99.670000000000016</v>
      </c>
      <c r="K2181" s="1">
        <v>440.33</v>
      </c>
      <c r="L2181" s="1">
        <v>80.329999999999984</v>
      </c>
    </row>
    <row r="2182" spans="4:12">
      <c r="D2182" s="1" t="s">
        <v>1014</v>
      </c>
      <c r="E2182" s="1" t="s">
        <v>1267</v>
      </c>
      <c r="F2182" s="1" t="s">
        <v>35</v>
      </c>
      <c r="G2182" s="1" t="s">
        <v>36</v>
      </c>
      <c r="H2182" s="1" t="s">
        <v>22</v>
      </c>
      <c r="I2182" s="1" t="s">
        <v>29</v>
      </c>
      <c r="J2182" s="1">
        <v>-99.670000000000016</v>
      </c>
      <c r="K2182" s="1">
        <v>440.33</v>
      </c>
      <c r="L2182" s="1">
        <v>80.329999999999984</v>
      </c>
    </row>
    <row r="2183" spans="4:12">
      <c r="D2183" s="1" t="s">
        <v>1014</v>
      </c>
      <c r="E2183" s="1" t="s">
        <v>1268</v>
      </c>
      <c r="F2183" s="1" t="s">
        <v>35</v>
      </c>
      <c r="G2183" s="1" t="s">
        <v>36</v>
      </c>
      <c r="H2183" s="1" t="s">
        <v>22</v>
      </c>
      <c r="I2183" s="1" t="s">
        <v>29</v>
      </c>
      <c r="J2183" s="1">
        <v>-99.670000000000016</v>
      </c>
      <c r="K2183" s="1">
        <v>440.33</v>
      </c>
      <c r="L2183" s="1">
        <v>80.329999999999984</v>
      </c>
    </row>
    <row r="2184" spans="4:12">
      <c r="D2184" s="1" t="s">
        <v>1014</v>
      </c>
      <c r="E2184" s="1" t="s">
        <v>1269</v>
      </c>
      <c r="F2184" s="1" t="s">
        <v>35</v>
      </c>
      <c r="G2184" s="1" t="s">
        <v>36</v>
      </c>
      <c r="H2184" s="1" t="s">
        <v>22</v>
      </c>
      <c r="I2184" s="1" t="s">
        <v>29</v>
      </c>
      <c r="J2184" s="1">
        <v>-99.670000000000016</v>
      </c>
      <c r="K2184" s="1">
        <v>440.33</v>
      </c>
      <c r="L2184" s="1">
        <v>80.329999999999984</v>
      </c>
    </row>
    <row r="2185" spans="4:12">
      <c r="D2185" s="1" t="s">
        <v>1014</v>
      </c>
      <c r="E2185" s="1" t="s">
        <v>1270</v>
      </c>
      <c r="F2185" s="1" t="s">
        <v>35</v>
      </c>
      <c r="G2185" s="1" t="s">
        <v>36</v>
      </c>
      <c r="H2185" s="1" t="s">
        <v>22</v>
      </c>
      <c r="I2185" s="1" t="s">
        <v>29</v>
      </c>
      <c r="J2185" s="1">
        <v>-99.670000000000016</v>
      </c>
      <c r="K2185" s="1">
        <v>440.33</v>
      </c>
      <c r="L2185" s="1">
        <v>80.329999999999984</v>
      </c>
    </row>
    <row r="2186" spans="4:12">
      <c r="D2186" s="1" t="s">
        <v>1014</v>
      </c>
      <c r="E2186" s="1" t="s">
        <v>1271</v>
      </c>
      <c r="F2186" s="1" t="s">
        <v>35</v>
      </c>
      <c r="G2186" s="1" t="s">
        <v>36</v>
      </c>
      <c r="H2186" s="1" t="s">
        <v>22</v>
      </c>
      <c r="I2186" s="1" t="s">
        <v>29</v>
      </c>
      <c r="J2186" s="1">
        <v>-99.670000000000016</v>
      </c>
      <c r="K2186" s="1">
        <v>440.33</v>
      </c>
      <c r="L2186" s="1">
        <v>80.329999999999984</v>
      </c>
    </row>
    <row r="2187" spans="4:12">
      <c r="D2187" s="1" t="s">
        <v>1014</v>
      </c>
      <c r="E2187" s="1" t="s">
        <v>1272</v>
      </c>
      <c r="F2187" s="1" t="s">
        <v>35</v>
      </c>
      <c r="G2187" s="1" t="s">
        <v>36</v>
      </c>
      <c r="H2187" s="1" t="s">
        <v>22</v>
      </c>
      <c r="I2187" s="1" t="s">
        <v>29</v>
      </c>
      <c r="J2187" s="1">
        <v>-99.670000000000016</v>
      </c>
      <c r="K2187" s="1">
        <v>440.33</v>
      </c>
      <c r="L2187" s="1">
        <v>80.329999999999984</v>
      </c>
    </row>
    <row r="2188" spans="4:12">
      <c r="D2188" s="1" t="s">
        <v>1014</v>
      </c>
      <c r="E2188" s="1" t="s">
        <v>1273</v>
      </c>
      <c r="F2188" s="1" t="s">
        <v>35</v>
      </c>
      <c r="G2188" s="1" t="s">
        <v>36</v>
      </c>
      <c r="H2188" s="1" t="s">
        <v>22</v>
      </c>
      <c r="I2188" s="1" t="s">
        <v>29</v>
      </c>
      <c r="J2188" s="1">
        <v>-99.670000000000016</v>
      </c>
      <c r="K2188" s="1">
        <v>440.33</v>
      </c>
      <c r="L2188" s="1">
        <v>80.329999999999984</v>
      </c>
    </row>
    <row r="2189" spans="4:12">
      <c r="D2189" s="1" t="s">
        <v>1014</v>
      </c>
      <c r="E2189" s="1" t="s">
        <v>1274</v>
      </c>
      <c r="F2189" s="1" t="s">
        <v>35</v>
      </c>
      <c r="G2189" s="1" t="s">
        <v>36</v>
      </c>
      <c r="H2189" s="1" t="s">
        <v>22</v>
      </c>
      <c r="I2189" s="1" t="s">
        <v>29</v>
      </c>
      <c r="J2189" s="1">
        <v>-99.670000000000016</v>
      </c>
      <c r="K2189" s="1">
        <v>440.33</v>
      </c>
      <c r="L2189" s="1">
        <v>80.329999999999984</v>
      </c>
    </row>
    <row r="2190" spans="4:12">
      <c r="D2190" s="1" t="s">
        <v>1014</v>
      </c>
      <c r="E2190" s="1" t="s">
        <v>1275</v>
      </c>
      <c r="F2190" s="1" t="s">
        <v>35</v>
      </c>
      <c r="G2190" s="1" t="s">
        <v>36</v>
      </c>
      <c r="H2190" s="1" t="s">
        <v>22</v>
      </c>
      <c r="I2190" s="1" t="s">
        <v>29</v>
      </c>
      <c r="J2190" s="1">
        <v>-99.670000000000016</v>
      </c>
      <c r="K2190" s="1">
        <v>440.33</v>
      </c>
      <c r="L2190" s="1">
        <v>80.329999999999984</v>
      </c>
    </row>
    <row r="2191" spans="4:12">
      <c r="D2191" s="1" t="s">
        <v>1014</v>
      </c>
      <c r="E2191" s="1" t="s">
        <v>1276</v>
      </c>
      <c r="F2191" s="1" t="s">
        <v>35</v>
      </c>
      <c r="G2191" s="1" t="s">
        <v>36</v>
      </c>
      <c r="H2191" s="1" t="s">
        <v>22</v>
      </c>
      <c r="I2191" s="1" t="s">
        <v>29</v>
      </c>
      <c r="J2191" s="1">
        <v>-99.670000000000016</v>
      </c>
      <c r="K2191" s="1">
        <v>440.33</v>
      </c>
      <c r="L2191" s="1">
        <v>80.329999999999984</v>
      </c>
    </row>
    <row r="2192" spans="4:12">
      <c r="D2192" s="1" t="s">
        <v>1014</v>
      </c>
      <c r="E2192" s="1" t="s">
        <v>1277</v>
      </c>
      <c r="F2192" s="1" t="s">
        <v>35</v>
      </c>
      <c r="G2192" s="1" t="s">
        <v>36</v>
      </c>
      <c r="H2192" s="1" t="s">
        <v>22</v>
      </c>
      <c r="I2192" s="1" t="s">
        <v>29</v>
      </c>
      <c r="J2192" s="1">
        <v>-99.670000000000016</v>
      </c>
      <c r="K2192" s="1">
        <v>440.33</v>
      </c>
      <c r="L2192" s="1">
        <v>80.329999999999984</v>
      </c>
    </row>
    <row r="2193" spans="4:12">
      <c r="D2193" s="1" t="s">
        <v>1014</v>
      </c>
      <c r="E2193" s="1" t="s">
        <v>1278</v>
      </c>
      <c r="F2193" s="1" t="s">
        <v>35</v>
      </c>
      <c r="G2193" s="1" t="s">
        <v>36</v>
      </c>
      <c r="H2193" s="1" t="s">
        <v>22</v>
      </c>
      <c r="I2193" s="1" t="s">
        <v>29</v>
      </c>
      <c r="J2193" s="1">
        <v>-99.670000000000016</v>
      </c>
      <c r="K2193" s="1">
        <v>440.33</v>
      </c>
      <c r="L2193" s="1">
        <v>80.329999999999984</v>
      </c>
    </row>
    <row r="2194" spans="4:12">
      <c r="D2194" s="1" t="s">
        <v>1014</v>
      </c>
      <c r="E2194" s="1" t="s">
        <v>1279</v>
      </c>
      <c r="F2194" s="1" t="s">
        <v>35</v>
      </c>
      <c r="G2194" s="1" t="s">
        <v>36</v>
      </c>
      <c r="H2194" s="1" t="s">
        <v>22</v>
      </c>
      <c r="I2194" s="1" t="s">
        <v>29</v>
      </c>
      <c r="J2194" s="1">
        <v>-99.670000000000016</v>
      </c>
      <c r="K2194" s="1">
        <v>440.33</v>
      </c>
      <c r="L2194" s="1">
        <v>80.329999999999984</v>
      </c>
    </row>
    <row r="2195" spans="4:12">
      <c r="D2195" s="1" t="s">
        <v>1014</v>
      </c>
      <c r="E2195" s="1" t="s">
        <v>1280</v>
      </c>
      <c r="F2195" s="1" t="s">
        <v>35</v>
      </c>
      <c r="G2195" s="1" t="s">
        <v>36</v>
      </c>
      <c r="H2195" s="1" t="s">
        <v>22</v>
      </c>
      <c r="I2195" s="1" t="s">
        <v>29</v>
      </c>
      <c r="J2195" s="1">
        <v>-99.670000000000016</v>
      </c>
      <c r="K2195" s="1">
        <v>440.33</v>
      </c>
      <c r="L2195" s="1">
        <v>80.329999999999984</v>
      </c>
    </row>
    <row r="2196" spans="4:12">
      <c r="D2196" s="1" t="s">
        <v>1014</v>
      </c>
      <c r="E2196" s="1" t="s">
        <v>1281</v>
      </c>
      <c r="F2196" s="1" t="s">
        <v>35</v>
      </c>
      <c r="G2196" s="1" t="s">
        <v>36</v>
      </c>
      <c r="H2196" s="1" t="s">
        <v>22</v>
      </c>
      <c r="I2196" s="1" t="s">
        <v>29</v>
      </c>
      <c r="J2196" s="1">
        <v>-99.670000000000016</v>
      </c>
      <c r="K2196" s="1">
        <v>440.33</v>
      </c>
      <c r="L2196" s="1">
        <v>80.329999999999984</v>
      </c>
    </row>
    <row r="2197" spans="4:12">
      <c r="D2197" s="1" t="s">
        <v>1014</v>
      </c>
      <c r="E2197" s="1" t="s">
        <v>1282</v>
      </c>
      <c r="F2197" s="1" t="s">
        <v>35</v>
      </c>
      <c r="G2197" s="1" t="s">
        <v>36</v>
      </c>
      <c r="H2197" s="1" t="s">
        <v>22</v>
      </c>
      <c r="I2197" s="1" t="s">
        <v>29</v>
      </c>
      <c r="J2197" s="1">
        <v>-99.670000000000016</v>
      </c>
      <c r="K2197" s="1">
        <v>440.33</v>
      </c>
      <c r="L2197" s="1">
        <v>80.329999999999984</v>
      </c>
    </row>
    <row r="2198" spans="4:12">
      <c r="D2198" s="1" t="s">
        <v>1014</v>
      </c>
      <c r="E2198" s="1" t="s">
        <v>1283</v>
      </c>
      <c r="F2198" s="1" t="s">
        <v>35</v>
      </c>
      <c r="G2198" s="1" t="s">
        <v>36</v>
      </c>
      <c r="H2198" s="1" t="s">
        <v>22</v>
      </c>
      <c r="I2198" s="1" t="s">
        <v>29</v>
      </c>
      <c r="J2198" s="1">
        <v>-99.670000000000016</v>
      </c>
      <c r="K2198" s="1">
        <v>440.33</v>
      </c>
      <c r="L2198" s="1">
        <v>80.329999999999984</v>
      </c>
    </row>
    <row r="2199" spans="4:12">
      <c r="D2199" s="1" t="s">
        <v>1014</v>
      </c>
      <c r="E2199" s="1" t="s">
        <v>1284</v>
      </c>
      <c r="F2199" s="1" t="s">
        <v>35</v>
      </c>
      <c r="G2199" s="1" t="s">
        <v>36</v>
      </c>
      <c r="H2199" s="1" t="s">
        <v>22</v>
      </c>
      <c r="I2199" s="1" t="s">
        <v>29</v>
      </c>
      <c r="J2199" s="1">
        <v>-99.670000000000016</v>
      </c>
      <c r="K2199" s="1">
        <v>440.33</v>
      </c>
      <c r="L2199" s="1">
        <v>80.329999999999984</v>
      </c>
    </row>
    <row r="2200" spans="4:12">
      <c r="D2200" s="1" t="s">
        <v>1014</v>
      </c>
      <c r="E2200" s="1" t="s">
        <v>1285</v>
      </c>
      <c r="F2200" s="1" t="s">
        <v>35</v>
      </c>
      <c r="G2200" s="1" t="s">
        <v>36</v>
      </c>
      <c r="H2200" s="1" t="s">
        <v>22</v>
      </c>
      <c r="I2200" s="1" t="s">
        <v>29</v>
      </c>
      <c r="J2200" s="1">
        <v>-99.670000000000016</v>
      </c>
      <c r="K2200" s="1">
        <v>440.33</v>
      </c>
      <c r="L2200" s="1">
        <v>80.329999999999984</v>
      </c>
    </row>
    <row r="2201" spans="4:12">
      <c r="D2201" s="1" t="s">
        <v>1014</v>
      </c>
      <c r="E2201" s="1" t="s">
        <v>1286</v>
      </c>
      <c r="F2201" s="1" t="s">
        <v>35</v>
      </c>
      <c r="G2201" s="1" t="s">
        <v>36</v>
      </c>
      <c r="H2201" s="1" t="s">
        <v>22</v>
      </c>
      <c r="I2201" s="1" t="s">
        <v>29</v>
      </c>
      <c r="J2201" s="1">
        <v>-99.670000000000016</v>
      </c>
      <c r="K2201" s="1">
        <v>440.33</v>
      </c>
      <c r="L2201" s="1">
        <v>80.329999999999984</v>
      </c>
    </row>
    <row r="2202" spans="4:12">
      <c r="D2202" s="1" t="s">
        <v>1014</v>
      </c>
      <c r="E2202" s="1" t="s">
        <v>1287</v>
      </c>
      <c r="F2202" s="1" t="s">
        <v>35</v>
      </c>
      <c r="G2202" s="1" t="s">
        <v>36</v>
      </c>
      <c r="H2202" s="1" t="s">
        <v>22</v>
      </c>
      <c r="I2202" s="1" t="s">
        <v>29</v>
      </c>
      <c r="J2202" s="1">
        <v>-99.670000000000016</v>
      </c>
      <c r="K2202" s="1">
        <v>440.33</v>
      </c>
      <c r="L2202" s="1">
        <v>80.329999999999984</v>
      </c>
    </row>
    <row r="2203" spans="4:12">
      <c r="D2203" s="1" t="s">
        <v>1014</v>
      </c>
      <c r="E2203" s="1" t="s">
        <v>1288</v>
      </c>
      <c r="F2203" s="1" t="s">
        <v>35</v>
      </c>
      <c r="G2203" s="1" t="s">
        <v>36</v>
      </c>
      <c r="H2203" s="1" t="s">
        <v>22</v>
      </c>
      <c r="I2203" s="1" t="s">
        <v>29</v>
      </c>
      <c r="J2203" s="1">
        <v>-99.670000000000016</v>
      </c>
      <c r="K2203" s="1">
        <v>440.33</v>
      </c>
      <c r="L2203" s="1">
        <v>80.329999999999984</v>
      </c>
    </row>
    <row r="2204" spans="4:12">
      <c r="D2204" s="1" t="s">
        <v>1014</v>
      </c>
      <c r="E2204" s="1" t="s">
        <v>1289</v>
      </c>
      <c r="F2204" s="1" t="s">
        <v>35</v>
      </c>
      <c r="G2204" s="1" t="s">
        <v>36</v>
      </c>
      <c r="H2204" s="1" t="s">
        <v>22</v>
      </c>
      <c r="I2204" s="1" t="s">
        <v>29</v>
      </c>
      <c r="J2204" s="1">
        <v>-99.670000000000016</v>
      </c>
      <c r="K2204" s="1">
        <v>440.33</v>
      </c>
      <c r="L2204" s="1">
        <v>80.329999999999984</v>
      </c>
    </row>
    <row r="2205" spans="4:12">
      <c r="D2205" s="1" t="s">
        <v>1014</v>
      </c>
      <c r="E2205" s="1" t="s">
        <v>1290</v>
      </c>
      <c r="F2205" s="1" t="s">
        <v>35</v>
      </c>
      <c r="G2205" s="1" t="s">
        <v>36</v>
      </c>
      <c r="H2205" s="1" t="s">
        <v>22</v>
      </c>
      <c r="I2205" s="1" t="s">
        <v>29</v>
      </c>
      <c r="J2205" s="1">
        <v>-99.670000000000016</v>
      </c>
      <c r="K2205" s="1">
        <v>440.33</v>
      </c>
      <c r="L2205" s="1">
        <v>80.329999999999984</v>
      </c>
    </row>
    <row r="2206" spans="4:12">
      <c r="D2206" s="1" t="s">
        <v>1014</v>
      </c>
      <c r="E2206" s="1" t="s">
        <v>1291</v>
      </c>
      <c r="F2206" s="1" t="s">
        <v>35</v>
      </c>
      <c r="G2206" s="1" t="s">
        <v>36</v>
      </c>
      <c r="H2206" s="1" t="s">
        <v>22</v>
      </c>
      <c r="I2206" s="1" t="s">
        <v>29</v>
      </c>
      <c r="J2206" s="1">
        <v>-99.670000000000016</v>
      </c>
      <c r="K2206" s="1">
        <v>440.33</v>
      </c>
      <c r="L2206" s="1">
        <v>80.329999999999984</v>
      </c>
    </row>
    <row r="2207" spans="4:12">
      <c r="D2207" s="1" t="s">
        <v>1014</v>
      </c>
      <c r="E2207" s="1" t="s">
        <v>1292</v>
      </c>
      <c r="F2207" s="1" t="s">
        <v>35</v>
      </c>
      <c r="G2207" s="1" t="s">
        <v>36</v>
      </c>
      <c r="H2207" s="1" t="s">
        <v>22</v>
      </c>
      <c r="I2207" s="1" t="s">
        <v>29</v>
      </c>
      <c r="J2207" s="1">
        <v>-99.670000000000016</v>
      </c>
      <c r="K2207" s="1">
        <v>440.33</v>
      </c>
      <c r="L2207" s="1">
        <v>80.329999999999984</v>
      </c>
    </row>
    <row r="2208" spans="4:12">
      <c r="D2208" s="1" t="s">
        <v>1014</v>
      </c>
      <c r="E2208" s="1" t="s">
        <v>1293</v>
      </c>
      <c r="F2208" s="1" t="s">
        <v>35</v>
      </c>
      <c r="G2208" s="1" t="s">
        <v>36</v>
      </c>
      <c r="H2208" s="1" t="s">
        <v>22</v>
      </c>
      <c r="I2208" s="1" t="s">
        <v>29</v>
      </c>
      <c r="J2208" s="1">
        <v>-99.670000000000016</v>
      </c>
      <c r="K2208" s="1">
        <v>440.33</v>
      </c>
      <c r="L2208" s="1">
        <v>80.329999999999984</v>
      </c>
    </row>
    <row r="2209" spans="4:13">
      <c r="D2209" s="1" t="s">
        <v>1014</v>
      </c>
      <c r="E2209" s="1" t="s">
        <v>1294</v>
      </c>
      <c r="F2209" s="1" t="s">
        <v>41</v>
      </c>
      <c r="G2209" s="1" t="s">
        <v>42</v>
      </c>
      <c r="H2209" s="1" t="s">
        <v>22</v>
      </c>
      <c r="I2209" s="1" t="s">
        <v>23</v>
      </c>
      <c r="J2209" s="1">
        <v>-36</v>
      </c>
      <c r="K2209" s="1">
        <v>0</v>
      </c>
      <c r="L2209" s="1">
        <v>1.8</v>
      </c>
      <c r="M2209" s="1">
        <v>-3.6</v>
      </c>
    </row>
    <row r="2210" spans="4:13">
      <c r="D2210" s="1" t="s">
        <v>1014</v>
      </c>
      <c r="E2210" s="1" t="s">
        <v>1295</v>
      </c>
      <c r="H2210" s="1" t="s">
        <v>25</v>
      </c>
      <c r="I2210" s="1" t="s">
        <v>23</v>
      </c>
      <c r="M2210" s="1" t="b">
        <v>0</v>
      </c>
    </row>
    <row r="2211" spans="4:13">
      <c r="D2211" s="1" t="s">
        <v>1014</v>
      </c>
      <c r="E2211" s="1" t="s">
        <v>1296</v>
      </c>
      <c r="F2211" s="1" t="s">
        <v>41</v>
      </c>
      <c r="G2211" s="1" t="s">
        <v>42</v>
      </c>
      <c r="H2211" s="1" t="s">
        <v>22</v>
      </c>
      <c r="I2211" s="1" t="s">
        <v>65</v>
      </c>
      <c r="L2211" s="1">
        <v>1.8</v>
      </c>
    </row>
    <row r="2212" spans="4:13">
      <c r="D2212" s="1" t="s">
        <v>1014</v>
      </c>
      <c r="E2212" s="1" t="s">
        <v>1297</v>
      </c>
      <c r="H2212" s="1" t="s">
        <v>22</v>
      </c>
      <c r="I2212" s="1" t="s">
        <v>65</v>
      </c>
      <c r="L2212" s="1">
        <v>1</v>
      </c>
    </row>
    <row r="2213" spans="4:13">
      <c r="D2213" s="1" t="s">
        <v>1014</v>
      </c>
      <c r="E2213" s="1" t="s">
        <v>1298</v>
      </c>
      <c r="F2213" s="1" t="s">
        <v>147</v>
      </c>
      <c r="G2213" s="1" t="s">
        <v>148</v>
      </c>
      <c r="H2213" s="1" t="s">
        <v>22</v>
      </c>
      <c r="I2213" s="1" t="s">
        <v>65</v>
      </c>
      <c r="L2213" s="1">
        <v>3.4121416351331</v>
      </c>
    </row>
    <row r="2214" spans="4:13">
      <c r="D2214" s="1" t="s">
        <v>1014</v>
      </c>
      <c r="E2214" s="1" t="s">
        <v>1299</v>
      </c>
      <c r="F2214" s="1" t="s">
        <v>147</v>
      </c>
      <c r="G2214" s="1" t="s">
        <v>148</v>
      </c>
      <c r="H2214" s="1" t="s">
        <v>22</v>
      </c>
      <c r="I2214" s="1" t="s">
        <v>65</v>
      </c>
      <c r="L2214" s="1">
        <v>3.4121416351331</v>
      </c>
    </row>
    <row r="2215" spans="4:13">
      <c r="D2215" s="1" t="s">
        <v>1014</v>
      </c>
      <c r="E2215" s="1" t="s">
        <v>1300</v>
      </c>
      <c r="F2215" s="1" t="s">
        <v>147</v>
      </c>
      <c r="G2215" s="1" t="s">
        <v>148</v>
      </c>
      <c r="H2215" s="1" t="s">
        <v>22</v>
      </c>
      <c r="I2215" s="1" t="s">
        <v>65</v>
      </c>
      <c r="L2215" s="1">
        <v>3.4121416351331</v>
      </c>
    </row>
    <row r="2216" spans="4:13">
      <c r="D2216" s="1" t="s">
        <v>1014</v>
      </c>
      <c r="E2216" s="1" t="s">
        <v>1301</v>
      </c>
      <c r="F2216" s="1" t="s">
        <v>147</v>
      </c>
      <c r="G2216" s="1" t="s">
        <v>148</v>
      </c>
      <c r="H2216" s="1" t="s">
        <v>22</v>
      </c>
      <c r="I2216" s="1" t="s">
        <v>65</v>
      </c>
      <c r="L2216" s="1">
        <v>3.4121416351331</v>
      </c>
    </row>
    <row r="2217" spans="4:13">
      <c r="D2217" s="1" t="s">
        <v>1014</v>
      </c>
      <c r="E2217" s="1" t="s">
        <v>1302</v>
      </c>
      <c r="H2217" s="1" t="s">
        <v>22</v>
      </c>
      <c r="I2217" s="1" t="s">
        <v>65</v>
      </c>
      <c r="L2217" s="1">
        <v>1</v>
      </c>
    </row>
    <row r="2218" spans="4:13">
      <c r="D2218" s="1" t="s">
        <v>1014</v>
      </c>
      <c r="E2218" s="1" t="s">
        <v>1303</v>
      </c>
      <c r="F2218" s="1" t="s">
        <v>35</v>
      </c>
      <c r="G2218" s="1" t="s">
        <v>36</v>
      </c>
      <c r="H2218" s="1" t="s">
        <v>22</v>
      </c>
      <c r="I2218" s="1" t="s">
        <v>65</v>
      </c>
      <c r="J2218" s="1">
        <v>-459.67</v>
      </c>
      <c r="L2218" s="1">
        <v>80.329999999999984</v>
      </c>
    </row>
    <row r="2219" spans="4:13">
      <c r="D2219" s="1" t="s">
        <v>1014</v>
      </c>
      <c r="E2219" s="1" t="s">
        <v>1304</v>
      </c>
      <c r="H2219" s="1" t="s">
        <v>22</v>
      </c>
      <c r="I2219" s="1" t="s">
        <v>65</v>
      </c>
      <c r="L2219" s="1">
        <v>1</v>
      </c>
    </row>
    <row r="2220" spans="4:13">
      <c r="D2220" s="1" t="s">
        <v>1014</v>
      </c>
      <c r="E2220" s="1" t="s">
        <v>1305</v>
      </c>
      <c r="H2220" s="1" t="s">
        <v>22</v>
      </c>
      <c r="I2220" s="1" t="s">
        <v>65</v>
      </c>
      <c r="L2220" s="1">
        <v>1</v>
      </c>
    </row>
    <row r="2221" spans="4:13">
      <c r="D2221" s="1" t="s">
        <v>1014</v>
      </c>
      <c r="E2221" s="1" t="s">
        <v>1306</v>
      </c>
      <c r="H2221" s="1" t="s">
        <v>22</v>
      </c>
      <c r="I2221" s="1" t="s">
        <v>65</v>
      </c>
      <c r="L2221" s="1">
        <v>1</v>
      </c>
    </row>
    <row r="2222" spans="4:13">
      <c r="D2222" s="1" t="s">
        <v>1014</v>
      </c>
      <c r="E2222" s="1" t="s">
        <v>1307</v>
      </c>
      <c r="H2222" s="1" t="s">
        <v>22</v>
      </c>
      <c r="I2222" s="1" t="s">
        <v>65</v>
      </c>
      <c r="L2222" s="1">
        <v>1</v>
      </c>
    </row>
    <row r="2223" spans="4:13">
      <c r="D2223" s="1" t="s">
        <v>1014</v>
      </c>
      <c r="E2223" s="1" t="s">
        <v>1308</v>
      </c>
      <c r="H2223" s="1" t="s">
        <v>22</v>
      </c>
      <c r="I2223" s="1" t="s">
        <v>65</v>
      </c>
      <c r="L2223" s="1">
        <v>1</v>
      </c>
    </row>
    <row r="2224" spans="4:13">
      <c r="D2224" s="1" t="s">
        <v>1014</v>
      </c>
      <c r="E2224" s="1" t="s">
        <v>1309</v>
      </c>
      <c r="H2224" s="1" t="s">
        <v>22</v>
      </c>
      <c r="I2224" s="1" t="s">
        <v>65</v>
      </c>
      <c r="L2224" s="1">
        <v>1</v>
      </c>
    </row>
    <row r="2225" spans="4:12">
      <c r="D2225" s="1" t="s">
        <v>1014</v>
      </c>
      <c r="E2225" s="1" t="s">
        <v>1310</v>
      </c>
      <c r="H2225" s="1" t="s">
        <v>22</v>
      </c>
      <c r="I2225" s="1" t="s">
        <v>65</v>
      </c>
      <c r="L2225" s="1">
        <v>1</v>
      </c>
    </row>
    <row r="2226" spans="4:12">
      <c r="D2226" s="1" t="s">
        <v>1014</v>
      </c>
      <c r="E2226" s="1" t="s">
        <v>1311</v>
      </c>
      <c r="F2226" s="1" t="s">
        <v>1041</v>
      </c>
      <c r="G2226" s="1" t="s">
        <v>1042</v>
      </c>
      <c r="H2226" s="1" t="s">
        <v>22</v>
      </c>
      <c r="I2226" s="1" t="s">
        <v>65</v>
      </c>
      <c r="L2226" s="1">
        <v>0.17611018362408509</v>
      </c>
    </row>
    <row r="2227" spans="4:12">
      <c r="D2227" s="1" t="s">
        <v>1014</v>
      </c>
      <c r="E2227" s="1" t="s">
        <v>1312</v>
      </c>
      <c r="F2227" s="1" t="s">
        <v>1041</v>
      </c>
      <c r="G2227" s="1" t="s">
        <v>1042</v>
      </c>
      <c r="H2227" s="1" t="s">
        <v>22</v>
      </c>
      <c r="I2227" s="1" t="s">
        <v>65</v>
      </c>
      <c r="L2227" s="1">
        <v>0.17611018362408509</v>
      </c>
    </row>
    <row r="2228" spans="4:12">
      <c r="D2228" s="1" t="s">
        <v>1014</v>
      </c>
      <c r="E2228" s="1" t="s">
        <v>1313</v>
      </c>
      <c r="F2228" s="1" t="s">
        <v>1041</v>
      </c>
      <c r="G2228" s="1" t="s">
        <v>1042</v>
      </c>
      <c r="H2228" s="1" t="s">
        <v>22</v>
      </c>
      <c r="I2228" s="1" t="s">
        <v>65</v>
      </c>
      <c r="L2228" s="1">
        <v>0.17611018362408509</v>
      </c>
    </row>
    <row r="2229" spans="4:12">
      <c r="D2229" s="1" t="s">
        <v>1014</v>
      </c>
      <c r="E2229" s="1" t="s">
        <v>1314</v>
      </c>
      <c r="F2229" s="1" t="s">
        <v>879</v>
      </c>
      <c r="G2229" s="1" t="s">
        <v>880</v>
      </c>
      <c r="H2229" s="1" t="s">
        <v>22</v>
      </c>
      <c r="I2229" s="1" t="s">
        <v>65</v>
      </c>
      <c r="L2229" s="1">
        <v>10.76391041670972</v>
      </c>
    </row>
    <row r="2230" spans="4:12">
      <c r="D2230" s="1" t="s">
        <v>1014</v>
      </c>
      <c r="E2230" s="1" t="s">
        <v>1315</v>
      </c>
      <c r="F2230" s="1" t="s">
        <v>879</v>
      </c>
      <c r="G2230" s="1" t="s">
        <v>880</v>
      </c>
      <c r="H2230" s="1" t="s">
        <v>22</v>
      </c>
      <c r="I2230" s="1" t="s">
        <v>65</v>
      </c>
      <c r="L2230" s="1">
        <v>10.76391041670972</v>
      </c>
    </row>
    <row r="2231" spans="4:12">
      <c r="D2231" s="1" t="s">
        <v>1014</v>
      </c>
      <c r="E2231" s="1" t="s">
        <v>1316</v>
      </c>
      <c r="F2231" s="1" t="s">
        <v>879</v>
      </c>
      <c r="G2231" s="1" t="s">
        <v>880</v>
      </c>
      <c r="H2231" s="1" t="s">
        <v>22</v>
      </c>
      <c r="I2231" s="1" t="s">
        <v>65</v>
      </c>
      <c r="L2231" s="1">
        <v>10.76391041670972</v>
      </c>
    </row>
    <row r="2232" spans="4:12">
      <c r="D2232" s="1" t="s">
        <v>1014</v>
      </c>
      <c r="E2232" s="1" t="s">
        <v>1317</v>
      </c>
      <c r="F2232" s="1" t="s">
        <v>879</v>
      </c>
      <c r="G2232" s="1" t="s">
        <v>880</v>
      </c>
      <c r="H2232" s="1" t="s">
        <v>22</v>
      </c>
      <c r="I2232" s="1" t="s">
        <v>70</v>
      </c>
      <c r="L2232" s="1">
        <v>10.76391041670972</v>
      </c>
    </row>
    <row r="2233" spans="4:12">
      <c r="D2233" s="1" t="s">
        <v>1014</v>
      </c>
      <c r="E2233" s="1" t="s">
        <v>1318</v>
      </c>
      <c r="F2233" s="1" t="s">
        <v>879</v>
      </c>
      <c r="G2233" s="1" t="s">
        <v>880</v>
      </c>
      <c r="H2233" s="1" t="s">
        <v>22</v>
      </c>
      <c r="I2233" s="1" t="s">
        <v>65</v>
      </c>
      <c r="L2233" s="1">
        <v>10.76391041670972</v>
      </c>
    </row>
    <row r="2234" spans="4:12">
      <c r="D2234" s="1" t="s">
        <v>1014</v>
      </c>
      <c r="E2234" s="1" t="s">
        <v>1319</v>
      </c>
      <c r="F2234" s="1" t="s">
        <v>879</v>
      </c>
      <c r="G2234" s="1" t="s">
        <v>880</v>
      </c>
      <c r="H2234" s="1" t="s">
        <v>22</v>
      </c>
      <c r="I2234" s="1" t="s">
        <v>65</v>
      </c>
      <c r="L2234" s="1">
        <v>10.76391041670972</v>
      </c>
    </row>
    <row r="2235" spans="4:12">
      <c r="D2235" s="1" t="s">
        <v>1014</v>
      </c>
      <c r="E2235" s="1" t="s">
        <v>1320</v>
      </c>
      <c r="F2235" s="1" t="s">
        <v>879</v>
      </c>
      <c r="G2235" s="1" t="s">
        <v>880</v>
      </c>
      <c r="H2235" s="1" t="s">
        <v>22</v>
      </c>
      <c r="I2235" s="1" t="s">
        <v>70</v>
      </c>
      <c r="L2235" s="1">
        <v>10.76391041670972</v>
      </c>
    </row>
    <row r="2236" spans="4:12">
      <c r="D2236" s="1" t="s">
        <v>1014</v>
      </c>
      <c r="E2236" s="1" t="s">
        <v>1321</v>
      </c>
      <c r="F2236" s="1" t="s">
        <v>879</v>
      </c>
      <c r="G2236" s="1" t="s">
        <v>880</v>
      </c>
      <c r="H2236" s="1" t="s">
        <v>22</v>
      </c>
      <c r="I2236" s="1" t="s">
        <v>65</v>
      </c>
      <c r="L2236" s="1">
        <v>10.76391041670972</v>
      </c>
    </row>
    <row r="2237" spans="4:12">
      <c r="D2237" s="1" t="s">
        <v>1014</v>
      </c>
      <c r="E2237" s="1" t="s">
        <v>1322</v>
      </c>
      <c r="F2237" s="1" t="s">
        <v>56</v>
      </c>
      <c r="G2237" s="1" t="s">
        <v>57</v>
      </c>
      <c r="H2237" s="1" t="s">
        <v>22</v>
      </c>
      <c r="I2237" s="1" t="s">
        <v>65</v>
      </c>
      <c r="L2237" s="1">
        <v>1.4503773773020921E-4</v>
      </c>
    </row>
    <row r="2238" spans="4:12">
      <c r="D2238" s="1" t="s">
        <v>1014</v>
      </c>
      <c r="E2238" s="1" t="s">
        <v>1323</v>
      </c>
      <c r="F2238" s="1" t="s">
        <v>56</v>
      </c>
      <c r="G2238" s="1" t="s">
        <v>57</v>
      </c>
      <c r="H2238" s="1" t="s">
        <v>22</v>
      </c>
      <c r="I2238" s="1" t="s">
        <v>65</v>
      </c>
      <c r="L2238" s="1">
        <v>1.4503773773020921E-4</v>
      </c>
    </row>
    <row r="2239" spans="4:12">
      <c r="D2239" s="1" t="s">
        <v>1014</v>
      </c>
      <c r="E2239" s="1" t="s">
        <v>1324</v>
      </c>
      <c r="F2239" s="1" t="s">
        <v>56</v>
      </c>
      <c r="G2239" s="1" t="s">
        <v>57</v>
      </c>
      <c r="H2239" s="1" t="s">
        <v>22</v>
      </c>
      <c r="I2239" s="1" t="s">
        <v>65</v>
      </c>
      <c r="L2239" s="1">
        <v>1.4503773773020921E-4</v>
      </c>
    </row>
    <row r="2240" spans="4:12">
      <c r="D2240" s="1" t="s">
        <v>1014</v>
      </c>
      <c r="E2240" s="1" t="s">
        <v>1325</v>
      </c>
      <c r="F2240" s="1" t="s">
        <v>56</v>
      </c>
      <c r="G2240" s="1" t="s">
        <v>57</v>
      </c>
      <c r="H2240" s="1" t="s">
        <v>22</v>
      </c>
      <c r="I2240" s="1" t="s">
        <v>65</v>
      </c>
      <c r="L2240" s="1">
        <v>1.4503773773020921E-4</v>
      </c>
    </row>
    <row r="2241" spans="4:12">
      <c r="D2241" s="1" t="s">
        <v>1014</v>
      </c>
      <c r="E2241" s="1" t="s">
        <v>1326</v>
      </c>
      <c r="F2241" s="1" t="s">
        <v>56</v>
      </c>
      <c r="G2241" s="1" t="s">
        <v>57</v>
      </c>
      <c r="H2241" s="1" t="s">
        <v>22</v>
      </c>
      <c r="I2241" s="1" t="s">
        <v>65</v>
      </c>
      <c r="L2241" s="1">
        <v>1.4503773773020921E-4</v>
      </c>
    </row>
    <row r="2242" spans="4:12">
      <c r="D2242" s="1" t="s">
        <v>1014</v>
      </c>
      <c r="E2242" s="1" t="s">
        <v>1327</v>
      </c>
      <c r="F2242" s="1" t="s">
        <v>1328</v>
      </c>
      <c r="G2242" s="1" t="s">
        <v>1329</v>
      </c>
      <c r="H2242" s="1" t="s">
        <v>22</v>
      </c>
      <c r="I2242" s="1" t="s">
        <v>65</v>
      </c>
      <c r="L2242" s="1">
        <v>0.31699833100000002</v>
      </c>
    </row>
    <row r="2243" spans="4:12">
      <c r="D2243" s="1" t="s">
        <v>1014</v>
      </c>
      <c r="E2243" s="1" t="s">
        <v>1330</v>
      </c>
      <c r="F2243" s="1" t="s">
        <v>1328</v>
      </c>
      <c r="G2243" s="1" t="s">
        <v>1329</v>
      </c>
      <c r="H2243" s="1" t="s">
        <v>22</v>
      </c>
      <c r="I2243" s="1" t="s">
        <v>65</v>
      </c>
      <c r="L2243" s="1">
        <v>0.31699833100000002</v>
      </c>
    </row>
    <row r="2244" spans="4:12">
      <c r="D2244" s="1" t="s">
        <v>1014</v>
      </c>
      <c r="E2244" s="1" t="s">
        <v>1331</v>
      </c>
      <c r="F2244" s="1" t="s">
        <v>176</v>
      </c>
      <c r="G2244" s="1" t="s">
        <v>177</v>
      </c>
      <c r="H2244" s="1" t="s">
        <v>22</v>
      </c>
      <c r="I2244" s="1" t="s">
        <v>70</v>
      </c>
      <c r="J2244" s="1">
        <v>0</v>
      </c>
      <c r="L2244" s="1">
        <v>39.370078740157467</v>
      </c>
    </row>
    <row r="2245" spans="4:12">
      <c r="D2245" s="1" t="s">
        <v>1014</v>
      </c>
      <c r="E2245" s="1" t="s">
        <v>69</v>
      </c>
      <c r="H2245" s="1" t="s">
        <v>25</v>
      </c>
      <c r="I2245" s="1" t="s">
        <v>70</v>
      </c>
    </row>
    <row r="2246" spans="4:12">
      <c r="D2246" s="1" t="s">
        <v>1014</v>
      </c>
      <c r="E2246" s="1" t="s">
        <v>1332</v>
      </c>
      <c r="F2246" s="1" t="s">
        <v>176</v>
      </c>
      <c r="G2246" s="1" t="s">
        <v>177</v>
      </c>
      <c r="H2246" s="1" t="s">
        <v>22</v>
      </c>
      <c r="I2246" s="1" t="s">
        <v>65</v>
      </c>
      <c r="L2246" s="1">
        <v>39.370078740157467</v>
      </c>
    </row>
    <row r="2247" spans="4:12">
      <c r="D2247" s="1" t="s">
        <v>1014</v>
      </c>
      <c r="E2247" s="1" t="s">
        <v>1333</v>
      </c>
      <c r="F2247" s="1" t="s">
        <v>176</v>
      </c>
      <c r="G2247" s="1" t="s">
        <v>177</v>
      </c>
      <c r="H2247" s="1" t="s">
        <v>22</v>
      </c>
      <c r="I2247" s="1" t="s">
        <v>65</v>
      </c>
      <c r="J2247" s="1">
        <v>0</v>
      </c>
      <c r="L2247" s="1">
        <v>39.370078740157467</v>
      </c>
    </row>
    <row r="2248" spans="4:12">
      <c r="D2248" s="1" t="s">
        <v>1014</v>
      </c>
      <c r="E2248" s="1" t="s">
        <v>991</v>
      </c>
      <c r="F2248" s="1" t="s">
        <v>118</v>
      </c>
      <c r="G2248" s="1" t="s">
        <v>119</v>
      </c>
      <c r="H2248" s="1" t="s">
        <v>22</v>
      </c>
      <c r="I2248" s="1" t="s">
        <v>65</v>
      </c>
      <c r="J2248" s="1">
        <v>0</v>
      </c>
      <c r="L2248" s="1">
        <v>2.20462262185</v>
      </c>
    </row>
    <row r="2249" spans="4:12">
      <c r="D2249" s="1" t="s">
        <v>1014</v>
      </c>
      <c r="E2249" s="1" t="s">
        <v>1334</v>
      </c>
      <c r="H2249" s="1" t="s">
        <v>22</v>
      </c>
      <c r="I2249" s="1" t="s">
        <v>65</v>
      </c>
      <c r="L2249" s="1">
        <v>1</v>
      </c>
    </row>
    <row r="2250" spans="4:12">
      <c r="D2250" s="1" t="s">
        <v>1014</v>
      </c>
      <c r="E2250" s="1" t="s">
        <v>1335</v>
      </c>
      <c r="H2250" s="1" t="s">
        <v>22</v>
      </c>
      <c r="I2250" s="1" t="s">
        <v>65</v>
      </c>
      <c r="L2250" s="1">
        <v>1</v>
      </c>
    </row>
    <row r="2251" spans="4:12">
      <c r="D2251" s="1" t="s">
        <v>1014</v>
      </c>
      <c r="E2251" s="1" t="s">
        <v>1336</v>
      </c>
      <c r="F2251" s="1" t="s">
        <v>56</v>
      </c>
      <c r="G2251" s="1" t="s">
        <v>57</v>
      </c>
      <c r="H2251" s="1" t="s">
        <v>22</v>
      </c>
      <c r="I2251" s="1" t="s">
        <v>65</v>
      </c>
      <c r="L2251" s="1">
        <v>1.4503773773020921E-4</v>
      </c>
    </row>
    <row r="2252" spans="4:12">
      <c r="D2252" s="1" t="s">
        <v>1014</v>
      </c>
      <c r="E2252" s="1" t="s">
        <v>1337</v>
      </c>
      <c r="H2252" s="1" t="s">
        <v>22</v>
      </c>
      <c r="I2252" s="1" t="s">
        <v>65</v>
      </c>
      <c r="L2252" s="1">
        <v>1</v>
      </c>
    </row>
    <row r="2253" spans="4:12">
      <c r="D2253" s="1" t="s">
        <v>1014</v>
      </c>
      <c r="E2253" s="1" t="s">
        <v>1338</v>
      </c>
      <c r="H2253" s="1" t="s">
        <v>22</v>
      </c>
      <c r="I2253" s="1" t="s">
        <v>65</v>
      </c>
      <c r="L2253" s="1">
        <v>1</v>
      </c>
    </row>
    <row r="2254" spans="4:12">
      <c r="D2254" s="1" t="s">
        <v>1014</v>
      </c>
      <c r="E2254" s="1" t="s">
        <v>1339</v>
      </c>
      <c r="H2254" s="1" t="s">
        <v>22</v>
      </c>
      <c r="I2254" s="1" t="s">
        <v>65</v>
      </c>
      <c r="L2254" s="1">
        <v>1</v>
      </c>
    </row>
    <row r="2255" spans="4:12">
      <c r="D2255" s="1" t="s">
        <v>1014</v>
      </c>
      <c r="E2255" s="1" t="s">
        <v>1340</v>
      </c>
      <c r="H2255" s="1" t="s">
        <v>22</v>
      </c>
      <c r="I2255" s="1" t="s">
        <v>65</v>
      </c>
      <c r="L2255" s="1">
        <v>1</v>
      </c>
    </row>
    <row r="2256" spans="4:12">
      <c r="D2256" s="1" t="s">
        <v>1014</v>
      </c>
      <c r="E2256" s="1" t="s">
        <v>1341</v>
      </c>
      <c r="H2256" s="1" t="s">
        <v>25</v>
      </c>
      <c r="I2256" s="1" t="s">
        <v>65</v>
      </c>
    </row>
    <row r="2257" spans="4:13">
      <c r="D2257" s="1" t="s">
        <v>1014</v>
      </c>
      <c r="E2257" s="1" t="s">
        <v>1342</v>
      </c>
      <c r="F2257" s="1" t="s">
        <v>41</v>
      </c>
      <c r="G2257" s="1" t="s">
        <v>42</v>
      </c>
      <c r="H2257" s="1" t="s">
        <v>22</v>
      </c>
      <c r="I2257" s="1" t="s">
        <v>65</v>
      </c>
      <c r="L2257" s="1">
        <v>1.8</v>
      </c>
    </row>
    <row r="2258" spans="4:13">
      <c r="D2258" s="1" t="s">
        <v>1014</v>
      </c>
      <c r="E2258" s="1" t="s">
        <v>1343</v>
      </c>
      <c r="F2258" s="1" t="s">
        <v>1344</v>
      </c>
      <c r="G2258" s="1" t="s">
        <v>1345</v>
      </c>
      <c r="H2258" s="1" t="s">
        <v>22</v>
      </c>
      <c r="I2258" s="1" t="s">
        <v>65</v>
      </c>
      <c r="L2258" s="1">
        <v>2.2369362919199998</v>
      </c>
    </row>
    <row r="2259" spans="4:13">
      <c r="D2259" s="1" t="s">
        <v>1014</v>
      </c>
      <c r="E2259" s="1" t="s">
        <v>1346</v>
      </c>
      <c r="F2259" s="1" t="s">
        <v>124</v>
      </c>
      <c r="G2259" s="1" t="s">
        <v>125</v>
      </c>
      <c r="H2259" s="1" t="s">
        <v>22</v>
      </c>
      <c r="I2259" s="1" t="s">
        <v>65</v>
      </c>
      <c r="L2259" s="1">
        <v>35.314666699999997</v>
      </c>
    </row>
    <row r="2260" spans="4:13">
      <c r="D2260" s="1" t="s">
        <v>1014</v>
      </c>
      <c r="E2260" s="1" t="s">
        <v>1347</v>
      </c>
      <c r="F2260" s="1" t="s">
        <v>124</v>
      </c>
      <c r="G2260" s="1" t="s">
        <v>125</v>
      </c>
      <c r="H2260" s="1" t="s">
        <v>22</v>
      </c>
      <c r="I2260" s="1" t="s">
        <v>65</v>
      </c>
      <c r="L2260" s="1">
        <v>35.314666699999997</v>
      </c>
    </row>
    <row r="2261" spans="4:13">
      <c r="D2261" s="1" t="s">
        <v>1014</v>
      </c>
      <c r="E2261" s="1" t="s">
        <v>1348</v>
      </c>
      <c r="F2261" s="1" t="s">
        <v>176</v>
      </c>
      <c r="G2261" s="1" t="s">
        <v>177</v>
      </c>
      <c r="H2261" s="1" t="s">
        <v>22</v>
      </c>
      <c r="I2261" s="1" t="s">
        <v>23</v>
      </c>
      <c r="J2261" s="1">
        <v>3.9370078740157466E-2</v>
      </c>
      <c r="K2261" s="1">
        <v>3.9370078740157468</v>
      </c>
      <c r="L2261" s="1">
        <v>39.370078740157467</v>
      </c>
      <c r="M2261" s="1">
        <v>0.49999999999999983</v>
      </c>
    </row>
    <row r="2262" spans="4:13">
      <c r="D2262" s="1" t="s">
        <v>1014</v>
      </c>
      <c r="E2262" s="1" t="s">
        <v>1349</v>
      </c>
      <c r="H2262" s="1" t="s">
        <v>25</v>
      </c>
      <c r="I2262" s="1" t="s">
        <v>23</v>
      </c>
      <c r="M2262" s="1" t="b">
        <v>1</v>
      </c>
    </row>
    <row r="2263" spans="4:13">
      <c r="D2263" s="1" t="s">
        <v>1014</v>
      </c>
      <c r="E2263" s="1" t="s">
        <v>1350</v>
      </c>
      <c r="H2263" s="1" t="s">
        <v>25</v>
      </c>
      <c r="I2263" s="1" t="s">
        <v>23</v>
      </c>
      <c r="M2263" s="1" t="b">
        <v>0</v>
      </c>
    </row>
    <row r="2264" spans="4:13">
      <c r="D2264" s="1" t="s">
        <v>1014</v>
      </c>
      <c r="E2264" s="1" t="s">
        <v>1351</v>
      </c>
      <c r="H2264" s="1" t="s">
        <v>25</v>
      </c>
      <c r="I2264" s="1" t="s">
        <v>23</v>
      </c>
      <c r="M2264" s="1" t="b">
        <v>0</v>
      </c>
    </row>
    <row r="2265" spans="4:13">
      <c r="D2265" s="1" t="s">
        <v>1014</v>
      </c>
      <c r="E2265" s="1" t="s">
        <v>1352</v>
      </c>
      <c r="H2265" s="1" t="s">
        <v>25</v>
      </c>
      <c r="I2265" s="1" t="s">
        <v>23</v>
      </c>
      <c r="M2265" s="1" t="b">
        <v>0</v>
      </c>
    </row>
    <row r="2266" spans="4:13">
      <c r="D2266" s="1" t="s">
        <v>1014</v>
      </c>
      <c r="E2266" s="1" t="s">
        <v>1353</v>
      </c>
      <c r="H2266" s="1" t="s">
        <v>25</v>
      </c>
      <c r="I2266" s="1" t="s">
        <v>23</v>
      </c>
      <c r="M2266" s="1" t="b">
        <v>0</v>
      </c>
    </row>
    <row r="2267" spans="4:13">
      <c r="D2267" s="1" t="s">
        <v>1014</v>
      </c>
      <c r="E2267" s="1" t="s">
        <v>1354</v>
      </c>
      <c r="H2267" s="1" t="s">
        <v>22</v>
      </c>
      <c r="I2267" s="1" t="s">
        <v>23</v>
      </c>
      <c r="J2267" s="1">
        <v>0.5</v>
      </c>
      <c r="K2267" s="1">
        <v>2</v>
      </c>
      <c r="L2267" s="1">
        <v>1</v>
      </c>
      <c r="M2267" s="1">
        <v>1</v>
      </c>
    </row>
    <row r="2268" spans="4:13">
      <c r="D2268" s="1" t="s">
        <v>1014</v>
      </c>
      <c r="E2268" s="1" t="s">
        <v>1355</v>
      </c>
      <c r="H2268" s="1" t="s">
        <v>22</v>
      </c>
      <c r="I2268" s="1" t="s">
        <v>23</v>
      </c>
      <c r="J2268" s="1">
        <v>0</v>
      </c>
      <c r="K2268" s="1">
        <v>10</v>
      </c>
      <c r="L2268" s="1">
        <v>1</v>
      </c>
      <c r="M2268" s="1">
        <v>1</v>
      </c>
    </row>
    <row r="2269" spans="4:13">
      <c r="D2269" s="1" t="s">
        <v>1014</v>
      </c>
      <c r="E2269" s="1" t="s">
        <v>1356</v>
      </c>
      <c r="H2269" s="1" t="s">
        <v>150</v>
      </c>
      <c r="I2269" s="1" t="s">
        <v>23</v>
      </c>
      <c r="M2269" s="1" t="s">
        <v>1357</v>
      </c>
    </row>
    <row r="2270" spans="4:13">
      <c r="D2270" s="1" t="s">
        <v>1014</v>
      </c>
      <c r="E2270" s="1" t="s">
        <v>1358</v>
      </c>
      <c r="F2270" s="1" t="s">
        <v>176</v>
      </c>
      <c r="G2270" s="1" t="s">
        <v>177</v>
      </c>
      <c r="H2270" s="1" t="s">
        <v>22</v>
      </c>
      <c r="I2270" s="1" t="s">
        <v>23</v>
      </c>
      <c r="J2270" s="1">
        <v>0.39370078740157466</v>
      </c>
      <c r="K2270" s="1">
        <v>393.70078740157464</v>
      </c>
      <c r="L2270" s="1">
        <v>39.370078740157467</v>
      </c>
      <c r="M2270" s="1">
        <v>42.000000000000284</v>
      </c>
    </row>
    <row r="2271" spans="4:13">
      <c r="D2271" s="1" t="s">
        <v>1014</v>
      </c>
      <c r="E2271" s="1" t="s">
        <v>1359</v>
      </c>
      <c r="F2271" s="1" t="s">
        <v>176</v>
      </c>
      <c r="G2271" s="1" t="s">
        <v>177</v>
      </c>
      <c r="H2271" s="1" t="s">
        <v>22</v>
      </c>
      <c r="I2271" s="1" t="s">
        <v>23</v>
      </c>
      <c r="J2271" s="1">
        <v>0</v>
      </c>
      <c r="L2271" s="1">
        <v>39.370078740157467</v>
      </c>
      <c r="M2271" s="1">
        <v>10.119999999999994</v>
      </c>
    </row>
    <row r="2272" spans="4:13">
      <c r="D2272" s="1" t="s">
        <v>1014</v>
      </c>
      <c r="E2272" s="1" t="s">
        <v>1360</v>
      </c>
      <c r="H2272" s="1" t="s">
        <v>150</v>
      </c>
      <c r="I2272" s="1" t="s">
        <v>23</v>
      </c>
      <c r="M2272" s="1" t="s">
        <v>1357</v>
      </c>
    </row>
    <row r="2273" spans="4:13">
      <c r="D2273" s="1" t="s">
        <v>1014</v>
      </c>
      <c r="E2273" s="1" t="s">
        <v>1361</v>
      </c>
      <c r="F2273" s="1" t="s">
        <v>176</v>
      </c>
      <c r="G2273" s="1" t="s">
        <v>177</v>
      </c>
      <c r="H2273" s="1" t="s">
        <v>22</v>
      </c>
      <c r="I2273" s="1" t="s">
        <v>23</v>
      </c>
      <c r="J2273" s="1">
        <v>0</v>
      </c>
      <c r="L2273" s="1">
        <v>39.370078740157467</v>
      </c>
      <c r="M2273" s="1">
        <v>0</v>
      </c>
    </row>
    <row r="2274" spans="4:13">
      <c r="D2274" s="1" t="s">
        <v>1014</v>
      </c>
      <c r="E2274" s="1" t="s">
        <v>1362</v>
      </c>
      <c r="F2274" s="1" t="s">
        <v>176</v>
      </c>
      <c r="G2274" s="1" t="s">
        <v>177</v>
      </c>
      <c r="H2274" s="1" t="s">
        <v>22</v>
      </c>
      <c r="I2274" s="1" t="s">
        <v>23</v>
      </c>
      <c r="J2274" s="1">
        <v>3.9370078740157468</v>
      </c>
      <c r="K2274" s="1">
        <v>393.70078740157464</v>
      </c>
      <c r="L2274" s="1">
        <v>39.370078740157467</v>
      </c>
      <c r="M2274" s="1">
        <v>164.39999999999992</v>
      </c>
    </row>
    <row r="2275" spans="4:13">
      <c r="D2275" s="1" t="s">
        <v>1014</v>
      </c>
      <c r="E2275" s="1" t="s">
        <v>1363</v>
      </c>
      <c r="H2275" s="1" t="s">
        <v>63</v>
      </c>
      <c r="I2275" s="1" t="s">
        <v>23</v>
      </c>
      <c r="M2275" s="1">
        <v>4</v>
      </c>
    </row>
    <row r="2276" spans="4:13">
      <c r="D2276" s="1" t="s">
        <v>1014</v>
      </c>
      <c r="E2276" s="1" t="s">
        <v>1364</v>
      </c>
      <c r="H2276" s="1" t="s">
        <v>63</v>
      </c>
      <c r="I2276" s="1" t="s">
        <v>23</v>
      </c>
      <c r="M2276" s="1">
        <v>1</v>
      </c>
    </row>
    <row r="2277" spans="4:13">
      <c r="D2277" s="1" t="s">
        <v>1014</v>
      </c>
      <c r="E2277" s="1" t="s">
        <v>1365</v>
      </c>
      <c r="H2277" s="1" t="s">
        <v>63</v>
      </c>
      <c r="I2277" s="1" t="s">
        <v>70</v>
      </c>
    </row>
    <row r="2278" spans="4:13">
      <c r="D2278" s="1" t="s">
        <v>1014</v>
      </c>
      <c r="E2278" s="1" t="s">
        <v>1366</v>
      </c>
      <c r="H2278" s="1" t="s">
        <v>63</v>
      </c>
      <c r="I2278" s="1" t="s">
        <v>23</v>
      </c>
      <c r="M2278" s="1">
        <v>400</v>
      </c>
    </row>
    <row r="2279" spans="4:13">
      <c r="D2279" s="1" t="s">
        <v>1014</v>
      </c>
      <c r="E2279" s="1" t="s">
        <v>1367</v>
      </c>
      <c r="H2279" s="1" t="s">
        <v>63</v>
      </c>
      <c r="I2279" s="1" t="s">
        <v>23</v>
      </c>
      <c r="M2279" s="1">
        <v>400</v>
      </c>
    </row>
    <row r="2280" spans="4:13">
      <c r="D2280" s="1" t="s">
        <v>1014</v>
      </c>
      <c r="E2280" s="1" t="s">
        <v>1368</v>
      </c>
      <c r="H2280" s="1" t="s">
        <v>63</v>
      </c>
      <c r="I2280" s="1" t="s">
        <v>23</v>
      </c>
      <c r="M2280" s="1">
        <v>0</v>
      </c>
    </row>
    <row r="2281" spans="4:13">
      <c r="D2281" s="1" t="s">
        <v>1014</v>
      </c>
      <c r="E2281" s="1" t="s">
        <v>1369</v>
      </c>
      <c r="H2281" s="1" t="s">
        <v>63</v>
      </c>
      <c r="I2281" s="1" t="s">
        <v>23</v>
      </c>
      <c r="M2281" s="1">
        <v>0</v>
      </c>
    </row>
    <row r="2282" spans="4:13">
      <c r="D2282" s="1" t="s">
        <v>1014</v>
      </c>
      <c r="E2282" s="1" t="s">
        <v>1370</v>
      </c>
      <c r="H2282" s="1" t="s">
        <v>63</v>
      </c>
      <c r="I2282" s="1" t="s">
        <v>23</v>
      </c>
      <c r="J2282" s="1">
        <v>0</v>
      </c>
      <c r="K2282" s="1">
        <v>1000</v>
      </c>
      <c r="M2282" s="1">
        <v>0</v>
      </c>
    </row>
    <row r="2283" spans="4:13">
      <c r="D2283" s="1" t="s">
        <v>1014</v>
      </c>
      <c r="E2283" s="1" t="s">
        <v>1371</v>
      </c>
      <c r="H2283" s="1" t="s">
        <v>25</v>
      </c>
      <c r="I2283" s="1" t="s">
        <v>23</v>
      </c>
      <c r="M2283" s="1" t="b">
        <v>0</v>
      </c>
    </row>
    <row r="2284" spans="4:13">
      <c r="D2284" s="1" t="s">
        <v>1014</v>
      </c>
      <c r="E2284" s="1" t="s">
        <v>1372</v>
      </c>
      <c r="F2284" s="1" t="s">
        <v>176</v>
      </c>
      <c r="G2284" s="1" t="s">
        <v>177</v>
      </c>
      <c r="H2284" s="1" t="s">
        <v>22</v>
      </c>
      <c r="I2284" s="1" t="s">
        <v>23</v>
      </c>
      <c r="J2284" s="1">
        <v>3.9370078740157471E-3</v>
      </c>
      <c r="K2284" s="1">
        <v>3.1496062992125973</v>
      </c>
      <c r="L2284" s="1">
        <v>39.370078740157467</v>
      </c>
      <c r="M2284" s="1">
        <v>0.31496062992125973</v>
      </c>
    </row>
    <row r="2285" spans="4:13">
      <c r="D2285" s="1" t="s">
        <v>1014</v>
      </c>
      <c r="E2285" s="1" t="s">
        <v>1373</v>
      </c>
      <c r="F2285" s="1" t="s">
        <v>879</v>
      </c>
      <c r="G2285" s="1" t="s">
        <v>880</v>
      </c>
      <c r="H2285" s="1" t="s">
        <v>22</v>
      </c>
      <c r="I2285" s="1" t="s">
        <v>23</v>
      </c>
      <c r="L2285" s="1">
        <v>10.76391041670972</v>
      </c>
      <c r="M2285" s="1">
        <v>7.7823072312811284E-2</v>
      </c>
    </row>
    <row r="2286" spans="4:13">
      <c r="D2286" s="1" t="s">
        <v>1014</v>
      </c>
      <c r="E2286" s="1" t="s">
        <v>1374</v>
      </c>
      <c r="F2286" s="1" t="s">
        <v>879</v>
      </c>
      <c r="G2286" s="1" t="s">
        <v>880</v>
      </c>
      <c r="H2286" s="1" t="s">
        <v>22</v>
      </c>
      <c r="I2286" s="1" t="s">
        <v>23</v>
      </c>
      <c r="L2286" s="1">
        <v>10.76391041670972</v>
      </c>
      <c r="M2286" s="1">
        <v>1.4208361750056831E-3</v>
      </c>
    </row>
    <row r="2287" spans="4:13">
      <c r="D2287" s="1" t="s">
        <v>1014</v>
      </c>
      <c r="E2287" s="1" t="s">
        <v>1375</v>
      </c>
      <c r="H2287" s="1" t="s">
        <v>22</v>
      </c>
      <c r="I2287" s="1" t="s">
        <v>23</v>
      </c>
      <c r="J2287" s="1">
        <v>0</v>
      </c>
      <c r="L2287" s="1">
        <v>1</v>
      </c>
      <c r="M2287" s="1">
        <v>0.45</v>
      </c>
    </row>
    <row r="2288" spans="4:13">
      <c r="D2288" s="1" t="s">
        <v>1014</v>
      </c>
      <c r="E2288" s="1" t="s">
        <v>1376</v>
      </c>
      <c r="F2288" s="1" t="s">
        <v>176</v>
      </c>
      <c r="G2288" s="1" t="s">
        <v>177</v>
      </c>
      <c r="H2288" s="1" t="s">
        <v>22</v>
      </c>
      <c r="I2288" s="1" t="s">
        <v>23</v>
      </c>
      <c r="L2288" s="1">
        <v>39.370078740157467</v>
      </c>
      <c r="M2288" s="1">
        <v>3.251968503937007</v>
      </c>
    </row>
    <row r="2289" spans="4:13">
      <c r="D2289" s="1" t="s">
        <v>1014</v>
      </c>
      <c r="E2289" s="1" t="s">
        <v>1377</v>
      </c>
      <c r="F2289" s="1" t="s">
        <v>176</v>
      </c>
      <c r="G2289" s="1" t="s">
        <v>177</v>
      </c>
      <c r="H2289" s="1" t="s">
        <v>22</v>
      </c>
      <c r="I2289" s="1" t="s">
        <v>23</v>
      </c>
      <c r="L2289" s="1">
        <v>39.370078740157467</v>
      </c>
      <c r="M2289" s="1">
        <v>0.48425196850393687</v>
      </c>
    </row>
    <row r="2290" spans="4:13">
      <c r="D2290" s="1" t="s">
        <v>1014</v>
      </c>
      <c r="E2290" s="1" t="s">
        <v>1378</v>
      </c>
      <c r="F2290" s="1" t="s">
        <v>176</v>
      </c>
      <c r="G2290" s="1" t="s">
        <v>177</v>
      </c>
      <c r="H2290" s="1" t="s">
        <v>22</v>
      </c>
      <c r="I2290" s="1" t="s">
        <v>23</v>
      </c>
      <c r="L2290" s="1">
        <v>39.370078740157467</v>
      </c>
      <c r="M2290" s="1">
        <v>6.2519685039370057</v>
      </c>
    </row>
    <row r="2291" spans="4:13">
      <c r="D2291" s="1" t="s">
        <v>1014</v>
      </c>
      <c r="E2291" s="1" t="s">
        <v>1379</v>
      </c>
      <c r="F2291" s="1" t="s">
        <v>176</v>
      </c>
      <c r="G2291" s="1" t="s">
        <v>177</v>
      </c>
      <c r="H2291" s="1" t="s">
        <v>22</v>
      </c>
      <c r="I2291" s="1" t="s">
        <v>23</v>
      </c>
      <c r="L2291" s="1">
        <v>39.370078740157467</v>
      </c>
      <c r="M2291" s="1">
        <v>4.9999999999999982</v>
      </c>
    </row>
    <row r="2292" spans="4:13">
      <c r="D2292" s="1" t="s">
        <v>1014</v>
      </c>
      <c r="E2292" s="1" t="s">
        <v>1380</v>
      </c>
      <c r="F2292" s="1" t="s">
        <v>1044</v>
      </c>
      <c r="G2292" s="1" t="s">
        <v>1045</v>
      </c>
      <c r="H2292" s="1" t="s">
        <v>22</v>
      </c>
      <c r="I2292" s="1" t="s">
        <v>23</v>
      </c>
      <c r="L2292" s="1">
        <v>57.29577951308238</v>
      </c>
      <c r="M2292" s="1">
        <v>30.000070153049933</v>
      </c>
    </row>
    <row r="2293" spans="4:13">
      <c r="D2293" s="1" t="s">
        <v>1014</v>
      </c>
      <c r="E2293" s="1" t="s">
        <v>1381</v>
      </c>
      <c r="F2293" s="1" t="s">
        <v>176</v>
      </c>
      <c r="G2293" s="1" t="s">
        <v>177</v>
      </c>
      <c r="H2293" s="1" t="s">
        <v>22</v>
      </c>
      <c r="I2293" s="1" t="s">
        <v>23</v>
      </c>
      <c r="L2293" s="1">
        <v>39.370078740157467</v>
      </c>
      <c r="M2293" s="1">
        <v>2.8110236220472435</v>
      </c>
    </row>
    <row r="2294" spans="4:13">
      <c r="D2294" s="1" t="s">
        <v>1014</v>
      </c>
      <c r="E2294" s="1" t="s">
        <v>1382</v>
      </c>
      <c r="H2294" s="1" t="s">
        <v>22</v>
      </c>
      <c r="I2294" s="1" t="s">
        <v>23</v>
      </c>
      <c r="L2294" s="1">
        <v>1</v>
      </c>
      <c r="M2294" s="1">
        <v>16.425000000000001</v>
      </c>
    </row>
    <row r="2295" spans="4:13">
      <c r="D2295" s="1" t="s">
        <v>1014</v>
      </c>
      <c r="E2295" s="1" t="s">
        <v>1383</v>
      </c>
      <c r="H2295" s="1" t="s">
        <v>22</v>
      </c>
      <c r="I2295" s="1" t="s">
        <v>23</v>
      </c>
      <c r="L2295" s="1">
        <v>1</v>
      </c>
      <c r="M2295" s="1">
        <v>-0.51</v>
      </c>
    </row>
    <row r="2296" spans="4:13">
      <c r="D2296" s="1" t="s">
        <v>1014</v>
      </c>
      <c r="E2296" s="1" t="s">
        <v>1384</v>
      </c>
      <c r="F2296" s="1" t="s">
        <v>176</v>
      </c>
      <c r="G2296" s="1" t="s">
        <v>177</v>
      </c>
      <c r="H2296" s="1" t="s">
        <v>22</v>
      </c>
      <c r="I2296" s="1" t="s">
        <v>23</v>
      </c>
      <c r="L2296" s="1">
        <v>39.370078740157467</v>
      </c>
      <c r="M2296" s="1">
        <v>17.204724409448811</v>
      </c>
    </row>
    <row r="2297" spans="4:13">
      <c r="D2297" s="1" t="s">
        <v>1014</v>
      </c>
      <c r="E2297" s="1" t="s">
        <v>1385</v>
      </c>
      <c r="F2297" s="1" t="s">
        <v>176</v>
      </c>
      <c r="G2297" s="1" t="s">
        <v>177</v>
      </c>
      <c r="H2297" s="1" t="s">
        <v>22</v>
      </c>
      <c r="I2297" s="1" t="s">
        <v>23</v>
      </c>
      <c r="L2297" s="1">
        <v>39.370078740157467</v>
      </c>
      <c r="M2297" s="1">
        <v>13.228346456692909</v>
      </c>
    </row>
    <row r="2298" spans="4:13">
      <c r="D2298" s="1" t="s">
        <v>1014</v>
      </c>
      <c r="E2298" s="1" t="s">
        <v>1386</v>
      </c>
      <c r="F2298" s="1" t="s">
        <v>176</v>
      </c>
      <c r="G2298" s="1" t="s">
        <v>177</v>
      </c>
      <c r="H2298" s="1" t="s">
        <v>22</v>
      </c>
      <c r="I2298" s="1" t="s">
        <v>23</v>
      </c>
      <c r="J2298" s="1">
        <v>3.9370078740157466E-2</v>
      </c>
      <c r="L2298" s="1">
        <v>39.370078740157467</v>
      </c>
      <c r="M2298" s="1">
        <v>25.078740157480308</v>
      </c>
    </row>
    <row r="2299" spans="4:13">
      <c r="D2299" s="1" t="s">
        <v>1014</v>
      </c>
      <c r="E2299" s="1" t="s">
        <v>1387</v>
      </c>
      <c r="F2299" s="1" t="s">
        <v>176</v>
      </c>
      <c r="G2299" s="1" t="s">
        <v>177</v>
      </c>
      <c r="H2299" s="1" t="s">
        <v>22</v>
      </c>
      <c r="I2299" s="1" t="s">
        <v>23</v>
      </c>
      <c r="J2299" s="1">
        <v>0</v>
      </c>
      <c r="L2299" s="1">
        <v>39.370078740157467</v>
      </c>
      <c r="M2299" s="1">
        <v>5.3937007874015732</v>
      </c>
    </row>
    <row r="2300" spans="4:13">
      <c r="D2300" s="1" t="s">
        <v>1014</v>
      </c>
      <c r="E2300" s="1" t="s">
        <v>1388</v>
      </c>
      <c r="H2300" s="1" t="s">
        <v>25</v>
      </c>
      <c r="I2300" s="1" t="s">
        <v>23</v>
      </c>
      <c r="M2300" s="1" t="b">
        <v>1</v>
      </c>
    </row>
    <row r="2301" spans="4:13">
      <c r="D2301" s="1" t="s">
        <v>1014</v>
      </c>
      <c r="E2301" s="1" t="s">
        <v>1389</v>
      </c>
      <c r="H2301" s="1" t="s">
        <v>25</v>
      </c>
      <c r="I2301" s="1" t="s">
        <v>23</v>
      </c>
      <c r="M2301" s="1" t="b">
        <v>1</v>
      </c>
    </row>
    <row r="2302" spans="4:13">
      <c r="D2302" s="1" t="s">
        <v>1014</v>
      </c>
      <c r="E2302" s="1" t="s">
        <v>1390</v>
      </c>
      <c r="F2302" s="1" t="s">
        <v>176</v>
      </c>
      <c r="G2302" s="1" t="s">
        <v>177</v>
      </c>
      <c r="H2302" s="1" t="s">
        <v>22</v>
      </c>
      <c r="I2302" s="1" t="s">
        <v>23</v>
      </c>
      <c r="L2302" s="1">
        <v>39.370078740157467</v>
      </c>
      <c r="M2302" s="1">
        <v>8.4645669291338557</v>
      </c>
    </row>
    <row r="2303" spans="4:13">
      <c r="D2303" s="1" t="s">
        <v>1014</v>
      </c>
      <c r="E2303" s="1" t="s">
        <v>1391</v>
      </c>
      <c r="F2303" s="1" t="s">
        <v>176</v>
      </c>
      <c r="G2303" s="1" t="s">
        <v>177</v>
      </c>
      <c r="H2303" s="1" t="s">
        <v>22</v>
      </c>
      <c r="I2303" s="1" t="s">
        <v>23</v>
      </c>
      <c r="L2303" s="1">
        <v>39.370078740157467</v>
      </c>
      <c r="M2303" s="1">
        <v>4.094488188976376</v>
      </c>
    </row>
    <row r="2304" spans="4:13">
      <c r="D2304" s="1" t="s">
        <v>1014</v>
      </c>
      <c r="E2304" s="1" t="s">
        <v>1392</v>
      </c>
      <c r="F2304" s="1" t="s">
        <v>176</v>
      </c>
      <c r="G2304" s="1" t="s">
        <v>177</v>
      </c>
      <c r="H2304" s="1" t="s">
        <v>22</v>
      </c>
      <c r="I2304" s="1" t="s">
        <v>23</v>
      </c>
      <c r="L2304" s="1">
        <v>39.370078740157467</v>
      </c>
      <c r="M2304" s="1">
        <v>2.2499999999999991</v>
      </c>
    </row>
    <row r="2305" spans="4:13">
      <c r="D2305" s="1" t="s">
        <v>1014</v>
      </c>
      <c r="E2305" s="1" t="s">
        <v>1393</v>
      </c>
      <c r="H2305" s="1" t="s">
        <v>63</v>
      </c>
      <c r="I2305" s="1" t="s">
        <v>23</v>
      </c>
      <c r="M2305" s="1">
        <v>1000</v>
      </c>
    </row>
    <row r="2306" spans="4:13">
      <c r="D2306" s="1" t="s">
        <v>1014</v>
      </c>
      <c r="E2306" s="1" t="s">
        <v>1394</v>
      </c>
      <c r="H2306" s="1" t="s">
        <v>181</v>
      </c>
      <c r="I2306" s="1" t="s">
        <v>23</v>
      </c>
      <c r="J2306" s="1">
        <v>1</v>
      </c>
      <c r="K2306" s="1">
        <v>2</v>
      </c>
      <c r="M2306" s="1" t="s">
        <v>1395</v>
      </c>
    </row>
    <row r="2307" spans="4:13">
      <c r="D2307" s="1" t="s">
        <v>1014</v>
      </c>
      <c r="E2307" s="1" t="s">
        <v>1396</v>
      </c>
      <c r="H2307" s="1" t="s">
        <v>22</v>
      </c>
      <c r="I2307" s="1" t="s">
        <v>23</v>
      </c>
      <c r="J2307" s="1">
        <v>0</v>
      </c>
      <c r="K2307" s="1">
        <v>2</v>
      </c>
      <c r="L2307" s="1">
        <v>1</v>
      </c>
      <c r="M2307" s="1">
        <v>0.7</v>
      </c>
    </row>
    <row r="2308" spans="4:13">
      <c r="D2308" s="1" t="s">
        <v>1014</v>
      </c>
      <c r="E2308" s="1" t="s">
        <v>1397</v>
      </c>
      <c r="H2308" s="1" t="s">
        <v>22</v>
      </c>
      <c r="I2308" s="1" t="s">
        <v>23</v>
      </c>
      <c r="J2308" s="1">
        <v>0.5</v>
      </c>
      <c r="K2308" s="1">
        <v>2</v>
      </c>
      <c r="L2308" s="1">
        <v>1</v>
      </c>
      <c r="M2308" s="1">
        <v>1</v>
      </c>
    </row>
    <row r="2309" spans="4:13">
      <c r="D2309" s="1" t="s">
        <v>1398</v>
      </c>
      <c r="H2309" s="1" t="s">
        <v>25</v>
      </c>
      <c r="I2309" s="1" t="s">
        <v>23</v>
      </c>
      <c r="M2309" s="1" t="b">
        <v>0</v>
      </c>
    </row>
    <row r="2310" spans="4:13">
      <c r="D2310" s="1" t="s">
        <v>1399</v>
      </c>
      <c r="H2310" s="1" t="s">
        <v>22</v>
      </c>
      <c r="I2310" s="1" t="s">
        <v>23</v>
      </c>
      <c r="L2310" s="1">
        <v>1</v>
      </c>
      <c r="M2310" s="1">
        <v>1</v>
      </c>
    </row>
    <row r="2311" spans="4:13">
      <c r="D2311" s="1" t="s">
        <v>1400</v>
      </c>
      <c r="E2311" s="1" t="s">
        <v>1401</v>
      </c>
      <c r="H2311" s="1" t="s">
        <v>181</v>
      </c>
      <c r="I2311" s="1" t="s">
        <v>23</v>
      </c>
      <c r="J2311" s="1">
        <v>1</v>
      </c>
      <c r="K2311" s="1">
        <v>2</v>
      </c>
      <c r="M2311" s="1" t="s">
        <v>1402</v>
      </c>
    </row>
    <row r="2312" spans="4:13">
      <c r="D2312" s="1" t="s">
        <v>1400</v>
      </c>
      <c r="E2312" s="1" t="s">
        <v>1017</v>
      </c>
      <c r="F2312" s="1" t="s">
        <v>41</v>
      </c>
      <c r="G2312" s="1" t="s">
        <v>42</v>
      </c>
      <c r="H2312" s="1" t="s">
        <v>22</v>
      </c>
      <c r="I2312" s="1" t="s">
        <v>23</v>
      </c>
      <c r="J2312" s="1">
        <v>1.8000000000000002E-2</v>
      </c>
      <c r="K2312" s="1">
        <v>27</v>
      </c>
      <c r="L2312" s="1">
        <v>1.8</v>
      </c>
      <c r="M2312" s="1">
        <v>0.9</v>
      </c>
    </row>
    <row r="2313" spans="4:13">
      <c r="D2313" s="1" t="s">
        <v>1400</v>
      </c>
      <c r="E2313" s="1" t="s">
        <v>1018</v>
      </c>
      <c r="H2313" s="1" t="s">
        <v>25</v>
      </c>
      <c r="I2313" s="1" t="s">
        <v>23</v>
      </c>
      <c r="M2313" s="1" t="b">
        <v>0</v>
      </c>
    </row>
    <row r="2314" spans="4:13">
      <c r="D2314" s="1" t="s">
        <v>1400</v>
      </c>
      <c r="E2314" s="1" t="s">
        <v>1019</v>
      </c>
      <c r="F2314" s="1" t="s">
        <v>41</v>
      </c>
      <c r="G2314" s="1" t="s">
        <v>42</v>
      </c>
      <c r="H2314" s="1" t="s">
        <v>22</v>
      </c>
      <c r="I2314" s="1" t="s">
        <v>23</v>
      </c>
      <c r="L2314" s="1">
        <v>1.8</v>
      </c>
      <c r="M2314" s="1">
        <v>0.9</v>
      </c>
    </row>
    <row r="2315" spans="4:13">
      <c r="D2315" s="1" t="s">
        <v>1400</v>
      </c>
      <c r="E2315" s="1" t="s">
        <v>1022</v>
      </c>
      <c r="F2315" s="1" t="s">
        <v>143</v>
      </c>
      <c r="G2315" s="1" t="s">
        <v>144</v>
      </c>
      <c r="H2315" s="1" t="s">
        <v>22</v>
      </c>
      <c r="I2315" s="1" t="s">
        <v>23</v>
      </c>
      <c r="J2315" s="1">
        <v>0</v>
      </c>
      <c r="K2315" s="1">
        <v>9.9937434836636016E-3</v>
      </c>
      <c r="L2315" s="1">
        <v>5.6782633429906824</v>
      </c>
      <c r="M2315" s="1">
        <v>9.993743483663602E-5</v>
      </c>
    </row>
    <row r="2316" spans="4:13">
      <c r="D2316" s="1" t="s">
        <v>1400</v>
      </c>
      <c r="E2316" s="1" t="s">
        <v>163</v>
      </c>
      <c r="H2316" s="1" t="s">
        <v>22</v>
      </c>
      <c r="I2316" s="1" t="s">
        <v>23</v>
      </c>
      <c r="J2316" s="1">
        <v>0</v>
      </c>
      <c r="K2316" s="1">
        <v>1</v>
      </c>
      <c r="L2316" s="1">
        <v>0.1</v>
      </c>
      <c r="M2316" s="1">
        <v>0.2</v>
      </c>
    </row>
    <row r="2317" spans="4:13">
      <c r="D2317" s="1" t="s">
        <v>1400</v>
      </c>
      <c r="E2317" s="1" t="s">
        <v>1403</v>
      </c>
      <c r="H2317" s="1" t="s">
        <v>22</v>
      </c>
      <c r="I2317" s="1" t="s">
        <v>23</v>
      </c>
      <c r="J2317" s="1">
        <v>0.5</v>
      </c>
      <c r="K2317" s="1">
        <v>2</v>
      </c>
      <c r="L2317" s="1">
        <v>1</v>
      </c>
      <c r="M2317" s="1">
        <v>1</v>
      </c>
    </row>
    <row r="2318" spans="4:13">
      <c r="D2318" s="1" t="s">
        <v>1400</v>
      </c>
      <c r="E2318" s="1" t="s">
        <v>1404</v>
      </c>
      <c r="H2318" s="1" t="s">
        <v>25</v>
      </c>
      <c r="I2318" s="1" t="s">
        <v>23</v>
      </c>
      <c r="M2318" s="1" t="b">
        <v>1</v>
      </c>
    </row>
    <row r="2319" spans="4:13">
      <c r="D2319" s="1" t="s">
        <v>1400</v>
      </c>
      <c r="E2319" s="1" t="s">
        <v>1405</v>
      </c>
      <c r="H2319" s="1" t="s">
        <v>22</v>
      </c>
      <c r="I2319" s="1" t="s">
        <v>23</v>
      </c>
      <c r="J2319" s="1">
        <v>0.5</v>
      </c>
      <c r="K2319" s="1">
        <v>2</v>
      </c>
      <c r="L2319" s="1">
        <v>1</v>
      </c>
      <c r="M2319" s="1">
        <v>1</v>
      </c>
    </row>
    <row r="2320" spans="4:13">
      <c r="D2320" s="1" t="s">
        <v>1400</v>
      </c>
      <c r="E2320" s="1" t="s">
        <v>1406</v>
      </c>
      <c r="H2320" s="1" t="s">
        <v>25</v>
      </c>
      <c r="I2320" s="1" t="s">
        <v>23</v>
      </c>
      <c r="M2320" s="1" t="b">
        <v>1</v>
      </c>
    </row>
    <row r="2321" spans="4:13">
      <c r="D2321" s="1" t="s">
        <v>1400</v>
      </c>
      <c r="E2321" s="1" t="s">
        <v>1030</v>
      </c>
      <c r="H2321" s="1" t="s">
        <v>22</v>
      </c>
      <c r="I2321" s="1" t="s">
        <v>23</v>
      </c>
      <c r="J2321" s="1">
        <v>0.5</v>
      </c>
      <c r="K2321" s="1">
        <v>2</v>
      </c>
      <c r="L2321" s="1">
        <v>1</v>
      </c>
      <c r="M2321" s="1">
        <v>1</v>
      </c>
    </row>
    <row r="2322" spans="4:13">
      <c r="D2322" s="1" t="s">
        <v>1400</v>
      </c>
      <c r="E2322" s="1" t="s">
        <v>1031</v>
      </c>
      <c r="H2322" s="1" t="s">
        <v>25</v>
      </c>
      <c r="I2322" s="1" t="s">
        <v>23</v>
      </c>
      <c r="M2322" s="1" t="b">
        <v>1</v>
      </c>
    </row>
    <row r="2323" spans="4:13">
      <c r="D2323" s="1" t="s">
        <v>1400</v>
      </c>
      <c r="E2323" s="1" t="s">
        <v>1407</v>
      </c>
      <c r="H2323" s="1" t="s">
        <v>22</v>
      </c>
      <c r="I2323" s="1" t="s">
        <v>23</v>
      </c>
      <c r="J2323" s="1">
        <v>0.5</v>
      </c>
      <c r="K2323" s="1">
        <v>2</v>
      </c>
      <c r="L2323" s="1">
        <v>1</v>
      </c>
      <c r="M2323" s="1">
        <v>1</v>
      </c>
    </row>
    <row r="2324" spans="4:13">
      <c r="D2324" s="1" t="s">
        <v>1400</v>
      </c>
      <c r="E2324" s="1" t="s">
        <v>1408</v>
      </c>
      <c r="H2324" s="1" t="s">
        <v>25</v>
      </c>
      <c r="I2324" s="1" t="s">
        <v>23</v>
      </c>
      <c r="M2324" s="1" t="b">
        <v>1</v>
      </c>
    </row>
    <row r="2325" spans="4:13">
      <c r="D2325" s="1" t="s">
        <v>1400</v>
      </c>
      <c r="E2325" s="1" t="s">
        <v>1036</v>
      </c>
      <c r="H2325" s="1" t="s">
        <v>22</v>
      </c>
      <c r="I2325" s="1" t="s">
        <v>23</v>
      </c>
      <c r="J2325" s="1">
        <v>0.5</v>
      </c>
      <c r="K2325" s="1">
        <v>2</v>
      </c>
      <c r="L2325" s="1">
        <v>1</v>
      </c>
      <c r="M2325" s="1">
        <v>1</v>
      </c>
    </row>
    <row r="2326" spans="4:13">
      <c r="D2326" s="1" t="s">
        <v>1400</v>
      </c>
      <c r="E2326" s="1" t="s">
        <v>1037</v>
      </c>
      <c r="H2326" s="1" t="s">
        <v>25</v>
      </c>
      <c r="I2326" s="1" t="s">
        <v>23</v>
      </c>
      <c r="M2326" s="1" t="b">
        <v>1</v>
      </c>
    </row>
    <row r="2327" spans="4:13">
      <c r="D2327" s="1" t="s">
        <v>1400</v>
      </c>
      <c r="E2327" s="1" t="s">
        <v>1409</v>
      </c>
      <c r="H2327" s="1" t="s">
        <v>22</v>
      </c>
      <c r="I2327" s="1" t="s">
        <v>23</v>
      </c>
      <c r="J2327" s="1">
        <v>0.5</v>
      </c>
      <c r="K2327" s="1">
        <v>2</v>
      </c>
      <c r="L2327" s="1">
        <v>1</v>
      </c>
      <c r="M2327" s="1">
        <v>1</v>
      </c>
    </row>
    <row r="2328" spans="4:13">
      <c r="D2328" s="1" t="s">
        <v>1400</v>
      </c>
      <c r="E2328" s="1" t="s">
        <v>1410</v>
      </c>
      <c r="H2328" s="1" t="s">
        <v>25</v>
      </c>
      <c r="I2328" s="1" t="s">
        <v>23</v>
      </c>
      <c r="M2328" s="1" t="b">
        <v>1</v>
      </c>
    </row>
    <row r="2329" spans="4:13">
      <c r="D2329" s="1" t="s">
        <v>1400</v>
      </c>
      <c r="E2329" s="1" t="s">
        <v>1038</v>
      </c>
      <c r="H2329" s="1" t="s">
        <v>22</v>
      </c>
      <c r="I2329" s="1" t="s">
        <v>23</v>
      </c>
      <c r="J2329" s="1">
        <v>0.5</v>
      </c>
      <c r="K2329" s="1">
        <v>2</v>
      </c>
      <c r="L2329" s="1">
        <v>1</v>
      </c>
      <c r="M2329" s="1">
        <v>1</v>
      </c>
    </row>
    <row r="2330" spans="4:13">
      <c r="D2330" s="1" t="s">
        <v>1400</v>
      </c>
      <c r="E2330" s="1" t="s">
        <v>1411</v>
      </c>
      <c r="H2330" s="1" t="s">
        <v>22</v>
      </c>
      <c r="I2330" s="1" t="s">
        <v>23</v>
      </c>
      <c r="J2330" s="1">
        <v>0.5</v>
      </c>
      <c r="K2330" s="1">
        <v>2</v>
      </c>
      <c r="L2330" s="1">
        <v>1</v>
      </c>
      <c r="M2330" s="1">
        <v>1</v>
      </c>
    </row>
    <row r="2331" spans="4:13">
      <c r="D2331" s="1" t="s">
        <v>1400</v>
      </c>
      <c r="E2331" s="1" t="s">
        <v>1412</v>
      </c>
      <c r="H2331" s="1" t="s">
        <v>25</v>
      </c>
      <c r="I2331" s="1" t="s">
        <v>23</v>
      </c>
      <c r="M2331" s="1" t="b">
        <v>1</v>
      </c>
    </row>
    <row r="2332" spans="4:13">
      <c r="D2332" s="1" t="s">
        <v>1400</v>
      </c>
      <c r="E2332" s="1" t="s">
        <v>1413</v>
      </c>
      <c r="H2332" s="1" t="s">
        <v>22</v>
      </c>
      <c r="I2332" s="1" t="s">
        <v>29</v>
      </c>
      <c r="J2332" s="1">
        <v>0.1</v>
      </c>
      <c r="K2332" s="1">
        <v>10</v>
      </c>
      <c r="L2332" s="1">
        <v>5.05</v>
      </c>
    </row>
    <row r="2333" spans="4:13">
      <c r="D2333" s="1" t="s">
        <v>1400</v>
      </c>
      <c r="E2333" s="1" t="s">
        <v>1414</v>
      </c>
      <c r="H2333" s="1" t="s">
        <v>22</v>
      </c>
      <c r="I2333" s="1" t="s">
        <v>29</v>
      </c>
      <c r="J2333" s="1">
        <v>0.1</v>
      </c>
      <c r="K2333" s="1">
        <v>10</v>
      </c>
      <c r="L2333" s="1">
        <v>5.05</v>
      </c>
    </row>
    <row r="2334" spans="4:13">
      <c r="D2334" s="1" t="s">
        <v>1400</v>
      </c>
      <c r="E2334" s="1" t="s">
        <v>1049</v>
      </c>
      <c r="H2334" s="1" t="s">
        <v>22</v>
      </c>
      <c r="I2334" s="1" t="s">
        <v>29</v>
      </c>
      <c r="J2334" s="1">
        <v>0.1</v>
      </c>
      <c r="K2334" s="1">
        <v>10</v>
      </c>
      <c r="L2334" s="1">
        <v>5.05</v>
      </c>
    </row>
    <row r="2335" spans="4:13">
      <c r="D2335" s="1" t="s">
        <v>1400</v>
      </c>
      <c r="E2335" s="1" t="s">
        <v>1050</v>
      </c>
      <c r="H2335" s="1" t="s">
        <v>22</v>
      </c>
      <c r="I2335" s="1" t="s">
        <v>29</v>
      </c>
      <c r="J2335" s="1">
        <v>0.1</v>
      </c>
      <c r="K2335" s="1">
        <v>10</v>
      </c>
      <c r="L2335" s="1">
        <v>5.05</v>
      </c>
    </row>
    <row r="2336" spans="4:13">
      <c r="D2336" s="1" t="s">
        <v>1400</v>
      </c>
      <c r="E2336" s="1" t="s">
        <v>1052</v>
      </c>
      <c r="H2336" s="1" t="s">
        <v>22</v>
      </c>
      <c r="I2336" s="1" t="s">
        <v>29</v>
      </c>
      <c r="J2336" s="1">
        <v>0.1</v>
      </c>
      <c r="K2336" s="1">
        <v>10</v>
      </c>
      <c r="L2336" s="1">
        <v>5.05</v>
      </c>
    </row>
    <row r="2337" spans="4:13">
      <c r="D2337" s="1" t="s">
        <v>1400</v>
      </c>
      <c r="E2337" s="1" t="s">
        <v>1415</v>
      </c>
      <c r="H2337" s="1" t="s">
        <v>22</v>
      </c>
      <c r="I2337" s="1" t="s">
        <v>29</v>
      </c>
      <c r="J2337" s="1">
        <v>0.1</v>
      </c>
      <c r="K2337" s="1">
        <v>10</v>
      </c>
      <c r="L2337" s="1">
        <v>5.05</v>
      </c>
    </row>
    <row r="2338" spans="4:13">
      <c r="D2338" s="1" t="s">
        <v>1400</v>
      </c>
      <c r="E2338" s="1" t="s">
        <v>1416</v>
      </c>
      <c r="H2338" s="1" t="s">
        <v>22</v>
      </c>
      <c r="I2338" s="1" t="s">
        <v>29</v>
      </c>
      <c r="J2338" s="1">
        <v>0.1</v>
      </c>
      <c r="K2338" s="1">
        <v>10</v>
      </c>
      <c r="L2338" s="1">
        <v>5.05</v>
      </c>
    </row>
    <row r="2339" spans="4:13">
      <c r="D2339" s="1" t="s">
        <v>1400</v>
      </c>
      <c r="E2339" s="1" t="s">
        <v>1054</v>
      </c>
      <c r="F2339" s="1" t="s">
        <v>147</v>
      </c>
      <c r="G2339" s="1" t="s">
        <v>148</v>
      </c>
      <c r="H2339" s="1" t="s">
        <v>22</v>
      </c>
      <c r="I2339" s="1" t="s">
        <v>23</v>
      </c>
      <c r="J2339" s="1">
        <v>0</v>
      </c>
      <c r="K2339" s="1">
        <v>51182124.526996501</v>
      </c>
      <c r="L2339" s="1">
        <v>3.4121416351331</v>
      </c>
      <c r="M2339" s="1">
        <v>12000000.003700001</v>
      </c>
    </row>
    <row r="2340" spans="4:13">
      <c r="D2340" s="1" t="s">
        <v>1400</v>
      </c>
      <c r="E2340" s="1" t="s">
        <v>1055</v>
      </c>
      <c r="H2340" s="1" t="s">
        <v>25</v>
      </c>
      <c r="I2340" s="1" t="s">
        <v>23</v>
      </c>
      <c r="M2340" s="1" t="b">
        <v>1</v>
      </c>
    </row>
    <row r="2341" spans="4:13">
      <c r="D2341" s="1" t="s">
        <v>1400</v>
      </c>
      <c r="E2341" s="1" t="s">
        <v>1417</v>
      </c>
      <c r="H2341" s="1" t="s">
        <v>22</v>
      </c>
      <c r="I2341" s="1" t="s">
        <v>29</v>
      </c>
      <c r="J2341" s="1">
        <v>0</v>
      </c>
      <c r="K2341" s="1">
        <v>1</v>
      </c>
      <c r="L2341" s="1">
        <v>0.1</v>
      </c>
    </row>
    <row r="2342" spans="4:13">
      <c r="D2342" s="1" t="s">
        <v>1400</v>
      </c>
      <c r="E2342" s="1" t="s">
        <v>1418</v>
      </c>
      <c r="F2342" s="1" t="s">
        <v>41</v>
      </c>
      <c r="G2342" s="1" t="s">
        <v>42</v>
      </c>
      <c r="H2342" s="1" t="s">
        <v>22</v>
      </c>
      <c r="I2342" s="1" t="s">
        <v>29</v>
      </c>
      <c r="J2342" s="1">
        <v>-180</v>
      </c>
      <c r="K2342" s="1">
        <v>180</v>
      </c>
      <c r="L2342" s="1">
        <v>1.8</v>
      </c>
    </row>
    <row r="2343" spans="4:13">
      <c r="D2343" s="1" t="s">
        <v>1400</v>
      </c>
      <c r="E2343" s="1" t="s">
        <v>1419</v>
      </c>
      <c r="F2343" s="1" t="s">
        <v>35</v>
      </c>
      <c r="G2343" s="1" t="s">
        <v>36</v>
      </c>
      <c r="H2343" s="1" t="s">
        <v>22</v>
      </c>
      <c r="I2343" s="1" t="s">
        <v>29</v>
      </c>
      <c r="J2343" s="1">
        <v>-31.018000000000029</v>
      </c>
      <c r="K2343" s="1">
        <v>256.99999999999994</v>
      </c>
      <c r="L2343" s="1">
        <v>80.329999999999984</v>
      </c>
    </row>
    <row r="2344" spans="4:13">
      <c r="D2344" s="1" t="s">
        <v>1400</v>
      </c>
      <c r="E2344" s="1" t="s">
        <v>1420</v>
      </c>
      <c r="F2344" s="1" t="s">
        <v>35</v>
      </c>
      <c r="G2344" s="1" t="s">
        <v>36</v>
      </c>
      <c r="H2344" s="1" t="s">
        <v>22</v>
      </c>
      <c r="I2344" s="1" t="s">
        <v>29</v>
      </c>
      <c r="J2344" s="1">
        <v>-31.018000000000029</v>
      </c>
      <c r="K2344" s="1">
        <v>256.99999999999994</v>
      </c>
      <c r="L2344" s="1">
        <v>80.329999999999984</v>
      </c>
    </row>
    <row r="2345" spans="4:13">
      <c r="D2345" s="1" t="s">
        <v>1400</v>
      </c>
      <c r="E2345" s="1" t="s">
        <v>1421</v>
      </c>
      <c r="H2345" s="1" t="s">
        <v>22</v>
      </c>
      <c r="I2345" s="1" t="s">
        <v>29</v>
      </c>
      <c r="J2345" s="1">
        <v>0</v>
      </c>
      <c r="K2345" s="1">
        <v>3.66</v>
      </c>
      <c r="L2345" s="1">
        <v>0.5</v>
      </c>
    </row>
    <row r="2346" spans="4:13">
      <c r="D2346" s="1" t="s">
        <v>1400</v>
      </c>
      <c r="E2346" s="1" t="s">
        <v>1422</v>
      </c>
      <c r="F2346" s="1" t="s">
        <v>41</v>
      </c>
      <c r="G2346" s="1" t="s">
        <v>42</v>
      </c>
      <c r="H2346" s="1" t="s">
        <v>22</v>
      </c>
      <c r="I2346" s="1" t="s">
        <v>29</v>
      </c>
      <c r="J2346" s="1">
        <v>-180</v>
      </c>
      <c r="K2346" s="1">
        <v>180</v>
      </c>
      <c r="L2346" s="1">
        <v>1.8</v>
      </c>
    </row>
    <row r="2347" spans="4:13">
      <c r="D2347" s="1" t="s">
        <v>1400</v>
      </c>
      <c r="E2347" s="1" t="s">
        <v>1423</v>
      </c>
      <c r="F2347" s="1" t="s">
        <v>35</v>
      </c>
      <c r="G2347" s="1" t="s">
        <v>36</v>
      </c>
      <c r="H2347" s="1" t="s">
        <v>22</v>
      </c>
      <c r="I2347" s="1" t="s">
        <v>29</v>
      </c>
      <c r="J2347" s="1">
        <v>-31.018000000000029</v>
      </c>
      <c r="K2347" s="1">
        <v>256.99999999999994</v>
      </c>
      <c r="L2347" s="1">
        <v>80.329999999999984</v>
      </c>
    </row>
    <row r="2348" spans="4:13">
      <c r="D2348" s="1" t="s">
        <v>1400</v>
      </c>
      <c r="E2348" s="1" t="s">
        <v>1424</v>
      </c>
      <c r="F2348" s="1" t="s">
        <v>35</v>
      </c>
      <c r="G2348" s="1" t="s">
        <v>36</v>
      </c>
      <c r="H2348" s="1" t="s">
        <v>22</v>
      </c>
      <c r="I2348" s="1" t="s">
        <v>29</v>
      </c>
      <c r="J2348" s="1">
        <v>-31.018000000000029</v>
      </c>
      <c r="K2348" s="1">
        <v>256.99999999999994</v>
      </c>
      <c r="L2348" s="1">
        <v>80.329999999999984</v>
      </c>
    </row>
    <row r="2349" spans="4:13">
      <c r="D2349" s="1" t="s">
        <v>1400</v>
      </c>
      <c r="E2349" s="1" t="s">
        <v>1425</v>
      </c>
      <c r="H2349" s="1" t="s">
        <v>22</v>
      </c>
      <c r="I2349" s="1" t="s">
        <v>29</v>
      </c>
      <c r="J2349" s="1">
        <v>0</v>
      </c>
      <c r="K2349" s="1">
        <v>3.66</v>
      </c>
      <c r="L2349" s="1">
        <v>0.5</v>
      </c>
    </row>
    <row r="2350" spans="4:13">
      <c r="D2350" s="1" t="s">
        <v>1400</v>
      </c>
      <c r="E2350" s="1" t="s">
        <v>1426</v>
      </c>
      <c r="F2350" s="1" t="s">
        <v>41</v>
      </c>
      <c r="G2350" s="1" t="s">
        <v>42</v>
      </c>
      <c r="H2350" s="1" t="s">
        <v>22</v>
      </c>
      <c r="I2350" s="1" t="s">
        <v>29</v>
      </c>
      <c r="J2350" s="1">
        <v>-180</v>
      </c>
      <c r="K2350" s="1">
        <v>180</v>
      </c>
      <c r="L2350" s="1">
        <v>1.8</v>
      </c>
    </row>
    <row r="2351" spans="4:13">
      <c r="D2351" s="1" t="s">
        <v>1400</v>
      </c>
      <c r="E2351" s="1" t="s">
        <v>1427</v>
      </c>
      <c r="F2351" s="1" t="s">
        <v>35</v>
      </c>
      <c r="G2351" s="1" t="s">
        <v>36</v>
      </c>
      <c r="H2351" s="1" t="s">
        <v>22</v>
      </c>
      <c r="I2351" s="1" t="s">
        <v>29</v>
      </c>
      <c r="J2351" s="1">
        <v>-31.018000000000029</v>
      </c>
      <c r="K2351" s="1">
        <v>256.99999999999994</v>
      </c>
      <c r="L2351" s="1">
        <v>80.329999999999984</v>
      </c>
    </row>
    <row r="2352" spans="4:13">
      <c r="D2352" s="1" t="s">
        <v>1400</v>
      </c>
      <c r="E2352" s="1" t="s">
        <v>1428</v>
      </c>
      <c r="F2352" s="1" t="s">
        <v>35</v>
      </c>
      <c r="G2352" s="1" t="s">
        <v>36</v>
      </c>
      <c r="H2352" s="1" t="s">
        <v>22</v>
      </c>
      <c r="I2352" s="1" t="s">
        <v>29</v>
      </c>
      <c r="J2352" s="1">
        <v>-31.018000000000029</v>
      </c>
      <c r="K2352" s="1">
        <v>256.99999999999994</v>
      </c>
      <c r="L2352" s="1">
        <v>80.329999999999984</v>
      </c>
    </row>
    <row r="2353" spans="4:13">
      <c r="D2353" s="1" t="s">
        <v>1400</v>
      </c>
      <c r="E2353" s="1" t="s">
        <v>1429</v>
      </c>
      <c r="H2353" s="1" t="s">
        <v>22</v>
      </c>
      <c r="I2353" s="1" t="s">
        <v>29</v>
      </c>
      <c r="J2353" s="1">
        <v>0</v>
      </c>
      <c r="K2353" s="1">
        <v>3.66</v>
      </c>
      <c r="L2353" s="1">
        <v>0.5</v>
      </c>
    </row>
    <row r="2354" spans="4:13">
      <c r="D2354" s="1" t="s">
        <v>1400</v>
      </c>
      <c r="E2354" s="1" t="s">
        <v>1430</v>
      </c>
      <c r="F2354" s="1" t="s">
        <v>41</v>
      </c>
      <c r="G2354" s="1" t="s">
        <v>42</v>
      </c>
      <c r="H2354" s="1" t="s">
        <v>22</v>
      </c>
      <c r="I2354" s="1" t="s">
        <v>29</v>
      </c>
      <c r="J2354" s="1">
        <v>-180</v>
      </c>
      <c r="K2354" s="1">
        <v>180</v>
      </c>
      <c r="L2354" s="1">
        <v>1.8</v>
      </c>
    </row>
    <row r="2355" spans="4:13">
      <c r="D2355" s="1" t="s">
        <v>1400</v>
      </c>
      <c r="E2355" s="1" t="s">
        <v>1431</v>
      </c>
      <c r="F2355" s="1" t="s">
        <v>35</v>
      </c>
      <c r="G2355" s="1" t="s">
        <v>36</v>
      </c>
      <c r="H2355" s="1" t="s">
        <v>22</v>
      </c>
      <c r="I2355" s="1" t="s">
        <v>29</v>
      </c>
      <c r="J2355" s="1">
        <v>-31.018000000000029</v>
      </c>
      <c r="K2355" s="1">
        <v>256.99999999999994</v>
      </c>
      <c r="L2355" s="1">
        <v>80.329999999999984</v>
      </c>
    </row>
    <row r="2356" spans="4:13">
      <c r="D2356" s="1" t="s">
        <v>1400</v>
      </c>
      <c r="E2356" s="1" t="s">
        <v>1432</v>
      </c>
      <c r="F2356" s="1" t="s">
        <v>35</v>
      </c>
      <c r="G2356" s="1" t="s">
        <v>36</v>
      </c>
      <c r="H2356" s="1" t="s">
        <v>22</v>
      </c>
      <c r="I2356" s="1" t="s">
        <v>29</v>
      </c>
      <c r="J2356" s="1">
        <v>-31.018000000000029</v>
      </c>
      <c r="K2356" s="1">
        <v>256.99999999999994</v>
      </c>
      <c r="L2356" s="1">
        <v>80.329999999999984</v>
      </c>
    </row>
    <row r="2357" spans="4:13">
      <c r="D2357" s="1" t="s">
        <v>1400</v>
      </c>
      <c r="E2357" s="1" t="s">
        <v>1433</v>
      </c>
      <c r="H2357" s="1" t="s">
        <v>22</v>
      </c>
      <c r="I2357" s="1" t="s">
        <v>29</v>
      </c>
      <c r="J2357" s="1">
        <v>0</v>
      </c>
      <c r="K2357" s="1">
        <v>3.66</v>
      </c>
      <c r="L2357" s="1">
        <v>0.5</v>
      </c>
    </row>
    <row r="2358" spans="4:13">
      <c r="D2358" s="1" t="s">
        <v>1400</v>
      </c>
      <c r="E2358" s="1" t="s">
        <v>1434</v>
      </c>
      <c r="H2358" s="1" t="s">
        <v>22</v>
      </c>
      <c r="I2358" s="1" t="s">
        <v>29</v>
      </c>
      <c r="J2358" s="1">
        <v>-5</v>
      </c>
      <c r="K2358" s="1">
        <v>5</v>
      </c>
      <c r="L2358" s="1">
        <v>1</v>
      </c>
    </row>
    <row r="2359" spans="4:13">
      <c r="D2359" s="1" t="s">
        <v>1400</v>
      </c>
      <c r="E2359" s="1" t="s">
        <v>1435</v>
      </c>
      <c r="H2359" s="1" t="s">
        <v>22</v>
      </c>
      <c r="I2359" s="1" t="s">
        <v>29</v>
      </c>
      <c r="L2359" s="1">
        <v>1</v>
      </c>
    </row>
    <row r="2360" spans="4:13">
      <c r="D2360" s="1" t="s">
        <v>1400</v>
      </c>
      <c r="E2360" s="1" t="s">
        <v>1436</v>
      </c>
      <c r="H2360" s="1" t="s">
        <v>63</v>
      </c>
      <c r="I2360" s="1" t="s">
        <v>23</v>
      </c>
      <c r="M2360" s="1">
        <v>2</v>
      </c>
    </row>
    <row r="2361" spans="4:13">
      <c r="D2361" s="1" t="s">
        <v>1400</v>
      </c>
      <c r="E2361" s="1" t="s">
        <v>1437</v>
      </c>
      <c r="H2361" s="1" t="s">
        <v>181</v>
      </c>
      <c r="I2361" s="1" t="s">
        <v>23</v>
      </c>
      <c r="J2361" s="1">
        <v>1</v>
      </c>
      <c r="K2361" s="1">
        <v>2</v>
      </c>
      <c r="M2361" s="1" t="s">
        <v>1438</v>
      </c>
    </row>
    <row r="2362" spans="4:13">
      <c r="D2362" s="1" t="s">
        <v>1400</v>
      </c>
      <c r="E2362" s="1" t="s">
        <v>1056</v>
      </c>
      <c r="F2362" s="1" t="s">
        <v>56</v>
      </c>
      <c r="G2362" s="1" t="s">
        <v>57</v>
      </c>
      <c r="H2362" s="1" t="s">
        <v>22</v>
      </c>
      <c r="I2362" s="1" t="s">
        <v>23</v>
      </c>
      <c r="L2362" s="1">
        <v>1.4503773773020921E-4</v>
      </c>
      <c r="M2362" s="1">
        <v>0.72518868865104602</v>
      </c>
    </row>
    <row r="2363" spans="4:13">
      <c r="D2363" s="1" t="s">
        <v>1400</v>
      </c>
      <c r="E2363" s="1" t="s">
        <v>1057</v>
      </c>
      <c r="H2363" s="1" t="s">
        <v>25</v>
      </c>
      <c r="I2363" s="1" t="s">
        <v>23</v>
      </c>
      <c r="M2363" s="1" t="b">
        <v>0</v>
      </c>
    </row>
    <row r="2364" spans="4:13">
      <c r="D2364" s="1" t="s">
        <v>1400</v>
      </c>
      <c r="E2364" s="1" t="s">
        <v>1439</v>
      </c>
      <c r="F2364" s="1" t="s">
        <v>56</v>
      </c>
      <c r="G2364" s="1" t="s">
        <v>57</v>
      </c>
      <c r="H2364" s="1" t="s">
        <v>22</v>
      </c>
      <c r="I2364" s="1" t="s">
        <v>23</v>
      </c>
      <c r="L2364" s="1">
        <v>1.4503773773020921E-4</v>
      </c>
      <c r="M2364" s="1">
        <v>14.503773773020921</v>
      </c>
    </row>
    <row r="2365" spans="4:13">
      <c r="D2365" s="1" t="s">
        <v>1400</v>
      </c>
      <c r="E2365" s="1" t="s">
        <v>1440</v>
      </c>
      <c r="H2365" s="1" t="s">
        <v>25</v>
      </c>
      <c r="I2365" s="1" t="s">
        <v>23</v>
      </c>
      <c r="M2365" s="1" t="b">
        <v>0</v>
      </c>
    </row>
    <row r="2366" spans="4:13">
      <c r="D2366" s="1" t="s">
        <v>1400</v>
      </c>
      <c r="E2366" s="1" t="s">
        <v>1064</v>
      </c>
      <c r="F2366" s="1" t="s">
        <v>176</v>
      </c>
      <c r="G2366" s="1" t="s">
        <v>177</v>
      </c>
      <c r="H2366" s="1" t="s">
        <v>22</v>
      </c>
      <c r="I2366" s="1" t="s">
        <v>23</v>
      </c>
      <c r="L2366" s="1">
        <v>39.370078740157467</v>
      </c>
      <c r="M2366" s="1">
        <v>0</v>
      </c>
    </row>
    <row r="2367" spans="4:13">
      <c r="D2367" s="1" t="s">
        <v>1400</v>
      </c>
      <c r="E2367" s="1" t="s">
        <v>47</v>
      </c>
      <c r="H2367" s="1" t="s">
        <v>25</v>
      </c>
      <c r="I2367" s="1" t="s">
        <v>23</v>
      </c>
      <c r="M2367" s="1" t="b">
        <v>0</v>
      </c>
    </row>
    <row r="2368" spans="4:13">
      <c r="D2368" s="1" t="s">
        <v>1400</v>
      </c>
      <c r="E2368" s="1" t="s">
        <v>1069</v>
      </c>
      <c r="H2368" s="1" t="s">
        <v>25</v>
      </c>
      <c r="I2368" s="1" t="s">
        <v>23</v>
      </c>
      <c r="M2368" s="1" t="b">
        <v>0</v>
      </c>
    </row>
    <row r="2369" spans="4:13">
      <c r="D2369" s="1" t="s">
        <v>1400</v>
      </c>
      <c r="E2369" s="1" t="s">
        <v>920</v>
      </c>
      <c r="H2369" s="1" t="s">
        <v>22</v>
      </c>
      <c r="I2369" s="1" t="s">
        <v>23</v>
      </c>
      <c r="J2369" s="1">
        <v>0</v>
      </c>
      <c r="K2369" s="1">
        <v>1</v>
      </c>
      <c r="L2369" s="1">
        <v>1</v>
      </c>
      <c r="M2369" s="1">
        <v>1</v>
      </c>
    </row>
    <row r="2370" spans="4:13">
      <c r="D2370" s="1" t="s">
        <v>1400</v>
      </c>
      <c r="E2370" s="1" t="s">
        <v>921</v>
      </c>
      <c r="H2370" s="1" t="s">
        <v>22</v>
      </c>
      <c r="I2370" s="1" t="s">
        <v>23</v>
      </c>
      <c r="J2370" s="1">
        <v>0</v>
      </c>
      <c r="K2370" s="1">
        <v>1</v>
      </c>
      <c r="L2370" s="1">
        <v>1</v>
      </c>
      <c r="M2370" s="1">
        <v>0</v>
      </c>
    </row>
    <row r="2371" spans="4:13">
      <c r="D2371" s="1" t="s">
        <v>1400</v>
      </c>
      <c r="E2371" s="1" t="s">
        <v>1070</v>
      </c>
      <c r="F2371" s="1" t="s">
        <v>1071</v>
      </c>
      <c r="G2371" s="1" t="s">
        <v>1072</v>
      </c>
      <c r="H2371" s="1" t="s">
        <v>22</v>
      </c>
      <c r="I2371" s="1" t="s">
        <v>23</v>
      </c>
      <c r="J2371" s="1">
        <v>5.7778931654299819E-4</v>
      </c>
      <c r="K2371" s="1">
        <v>0.57778931654299814</v>
      </c>
      <c r="L2371" s="1">
        <v>0.57778931654299814</v>
      </c>
      <c r="M2371" s="1">
        <v>2.1672877263527863E-2</v>
      </c>
    </row>
    <row r="2372" spans="4:13">
      <c r="D2372" s="1" t="s">
        <v>1400</v>
      </c>
      <c r="E2372" s="1" t="s">
        <v>1074</v>
      </c>
      <c r="H2372" s="1" t="s">
        <v>25</v>
      </c>
      <c r="I2372" s="1" t="s">
        <v>23</v>
      </c>
      <c r="M2372" s="1" t="b">
        <v>0</v>
      </c>
    </row>
    <row r="2373" spans="4:13">
      <c r="D2373" s="1" t="s">
        <v>1400</v>
      </c>
      <c r="E2373" s="1" t="s">
        <v>1441</v>
      </c>
      <c r="H2373" s="1" t="s">
        <v>25</v>
      </c>
      <c r="I2373" s="1" t="s">
        <v>23</v>
      </c>
      <c r="M2373" s="1" t="b">
        <v>1</v>
      </c>
    </row>
    <row r="2374" spans="4:13">
      <c r="D2374" s="1" t="s">
        <v>1400</v>
      </c>
      <c r="E2374" s="1" t="s">
        <v>1442</v>
      </c>
      <c r="F2374" s="1" t="s">
        <v>118</v>
      </c>
      <c r="G2374" s="1" t="s">
        <v>119</v>
      </c>
      <c r="H2374" s="1" t="s">
        <v>22</v>
      </c>
      <c r="I2374" s="1" t="s">
        <v>29</v>
      </c>
      <c r="J2374" s="1">
        <v>2.2046226218499999E-6</v>
      </c>
      <c r="K2374" s="1">
        <v>22046.2262185</v>
      </c>
      <c r="L2374" s="1">
        <v>220.46226218500001</v>
      </c>
    </row>
    <row r="2375" spans="4:13">
      <c r="D2375" s="1" t="s">
        <v>1400</v>
      </c>
      <c r="E2375" s="1" t="s">
        <v>1076</v>
      </c>
      <c r="F2375" s="1" t="s">
        <v>118</v>
      </c>
      <c r="G2375" s="1" t="s">
        <v>119</v>
      </c>
      <c r="H2375" s="1" t="s">
        <v>22</v>
      </c>
      <c r="I2375" s="1" t="s">
        <v>23</v>
      </c>
      <c r="J2375" s="1">
        <v>0</v>
      </c>
      <c r="K2375" s="1">
        <v>4409.2452437000002</v>
      </c>
      <c r="L2375" s="1">
        <v>2.20462262185</v>
      </c>
      <c r="M2375" s="1">
        <v>440.92452437000003</v>
      </c>
    </row>
    <row r="2376" spans="4:13">
      <c r="D2376" s="1" t="s">
        <v>1400</v>
      </c>
      <c r="E2376" s="1" t="s">
        <v>1077</v>
      </c>
      <c r="H2376" s="1" t="s">
        <v>25</v>
      </c>
      <c r="I2376" s="1" t="s">
        <v>23</v>
      </c>
      <c r="M2376" s="1" t="b">
        <v>0</v>
      </c>
    </row>
    <row r="2377" spans="4:13">
      <c r="D2377" s="1" t="s">
        <v>1400</v>
      </c>
      <c r="E2377" s="1" t="s">
        <v>1079</v>
      </c>
      <c r="H2377" s="1" t="s">
        <v>25</v>
      </c>
      <c r="I2377" s="1" t="s">
        <v>23</v>
      </c>
      <c r="M2377" s="1" t="b">
        <v>0</v>
      </c>
    </row>
    <row r="2378" spans="4:13">
      <c r="D2378" s="1" t="s">
        <v>1400</v>
      </c>
      <c r="E2378" s="1" t="s">
        <v>1080</v>
      </c>
      <c r="H2378" s="1" t="s">
        <v>22</v>
      </c>
      <c r="I2378" s="1" t="s">
        <v>23</v>
      </c>
      <c r="J2378" s="1">
        <v>0</v>
      </c>
      <c r="K2378" s="1">
        <v>1</v>
      </c>
      <c r="L2378" s="1">
        <v>1</v>
      </c>
      <c r="M2378" s="1">
        <v>0.5</v>
      </c>
    </row>
    <row r="2379" spans="4:13">
      <c r="D2379" s="1" t="s">
        <v>1400</v>
      </c>
      <c r="E2379" s="1" t="s">
        <v>1082</v>
      </c>
      <c r="H2379" s="1" t="s">
        <v>22</v>
      </c>
      <c r="I2379" s="1" t="s">
        <v>23</v>
      </c>
      <c r="J2379" s="1">
        <v>0</v>
      </c>
      <c r="K2379" s="1">
        <v>2</v>
      </c>
      <c r="L2379" s="1">
        <v>1</v>
      </c>
      <c r="M2379" s="1">
        <v>0.99</v>
      </c>
    </row>
    <row r="2380" spans="4:13">
      <c r="D2380" s="1" t="s">
        <v>1400</v>
      </c>
      <c r="E2380" s="1" t="s">
        <v>1083</v>
      </c>
      <c r="H2380" s="1" t="s">
        <v>181</v>
      </c>
      <c r="I2380" s="1" t="s">
        <v>23</v>
      </c>
      <c r="J2380" s="1">
        <v>1</v>
      </c>
      <c r="K2380" s="1">
        <v>314</v>
      </c>
      <c r="M2380" s="1" t="s">
        <v>952</v>
      </c>
    </row>
    <row r="2381" spans="4:13">
      <c r="D2381" s="1" t="s">
        <v>1400</v>
      </c>
      <c r="E2381" s="1" t="s">
        <v>1086</v>
      </c>
      <c r="H2381" s="1" t="s">
        <v>181</v>
      </c>
      <c r="I2381" s="1" t="s">
        <v>23</v>
      </c>
      <c r="J2381" s="1">
        <v>1</v>
      </c>
      <c r="K2381" s="1">
        <v>26</v>
      </c>
      <c r="M2381" s="1" t="s">
        <v>1443</v>
      </c>
    </row>
    <row r="2382" spans="4:13">
      <c r="D2382" s="1" t="s">
        <v>1400</v>
      </c>
      <c r="E2382" s="1" t="s">
        <v>1089</v>
      </c>
      <c r="F2382" s="1" t="s">
        <v>35</v>
      </c>
      <c r="G2382" s="1" t="s">
        <v>36</v>
      </c>
      <c r="H2382" s="1" t="s">
        <v>22</v>
      </c>
      <c r="I2382" s="1" t="s">
        <v>29</v>
      </c>
      <c r="J2382" s="1">
        <v>-31.018000000000029</v>
      </c>
      <c r="K2382" s="1">
        <v>256.99999999999994</v>
      </c>
      <c r="L2382" s="1">
        <v>80.329999999999984</v>
      </c>
    </row>
    <row r="2383" spans="4:13">
      <c r="D2383" s="1" t="s">
        <v>1400</v>
      </c>
      <c r="E2383" s="1" t="s">
        <v>1091</v>
      </c>
      <c r="F2383" s="1" t="s">
        <v>35</v>
      </c>
      <c r="G2383" s="1" t="s">
        <v>36</v>
      </c>
      <c r="H2383" s="1" t="s">
        <v>22</v>
      </c>
      <c r="I2383" s="1" t="s">
        <v>29</v>
      </c>
      <c r="J2383" s="1">
        <v>-31.018000000000029</v>
      </c>
      <c r="K2383" s="1">
        <v>256.99999999999994</v>
      </c>
      <c r="L2383" s="1">
        <v>80.329999999999984</v>
      </c>
    </row>
    <row r="2384" spans="4:13">
      <c r="D2384" s="1" t="s">
        <v>1400</v>
      </c>
      <c r="E2384" s="1" t="s">
        <v>1296</v>
      </c>
      <c r="F2384" s="1" t="s">
        <v>41</v>
      </c>
      <c r="G2384" s="1" t="s">
        <v>42</v>
      </c>
      <c r="H2384" s="1" t="s">
        <v>22</v>
      </c>
      <c r="I2384" s="1" t="s">
        <v>65</v>
      </c>
      <c r="L2384" s="1">
        <v>1.8</v>
      </c>
    </row>
    <row r="2385" spans="4:12">
      <c r="D2385" s="1" t="s">
        <v>1400</v>
      </c>
      <c r="E2385" s="1" t="s">
        <v>1300</v>
      </c>
      <c r="F2385" s="1" t="s">
        <v>147</v>
      </c>
      <c r="G2385" s="1" t="s">
        <v>148</v>
      </c>
      <c r="H2385" s="1" t="s">
        <v>22</v>
      </c>
      <c r="I2385" s="1" t="s">
        <v>120</v>
      </c>
      <c r="L2385" s="1">
        <v>3.4121416351331</v>
      </c>
    </row>
    <row r="2386" spans="4:12">
      <c r="D2386" s="1" t="s">
        <v>1400</v>
      </c>
      <c r="E2386" s="1" t="s">
        <v>1302</v>
      </c>
      <c r="H2386" s="1" t="s">
        <v>22</v>
      </c>
      <c r="I2386" s="1" t="s">
        <v>65</v>
      </c>
      <c r="L2386" s="1">
        <v>1</v>
      </c>
    </row>
    <row r="2387" spans="4:12">
      <c r="D2387" s="1" t="s">
        <v>1400</v>
      </c>
      <c r="E2387" s="1" t="s">
        <v>1444</v>
      </c>
      <c r="F2387" s="1" t="s">
        <v>35</v>
      </c>
      <c r="G2387" s="1" t="s">
        <v>36</v>
      </c>
      <c r="H2387" s="1" t="s">
        <v>22</v>
      </c>
      <c r="I2387" s="1" t="s">
        <v>120</v>
      </c>
      <c r="J2387" s="1">
        <v>-457.87</v>
      </c>
      <c r="K2387" s="1">
        <v>-447.07</v>
      </c>
      <c r="L2387" s="1">
        <v>80.329999999999984</v>
      </c>
    </row>
    <row r="2388" spans="4:12">
      <c r="D2388" s="1" t="s">
        <v>1400</v>
      </c>
      <c r="E2388" s="1" t="s">
        <v>1445</v>
      </c>
      <c r="H2388" s="1" t="s">
        <v>22</v>
      </c>
      <c r="I2388" s="1" t="s">
        <v>65</v>
      </c>
      <c r="L2388" s="1">
        <v>1</v>
      </c>
    </row>
    <row r="2389" spans="4:12">
      <c r="D2389" s="1" t="s">
        <v>1400</v>
      </c>
      <c r="E2389" s="1" t="s">
        <v>1306</v>
      </c>
      <c r="H2389" s="1" t="s">
        <v>22</v>
      </c>
      <c r="I2389" s="1" t="s">
        <v>65</v>
      </c>
      <c r="L2389" s="1">
        <v>1</v>
      </c>
    </row>
    <row r="2390" spans="4:12">
      <c r="D2390" s="1" t="s">
        <v>1400</v>
      </c>
      <c r="E2390" s="1" t="s">
        <v>1446</v>
      </c>
      <c r="H2390" s="1" t="s">
        <v>22</v>
      </c>
      <c r="I2390" s="1" t="s">
        <v>65</v>
      </c>
      <c r="L2390" s="1">
        <v>1</v>
      </c>
    </row>
    <row r="2391" spans="4:12">
      <c r="D2391" s="1" t="s">
        <v>1400</v>
      </c>
      <c r="E2391" s="1" t="s">
        <v>1309</v>
      </c>
      <c r="H2391" s="1" t="s">
        <v>22</v>
      </c>
      <c r="I2391" s="1" t="s">
        <v>65</v>
      </c>
      <c r="L2391" s="1">
        <v>1</v>
      </c>
    </row>
    <row r="2392" spans="4:12">
      <c r="D2392" s="1" t="s">
        <v>1400</v>
      </c>
      <c r="E2392" s="1" t="s">
        <v>1447</v>
      </c>
      <c r="H2392" s="1" t="s">
        <v>22</v>
      </c>
      <c r="I2392" s="1" t="s">
        <v>65</v>
      </c>
      <c r="L2392" s="1">
        <v>1</v>
      </c>
    </row>
    <row r="2393" spans="4:12">
      <c r="D2393" s="1" t="s">
        <v>1400</v>
      </c>
      <c r="E2393" s="1" t="s">
        <v>1448</v>
      </c>
      <c r="H2393" s="1" t="s">
        <v>22</v>
      </c>
      <c r="I2393" s="1" t="s">
        <v>65</v>
      </c>
      <c r="L2393" s="1">
        <v>1</v>
      </c>
    </row>
    <row r="2394" spans="4:12">
      <c r="D2394" s="1" t="s">
        <v>1400</v>
      </c>
      <c r="E2394" s="1" t="s">
        <v>1317</v>
      </c>
      <c r="F2394" s="1" t="s">
        <v>879</v>
      </c>
      <c r="G2394" s="1" t="s">
        <v>880</v>
      </c>
      <c r="H2394" s="1" t="s">
        <v>22</v>
      </c>
      <c r="I2394" s="1" t="s">
        <v>65</v>
      </c>
      <c r="L2394" s="1">
        <v>10.76391041670972</v>
      </c>
    </row>
    <row r="2395" spans="4:12">
      <c r="D2395" s="1" t="s">
        <v>1400</v>
      </c>
      <c r="E2395" s="1" t="s">
        <v>1449</v>
      </c>
      <c r="F2395" s="1" t="s">
        <v>147</v>
      </c>
      <c r="G2395" s="1" t="s">
        <v>148</v>
      </c>
      <c r="H2395" s="1" t="s">
        <v>22</v>
      </c>
      <c r="I2395" s="1" t="s">
        <v>65</v>
      </c>
      <c r="L2395" s="1">
        <v>3.4121416351331</v>
      </c>
    </row>
    <row r="2396" spans="4:12">
      <c r="D2396" s="1" t="s">
        <v>1400</v>
      </c>
      <c r="E2396" s="1" t="s">
        <v>1322</v>
      </c>
      <c r="F2396" s="1" t="s">
        <v>56</v>
      </c>
      <c r="G2396" s="1" t="s">
        <v>57</v>
      </c>
      <c r="H2396" s="1" t="s">
        <v>22</v>
      </c>
      <c r="I2396" s="1" t="s">
        <v>65</v>
      </c>
      <c r="L2396" s="1">
        <v>1.4503773773020921E-4</v>
      </c>
    </row>
    <row r="2397" spans="4:12">
      <c r="D2397" s="1" t="s">
        <v>1400</v>
      </c>
      <c r="E2397" s="1" t="s">
        <v>1323</v>
      </c>
      <c r="F2397" s="1" t="s">
        <v>56</v>
      </c>
      <c r="G2397" s="1" t="s">
        <v>57</v>
      </c>
      <c r="H2397" s="1" t="s">
        <v>22</v>
      </c>
      <c r="I2397" s="1" t="s">
        <v>65</v>
      </c>
      <c r="L2397" s="1">
        <v>1.4503773773020921E-4</v>
      </c>
    </row>
    <row r="2398" spans="4:12">
      <c r="D2398" s="1" t="s">
        <v>1400</v>
      </c>
      <c r="E2398" s="1" t="s">
        <v>1324</v>
      </c>
      <c r="F2398" s="1" t="s">
        <v>56</v>
      </c>
      <c r="G2398" s="1" t="s">
        <v>57</v>
      </c>
      <c r="H2398" s="1" t="s">
        <v>22</v>
      </c>
      <c r="I2398" s="1" t="s">
        <v>65</v>
      </c>
      <c r="L2398" s="1">
        <v>1.4503773773020921E-4</v>
      </c>
    </row>
    <row r="2399" spans="4:12">
      <c r="D2399" s="1" t="s">
        <v>1400</v>
      </c>
      <c r="E2399" s="1" t="s">
        <v>1325</v>
      </c>
      <c r="F2399" s="1" t="s">
        <v>56</v>
      </c>
      <c r="G2399" s="1" t="s">
        <v>57</v>
      </c>
      <c r="H2399" s="1" t="s">
        <v>22</v>
      </c>
      <c r="I2399" s="1" t="s">
        <v>65</v>
      </c>
      <c r="L2399" s="1">
        <v>1.4503773773020921E-4</v>
      </c>
    </row>
    <row r="2400" spans="4:12">
      <c r="D2400" s="1" t="s">
        <v>1400</v>
      </c>
      <c r="E2400" s="1" t="s">
        <v>1326</v>
      </c>
      <c r="F2400" s="1" t="s">
        <v>56</v>
      </c>
      <c r="G2400" s="1" t="s">
        <v>57</v>
      </c>
      <c r="H2400" s="1" t="s">
        <v>22</v>
      </c>
      <c r="I2400" s="1" t="s">
        <v>65</v>
      </c>
      <c r="L2400" s="1">
        <v>1.4503773773020921E-4</v>
      </c>
    </row>
    <row r="2401" spans="4:13">
      <c r="D2401" s="1" t="s">
        <v>1400</v>
      </c>
      <c r="E2401" s="1" t="s">
        <v>1331</v>
      </c>
      <c r="F2401" s="1" t="s">
        <v>176</v>
      </c>
      <c r="G2401" s="1" t="s">
        <v>177</v>
      </c>
      <c r="H2401" s="1" t="s">
        <v>22</v>
      </c>
      <c r="I2401" s="1" t="s">
        <v>70</v>
      </c>
      <c r="J2401" s="1">
        <v>0</v>
      </c>
      <c r="L2401" s="1">
        <v>39.370078740157467</v>
      </c>
    </row>
    <row r="2402" spans="4:13">
      <c r="D2402" s="1" t="s">
        <v>1400</v>
      </c>
      <c r="E2402" s="1" t="s">
        <v>69</v>
      </c>
      <c r="H2402" s="1" t="s">
        <v>25</v>
      </c>
      <c r="I2402" s="1" t="s">
        <v>70</v>
      </c>
    </row>
    <row r="2403" spans="4:13">
      <c r="D2403" s="1" t="s">
        <v>1400</v>
      </c>
      <c r="E2403" s="1" t="s">
        <v>1450</v>
      </c>
      <c r="F2403" s="1" t="s">
        <v>176</v>
      </c>
      <c r="G2403" s="1" t="s">
        <v>177</v>
      </c>
      <c r="H2403" s="1" t="s">
        <v>22</v>
      </c>
      <c r="I2403" s="1" t="s">
        <v>65</v>
      </c>
      <c r="L2403" s="1">
        <v>39.370078740157467</v>
      </c>
    </row>
    <row r="2404" spans="4:13">
      <c r="D2404" s="1" t="s">
        <v>1400</v>
      </c>
      <c r="E2404" s="1" t="s">
        <v>991</v>
      </c>
      <c r="F2404" s="1" t="s">
        <v>118</v>
      </c>
      <c r="G2404" s="1" t="s">
        <v>119</v>
      </c>
      <c r="H2404" s="1" t="s">
        <v>22</v>
      </c>
      <c r="I2404" s="1" t="s">
        <v>65</v>
      </c>
      <c r="J2404" s="1">
        <v>0</v>
      </c>
      <c r="L2404" s="1">
        <v>2.20462262185</v>
      </c>
    </row>
    <row r="2405" spans="4:13">
      <c r="D2405" s="1" t="s">
        <v>1400</v>
      </c>
      <c r="E2405" s="1" t="s">
        <v>1451</v>
      </c>
      <c r="H2405" s="1" t="s">
        <v>22</v>
      </c>
      <c r="I2405" s="1" t="s">
        <v>65</v>
      </c>
      <c r="L2405" s="1">
        <v>1</v>
      </c>
    </row>
    <row r="2406" spans="4:13">
      <c r="D2406" s="1" t="s">
        <v>1400</v>
      </c>
      <c r="E2406" s="1" t="s">
        <v>1452</v>
      </c>
      <c r="H2406" s="1" t="s">
        <v>22</v>
      </c>
      <c r="I2406" s="1" t="s">
        <v>65</v>
      </c>
      <c r="L2406" s="1">
        <v>1</v>
      </c>
    </row>
    <row r="2407" spans="4:13">
      <c r="D2407" s="1" t="s">
        <v>1400</v>
      </c>
      <c r="E2407" s="1" t="s">
        <v>1453</v>
      </c>
      <c r="H2407" s="1" t="s">
        <v>22</v>
      </c>
      <c r="I2407" s="1" t="s">
        <v>65</v>
      </c>
      <c r="L2407" s="1">
        <v>1</v>
      </c>
    </row>
    <row r="2408" spans="4:13">
      <c r="D2408" s="1" t="s">
        <v>1400</v>
      </c>
      <c r="E2408" s="1" t="s">
        <v>1343</v>
      </c>
      <c r="F2408" s="1" t="s">
        <v>1344</v>
      </c>
      <c r="G2408" s="1" t="s">
        <v>1345</v>
      </c>
      <c r="H2408" s="1" t="s">
        <v>22</v>
      </c>
      <c r="I2408" s="1" t="s">
        <v>65</v>
      </c>
      <c r="L2408" s="1">
        <v>2.2369362919199998</v>
      </c>
    </row>
    <row r="2409" spans="4:13">
      <c r="D2409" s="1" t="s">
        <v>1400</v>
      </c>
      <c r="E2409" s="1" t="s">
        <v>1002</v>
      </c>
      <c r="F2409" s="1" t="s">
        <v>124</v>
      </c>
      <c r="G2409" s="1" t="s">
        <v>125</v>
      </c>
      <c r="H2409" s="1" t="s">
        <v>22</v>
      </c>
      <c r="I2409" s="1" t="s">
        <v>70</v>
      </c>
      <c r="L2409" s="1">
        <v>35.314666699999997</v>
      </c>
    </row>
    <row r="2410" spans="4:13">
      <c r="D2410" s="1" t="s">
        <v>1400</v>
      </c>
      <c r="E2410" s="1" t="s">
        <v>1348</v>
      </c>
      <c r="F2410" s="1" t="s">
        <v>176</v>
      </c>
      <c r="G2410" s="1" t="s">
        <v>177</v>
      </c>
      <c r="H2410" s="1" t="s">
        <v>22</v>
      </c>
      <c r="I2410" s="1" t="s">
        <v>23</v>
      </c>
      <c r="J2410" s="1">
        <v>3.9370078740157466E-2</v>
      </c>
      <c r="K2410" s="1">
        <v>3.9370078740157468</v>
      </c>
      <c r="L2410" s="1">
        <v>39.370078740157467</v>
      </c>
      <c r="M2410" s="1">
        <v>0.49999999999999983</v>
      </c>
    </row>
    <row r="2411" spans="4:13">
      <c r="D2411" s="1" t="s">
        <v>1400</v>
      </c>
      <c r="E2411" s="1" t="s">
        <v>1454</v>
      </c>
      <c r="H2411" s="1" t="s">
        <v>25</v>
      </c>
      <c r="I2411" s="1" t="s">
        <v>23</v>
      </c>
      <c r="M2411" s="1" t="b">
        <v>1</v>
      </c>
    </row>
    <row r="2412" spans="4:13">
      <c r="D2412" s="1" t="s">
        <v>1400</v>
      </c>
      <c r="E2412" s="1" t="s">
        <v>1455</v>
      </c>
      <c r="H2412" s="1" t="s">
        <v>25</v>
      </c>
      <c r="I2412" s="1" t="s">
        <v>23</v>
      </c>
      <c r="M2412" s="1" t="b">
        <v>0</v>
      </c>
    </row>
    <row r="2413" spans="4:13">
      <c r="D2413" s="1" t="s">
        <v>1400</v>
      </c>
      <c r="E2413" s="1" t="s">
        <v>1456</v>
      </c>
      <c r="H2413" s="1" t="s">
        <v>25</v>
      </c>
      <c r="I2413" s="1" t="s">
        <v>23</v>
      </c>
      <c r="M2413" s="1" t="b">
        <v>1</v>
      </c>
    </row>
    <row r="2414" spans="4:13">
      <c r="D2414" s="1" t="s">
        <v>1400</v>
      </c>
      <c r="E2414" s="1" t="s">
        <v>1354</v>
      </c>
      <c r="H2414" s="1" t="s">
        <v>22</v>
      </c>
      <c r="I2414" s="1" t="s">
        <v>23</v>
      </c>
      <c r="J2414" s="1">
        <v>0.5</v>
      </c>
      <c r="K2414" s="1">
        <v>2</v>
      </c>
      <c r="L2414" s="1">
        <v>1</v>
      </c>
      <c r="M2414" s="1">
        <v>1</v>
      </c>
    </row>
    <row r="2415" spans="4:13">
      <c r="D2415" s="1" t="s">
        <v>1400</v>
      </c>
      <c r="E2415" s="1" t="s">
        <v>1457</v>
      </c>
      <c r="F2415" s="1" t="s">
        <v>147</v>
      </c>
      <c r="G2415" s="1" t="s">
        <v>148</v>
      </c>
      <c r="H2415" s="1" t="s">
        <v>22</v>
      </c>
      <c r="I2415" s="1" t="s">
        <v>23</v>
      </c>
      <c r="L2415" s="1">
        <v>3.4121416351331</v>
      </c>
      <c r="M2415" s="1">
        <v>7908000.0046472568</v>
      </c>
    </row>
    <row r="2416" spans="4:13">
      <c r="D2416" s="1" t="s">
        <v>1400</v>
      </c>
      <c r="E2416" s="1" t="s">
        <v>1458</v>
      </c>
      <c r="F2416" s="1" t="s">
        <v>147</v>
      </c>
      <c r="G2416" s="1" t="s">
        <v>148</v>
      </c>
      <c r="H2416" s="1" t="s">
        <v>22</v>
      </c>
      <c r="I2416" s="1" t="s">
        <v>23</v>
      </c>
      <c r="L2416" s="1">
        <v>3.4121416351331</v>
      </c>
      <c r="M2416" s="1">
        <v>6372000.0037445985</v>
      </c>
    </row>
    <row r="2417" spans="4:13">
      <c r="D2417" s="1" t="s">
        <v>1400</v>
      </c>
      <c r="E2417" s="1" t="s">
        <v>1356</v>
      </c>
      <c r="H2417" s="1" t="s">
        <v>150</v>
      </c>
      <c r="I2417" s="1" t="s">
        <v>23</v>
      </c>
      <c r="M2417" s="1" t="s">
        <v>1459</v>
      </c>
    </row>
    <row r="2418" spans="4:13">
      <c r="D2418" s="1" t="s">
        <v>1400</v>
      </c>
      <c r="E2418" s="1" t="s">
        <v>1358</v>
      </c>
      <c r="F2418" s="1" t="s">
        <v>176</v>
      </c>
      <c r="G2418" s="1" t="s">
        <v>177</v>
      </c>
      <c r="H2418" s="1" t="s">
        <v>22</v>
      </c>
      <c r="I2418" s="1" t="s">
        <v>23</v>
      </c>
      <c r="J2418" s="1">
        <v>0.39370078740157466</v>
      </c>
      <c r="K2418" s="1">
        <v>393.70078740157464</v>
      </c>
      <c r="L2418" s="1">
        <v>39.370078740157467</v>
      </c>
      <c r="M2418" s="1">
        <v>40.499999999999986</v>
      </c>
    </row>
    <row r="2419" spans="4:13">
      <c r="D2419" s="1" t="s">
        <v>1400</v>
      </c>
      <c r="E2419" s="1" t="s">
        <v>1359</v>
      </c>
      <c r="F2419" s="1" t="s">
        <v>176</v>
      </c>
      <c r="G2419" s="1" t="s">
        <v>177</v>
      </c>
      <c r="H2419" s="1" t="s">
        <v>22</v>
      </c>
      <c r="I2419" s="1" t="s">
        <v>23</v>
      </c>
      <c r="J2419" s="1">
        <v>0</v>
      </c>
      <c r="L2419" s="1">
        <v>39.370078740157467</v>
      </c>
      <c r="M2419" s="1">
        <v>9.9999999999999964</v>
      </c>
    </row>
    <row r="2420" spans="4:13">
      <c r="D2420" s="1" t="s">
        <v>1400</v>
      </c>
      <c r="E2420" s="1" t="s">
        <v>1360</v>
      </c>
      <c r="H2420" s="1" t="s">
        <v>150</v>
      </c>
      <c r="I2420" s="1" t="s">
        <v>23</v>
      </c>
      <c r="M2420" s="1" t="s">
        <v>1460</v>
      </c>
    </row>
    <row r="2421" spans="4:13">
      <c r="D2421" s="1" t="s">
        <v>1400</v>
      </c>
      <c r="E2421" s="1" t="s">
        <v>1362</v>
      </c>
      <c r="F2421" s="1" t="s">
        <v>176</v>
      </c>
      <c r="G2421" s="1" t="s">
        <v>177</v>
      </c>
      <c r="H2421" s="1" t="s">
        <v>22</v>
      </c>
      <c r="I2421" s="1" t="s">
        <v>23</v>
      </c>
      <c r="J2421" s="1">
        <v>3.9370078740157468</v>
      </c>
      <c r="K2421" s="1">
        <v>393.70078740157464</v>
      </c>
      <c r="L2421" s="1">
        <v>39.370078740157467</v>
      </c>
      <c r="M2421" s="1">
        <v>164.49999999999994</v>
      </c>
    </row>
    <row r="2422" spans="4:13">
      <c r="D2422" s="1" t="s">
        <v>1400</v>
      </c>
      <c r="E2422" s="1" t="s">
        <v>1363</v>
      </c>
      <c r="H2422" s="1" t="s">
        <v>63</v>
      </c>
      <c r="I2422" s="1" t="s">
        <v>23</v>
      </c>
      <c r="M2422" s="1">
        <v>3</v>
      </c>
    </row>
    <row r="2423" spans="4:13">
      <c r="D2423" s="1" t="s">
        <v>1400</v>
      </c>
      <c r="E2423" s="1" t="s">
        <v>1364</v>
      </c>
      <c r="H2423" s="1" t="s">
        <v>63</v>
      </c>
      <c r="I2423" s="1" t="s">
        <v>23</v>
      </c>
      <c r="M2423" s="1">
        <v>1</v>
      </c>
    </row>
    <row r="2424" spans="4:13">
      <c r="D2424" s="1" t="s">
        <v>1400</v>
      </c>
      <c r="E2424" s="1" t="s">
        <v>1365</v>
      </c>
      <c r="H2424" s="1" t="s">
        <v>63</v>
      </c>
      <c r="I2424" s="1" t="s">
        <v>70</v>
      </c>
    </row>
    <row r="2425" spans="4:13">
      <c r="D2425" s="1" t="s">
        <v>1400</v>
      </c>
      <c r="E2425" s="1" t="s">
        <v>1366</v>
      </c>
      <c r="H2425" s="1" t="s">
        <v>63</v>
      </c>
      <c r="I2425" s="1" t="s">
        <v>23</v>
      </c>
      <c r="M2425" s="1">
        <v>322</v>
      </c>
    </row>
    <row r="2426" spans="4:13">
      <c r="D2426" s="1" t="s">
        <v>1400</v>
      </c>
      <c r="E2426" s="1" t="s">
        <v>1367</v>
      </c>
      <c r="H2426" s="1" t="s">
        <v>63</v>
      </c>
      <c r="I2426" s="1" t="s">
        <v>23</v>
      </c>
      <c r="M2426" s="1">
        <v>322</v>
      </c>
    </row>
    <row r="2427" spans="4:13">
      <c r="D2427" s="1" t="s">
        <v>1400</v>
      </c>
      <c r="E2427" s="1" t="s">
        <v>1368</v>
      </c>
      <c r="H2427" s="1" t="s">
        <v>63</v>
      </c>
      <c r="I2427" s="1" t="s">
        <v>23</v>
      </c>
      <c r="M2427" s="1">
        <v>0</v>
      </c>
    </row>
    <row r="2428" spans="4:13">
      <c r="D2428" s="1" t="s">
        <v>1400</v>
      </c>
      <c r="E2428" s="1" t="s">
        <v>1369</v>
      </c>
      <c r="H2428" s="1" t="s">
        <v>63</v>
      </c>
      <c r="I2428" s="1" t="s">
        <v>23</v>
      </c>
      <c r="M2428" s="1">
        <v>0</v>
      </c>
    </row>
    <row r="2429" spans="4:13">
      <c r="D2429" s="1" t="s">
        <v>1400</v>
      </c>
      <c r="E2429" s="1" t="s">
        <v>1372</v>
      </c>
      <c r="F2429" s="1" t="s">
        <v>176</v>
      </c>
      <c r="G2429" s="1" t="s">
        <v>177</v>
      </c>
      <c r="H2429" s="1" t="s">
        <v>22</v>
      </c>
      <c r="I2429" s="1" t="s">
        <v>23</v>
      </c>
      <c r="J2429" s="1">
        <v>3.9370078740157471E-3</v>
      </c>
      <c r="K2429" s="1">
        <v>3.1496062992125973</v>
      </c>
      <c r="L2429" s="1">
        <v>39.370078740157467</v>
      </c>
      <c r="M2429" s="1">
        <v>0.31496062992125973</v>
      </c>
    </row>
    <row r="2430" spans="4:13">
      <c r="D2430" s="1" t="s">
        <v>1400</v>
      </c>
      <c r="E2430" s="1" t="s">
        <v>1461</v>
      </c>
      <c r="F2430" s="1" t="s">
        <v>124</v>
      </c>
      <c r="G2430" s="1" t="s">
        <v>125</v>
      </c>
      <c r="H2430" s="1" t="s">
        <v>22</v>
      </c>
      <c r="I2430" s="1" t="s">
        <v>23</v>
      </c>
      <c r="L2430" s="1">
        <v>35.314666699999997</v>
      </c>
      <c r="M2430" s="1">
        <v>0</v>
      </c>
    </row>
    <row r="2431" spans="4:13">
      <c r="D2431" s="1" t="s">
        <v>1400</v>
      </c>
      <c r="E2431" s="1" t="s">
        <v>1393</v>
      </c>
      <c r="H2431" s="1" t="s">
        <v>63</v>
      </c>
      <c r="I2431" s="1" t="s">
        <v>23</v>
      </c>
      <c r="M2431" s="1">
        <v>150</v>
      </c>
    </row>
    <row r="2432" spans="4:13">
      <c r="D2432" s="1" t="s">
        <v>1400</v>
      </c>
      <c r="E2432" s="1" t="s">
        <v>1394</v>
      </c>
      <c r="H2432" s="1" t="s">
        <v>181</v>
      </c>
      <c r="I2432" s="1" t="s">
        <v>23</v>
      </c>
      <c r="J2432" s="1">
        <v>1</v>
      </c>
      <c r="K2432" s="1">
        <v>2</v>
      </c>
      <c r="M2432" s="1" t="s">
        <v>1395</v>
      </c>
    </row>
    <row r="2433" spans="4:13">
      <c r="D2433" s="1" t="s">
        <v>1462</v>
      </c>
      <c r="H2433" s="1" t="s">
        <v>25</v>
      </c>
      <c r="I2433" s="1" t="s">
        <v>23</v>
      </c>
      <c r="M2433" s="1" t="b">
        <v>0</v>
      </c>
    </row>
    <row r="2434" spans="4:13">
      <c r="D2434" s="1" t="s">
        <v>1463</v>
      </c>
      <c r="H2434" s="1" t="s">
        <v>22</v>
      </c>
      <c r="I2434" s="1" t="s">
        <v>23</v>
      </c>
      <c r="L2434" s="1">
        <v>1</v>
      </c>
      <c r="M2434" s="1">
        <v>0.92</v>
      </c>
    </row>
    <row r="2435" spans="4:13">
      <c r="D2435" s="1" t="s">
        <v>1464</v>
      </c>
      <c r="F2435" s="1" t="s">
        <v>41</v>
      </c>
      <c r="G2435" s="1" t="s">
        <v>42</v>
      </c>
      <c r="H2435" s="1" t="s">
        <v>22</v>
      </c>
      <c r="I2435" s="1" t="s">
        <v>23</v>
      </c>
      <c r="L2435" s="1">
        <v>1.8</v>
      </c>
      <c r="M2435" s="1">
        <v>9</v>
      </c>
    </row>
    <row r="2436" spans="4:13">
      <c r="D2436" s="1" t="s">
        <v>1465</v>
      </c>
      <c r="E2436" s="1" t="s">
        <v>1466</v>
      </c>
      <c r="H2436" s="1" t="s">
        <v>22</v>
      </c>
      <c r="I2436" s="1" t="s">
        <v>23</v>
      </c>
      <c r="L2436" s="1">
        <v>1</v>
      </c>
      <c r="M2436" s="1">
        <v>1.0214000000000001E-5</v>
      </c>
    </row>
    <row r="2437" spans="4:13">
      <c r="D2437" s="1" t="s">
        <v>1465</v>
      </c>
      <c r="E2437" s="1" t="s">
        <v>108</v>
      </c>
      <c r="F2437" s="1" t="s">
        <v>35</v>
      </c>
      <c r="G2437" s="1" t="s">
        <v>36</v>
      </c>
      <c r="H2437" s="1" t="s">
        <v>22</v>
      </c>
      <c r="I2437" s="1" t="s">
        <v>23</v>
      </c>
      <c r="J2437" s="1">
        <v>-459.67</v>
      </c>
      <c r="L2437" s="1">
        <v>80.329999999999984</v>
      </c>
      <c r="M2437" s="1">
        <v>49.999999999999943</v>
      </c>
    </row>
    <row r="2438" spans="4:13">
      <c r="D2438" s="1" t="s">
        <v>1465</v>
      </c>
      <c r="E2438" s="1" t="s">
        <v>111</v>
      </c>
      <c r="F2438" s="1" t="s">
        <v>56</v>
      </c>
      <c r="G2438" s="1" t="s">
        <v>57</v>
      </c>
      <c r="H2438" s="1" t="s">
        <v>22</v>
      </c>
      <c r="I2438" s="1" t="s">
        <v>23</v>
      </c>
      <c r="L2438" s="1">
        <v>1.4503773773020921E-4</v>
      </c>
      <c r="M2438" s="1">
        <v>7.2518868865104604E-3</v>
      </c>
    </row>
    <row r="2439" spans="4:13">
      <c r="D2439" s="1" t="s">
        <v>1465</v>
      </c>
      <c r="E2439" s="1" t="s">
        <v>47</v>
      </c>
      <c r="H2439" s="1" t="s">
        <v>25</v>
      </c>
      <c r="I2439" s="1" t="s">
        <v>23</v>
      </c>
      <c r="M2439" s="1" t="b">
        <v>0</v>
      </c>
    </row>
    <row r="2440" spans="4:13">
      <c r="D2440" s="1" t="s">
        <v>1465</v>
      </c>
      <c r="E2440" s="1" t="s">
        <v>1467</v>
      </c>
      <c r="H2440" s="1" t="s">
        <v>22</v>
      </c>
      <c r="I2440" s="1" t="s">
        <v>23</v>
      </c>
      <c r="L2440" s="1">
        <v>1</v>
      </c>
      <c r="M2440" s="1">
        <v>1.9381999999999999</v>
      </c>
    </row>
    <row r="2441" spans="4:13">
      <c r="D2441" s="1" t="s">
        <v>1465</v>
      </c>
      <c r="E2441" s="1" t="s">
        <v>112</v>
      </c>
      <c r="F2441" s="1" t="s">
        <v>56</v>
      </c>
      <c r="G2441" s="1" t="s">
        <v>57</v>
      </c>
      <c r="H2441" s="1" t="s">
        <v>22</v>
      </c>
      <c r="I2441" s="1" t="s">
        <v>29</v>
      </c>
      <c r="J2441" s="1">
        <v>4.9312830828271128</v>
      </c>
      <c r="K2441" s="1">
        <v>623.66227223989961</v>
      </c>
      <c r="L2441" s="1">
        <v>50.713895374744951</v>
      </c>
    </row>
    <row r="2442" spans="4:13">
      <c r="D2442" s="1" t="s">
        <v>1465</v>
      </c>
      <c r="E2442" s="1" t="s">
        <v>62</v>
      </c>
      <c r="H2442" s="1" t="s">
        <v>63</v>
      </c>
      <c r="I2442" s="1" t="s">
        <v>23</v>
      </c>
      <c r="M2442" s="1">
        <v>1</v>
      </c>
    </row>
    <row r="2443" spans="4:13">
      <c r="D2443" s="1" t="s">
        <v>1468</v>
      </c>
      <c r="E2443" s="1" t="s">
        <v>1469</v>
      </c>
      <c r="F2443" s="1" t="s">
        <v>1041</v>
      </c>
      <c r="G2443" s="1" t="s">
        <v>1042</v>
      </c>
      <c r="H2443" s="1" t="s">
        <v>22</v>
      </c>
      <c r="I2443" s="1" t="s">
        <v>23</v>
      </c>
      <c r="L2443" s="1">
        <v>0.17611018362408509</v>
      </c>
      <c r="M2443" s="1">
        <v>0</v>
      </c>
    </row>
    <row r="2444" spans="4:13">
      <c r="D2444" s="1" t="s">
        <v>1468</v>
      </c>
      <c r="E2444" s="1" t="s">
        <v>1470</v>
      </c>
      <c r="H2444" s="1" t="s">
        <v>22</v>
      </c>
      <c r="I2444" s="1" t="s">
        <v>23</v>
      </c>
      <c r="J2444" s="1">
        <v>0.5</v>
      </c>
      <c r="K2444" s="1">
        <v>2</v>
      </c>
      <c r="L2444" s="1">
        <v>1</v>
      </c>
      <c r="M2444" s="1">
        <v>1</v>
      </c>
    </row>
    <row r="2445" spans="4:13">
      <c r="D2445" s="1" t="s">
        <v>1468</v>
      </c>
      <c r="E2445" s="1" t="s">
        <v>1471</v>
      </c>
      <c r="F2445" s="1" t="s">
        <v>176</v>
      </c>
      <c r="G2445" s="1" t="s">
        <v>177</v>
      </c>
      <c r="H2445" s="1" t="s">
        <v>22</v>
      </c>
      <c r="I2445" s="1" t="s">
        <v>23</v>
      </c>
      <c r="J2445" s="1">
        <v>3.9370078740157466E-2</v>
      </c>
      <c r="K2445" s="1">
        <v>78.740157480314934</v>
      </c>
      <c r="L2445" s="1">
        <v>39.370078740157467</v>
      </c>
      <c r="M2445" s="1">
        <v>19.685039370078734</v>
      </c>
    </row>
    <row r="2446" spans="4:13">
      <c r="D2446" s="1" t="s">
        <v>1468</v>
      </c>
      <c r="E2446" s="1" t="s">
        <v>1472</v>
      </c>
      <c r="H2446" s="1" t="s">
        <v>25</v>
      </c>
      <c r="I2446" s="1" t="s">
        <v>23</v>
      </c>
      <c r="M2446" s="1" t="b">
        <v>0</v>
      </c>
    </row>
    <row r="2447" spans="4:13">
      <c r="D2447" s="1" t="s">
        <v>1468</v>
      </c>
      <c r="E2447" s="1" t="s">
        <v>1473</v>
      </c>
      <c r="F2447" s="1" t="s">
        <v>176</v>
      </c>
      <c r="G2447" s="1" t="s">
        <v>177</v>
      </c>
      <c r="H2447" s="1" t="s">
        <v>22</v>
      </c>
      <c r="I2447" s="1" t="s">
        <v>23</v>
      </c>
      <c r="J2447" s="1">
        <v>3.9370078740157466E-2</v>
      </c>
      <c r="K2447" s="1">
        <v>78.740157480314934</v>
      </c>
      <c r="L2447" s="1">
        <v>39.370078740157467</v>
      </c>
      <c r="M2447" s="1">
        <v>7.8740157480314936</v>
      </c>
    </row>
    <row r="2448" spans="4:13">
      <c r="D2448" s="1" t="s">
        <v>1468</v>
      </c>
      <c r="E2448" s="1" t="s">
        <v>1474</v>
      </c>
      <c r="H2448" s="1" t="s">
        <v>25</v>
      </c>
      <c r="I2448" s="1" t="s">
        <v>23</v>
      </c>
      <c r="M2448" s="1" t="b">
        <v>0</v>
      </c>
    </row>
    <row r="2449" spans="4:13">
      <c r="D2449" s="1" t="s">
        <v>1468</v>
      </c>
      <c r="E2449" s="1" t="s">
        <v>47</v>
      </c>
      <c r="H2449" s="1" t="s">
        <v>25</v>
      </c>
      <c r="I2449" s="1" t="s">
        <v>23</v>
      </c>
      <c r="M2449" s="1" t="b">
        <v>0</v>
      </c>
    </row>
    <row r="2450" spans="4:13">
      <c r="D2450" s="1" t="s">
        <v>1468</v>
      </c>
      <c r="E2450" s="1" t="s">
        <v>1475</v>
      </c>
      <c r="H2450" s="1" t="s">
        <v>25</v>
      </c>
      <c r="I2450" s="1" t="s">
        <v>23</v>
      </c>
      <c r="M2450" s="1" t="b">
        <v>1</v>
      </c>
    </row>
    <row r="2451" spans="4:13">
      <c r="D2451" s="1" t="s">
        <v>1468</v>
      </c>
      <c r="E2451" s="1" t="s">
        <v>1476</v>
      </c>
      <c r="F2451" s="1" t="s">
        <v>176</v>
      </c>
      <c r="G2451" s="1" t="s">
        <v>177</v>
      </c>
      <c r="H2451" s="1" t="s">
        <v>22</v>
      </c>
      <c r="I2451" s="1" t="s">
        <v>23</v>
      </c>
      <c r="J2451" s="1">
        <v>3.9370078740157466E-2</v>
      </c>
      <c r="L2451" s="1">
        <v>39.370078740157467</v>
      </c>
      <c r="M2451" s="1">
        <v>3.9370078740157468</v>
      </c>
    </row>
    <row r="2452" spans="4:13">
      <c r="D2452" s="1" t="s">
        <v>1468</v>
      </c>
      <c r="E2452" s="1" t="s">
        <v>1477</v>
      </c>
      <c r="F2452" s="1" t="s">
        <v>45</v>
      </c>
      <c r="G2452" s="1" t="s">
        <v>46</v>
      </c>
      <c r="H2452" s="1" t="s">
        <v>22</v>
      </c>
      <c r="I2452" s="1" t="s">
        <v>29</v>
      </c>
      <c r="J2452" s="1">
        <v>-6.3932502128443591</v>
      </c>
      <c r="K2452" s="1">
        <v>358.61435929656</v>
      </c>
      <c r="L2452" s="1">
        <v>114.79148749423418</v>
      </c>
    </row>
    <row r="2453" spans="4:13">
      <c r="D2453" s="1" t="s">
        <v>1468</v>
      </c>
      <c r="E2453" s="1" t="s">
        <v>1478</v>
      </c>
      <c r="F2453" s="1" t="s">
        <v>56</v>
      </c>
      <c r="G2453" s="1" t="s">
        <v>57</v>
      </c>
      <c r="H2453" s="1" t="s">
        <v>22</v>
      </c>
      <c r="I2453" s="1" t="s">
        <v>29</v>
      </c>
      <c r="J2453" s="1">
        <v>4.9312830828271128</v>
      </c>
      <c r="K2453" s="1">
        <v>623.66227223989961</v>
      </c>
      <c r="L2453" s="1">
        <v>50.713895374744951</v>
      </c>
    </row>
    <row r="2454" spans="4:13">
      <c r="D2454" s="1" t="s">
        <v>1468</v>
      </c>
      <c r="E2454" s="1" t="s">
        <v>1479</v>
      </c>
      <c r="F2454" s="1" t="s">
        <v>52</v>
      </c>
      <c r="G2454" s="1" t="s">
        <v>53</v>
      </c>
      <c r="H2454" s="1" t="s">
        <v>22</v>
      </c>
      <c r="I2454" s="1" t="s">
        <v>29</v>
      </c>
      <c r="J2454" s="1">
        <v>-793664.14386555995</v>
      </c>
      <c r="K2454" s="1">
        <v>-7.9366414386555992E-3</v>
      </c>
      <c r="L2454" s="1">
        <v>7936.6414386555998</v>
      </c>
    </row>
    <row r="2455" spans="4:13">
      <c r="D2455" s="1" t="s">
        <v>1468</v>
      </c>
      <c r="E2455" s="1" t="s">
        <v>1480</v>
      </c>
      <c r="F2455" s="1" t="s">
        <v>52</v>
      </c>
      <c r="G2455" s="1" t="s">
        <v>53</v>
      </c>
      <c r="H2455" s="1" t="s">
        <v>22</v>
      </c>
      <c r="I2455" s="1" t="s">
        <v>29</v>
      </c>
      <c r="J2455" s="1">
        <v>-793664.14386555995</v>
      </c>
      <c r="K2455" s="1">
        <v>-7.9366414386555992E-3</v>
      </c>
      <c r="L2455" s="1">
        <v>7936.6414386555998</v>
      </c>
    </row>
    <row r="2456" spans="4:13">
      <c r="D2456" s="1" t="s">
        <v>1468</v>
      </c>
      <c r="E2456" s="1" t="s">
        <v>1481</v>
      </c>
      <c r="F2456" s="1" t="s">
        <v>118</v>
      </c>
      <c r="G2456" s="1" t="s">
        <v>119</v>
      </c>
      <c r="H2456" s="1" t="s">
        <v>22</v>
      </c>
      <c r="I2456" s="1" t="s">
        <v>23</v>
      </c>
      <c r="J2456" s="1">
        <v>0</v>
      </c>
      <c r="L2456" s="1">
        <v>2.20462262185</v>
      </c>
      <c r="M2456" s="1">
        <v>5.5115565546249998</v>
      </c>
    </row>
    <row r="2457" spans="4:13">
      <c r="D2457" s="1" t="s">
        <v>1468</v>
      </c>
      <c r="E2457" s="1" t="s">
        <v>1482</v>
      </c>
      <c r="H2457" s="1" t="s">
        <v>25</v>
      </c>
      <c r="I2457" s="1" t="s">
        <v>23</v>
      </c>
      <c r="M2457" s="1" t="b">
        <v>0</v>
      </c>
    </row>
    <row r="2458" spans="4:13">
      <c r="D2458" s="1" t="s">
        <v>1468</v>
      </c>
      <c r="E2458" s="1" t="s">
        <v>1081</v>
      </c>
      <c r="H2458" s="1" t="s">
        <v>22</v>
      </c>
      <c r="I2458" s="1" t="s">
        <v>23</v>
      </c>
      <c r="L2458" s="1">
        <v>1</v>
      </c>
      <c r="M2458" s="1">
        <v>0.5</v>
      </c>
    </row>
    <row r="2459" spans="4:13">
      <c r="D2459" s="1" t="s">
        <v>1468</v>
      </c>
      <c r="E2459" s="1" t="s">
        <v>1483</v>
      </c>
      <c r="H2459" s="1" t="s">
        <v>22</v>
      </c>
      <c r="I2459" s="1" t="s">
        <v>23</v>
      </c>
      <c r="L2459" s="1">
        <v>1</v>
      </c>
      <c r="M2459" s="1">
        <v>1E-10</v>
      </c>
    </row>
    <row r="2460" spans="4:13">
      <c r="D2460" s="1" t="s">
        <v>1468</v>
      </c>
      <c r="E2460" s="1" t="s">
        <v>1298</v>
      </c>
      <c r="F2460" s="1" t="s">
        <v>147</v>
      </c>
      <c r="G2460" s="1" t="s">
        <v>148</v>
      </c>
      <c r="H2460" s="1" t="s">
        <v>22</v>
      </c>
      <c r="I2460" s="1" t="s">
        <v>65</v>
      </c>
      <c r="L2460" s="1">
        <v>3.4121416351331</v>
      </c>
    </row>
    <row r="2461" spans="4:13">
      <c r="D2461" s="1" t="s">
        <v>1468</v>
      </c>
      <c r="E2461" s="1" t="s">
        <v>1484</v>
      </c>
      <c r="F2461" s="1" t="s">
        <v>35</v>
      </c>
      <c r="G2461" s="1" t="s">
        <v>36</v>
      </c>
      <c r="H2461" s="1" t="s">
        <v>22</v>
      </c>
      <c r="I2461" s="1" t="s">
        <v>65</v>
      </c>
      <c r="J2461" s="1">
        <v>-459.67</v>
      </c>
      <c r="L2461" s="1">
        <v>80.329999999999984</v>
      </c>
    </row>
    <row r="2462" spans="4:13">
      <c r="D2462" s="1" t="s">
        <v>1468</v>
      </c>
      <c r="E2462" s="1" t="s">
        <v>1485</v>
      </c>
      <c r="F2462" s="1" t="s">
        <v>35</v>
      </c>
      <c r="G2462" s="1" t="s">
        <v>36</v>
      </c>
      <c r="H2462" s="1" t="s">
        <v>22</v>
      </c>
      <c r="I2462" s="1" t="s">
        <v>65</v>
      </c>
      <c r="J2462" s="1">
        <v>-459.67</v>
      </c>
      <c r="L2462" s="1">
        <v>80.329999999999984</v>
      </c>
    </row>
    <row r="2463" spans="4:13">
      <c r="D2463" s="1" t="s">
        <v>1468</v>
      </c>
      <c r="E2463" s="1" t="s">
        <v>1486</v>
      </c>
      <c r="F2463" s="1" t="s">
        <v>124</v>
      </c>
      <c r="G2463" s="1" t="s">
        <v>125</v>
      </c>
      <c r="H2463" s="1" t="s">
        <v>22</v>
      </c>
      <c r="I2463" s="1" t="s">
        <v>65</v>
      </c>
      <c r="L2463" s="1">
        <v>35.314666699999997</v>
      </c>
    </row>
    <row r="2464" spans="4:13">
      <c r="D2464" s="1" t="s">
        <v>1468</v>
      </c>
      <c r="E2464" s="1" t="s">
        <v>1487</v>
      </c>
      <c r="F2464" s="1" t="s">
        <v>124</v>
      </c>
      <c r="G2464" s="1" t="s">
        <v>125</v>
      </c>
      <c r="H2464" s="1" t="s">
        <v>22</v>
      </c>
      <c r="I2464" s="1" t="s">
        <v>65</v>
      </c>
      <c r="L2464" s="1">
        <v>35.314666699999997</v>
      </c>
    </row>
    <row r="2465" spans="4:13">
      <c r="D2465" s="1" t="s">
        <v>1468</v>
      </c>
      <c r="E2465" s="1" t="s">
        <v>1448</v>
      </c>
      <c r="H2465" s="1" t="s">
        <v>22</v>
      </c>
      <c r="I2465" s="1" t="s">
        <v>120</v>
      </c>
      <c r="L2465" s="1">
        <v>1</v>
      </c>
    </row>
    <row r="2466" spans="4:13">
      <c r="D2466" s="1" t="s">
        <v>1468</v>
      </c>
      <c r="E2466" s="1" t="s">
        <v>68</v>
      </c>
      <c r="F2466" s="1" t="s">
        <v>45</v>
      </c>
      <c r="G2466" s="1" t="s">
        <v>46</v>
      </c>
      <c r="H2466" s="1" t="s">
        <v>22</v>
      </c>
      <c r="I2466" s="1" t="s">
        <v>65</v>
      </c>
      <c r="L2466" s="1">
        <v>4.2992261378713571E-4</v>
      </c>
    </row>
    <row r="2467" spans="4:13">
      <c r="D2467" s="1" t="s">
        <v>1468</v>
      </c>
      <c r="E2467" s="1" t="s">
        <v>69</v>
      </c>
      <c r="H2467" s="1" t="s">
        <v>25</v>
      </c>
      <c r="I2467" s="1" t="s">
        <v>70</v>
      </c>
    </row>
    <row r="2468" spans="4:13">
      <c r="D2468" s="1" t="s">
        <v>1468</v>
      </c>
      <c r="E2468" s="1" t="s">
        <v>1450</v>
      </c>
      <c r="F2468" s="1" t="s">
        <v>176</v>
      </c>
      <c r="G2468" s="1" t="s">
        <v>177</v>
      </c>
      <c r="H2468" s="1" t="s">
        <v>22</v>
      </c>
      <c r="I2468" s="1" t="s">
        <v>65</v>
      </c>
      <c r="J2468" s="1">
        <v>0</v>
      </c>
      <c r="L2468" s="1">
        <v>39.370078740157467</v>
      </c>
    </row>
    <row r="2469" spans="4:13">
      <c r="D2469" s="1" t="s">
        <v>1468</v>
      </c>
      <c r="E2469" s="1" t="s">
        <v>117</v>
      </c>
      <c r="F2469" s="1" t="s">
        <v>118</v>
      </c>
      <c r="G2469" s="1" t="s">
        <v>119</v>
      </c>
      <c r="H2469" s="1" t="s">
        <v>22</v>
      </c>
      <c r="I2469" s="1" t="s">
        <v>65</v>
      </c>
      <c r="J2469" s="1">
        <v>0</v>
      </c>
      <c r="L2469" s="1">
        <v>2.20462262185</v>
      </c>
    </row>
    <row r="2470" spans="4:13">
      <c r="D2470" s="1" t="s">
        <v>1468</v>
      </c>
      <c r="E2470" s="1" t="s">
        <v>1488</v>
      </c>
      <c r="H2470" s="1" t="s">
        <v>22</v>
      </c>
      <c r="I2470" s="1" t="s">
        <v>65</v>
      </c>
      <c r="L2470" s="1">
        <v>1</v>
      </c>
    </row>
    <row r="2471" spans="4:13">
      <c r="D2471" s="1" t="s">
        <v>1468</v>
      </c>
      <c r="E2471" s="1" t="s">
        <v>123</v>
      </c>
      <c r="F2471" s="1" t="s">
        <v>124</v>
      </c>
      <c r="G2471" s="1" t="s">
        <v>125</v>
      </c>
      <c r="H2471" s="1" t="s">
        <v>22</v>
      </c>
      <c r="I2471" s="1" t="s">
        <v>70</v>
      </c>
      <c r="L2471" s="1">
        <v>35.314666699999997</v>
      </c>
    </row>
    <row r="2472" spans="4:13">
      <c r="D2472" s="1" t="s">
        <v>1468</v>
      </c>
      <c r="E2472" s="1" t="s">
        <v>77</v>
      </c>
      <c r="H2472" s="1" t="s">
        <v>22</v>
      </c>
      <c r="I2472" s="1" t="s">
        <v>65</v>
      </c>
      <c r="L2472" s="1">
        <v>1</v>
      </c>
    </row>
    <row r="2473" spans="4:13">
      <c r="D2473" s="1" t="s">
        <v>1489</v>
      </c>
      <c r="E2473" s="1" t="s">
        <v>1490</v>
      </c>
      <c r="F2473" s="1" t="s">
        <v>35</v>
      </c>
      <c r="G2473" s="1" t="s">
        <v>36</v>
      </c>
      <c r="H2473" s="1" t="s">
        <v>22</v>
      </c>
      <c r="I2473" s="1" t="s">
        <v>23</v>
      </c>
      <c r="J2473" s="1">
        <v>-459.67</v>
      </c>
      <c r="L2473" s="1">
        <v>80.329999999999984</v>
      </c>
      <c r="M2473" s="1">
        <v>94.999999999999943</v>
      </c>
    </row>
    <row r="2474" spans="4:13">
      <c r="D2474" s="1" t="s">
        <v>1489</v>
      </c>
      <c r="E2474" s="1" t="s">
        <v>1491</v>
      </c>
      <c r="F2474" s="1" t="s">
        <v>147</v>
      </c>
      <c r="G2474" s="1" t="s">
        <v>148</v>
      </c>
      <c r="H2474" s="1" t="s">
        <v>22</v>
      </c>
      <c r="I2474" s="1" t="s">
        <v>23</v>
      </c>
      <c r="L2474" s="1">
        <v>3.4121416351331</v>
      </c>
      <c r="M2474" s="1">
        <v>5400225.9588434007</v>
      </c>
    </row>
    <row r="2475" spans="4:13">
      <c r="D2475" s="1" t="s">
        <v>1489</v>
      </c>
      <c r="E2475" s="1" t="s">
        <v>1492</v>
      </c>
      <c r="F2475" s="1" t="s">
        <v>1493</v>
      </c>
      <c r="G2475" s="1" t="s">
        <v>1494</v>
      </c>
      <c r="H2475" s="1" t="s">
        <v>22</v>
      </c>
      <c r="I2475" s="1" t="s">
        <v>23</v>
      </c>
      <c r="L2475" s="1">
        <v>3.280839895013123</v>
      </c>
      <c r="M2475" s="1">
        <v>32.174048556430442</v>
      </c>
    </row>
    <row r="2476" spans="4:13">
      <c r="D2476" s="1" t="s">
        <v>1489</v>
      </c>
      <c r="E2476" s="1" t="s">
        <v>1495</v>
      </c>
      <c r="F2476" s="1" t="s">
        <v>56</v>
      </c>
      <c r="G2476" s="1" t="s">
        <v>57</v>
      </c>
      <c r="H2476" s="1" t="s">
        <v>22</v>
      </c>
      <c r="I2476" s="1" t="s">
        <v>23</v>
      </c>
      <c r="J2476" s="1">
        <v>0</v>
      </c>
      <c r="L2476" s="1">
        <v>14.503773773020921</v>
      </c>
      <c r="M2476" s="1">
        <v>14.695948775513449</v>
      </c>
    </row>
    <row r="2477" spans="4:13">
      <c r="D2477" s="1" t="s">
        <v>1489</v>
      </c>
      <c r="E2477" s="1" t="s">
        <v>1496</v>
      </c>
      <c r="H2477" s="1" t="s">
        <v>181</v>
      </c>
      <c r="I2477" s="1" t="s">
        <v>23</v>
      </c>
      <c r="J2477" s="1">
        <v>1</v>
      </c>
      <c r="K2477" s="1">
        <v>2</v>
      </c>
      <c r="M2477" s="1" t="s">
        <v>1497</v>
      </c>
    </row>
    <row r="2478" spans="4:13">
      <c r="D2478" s="1" t="s">
        <v>1489</v>
      </c>
      <c r="E2478" s="1" t="s">
        <v>1498</v>
      </c>
      <c r="H2478" s="1" t="s">
        <v>181</v>
      </c>
      <c r="I2478" s="1" t="s">
        <v>23</v>
      </c>
      <c r="J2478" s="1">
        <v>1</v>
      </c>
      <c r="K2478" s="1">
        <v>2</v>
      </c>
      <c r="M2478" s="1" t="s">
        <v>1499</v>
      </c>
    </row>
    <row r="2479" spans="4:13">
      <c r="D2479" s="1" t="s">
        <v>1500</v>
      </c>
      <c r="H2479" s="1" t="s">
        <v>25</v>
      </c>
      <c r="I2479" s="1" t="s">
        <v>23</v>
      </c>
      <c r="M2479" s="1" t="b">
        <v>1</v>
      </c>
    </row>
    <row r="2480" spans="4:13">
      <c r="D2480" s="1" t="s">
        <v>1474</v>
      </c>
      <c r="H2480" s="1" t="s">
        <v>25</v>
      </c>
      <c r="I2480" s="1" t="s">
        <v>23</v>
      </c>
      <c r="M2480" s="1" t="b">
        <v>0</v>
      </c>
    </row>
    <row r="2481" spans="4:13">
      <c r="D2481" s="1" t="s">
        <v>1501</v>
      </c>
      <c r="H2481" s="1" t="s">
        <v>25</v>
      </c>
      <c r="I2481" s="1" t="s">
        <v>23</v>
      </c>
      <c r="M2481" s="1" t="b">
        <v>0</v>
      </c>
    </row>
    <row r="2482" spans="4:13">
      <c r="D2482" s="1" t="s">
        <v>1502</v>
      </c>
      <c r="H2482" s="1" t="s">
        <v>25</v>
      </c>
      <c r="I2482" s="1" t="s">
        <v>23</v>
      </c>
      <c r="M2482" s="1" t="b">
        <v>1</v>
      </c>
    </row>
    <row r="2483" spans="4:13">
      <c r="D2483" s="1" t="s">
        <v>1503</v>
      </c>
      <c r="H2483" s="1" t="s">
        <v>25</v>
      </c>
      <c r="I2483" s="1" t="s">
        <v>23</v>
      </c>
      <c r="M2483" s="1" t="b">
        <v>1</v>
      </c>
    </row>
    <row r="2484" spans="4:13">
      <c r="D2484" s="1" t="s">
        <v>1504</v>
      </c>
      <c r="H2484" s="1" t="s">
        <v>25</v>
      </c>
      <c r="I2484" s="1" t="s">
        <v>23</v>
      </c>
      <c r="M2484" s="1" t="b">
        <v>1</v>
      </c>
    </row>
    <row r="2485" spans="4:13">
      <c r="D2485" s="1" t="s">
        <v>1505</v>
      </c>
      <c r="H2485" s="1" t="s">
        <v>25</v>
      </c>
      <c r="I2485" s="1" t="s">
        <v>23</v>
      </c>
      <c r="M2485" s="1" t="b">
        <v>0</v>
      </c>
    </row>
    <row r="2486" spans="4:13">
      <c r="D2486" s="1" t="s">
        <v>1506</v>
      </c>
      <c r="E2486" s="1" t="s">
        <v>47</v>
      </c>
      <c r="H2486" s="1" t="s">
        <v>25</v>
      </c>
      <c r="I2486" s="1" t="s">
        <v>23</v>
      </c>
      <c r="M2486" s="1" t="b">
        <v>0</v>
      </c>
    </row>
    <row r="2487" spans="4:13">
      <c r="D2487" s="1" t="s">
        <v>1506</v>
      </c>
      <c r="E2487" s="1" t="s">
        <v>1507</v>
      </c>
      <c r="H2487" s="1" t="s">
        <v>25</v>
      </c>
      <c r="I2487" s="1" t="s">
        <v>23</v>
      </c>
      <c r="M2487" s="1" t="b">
        <v>0</v>
      </c>
    </row>
    <row r="2488" spans="4:13">
      <c r="D2488" s="1" t="s">
        <v>1506</v>
      </c>
      <c r="E2488" s="1" t="s">
        <v>1508</v>
      </c>
      <c r="H2488" s="1" t="s">
        <v>25</v>
      </c>
      <c r="I2488" s="1" t="s">
        <v>23</v>
      </c>
      <c r="M2488" s="1" t="b">
        <v>0</v>
      </c>
    </row>
    <row r="2489" spans="4:13">
      <c r="D2489" s="1" t="s">
        <v>1506</v>
      </c>
      <c r="E2489" s="1" t="s">
        <v>62</v>
      </c>
      <c r="H2489" s="1" t="s">
        <v>63</v>
      </c>
      <c r="I2489" s="1" t="s">
        <v>23</v>
      </c>
      <c r="M2489" s="1">
        <v>1</v>
      </c>
    </row>
    <row r="2490" spans="4:13">
      <c r="D2490" s="1" t="s">
        <v>1509</v>
      </c>
      <c r="E2490" s="1" t="s">
        <v>47</v>
      </c>
      <c r="H2490" s="1" t="s">
        <v>25</v>
      </c>
      <c r="I2490" s="1" t="s">
        <v>23</v>
      </c>
      <c r="M2490" s="1" t="b">
        <v>0</v>
      </c>
    </row>
    <row r="2491" spans="4:13">
      <c r="D2491" s="1" t="s">
        <v>1509</v>
      </c>
      <c r="E2491" s="1" t="s">
        <v>1507</v>
      </c>
      <c r="H2491" s="1" t="s">
        <v>25</v>
      </c>
      <c r="I2491" s="1" t="s">
        <v>23</v>
      </c>
      <c r="M2491" s="1" t="b">
        <v>0</v>
      </c>
    </row>
    <row r="2492" spans="4:13">
      <c r="D2492" s="1" t="s">
        <v>1509</v>
      </c>
      <c r="E2492" s="1" t="s">
        <v>1508</v>
      </c>
      <c r="H2492" s="1" t="s">
        <v>25</v>
      </c>
      <c r="I2492" s="1" t="s">
        <v>23</v>
      </c>
      <c r="M2492" s="1" t="b">
        <v>0</v>
      </c>
    </row>
    <row r="2493" spans="4:13">
      <c r="D2493" s="1" t="s">
        <v>1509</v>
      </c>
      <c r="E2493" s="1" t="s">
        <v>62</v>
      </c>
      <c r="H2493" s="1" t="s">
        <v>63</v>
      </c>
      <c r="I2493" s="1" t="s">
        <v>23</v>
      </c>
      <c r="M2493" s="1">
        <v>1</v>
      </c>
    </row>
    <row r="2494" spans="4:13">
      <c r="D2494" s="1" t="s">
        <v>1510</v>
      </c>
      <c r="E2494" s="1" t="s">
        <v>47</v>
      </c>
      <c r="H2494" s="1" t="s">
        <v>25</v>
      </c>
      <c r="I2494" s="1" t="s">
        <v>23</v>
      </c>
      <c r="M2494" s="1" t="b">
        <v>0</v>
      </c>
    </row>
    <row r="2495" spans="4:13">
      <c r="D2495" s="1" t="s">
        <v>1510</v>
      </c>
      <c r="E2495" s="1" t="s">
        <v>1507</v>
      </c>
      <c r="H2495" s="1" t="s">
        <v>25</v>
      </c>
      <c r="I2495" s="1" t="s">
        <v>23</v>
      </c>
      <c r="M2495" s="1" t="b">
        <v>0</v>
      </c>
    </row>
    <row r="2496" spans="4:13">
      <c r="D2496" s="1" t="s">
        <v>1510</v>
      </c>
      <c r="E2496" s="1" t="s">
        <v>1508</v>
      </c>
      <c r="H2496" s="1" t="s">
        <v>25</v>
      </c>
      <c r="I2496" s="1" t="s">
        <v>23</v>
      </c>
      <c r="M2496" s="1" t="b">
        <v>0</v>
      </c>
    </row>
    <row r="2497" spans="4:13">
      <c r="D2497" s="1" t="s">
        <v>1510</v>
      </c>
      <c r="E2497" s="1" t="s">
        <v>62</v>
      </c>
      <c r="H2497" s="1" t="s">
        <v>63</v>
      </c>
      <c r="I2497" s="1" t="s">
        <v>23</v>
      </c>
      <c r="M2497" s="1">
        <v>1</v>
      </c>
    </row>
    <row r="2498" spans="4:13">
      <c r="D2498" s="1" t="s">
        <v>1511</v>
      </c>
      <c r="E2498" s="1" t="s">
        <v>47</v>
      </c>
      <c r="H2498" s="1" t="s">
        <v>25</v>
      </c>
      <c r="I2498" s="1" t="s">
        <v>23</v>
      </c>
      <c r="M2498" s="1" t="b">
        <v>0</v>
      </c>
    </row>
    <row r="2499" spans="4:13">
      <c r="D2499" s="1" t="s">
        <v>1511</v>
      </c>
      <c r="E2499" s="1" t="s">
        <v>1507</v>
      </c>
      <c r="H2499" s="1" t="s">
        <v>25</v>
      </c>
      <c r="I2499" s="1" t="s">
        <v>23</v>
      </c>
      <c r="M2499" s="1" t="b">
        <v>0</v>
      </c>
    </row>
    <row r="2500" spans="4:13">
      <c r="D2500" s="1" t="s">
        <v>1511</v>
      </c>
      <c r="E2500" s="1" t="s">
        <v>1508</v>
      </c>
      <c r="H2500" s="1" t="s">
        <v>25</v>
      </c>
      <c r="I2500" s="1" t="s">
        <v>23</v>
      </c>
      <c r="M2500" s="1" t="b">
        <v>0</v>
      </c>
    </row>
    <row r="2501" spans="4:13">
      <c r="D2501" s="1" t="s">
        <v>1511</v>
      </c>
      <c r="E2501" s="1" t="s">
        <v>62</v>
      </c>
      <c r="H2501" s="1" t="s">
        <v>63</v>
      </c>
      <c r="I2501" s="1" t="s">
        <v>23</v>
      </c>
      <c r="M2501" s="1">
        <v>1</v>
      </c>
    </row>
    <row r="2502" spans="4:13">
      <c r="D2502" s="1" t="s">
        <v>1512</v>
      </c>
      <c r="E2502" s="1" t="s">
        <v>1513</v>
      </c>
      <c r="H2502" s="1" t="s">
        <v>25</v>
      </c>
      <c r="I2502" s="1" t="s">
        <v>23</v>
      </c>
      <c r="M2502" s="1" t="b">
        <v>1</v>
      </c>
    </row>
    <row r="2503" spans="4:13">
      <c r="D2503" s="1" t="s">
        <v>1512</v>
      </c>
      <c r="E2503" s="1" t="s">
        <v>871</v>
      </c>
      <c r="H2503" s="1" t="s">
        <v>25</v>
      </c>
      <c r="I2503" s="1" t="s">
        <v>23</v>
      </c>
      <c r="M2503" s="1" t="b">
        <v>0</v>
      </c>
    </row>
    <row r="2504" spans="4:13">
      <c r="D2504" s="1" t="s">
        <v>1512</v>
      </c>
      <c r="E2504" s="1" t="s">
        <v>872</v>
      </c>
      <c r="F2504" s="1" t="s">
        <v>147</v>
      </c>
      <c r="G2504" s="1" t="s">
        <v>148</v>
      </c>
      <c r="H2504" s="1" t="s">
        <v>22</v>
      </c>
      <c r="I2504" s="1" t="s">
        <v>23</v>
      </c>
      <c r="J2504" s="1">
        <v>0</v>
      </c>
      <c r="K2504" s="1">
        <v>34121416.351331003</v>
      </c>
      <c r="L2504" s="1">
        <v>3.4121416351331</v>
      </c>
      <c r="M2504" s="1">
        <v>1706.07081756655</v>
      </c>
    </row>
    <row r="2505" spans="4:13">
      <c r="D2505" s="1" t="s">
        <v>1512</v>
      </c>
      <c r="E2505" s="1" t="s">
        <v>1514</v>
      </c>
      <c r="H2505" s="1" t="s">
        <v>25</v>
      </c>
      <c r="I2505" s="1" t="s">
        <v>23</v>
      </c>
      <c r="M2505" s="1" t="b">
        <v>1</v>
      </c>
    </row>
    <row r="2506" spans="4:13">
      <c r="D2506" s="1" t="s">
        <v>1512</v>
      </c>
      <c r="E2506" s="1" t="s">
        <v>1515</v>
      </c>
      <c r="F2506" s="1" t="s">
        <v>147</v>
      </c>
      <c r="G2506" s="1" t="s">
        <v>148</v>
      </c>
      <c r="H2506" s="1" t="s">
        <v>22</v>
      </c>
      <c r="I2506" s="1" t="s">
        <v>23</v>
      </c>
      <c r="J2506" s="1">
        <v>0</v>
      </c>
      <c r="K2506" s="1">
        <v>34121416351.331001</v>
      </c>
      <c r="L2506" s="1">
        <v>3.4121416351331</v>
      </c>
      <c r="M2506" s="1">
        <v>0</v>
      </c>
    </row>
    <row r="2507" spans="4:13">
      <c r="D2507" s="1" t="s">
        <v>1512</v>
      </c>
      <c r="E2507" s="1" t="s">
        <v>1516</v>
      </c>
      <c r="F2507" s="1" t="s">
        <v>1517</v>
      </c>
      <c r="G2507" s="1" t="s">
        <v>1517</v>
      </c>
      <c r="H2507" s="1" t="s">
        <v>22</v>
      </c>
      <c r="I2507" s="1" t="s">
        <v>23</v>
      </c>
      <c r="J2507" s="1">
        <v>0</v>
      </c>
      <c r="K2507" s="1">
        <v>1000</v>
      </c>
      <c r="L2507" s="1">
        <v>1</v>
      </c>
      <c r="M2507" s="1">
        <v>460</v>
      </c>
    </row>
    <row r="2508" spans="4:13">
      <c r="D2508" s="1" t="s">
        <v>1512</v>
      </c>
      <c r="E2508" s="1" t="s">
        <v>906</v>
      </c>
      <c r="H2508" s="1" t="s">
        <v>22</v>
      </c>
      <c r="I2508" s="1" t="s">
        <v>23</v>
      </c>
      <c r="J2508" s="1">
        <v>0.5</v>
      </c>
      <c r="K2508" s="1">
        <v>2</v>
      </c>
      <c r="L2508" s="1">
        <v>1</v>
      </c>
      <c r="M2508" s="1">
        <v>1</v>
      </c>
    </row>
    <row r="2509" spans="4:13">
      <c r="D2509" s="1" t="s">
        <v>1512</v>
      </c>
      <c r="E2509" s="1" t="s">
        <v>907</v>
      </c>
      <c r="H2509" s="1" t="s">
        <v>25</v>
      </c>
      <c r="I2509" s="1" t="s">
        <v>23</v>
      </c>
      <c r="M2509" s="1" t="b">
        <v>1</v>
      </c>
    </row>
    <row r="2510" spans="4:13">
      <c r="D2510" s="1" t="s">
        <v>1512</v>
      </c>
      <c r="E2510" s="1" t="s">
        <v>914</v>
      </c>
      <c r="H2510" s="1" t="s">
        <v>22</v>
      </c>
      <c r="I2510" s="1" t="s">
        <v>29</v>
      </c>
      <c r="J2510" s="1">
        <v>0.1</v>
      </c>
      <c r="K2510" s="1">
        <v>10</v>
      </c>
      <c r="L2510" s="1">
        <v>5.05</v>
      </c>
    </row>
    <row r="2511" spans="4:13">
      <c r="D2511" s="1" t="s">
        <v>1512</v>
      </c>
      <c r="E2511" s="1" t="s">
        <v>1518</v>
      </c>
      <c r="H2511" s="1" t="s">
        <v>22</v>
      </c>
      <c r="I2511" s="1" t="s">
        <v>29</v>
      </c>
      <c r="J2511" s="1">
        <v>9.9999999999999995E-7</v>
      </c>
      <c r="K2511" s="1">
        <v>1000000</v>
      </c>
      <c r="L2511" s="1">
        <v>13500</v>
      </c>
    </row>
    <row r="2512" spans="4:13">
      <c r="D2512" s="1" t="s">
        <v>1512</v>
      </c>
      <c r="E2512" s="1" t="s">
        <v>1519</v>
      </c>
      <c r="H2512" s="1" t="s">
        <v>25</v>
      </c>
      <c r="I2512" s="1" t="s">
        <v>23</v>
      </c>
      <c r="M2512" s="1" t="b">
        <v>1</v>
      </c>
    </row>
    <row r="2513" spans="4:13">
      <c r="D2513" s="1" t="s">
        <v>1512</v>
      </c>
      <c r="E2513" s="1" t="s">
        <v>1520</v>
      </c>
      <c r="H2513" s="1" t="s">
        <v>22</v>
      </c>
      <c r="I2513" s="1" t="s">
        <v>23</v>
      </c>
      <c r="J2513" s="1">
        <v>0</v>
      </c>
      <c r="K2513" s="1">
        <v>1</v>
      </c>
      <c r="L2513" s="1">
        <v>1</v>
      </c>
      <c r="M2513" s="1">
        <v>0.95779999999999998</v>
      </c>
    </row>
    <row r="2514" spans="4:13">
      <c r="D2514" s="1" t="s">
        <v>1512</v>
      </c>
      <c r="E2514" s="1" t="s">
        <v>47</v>
      </c>
      <c r="H2514" s="1" t="s">
        <v>25</v>
      </c>
      <c r="I2514" s="1" t="s">
        <v>23</v>
      </c>
      <c r="M2514" s="1" t="b">
        <v>0</v>
      </c>
    </row>
    <row r="2515" spans="4:13">
      <c r="D2515" s="1" t="s">
        <v>1512</v>
      </c>
      <c r="E2515" s="1" t="s">
        <v>920</v>
      </c>
      <c r="H2515" s="1" t="s">
        <v>22</v>
      </c>
      <c r="I2515" s="1" t="s">
        <v>23</v>
      </c>
      <c r="J2515" s="1">
        <v>-1</v>
      </c>
      <c r="K2515" s="1">
        <v>1</v>
      </c>
      <c r="L2515" s="1">
        <v>1</v>
      </c>
      <c r="M2515" s="1">
        <v>0</v>
      </c>
    </row>
    <row r="2516" spans="4:13">
      <c r="D2516" s="1" t="s">
        <v>1512</v>
      </c>
      <c r="E2516" s="1" t="s">
        <v>921</v>
      </c>
      <c r="H2516" s="1" t="s">
        <v>22</v>
      </c>
      <c r="I2516" s="1" t="s">
        <v>23</v>
      </c>
      <c r="J2516" s="1">
        <v>0</v>
      </c>
      <c r="K2516" s="1">
        <v>1</v>
      </c>
      <c r="L2516" s="1">
        <v>1</v>
      </c>
      <c r="M2516" s="1">
        <v>0</v>
      </c>
    </row>
    <row r="2517" spans="4:13">
      <c r="D2517" s="1" t="s">
        <v>1512</v>
      </c>
      <c r="E2517" s="1" t="s">
        <v>1521</v>
      </c>
      <c r="H2517" s="1" t="s">
        <v>25</v>
      </c>
      <c r="I2517" s="1" t="s">
        <v>23</v>
      </c>
      <c r="M2517" s="1" t="b">
        <v>0</v>
      </c>
    </row>
    <row r="2518" spans="4:13">
      <c r="D2518" s="1" t="s">
        <v>1512</v>
      </c>
      <c r="E2518" s="1" t="s">
        <v>1522</v>
      </c>
      <c r="F2518" s="1" t="s">
        <v>147</v>
      </c>
      <c r="G2518" s="1" t="s">
        <v>148</v>
      </c>
      <c r="H2518" s="1" t="s">
        <v>22</v>
      </c>
      <c r="I2518" s="1" t="s">
        <v>23</v>
      </c>
      <c r="J2518" s="1">
        <v>0</v>
      </c>
      <c r="K2518" s="1">
        <v>34121416351.331001</v>
      </c>
      <c r="L2518" s="1">
        <v>3.4121416351331</v>
      </c>
      <c r="M2518" s="1">
        <v>1706070.8175665501</v>
      </c>
    </row>
    <row r="2519" spans="4:13">
      <c r="D2519" s="1" t="s">
        <v>1512</v>
      </c>
      <c r="E2519" s="1" t="s">
        <v>1523</v>
      </c>
      <c r="H2519" s="1" t="s">
        <v>22</v>
      </c>
      <c r="I2519" s="1" t="s">
        <v>29</v>
      </c>
      <c r="J2519" s="1">
        <v>0.01</v>
      </c>
      <c r="K2519" s="1">
        <v>100</v>
      </c>
      <c r="L2519" s="1">
        <v>50.005000000000003</v>
      </c>
    </row>
    <row r="2520" spans="4:13">
      <c r="D2520" s="1" t="s">
        <v>1512</v>
      </c>
      <c r="E2520" s="1" t="s">
        <v>1524</v>
      </c>
      <c r="H2520" s="1" t="s">
        <v>22</v>
      </c>
      <c r="I2520" s="1" t="s">
        <v>23</v>
      </c>
      <c r="J2520" s="1">
        <v>0</v>
      </c>
      <c r="K2520" s="1">
        <v>100</v>
      </c>
      <c r="L2520" s="1">
        <v>1</v>
      </c>
      <c r="M2520" s="1">
        <v>1</v>
      </c>
    </row>
    <row r="2521" spans="4:13">
      <c r="D2521" s="1" t="s">
        <v>1512</v>
      </c>
      <c r="E2521" s="1" t="s">
        <v>1525</v>
      </c>
      <c r="H2521" s="1" t="s">
        <v>25</v>
      </c>
      <c r="I2521" s="1" t="s">
        <v>23</v>
      </c>
      <c r="M2521" s="1" t="b">
        <v>1</v>
      </c>
    </row>
    <row r="2522" spans="4:13">
      <c r="D2522" s="1" t="s">
        <v>1512</v>
      </c>
      <c r="E2522" s="1" t="s">
        <v>949</v>
      </c>
      <c r="H2522" s="1" t="s">
        <v>181</v>
      </c>
      <c r="I2522" s="1" t="s">
        <v>23</v>
      </c>
      <c r="J2522" s="1">
        <v>1</v>
      </c>
      <c r="K2522" s="1">
        <v>26</v>
      </c>
      <c r="M2522" s="1" t="s">
        <v>1526</v>
      </c>
    </row>
    <row r="2523" spans="4:13">
      <c r="D2523" s="1" t="s">
        <v>1512</v>
      </c>
      <c r="E2523" s="1" t="s">
        <v>951</v>
      </c>
      <c r="H2523" s="1" t="s">
        <v>181</v>
      </c>
      <c r="I2523" s="1" t="s">
        <v>23</v>
      </c>
      <c r="J2523" s="1">
        <v>1</v>
      </c>
      <c r="K2523" s="1">
        <v>14</v>
      </c>
      <c r="M2523" s="1" t="s">
        <v>1527</v>
      </c>
    </row>
    <row r="2524" spans="4:13">
      <c r="D2524" s="1" t="s">
        <v>1512</v>
      </c>
      <c r="E2524" s="1" t="s">
        <v>1528</v>
      </c>
      <c r="H2524" s="1" t="s">
        <v>181</v>
      </c>
      <c r="I2524" s="1" t="s">
        <v>23</v>
      </c>
      <c r="J2524" s="1">
        <v>1</v>
      </c>
      <c r="K2524" s="1">
        <v>874</v>
      </c>
      <c r="M2524" s="1" t="s">
        <v>950</v>
      </c>
    </row>
    <row r="2525" spans="4:13">
      <c r="D2525" s="1" t="s">
        <v>1512</v>
      </c>
      <c r="E2525" s="1" t="s">
        <v>1529</v>
      </c>
      <c r="H2525" s="1" t="s">
        <v>25</v>
      </c>
      <c r="I2525" s="1" t="s">
        <v>23</v>
      </c>
      <c r="M2525" s="1" t="b">
        <v>0</v>
      </c>
    </row>
    <row r="2526" spans="4:13">
      <c r="D2526" s="1" t="s">
        <v>1512</v>
      </c>
      <c r="E2526" s="1" t="s">
        <v>1530</v>
      </c>
      <c r="F2526" s="1" t="s">
        <v>874</v>
      </c>
      <c r="G2526" s="1" t="s">
        <v>874</v>
      </c>
      <c r="H2526" s="1" t="s">
        <v>22</v>
      </c>
      <c r="I2526" s="1" t="s">
        <v>23</v>
      </c>
      <c r="J2526" s="1">
        <v>0</v>
      </c>
      <c r="K2526" s="1">
        <v>1000000</v>
      </c>
      <c r="L2526" s="1">
        <v>1</v>
      </c>
      <c r="M2526" s="1">
        <v>3000</v>
      </c>
    </row>
    <row r="2527" spans="4:13">
      <c r="D2527" s="1" t="s">
        <v>1512</v>
      </c>
      <c r="E2527" s="1" t="s">
        <v>1531</v>
      </c>
      <c r="F2527" s="1" t="s">
        <v>874</v>
      </c>
      <c r="G2527" s="1" t="s">
        <v>874</v>
      </c>
      <c r="H2527" s="1" t="s">
        <v>22</v>
      </c>
      <c r="I2527" s="1" t="s">
        <v>23</v>
      </c>
      <c r="J2527" s="1">
        <v>0</v>
      </c>
      <c r="K2527" s="1">
        <v>1000000</v>
      </c>
      <c r="L2527" s="1">
        <v>1</v>
      </c>
      <c r="M2527" s="1">
        <v>3000</v>
      </c>
    </row>
    <row r="2528" spans="4:13">
      <c r="D2528" s="1" t="s">
        <v>1512</v>
      </c>
      <c r="E2528" s="1" t="s">
        <v>1532</v>
      </c>
      <c r="F2528" s="1" t="s">
        <v>874</v>
      </c>
      <c r="G2528" s="1" t="s">
        <v>874</v>
      </c>
      <c r="H2528" s="1" t="s">
        <v>22</v>
      </c>
      <c r="I2528" s="1" t="s">
        <v>23</v>
      </c>
      <c r="J2528" s="1">
        <v>0</v>
      </c>
      <c r="K2528" s="1">
        <v>1000000</v>
      </c>
      <c r="L2528" s="1">
        <v>1</v>
      </c>
      <c r="M2528" s="1">
        <v>10000</v>
      </c>
    </row>
    <row r="2529" spans="4:12">
      <c r="D2529" s="1" t="s">
        <v>1512</v>
      </c>
      <c r="E2529" s="1" t="s">
        <v>1533</v>
      </c>
      <c r="F2529" s="1" t="s">
        <v>200</v>
      </c>
      <c r="G2529" s="1" t="s">
        <v>200</v>
      </c>
      <c r="H2529" s="1" t="s">
        <v>22</v>
      </c>
      <c r="I2529" s="1" t="s">
        <v>65</v>
      </c>
      <c r="L2529" s="1">
        <v>1</v>
      </c>
    </row>
    <row r="2530" spans="4:12">
      <c r="D2530" s="1" t="s">
        <v>1512</v>
      </c>
      <c r="E2530" s="1" t="s">
        <v>1534</v>
      </c>
      <c r="F2530" s="1" t="s">
        <v>1535</v>
      </c>
      <c r="G2530" s="1" t="s">
        <v>1535</v>
      </c>
      <c r="H2530" s="1" t="s">
        <v>22</v>
      </c>
      <c r="I2530" s="1" t="s">
        <v>65</v>
      </c>
      <c r="L2530" s="1">
        <v>1</v>
      </c>
    </row>
    <row r="2531" spans="4:12">
      <c r="D2531" s="1" t="s">
        <v>1512</v>
      </c>
      <c r="E2531" s="1" t="s">
        <v>1536</v>
      </c>
      <c r="F2531" s="1" t="s">
        <v>147</v>
      </c>
      <c r="G2531" s="1" t="s">
        <v>148</v>
      </c>
      <c r="H2531" s="1" t="s">
        <v>22</v>
      </c>
      <c r="I2531" s="1" t="s">
        <v>65</v>
      </c>
      <c r="L2531" s="1">
        <v>3.4121416351331</v>
      </c>
    </row>
    <row r="2532" spans="4:12">
      <c r="D2532" s="1" t="s">
        <v>1512</v>
      </c>
      <c r="E2532" s="1" t="s">
        <v>967</v>
      </c>
      <c r="F2532" s="1" t="s">
        <v>147</v>
      </c>
      <c r="G2532" s="1" t="s">
        <v>148</v>
      </c>
      <c r="H2532" s="1" t="s">
        <v>22</v>
      </c>
      <c r="I2532" s="1" t="s">
        <v>120</v>
      </c>
      <c r="L2532" s="1">
        <v>3.4121416351331</v>
      </c>
    </row>
    <row r="2533" spans="4:12">
      <c r="D2533" s="1" t="s">
        <v>1512</v>
      </c>
      <c r="E2533" s="1" t="s">
        <v>1537</v>
      </c>
      <c r="F2533" s="1">
        <v>1</v>
      </c>
      <c r="G2533" s="1">
        <v>1</v>
      </c>
      <c r="H2533" s="1" t="s">
        <v>22</v>
      </c>
      <c r="I2533" s="1" t="s">
        <v>65</v>
      </c>
      <c r="L2533" s="1">
        <v>1</v>
      </c>
    </row>
    <row r="2534" spans="4:12">
      <c r="D2534" s="1" t="s">
        <v>1512</v>
      </c>
      <c r="E2534" s="1" t="s">
        <v>1538</v>
      </c>
      <c r="F2534" s="1" t="s">
        <v>147</v>
      </c>
      <c r="G2534" s="1" t="s">
        <v>148</v>
      </c>
      <c r="H2534" s="1" t="s">
        <v>22</v>
      </c>
      <c r="I2534" s="1" t="s">
        <v>65</v>
      </c>
      <c r="L2534" s="1">
        <v>3.4121416351331</v>
      </c>
    </row>
    <row r="2535" spans="4:12">
      <c r="D2535" s="1" t="s">
        <v>1512</v>
      </c>
      <c r="E2535" s="1" t="s">
        <v>1539</v>
      </c>
      <c r="H2535" s="1" t="s">
        <v>22</v>
      </c>
      <c r="I2535" s="1" t="s">
        <v>65</v>
      </c>
      <c r="L2535" s="1">
        <v>1</v>
      </c>
    </row>
    <row r="2536" spans="4:12">
      <c r="D2536" s="1" t="s">
        <v>1512</v>
      </c>
      <c r="E2536" s="1" t="s">
        <v>1540</v>
      </c>
      <c r="F2536" s="1" t="s">
        <v>874</v>
      </c>
      <c r="G2536" s="1" t="s">
        <v>874</v>
      </c>
      <c r="H2536" s="1" t="s">
        <v>22</v>
      </c>
      <c r="I2536" s="1" t="s">
        <v>65</v>
      </c>
      <c r="L2536" s="1">
        <v>1</v>
      </c>
    </row>
    <row r="2537" spans="4:12">
      <c r="D2537" s="1" t="s">
        <v>1512</v>
      </c>
      <c r="E2537" s="1" t="s">
        <v>1541</v>
      </c>
      <c r="F2537" s="1" t="s">
        <v>1542</v>
      </c>
      <c r="G2537" s="1" t="s">
        <v>1543</v>
      </c>
      <c r="H2537" s="1" t="s">
        <v>22</v>
      </c>
      <c r="I2537" s="1" t="s">
        <v>65</v>
      </c>
      <c r="L2537" s="1">
        <v>0.73756103316999999</v>
      </c>
    </row>
    <row r="2538" spans="4:12">
      <c r="D2538" s="1" t="s">
        <v>1512</v>
      </c>
      <c r="E2538" s="1" t="s">
        <v>990</v>
      </c>
      <c r="H2538" s="1" t="s">
        <v>22</v>
      </c>
      <c r="I2538" s="1" t="s">
        <v>65</v>
      </c>
      <c r="L2538" s="1">
        <v>1</v>
      </c>
    </row>
    <row r="2539" spans="4:12">
      <c r="D2539" s="1" t="s">
        <v>1512</v>
      </c>
      <c r="E2539" s="1" t="s">
        <v>1544</v>
      </c>
      <c r="F2539" s="1">
        <v>1</v>
      </c>
      <c r="G2539" s="1">
        <v>1</v>
      </c>
      <c r="H2539" s="1" t="s">
        <v>22</v>
      </c>
      <c r="I2539" s="1" t="s">
        <v>65</v>
      </c>
      <c r="J2539" s="1">
        <v>0</v>
      </c>
      <c r="L2539" s="1">
        <v>1</v>
      </c>
    </row>
    <row r="2540" spans="4:12">
      <c r="D2540" s="1" t="s">
        <v>1512</v>
      </c>
      <c r="E2540" s="1" t="s">
        <v>1545</v>
      </c>
      <c r="H2540" s="1" t="s">
        <v>63</v>
      </c>
      <c r="I2540" s="1" t="s">
        <v>65</v>
      </c>
    </row>
    <row r="2541" spans="4:12">
      <c r="D2541" s="1" t="s">
        <v>1512</v>
      </c>
      <c r="E2541" s="1" t="s">
        <v>1546</v>
      </c>
      <c r="H2541" s="1" t="s">
        <v>22</v>
      </c>
      <c r="I2541" s="1" t="s">
        <v>65</v>
      </c>
      <c r="L2541" s="1">
        <v>1</v>
      </c>
    </row>
    <row r="2542" spans="4:12">
      <c r="D2542" s="1" t="s">
        <v>1512</v>
      </c>
      <c r="E2542" s="1" t="s">
        <v>69</v>
      </c>
      <c r="H2542" s="1" t="s">
        <v>25</v>
      </c>
      <c r="I2542" s="1" t="s">
        <v>70</v>
      </c>
    </row>
    <row r="2543" spans="4:12">
      <c r="D2543" s="1" t="s">
        <v>1512</v>
      </c>
      <c r="E2543" s="1" t="s">
        <v>1547</v>
      </c>
      <c r="F2543" s="1" t="s">
        <v>147</v>
      </c>
      <c r="G2543" s="1" t="s">
        <v>148</v>
      </c>
      <c r="H2543" s="1" t="s">
        <v>22</v>
      </c>
      <c r="I2543" s="1" t="s">
        <v>65</v>
      </c>
      <c r="L2543" s="1">
        <v>3.4121416351331</v>
      </c>
    </row>
    <row r="2544" spans="4:12">
      <c r="D2544" s="1" t="s">
        <v>1512</v>
      </c>
      <c r="E2544" s="1" t="s">
        <v>1548</v>
      </c>
      <c r="F2544" s="1" t="s">
        <v>147</v>
      </c>
      <c r="G2544" s="1" t="s">
        <v>148</v>
      </c>
      <c r="H2544" s="1" t="s">
        <v>22</v>
      </c>
      <c r="I2544" s="1" t="s">
        <v>65</v>
      </c>
      <c r="L2544" s="1">
        <v>3.4121416351331</v>
      </c>
    </row>
    <row r="2545" spans="4:13">
      <c r="D2545" s="1" t="s">
        <v>1549</v>
      </c>
      <c r="E2545" s="1" t="s">
        <v>105</v>
      </c>
      <c r="H2545" s="1" t="s">
        <v>22</v>
      </c>
      <c r="I2545" s="1" t="s">
        <v>29</v>
      </c>
      <c r="J2545" s="1">
        <v>0</v>
      </c>
      <c r="K2545" s="1">
        <v>10000</v>
      </c>
      <c r="L2545" s="1">
        <v>5000</v>
      </c>
    </row>
    <row r="2546" spans="4:13">
      <c r="D2546" s="1" t="s">
        <v>1549</v>
      </c>
      <c r="E2546" s="1" t="s">
        <v>106</v>
      </c>
      <c r="H2546" s="1" t="s">
        <v>25</v>
      </c>
      <c r="I2546" s="1" t="s">
        <v>23</v>
      </c>
      <c r="M2546" s="1" t="b">
        <v>0</v>
      </c>
    </row>
    <row r="2547" spans="4:13">
      <c r="D2547" s="1" t="s">
        <v>1549</v>
      </c>
      <c r="E2547" s="1" t="s">
        <v>107</v>
      </c>
      <c r="H2547" s="1" t="s">
        <v>22</v>
      </c>
      <c r="I2547" s="1" t="s">
        <v>23</v>
      </c>
      <c r="L2547" s="1">
        <v>1</v>
      </c>
      <c r="M2547" s="1">
        <v>20</v>
      </c>
    </row>
    <row r="2548" spans="4:13">
      <c r="D2548" s="1" t="s">
        <v>1549</v>
      </c>
      <c r="E2548" s="1" t="s">
        <v>109</v>
      </c>
      <c r="H2548" s="1" t="s">
        <v>22</v>
      </c>
      <c r="I2548" s="1" t="s">
        <v>23</v>
      </c>
      <c r="L2548" s="1">
        <v>1</v>
      </c>
      <c r="M2548" s="1">
        <v>1</v>
      </c>
    </row>
    <row r="2549" spans="4:13">
      <c r="D2549" s="1" t="s">
        <v>1549</v>
      </c>
      <c r="E2549" s="1" t="s">
        <v>110</v>
      </c>
      <c r="H2549" s="1" t="s">
        <v>25</v>
      </c>
      <c r="I2549" s="1" t="s">
        <v>23</v>
      </c>
      <c r="M2549" s="1" t="b">
        <v>1</v>
      </c>
    </row>
    <row r="2550" spans="4:13">
      <c r="D2550" s="1" t="s">
        <v>1549</v>
      </c>
      <c r="E2550" s="1" t="s">
        <v>111</v>
      </c>
      <c r="F2550" s="1" t="s">
        <v>56</v>
      </c>
      <c r="G2550" s="1" t="s">
        <v>57</v>
      </c>
      <c r="H2550" s="1" t="s">
        <v>22</v>
      </c>
      <c r="I2550" s="1" t="s">
        <v>23</v>
      </c>
      <c r="L2550" s="1">
        <v>1.4503773773020921E-4</v>
      </c>
      <c r="M2550" s="1">
        <v>7.2518868865104604E-3</v>
      </c>
    </row>
    <row r="2551" spans="4:13">
      <c r="D2551" s="1" t="s">
        <v>1549</v>
      </c>
      <c r="E2551" s="1" t="s">
        <v>47</v>
      </c>
      <c r="H2551" s="1" t="s">
        <v>25</v>
      </c>
      <c r="I2551" s="1" t="s">
        <v>23</v>
      </c>
      <c r="M2551" s="1" t="b">
        <v>0</v>
      </c>
    </row>
    <row r="2552" spans="4:13">
      <c r="D2552" s="1" t="s">
        <v>1549</v>
      </c>
      <c r="E2552" s="1" t="s">
        <v>112</v>
      </c>
      <c r="F2552" s="1" t="s">
        <v>56</v>
      </c>
      <c r="G2552" s="1" t="s">
        <v>57</v>
      </c>
      <c r="H2552" s="1" t="s">
        <v>22</v>
      </c>
      <c r="I2552" s="1" t="s">
        <v>29</v>
      </c>
      <c r="J2552" s="1">
        <v>4.9312830828271128</v>
      </c>
      <c r="K2552" s="1">
        <v>623.66227223989961</v>
      </c>
      <c r="L2552" s="1">
        <v>50.713895374744951</v>
      </c>
    </row>
    <row r="2553" spans="4:13">
      <c r="D2553" s="1" t="s">
        <v>1549</v>
      </c>
      <c r="E2553" s="1" t="s">
        <v>62</v>
      </c>
      <c r="H2553" s="1" t="s">
        <v>63</v>
      </c>
      <c r="I2553" s="1" t="s">
        <v>23</v>
      </c>
      <c r="M2553" s="1">
        <v>1</v>
      </c>
    </row>
    <row r="2554" spans="4:13">
      <c r="D2554" s="1" t="s">
        <v>1549</v>
      </c>
      <c r="E2554" s="1" t="s">
        <v>113</v>
      </c>
      <c r="H2554" s="1" t="s">
        <v>22</v>
      </c>
      <c r="I2554" s="1" t="s">
        <v>65</v>
      </c>
      <c r="L2554" s="1">
        <v>1</v>
      </c>
    </row>
    <row r="2555" spans="4:13">
      <c r="D2555" s="1" t="s">
        <v>1549</v>
      </c>
      <c r="E2555" s="1" t="s">
        <v>114</v>
      </c>
      <c r="H2555" s="1" t="s">
        <v>22</v>
      </c>
      <c r="I2555" s="1" t="s">
        <v>70</v>
      </c>
      <c r="L2555" s="1">
        <v>1</v>
      </c>
    </row>
    <row r="2556" spans="4:13">
      <c r="D2556" s="1" t="s">
        <v>1549</v>
      </c>
      <c r="E2556" s="1" t="s">
        <v>115</v>
      </c>
      <c r="F2556" s="1" t="s">
        <v>56</v>
      </c>
      <c r="G2556" s="1" t="s">
        <v>57</v>
      </c>
      <c r="H2556" s="1" t="s">
        <v>22</v>
      </c>
      <c r="I2556" s="1" t="s">
        <v>65</v>
      </c>
      <c r="L2556" s="1">
        <v>1.4503773773020921E-4</v>
      </c>
    </row>
    <row r="2557" spans="4:13">
      <c r="D2557" s="1" t="s">
        <v>1549</v>
      </c>
      <c r="E2557" s="1" t="s">
        <v>116</v>
      </c>
      <c r="H2557" s="1" t="s">
        <v>25</v>
      </c>
      <c r="I2557" s="1" t="s">
        <v>65</v>
      </c>
    </row>
    <row r="2558" spans="4:13">
      <c r="D2558" s="1" t="s">
        <v>1549</v>
      </c>
      <c r="E2558" s="1" t="s">
        <v>69</v>
      </c>
      <c r="H2558" s="1" t="s">
        <v>25</v>
      </c>
      <c r="I2558" s="1" t="s">
        <v>70</v>
      </c>
    </row>
    <row r="2559" spans="4:13">
      <c r="D2559" s="1" t="s">
        <v>1549</v>
      </c>
      <c r="E2559" s="1" t="s">
        <v>71</v>
      </c>
      <c r="F2559" s="1" t="s">
        <v>52</v>
      </c>
      <c r="G2559" s="1" t="s">
        <v>53</v>
      </c>
      <c r="H2559" s="1" t="s">
        <v>22</v>
      </c>
      <c r="I2559" s="1" t="s">
        <v>65</v>
      </c>
      <c r="L2559" s="1">
        <v>7936.6414386555998</v>
      </c>
    </row>
    <row r="2560" spans="4:13">
      <c r="D2560" s="1" t="s">
        <v>1549</v>
      </c>
      <c r="E2560" s="1" t="s">
        <v>117</v>
      </c>
      <c r="F2560" s="1" t="s">
        <v>118</v>
      </c>
      <c r="G2560" s="1" t="s">
        <v>119</v>
      </c>
      <c r="H2560" s="1" t="s">
        <v>22</v>
      </c>
      <c r="I2560" s="1" t="s">
        <v>120</v>
      </c>
      <c r="J2560" s="1">
        <v>0</v>
      </c>
      <c r="L2560" s="1">
        <v>2.20462262185</v>
      </c>
    </row>
    <row r="2561" spans="4:13">
      <c r="D2561" s="1" t="s">
        <v>1549</v>
      </c>
      <c r="E2561" s="1" t="s">
        <v>121</v>
      </c>
      <c r="H2561" s="1" t="s">
        <v>22</v>
      </c>
      <c r="I2561" s="1" t="s">
        <v>120</v>
      </c>
      <c r="L2561" s="1">
        <v>1</v>
      </c>
    </row>
    <row r="2562" spans="4:13">
      <c r="D2562" s="1" t="s">
        <v>1549</v>
      </c>
      <c r="E2562" s="1" t="s">
        <v>122</v>
      </c>
      <c r="F2562" s="1" t="s">
        <v>56</v>
      </c>
      <c r="G2562" s="1" t="s">
        <v>57</v>
      </c>
      <c r="H2562" s="1" t="s">
        <v>22</v>
      </c>
      <c r="I2562" s="1" t="s">
        <v>65</v>
      </c>
      <c r="L2562" s="1">
        <v>1.4503773773020921E-4</v>
      </c>
    </row>
    <row r="2563" spans="4:13">
      <c r="D2563" s="1" t="s">
        <v>1549</v>
      </c>
      <c r="E2563" s="1" t="s">
        <v>123</v>
      </c>
      <c r="F2563" s="1" t="s">
        <v>124</v>
      </c>
      <c r="G2563" s="1" t="s">
        <v>125</v>
      </c>
      <c r="H2563" s="1" t="s">
        <v>22</v>
      </c>
      <c r="I2563" s="1" t="s">
        <v>120</v>
      </c>
      <c r="L2563" s="1">
        <v>35.314666699999997</v>
      </c>
    </row>
    <row r="2564" spans="4:13">
      <c r="D2564" s="1" t="s">
        <v>1549</v>
      </c>
      <c r="E2564" s="1" t="s">
        <v>126</v>
      </c>
      <c r="H2564" s="1" t="s">
        <v>22</v>
      </c>
      <c r="I2564" s="1" t="s">
        <v>65</v>
      </c>
      <c r="L2564" s="1">
        <v>1</v>
      </c>
    </row>
    <row r="2565" spans="4:13">
      <c r="D2565" s="1" t="s">
        <v>1549</v>
      </c>
      <c r="E2565" s="1" t="s">
        <v>127</v>
      </c>
      <c r="H2565" s="1" t="s">
        <v>25</v>
      </c>
      <c r="I2565" s="1" t="s">
        <v>23</v>
      </c>
      <c r="M2565" s="1" t="b">
        <v>1</v>
      </c>
    </row>
    <row r="2566" spans="4:13">
      <c r="D2566" s="1" t="s">
        <v>1549</v>
      </c>
      <c r="E2566" s="1" t="s">
        <v>128</v>
      </c>
      <c r="H2566" s="1" t="s">
        <v>25</v>
      </c>
      <c r="I2566" s="1" t="s">
        <v>23</v>
      </c>
      <c r="M2566" s="1" t="b">
        <v>0</v>
      </c>
    </row>
    <row r="2567" spans="4:13">
      <c r="D2567" s="1" t="s">
        <v>1550</v>
      </c>
      <c r="E2567" s="1" t="s">
        <v>28</v>
      </c>
      <c r="H2567" s="1" t="s">
        <v>22</v>
      </c>
      <c r="I2567" s="1" t="s">
        <v>29</v>
      </c>
      <c r="J2567" s="1">
        <v>34000</v>
      </c>
      <c r="K2567" s="1">
        <v>4300000</v>
      </c>
      <c r="L2567" s="1">
        <v>349660</v>
      </c>
    </row>
    <row r="2568" spans="4:13">
      <c r="D2568" s="1" t="s">
        <v>1550</v>
      </c>
      <c r="E2568" s="1" t="s">
        <v>30</v>
      </c>
      <c r="H2568" s="1" t="s">
        <v>22</v>
      </c>
      <c r="I2568" s="1" t="s">
        <v>29</v>
      </c>
      <c r="J2568" s="1">
        <v>-3.94</v>
      </c>
      <c r="K2568" s="1">
        <v>3.66</v>
      </c>
      <c r="L2568" s="1">
        <v>1</v>
      </c>
    </row>
    <row r="2569" spans="4:13">
      <c r="D2569" s="1" t="s">
        <v>1550</v>
      </c>
      <c r="E2569" s="1" t="s">
        <v>31</v>
      </c>
      <c r="H2569" s="1" t="s">
        <v>22</v>
      </c>
      <c r="I2569" s="1" t="s">
        <v>29</v>
      </c>
      <c r="J2569" s="1">
        <v>0</v>
      </c>
      <c r="K2569" s="1">
        <v>100</v>
      </c>
      <c r="L2569" s="1">
        <v>1</v>
      </c>
    </row>
    <row r="2570" spans="4:13">
      <c r="D2570" s="1" t="s">
        <v>1550</v>
      </c>
      <c r="E2570" s="1" t="s">
        <v>32</v>
      </c>
      <c r="H2570" s="1" t="s">
        <v>22</v>
      </c>
      <c r="I2570" s="1" t="s">
        <v>29</v>
      </c>
      <c r="J2570" s="1">
        <v>-3.94</v>
      </c>
      <c r="K2570" s="1">
        <v>3.66</v>
      </c>
      <c r="L2570" s="1">
        <v>1</v>
      </c>
    </row>
    <row r="2571" spans="4:13">
      <c r="D2571" s="1" t="s">
        <v>1550</v>
      </c>
      <c r="E2571" s="1" t="s">
        <v>33</v>
      </c>
      <c r="H2571" s="1" t="s">
        <v>25</v>
      </c>
      <c r="I2571" s="1" t="s">
        <v>23</v>
      </c>
      <c r="M2571" s="1" t="b">
        <v>0</v>
      </c>
    </row>
    <row r="2572" spans="4:13">
      <c r="D2572" s="1" t="s">
        <v>1550</v>
      </c>
      <c r="E2572" s="1" t="s">
        <v>34</v>
      </c>
      <c r="F2572" s="1" t="s">
        <v>35</v>
      </c>
      <c r="G2572" s="1" t="s">
        <v>36</v>
      </c>
      <c r="H2572" s="1" t="s">
        <v>22</v>
      </c>
      <c r="I2572" s="1" t="s">
        <v>23</v>
      </c>
      <c r="J2572" s="1">
        <v>-459.67</v>
      </c>
      <c r="K2572" s="1">
        <v>980.32999999999993</v>
      </c>
      <c r="L2572" s="1">
        <v>80.329999999999984</v>
      </c>
      <c r="M2572" s="1">
        <v>67.999999999999943</v>
      </c>
    </row>
    <row r="2573" spans="4:13">
      <c r="D2573" s="1" t="s">
        <v>1550</v>
      </c>
      <c r="E2573" s="1" t="s">
        <v>37</v>
      </c>
      <c r="H2573" s="1" t="s">
        <v>25</v>
      </c>
      <c r="I2573" s="1" t="s">
        <v>23</v>
      </c>
      <c r="M2573" s="1" t="b">
        <v>0</v>
      </c>
    </row>
    <row r="2574" spans="4:13">
      <c r="D2574" s="1" t="s">
        <v>1550</v>
      </c>
      <c r="E2574" s="1" t="s">
        <v>38</v>
      </c>
      <c r="F2574" s="1" t="s">
        <v>35</v>
      </c>
      <c r="G2574" s="1" t="s">
        <v>36</v>
      </c>
      <c r="H2574" s="1" t="s">
        <v>22</v>
      </c>
      <c r="I2574" s="1" t="s">
        <v>23</v>
      </c>
      <c r="J2574" s="1">
        <v>-99.670000000000016</v>
      </c>
      <c r="K2574" s="1">
        <v>980.32999999999993</v>
      </c>
      <c r="L2574" s="1">
        <v>80.329999999999984</v>
      </c>
      <c r="M2574" s="1">
        <v>13.999999999999943</v>
      </c>
    </row>
    <row r="2575" spans="4:13">
      <c r="D2575" s="1" t="s">
        <v>1550</v>
      </c>
      <c r="E2575" s="1" t="s">
        <v>39</v>
      </c>
      <c r="H2575" s="1" t="s">
        <v>25</v>
      </c>
      <c r="I2575" s="1" t="s">
        <v>23</v>
      </c>
      <c r="M2575" s="1" t="b">
        <v>0</v>
      </c>
    </row>
    <row r="2576" spans="4:13">
      <c r="D2576" s="1" t="s">
        <v>1550</v>
      </c>
      <c r="E2576" s="1" t="s">
        <v>40</v>
      </c>
      <c r="F2576" s="1" t="s">
        <v>41</v>
      </c>
      <c r="G2576" s="1" t="s">
        <v>42</v>
      </c>
      <c r="H2576" s="1" t="s">
        <v>22</v>
      </c>
      <c r="I2576" s="1" t="s">
        <v>23</v>
      </c>
      <c r="J2576" s="1">
        <v>-900</v>
      </c>
      <c r="K2576" s="1">
        <v>900</v>
      </c>
      <c r="L2576" s="1">
        <v>1.8</v>
      </c>
      <c r="M2576" s="1">
        <v>9</v>
      </c>
    </row>
    <row r="2577" spans="4:13">
      <c r="D2577" s="1" t="s">
        <v>1550</v>
      </c>
      <c r="E2577" s="1" t="s">
        <v>43</v>
      </c>
      <c r="H2577" s="1" t="s">
        <v>25</v>
      </c>
      <c r="I2577" s="1" t="s">
        <v>23</v>
      </c>
      <c r="M2577" s="1" t="b">
        <v>0</v>
      </c>
    </row>
    <row r="2578" spans="4:13">
      <c r="D2578" s="1" t="s">
        <v>1550</v>
      </c>
      <c r="E2578" s="1" t="s">
        <v>44</v>
      </c>
      <c r="F2578" s="1" t="s">
        <v>45</v>
      </c>
      <c r="G2578" s="1" t="s">
        <v>46</v>
      </c>
      <c r="H2578" s="1" t="s">
        <v>22</v>
      </c>
      <c r="I2578" s="1" t="s">
        <v>23</v>
      </c>
      <c r="J2578" s="1">
        <v>-85.984522757427143</v>
      </c>
      <c r="K2578" s="1">
        <v>8598.4522757427148</v>
      </c>
      <c r="L2578" s="1">
        <v>114.79148749423418</v>
      </c>
      <c r="M2578" s="1">
        <v>128.97678413614071</v>
      </c>
    </row>
    <row r="2579" spans="4:13">
      <c r="D2579" s="1" t="s">
        <v>1550</v>
      </c>
      <c r="E2579" s="1" t="s">
        <v>47</v>
      </c>
      <c r="H2579" s="1" t="s">
        <v>25</v>
      </c>
      <c r="I2579" s="1" t="s">
        <v>23</v>
      </c>
      <c r="M2579" s="1" t="b">
        <v>0</v>
      </c>
    </row>
    <row r="2580" spans="4:13">
      <c r="D2580" s="1" t="s">
        <v>1550</v>
      </c>
      <c r="E2580" s="1" t="s">
        <v>48</v>
      </c>
      <c r="H2580" s="1" t="s">
        <v>25</v>
      </c>
      <c r="I2580" s="1" t="s">
        <v>23</v>
      </c>
      <c r="M2580" s="1" t="b">
        <v>0</v>
      </c>
    </row>
    <row r="2581" spans="4:13">
      <c r="D2581" s="1" t="s">
        <v>1550</v>
      </c>
      <c r="E2581" s="1" t="s">
        <v>49</v>
      </c>
      <c r="H2581" s="1" t="s">
        <v>25</v>
      </c>
      <c r="I2581" s="1" t="s">
        <v>23</v>
      </c>
      <c r="M2581" s="1" t="b">
        <v>0</v>
      </c>
    </row>
    <row r="2582" spans="4:13">
      <c r="D2582" s="1" t="s">
        <v>1550</v>
      </c>
      <c r="E2582" s="1" t="s">
        <v>50</v>
      </c>
      <c r="H2582" s="1" t="s">
        <v>25</v>
      </c>
      <c r="I2582" s="1" t="s">
        <v>23</v>
      </c>
      <c r="M2582" s="1" t="b">
        <v>0</v>
      </c>
    </row>
    <row r="2583" spans="4:13">
      <c r="D2583" s="1" t="s">
        <v>1550</v>
      </c>
      <c r="E2583" s="1" t="s">
        <v>51</v>
      </c>
      <c r="F2583" s="1" t="s">
        <v>52</v>
      </c>
      <c r="G2583" s="1" t="s">
        <v>53</v>
      </c>
      <c r="H2583" s="1" t="s">
        <v>22</v>
      </c>
      <c r="I2583" s="1" t="s">
        <v>23</v>
      </c>
      <c r="J2583" s="1">
        <v>0</v>
      </c>
      <c r="K2583" s="1">
        <v>7936641438.6555996</v>
      </c>
      <c r="L2583" s="1">
        <v>7936.6414386555998</v>
      </c>
      <c r="M2583" s="1">
        <v>7936.6414386555998</v>
      </c>
    </row>
    <row r="2584" spans="4:13">
      <c r="D2584" s="1" t="s">
        <v>1550</v>
      </c>
      <c r="E2584" s="1" t="s">
        <v>54</v>
      </c>
      <c r="H2584" s="1" t="s">
        <v>25</v>
      </c>
      <c r="I2584" s="1" t="s">
        <v>23</v>
      </c>
      <c r="M2584" s="1" t="b">
        <v>0</v>
      </c>
    </row>
    <row r="2585" spans="4:13">
      <c r="D2585" s="1" t="s">
        <v>1550</v>
      </c>
      <c r="E2585" s="1" t="s">
        <v>55</v>
      </c>
      <c r="F2585" s="1" t="s">
        <v>56</v>
      </c>
      <c r="G2585" s="1" t="s">
        <v>57</v>
      </c>
      <c r="H2585" s="1" t="s">
        <v>22</v>
      </c>
      <c r="I2585" s="1" t="s">
        <v>23</v>
      </c>
      <c r="J2585" s="1">
        <v>0</v>
      </c>
      <c r="K2585" s="1">
        <v>9427.4529524635982</v>
      </c>
      <c r="L2585" s="1">
        <v>50.713895374744951</v>
      </c>
      <c r="M2585" s="1">
        <v>50.763208205573221</v>
      </c>
    </row>
    <row r="2586" spans="4:13">
      <c r="D2586" s="1" t="s">
        <v>1550</v>
      </c>
      <c r="E2586" s="1" t="s">
        <v>58</v>
      </c>
      <c r="H2586" s="1" t="s">
        <v>25</v>
      </c>
      <c r="I2586" s="1" t="s">
        <v>23</v>
      </c>
      <c r="M2586" s="1" t="b">
        <v>0</v>
      </c>
    </row>
    <row r="2587" spans="4:13">
      <c r="D2587" s="1" t="s">
        <v>1550</v>
      </c>
      <c r="E2587" s="1" t="s">
        <v>59</v>
      </c>
      <c r="F2587" s="1" t="s">
        <v>60</v>
      </c>
      <c r="G2587" s="1" t="s">
        <v>61</v>
      </c>
      <c r="H2587" s="1" t="s">
        <v>22</v>
      </c>
      <c r="I2587" s="1" t="s">
        <v>23</v>
      </c>
      <c r="J2587" s="1">
        <v>-9.5538358650799999</v>
      </c>
      <c r="K2587" s="1">
        <v>9.5538358650799999</v>
      </c>
      <c r="L2587" s="1">
        <v>0.23884589662700001</v>
      </c>
      <c r="M2587" s="1">
        <v>0.23884589662700001</v>
      </c>
    </row>
    <row r="2588" spans="4:13">
      <c r="D2588" s="1" t="s">
        <v>1550</v>
      </c>
      <c r="E2588" s="1" t="s">
        <v>62</v>
      </c>
      <c r="H2588" s="1" t="s">
        <v>63</v>
      </c>
      <c r="I2588" s="1" t="s">
        <v>23</v>
      </c>
      <c r="M2588" s="1">
        <v>1</v>
      </c>
    </row>
    <row r="2589" spans="4:13">
      <c r="D2589" s="1" t="s">
        <v>1550</v>
      </c>
      <c r="E2589" s="1" t="s">
        <v>64</v>
      </c>
      <c r="F2589" s="1" t="s">
        <v>35</v>
      </c>
      <c r="G2589" s="1" t="s">
        <v>36</v>
      </c>
      <c r="H2589" s="1" t="s">
        <v>22</v>
      </c>
      <c r="I2589" s="1" t="s">
        <v>65</v>
      </c>
      <c r="J2589" s="1">
        <v>-459.67</v>
      </c>
      <c r="L2589" s="1">
        <v>80.329999999999984</v>
      </c>
    </row>
    <row r="2590" spans="4:13">
      <c r="D2590" s="1" t="s">
        <v>1550</v>
      </c>
      <c r="E2590" s="1" t="s">
        <v>66</v>
      </c>
      <c r="F2590" s="1" t="s">
        <v>35</v>
      </c>
      <c r="G2590" s="1" t="s">
        <v>36</v>
      </c>
      <c r="H2590" s="1" t="s">
        <v>22</v>
      </c>
      <c r="I2590" s="1" t="s">
        <v>65</v>
      </c>
      <c r="J2590" s="1">
        <v>-459.67</v>
      </c>
      <c r="L2590" s="1">
        <v>80.329999999999984</v>
      </c>
    </row>
    <row r="2591" spans="4:13">
      <c r="D2591" s="1" t="s">
        <v>1550</v>
      </c>
      <c r="E2591" s="1" t="s">
        <v>67</v>
      </c>
      <c r="F2591" s="1" t="s">
        <v>41</v>
      </c>
      <c r="G2591" s="1" t="s">
        <v>42</v>
      </c>
      <c r="H2591" s="1" t="s">
        <v>22</v>
      </c>
      <c r="I2591" s="1" t="s">
        <v>65</v>
      </c>
      <c r="L2591" s="1">
        <v>1.8</v>
      </c>
    </row>
    <row r="2592" spans="4:13">
      <c r="D2592" s="1" t="s">
        <v>1550</v>
      </c>
      <c r="E2592" s="1" t="s">
        <v>68</v>
      </c>
      <c r="F2592" s="1" t="s">
        <v>45</v>
      </c>
      <c r="G2592" s="1" t="s">
        <v>46</v>
      </c>
      <c r="H2592" s="1" t="s">
        <v>22</v>
      </c>
      <c r="I2592" s="1" t="s">
        <v>65</v>
      </c>
      <c r="L2592" s="1">
        <v>4.2992261378713571E-4</v>
      </c>
    </row>
    <row r="2593" spans="4:13">
      <c r="D2593" s="1" t="s">
        <v>1550</v>
      </c>
      <c r="E2593" s="1" t="s">
        <v>69</v>
      </c>
      <c r="H2593" s="1" t="s">
        <v>25</v>
      </c>
      <c r="I2593" s="1" t="s">
        <v>70</v>
      </c>
    </row>
    <row r="2594" spans="4:13">
      <c r="D2594" s="1" t="s">
        <v>1550</v>
      </c>
      <c r="E2594" s="1" t="s">
        <v>71</v>
      </c>
      <c r="F2594" s="1" t="s">
        <v>52</v>
      </c>
      <c r="G2594" s="1" t="s">
        <v>53</v>
      </c>
      <c r="H2594" s="1" t="s">
        <v>22</v>
      </c>
      <c r="I2594" s="1" t="s">
        <v>65</v>
      </c>
      <c r="L2594" s="1">
        <v>7936.6414386555998</v>
      </c>
    </row>
    <row r="2595" spans="4:13">
      <c r="D2595" s="1" t="s">
        <v>1550</v>
      </c>
      <c r="E2595" s="1" t="s">
        <v>72</v>
      </c>
      <c r="F2595" s="1" t="s">
        <v>56</v>
      </c>
      <c r="G2595" s="1" t="s">
        <v>57</v>
      </c>
      <c r="H2595" s="1" t="s">
        <v>22</v>
      </c>
      <c r="I2595" s="1" t="s">
        <v>65</v>
      </c>
      <c r="J2595" s="1">
        <v>0</v>
      </c>
      <c r="L2595" s="1">
        <v>14.503773773020921</v>
      </c>
    </row>
    <row r="2596" spans="4:13">
      <c r="D2596" s="1" t="s">
        <v>1550</v>
      </c>
      <c r="E2596" s="1" t="s">
        <v>73</v>
      </c>
      <c r="F2596" s="1" t="s">
        <v>60</v>
      </c>
      <c r="G2596" s="1" t="s">
        <v>61</v>
      </c>
      <c r="H2596" s="1" t="s">
        <v>22</v>
      </c>
      <c r="I2596" s="1" t="s">
        <v>65</v>
      </c>
      <c r="L2596" s="1">
        <v>2.38845896627E-4</v>
      </c>
    </row>
    <row r="2597" spans="4:13">
      <c r="D2597" s="1" t="s">
        <v>1550</v>
      </c>
      <c r="E2597" s="1" t="s">
        <v>74</v>
      </c>
      <c r="F2597" s="1" t="s">
        <v>75</v>
      </c>
      <c r="G2597" s="1" t="s">
        <v>76</v>
      </c>
      <c r="H2597" s="1" t="s">
        <v>22</v>
      </c>
      <c r="I2597" s="1" t="s">
        <v>65</v>
      </c>
      <c r="J2597" s="1">
        <v>0</v>
      </c>
      <c r="L2597" s="1">
        <v>16.018463521800001</v>
      </c>
    </row>
    <row r="2598" spans="4:13">
      <c r="D2598" s="1" t="s">
        <v>1550</v>
      </c>
      <c r="E2598" s="1" t="s">
        <v>77</v>
      </c>
      <c r="H2598" s="1" t="s">
        <v>22</v>
      </c>
      <c r="I2598" s="1" t="s">
        <v>65</v>
      </c>
      <c r="L2598" s="1">
        <v>1</v>
      </c>
    </row>
    <row r="2599" spans="4:13">
      <c r="D2599" s="1" t="s">
        <v>1550</v>
      </c>
      <c r="E2599" s="1" t="s">
        <v>78</v>
      </c>
      <c r="H2599" s="1" t="s">
        <v>25</v>
      </c>
      <c r="I2599" s="1" t="s">
        <v>23</v>
      </c>
      <c r="M2599" s="1" t="b">
        <v>0</v>
      </c>
    </row>
    <row r="2600" spans="4:13">
      <c r="D2600" s="1" t="s">
        <v>1550</v>
      </c>
      <c r="E2600" s="1" t="s">
        <v>79</v>
      </c>
      <c r="F2600" s="1" t="s">
        <v>75</v>
      </c>
      <c r="G2600" s="1" t="s">
        <v>76</v>
      </c>
      <c r="H2600" s="1" t="s">
        <v>22</v>
      </c>
      <c r="I2600" s="1" t="s">
        <v>23</v>
      </c>
      <c r="J2600" s="1">
        <v>0</v>
      </c>
      <c r="K2600" s="1">
        <v>96.110781130800007</v>
      </c>
      <c r="L2600" s="1">
        <v>16.018463521800001</v>
      </c>
      <c r="M2600" s="1">
        <v>1.6018463521800002</v>
      </c>
    </row>
    <row r="2601" spans="4:13">
      <c r="D2601" s="1" t="s">
        <v>1550</v>
      </c>
      <c r="E2601" s="1" t="s">
        <v>80</v>
      </c>
      <c r="H2601" s="1" t="s">
        <v>25</v>
      </c>
      <c r="I2601" s="1" t="s">
        <v>23</v>
      </c>
      <c r="M2601" s="1" t="b">
        <v>0</v>
      </c>
    </row>
    <row r="2602" spans="4:13">
      <c r="D2602" s="1" t="s">
        <v>1550</v>
      </c>
      <c r="E2602" s="1" t="s">
        <v>81</v>
      </c>
      <c r="H2602" s="1" t="s">
        <v>25</v>
      </c>
      <c r="I2602" s="1" t="s">
        <v>23</v>
      </c>
      <c r="M2602" s="1" t="b">
        <v>0</v>
      </c>
    </row>
    <row r="2603" spans="4:13">
      <c r="D2603" s="1" t="s">
        <v>1550</v>
      </c>
      <c r="E2603" s="1" t="s">
        <v>82</v>
      </c>
      <c r="H2603" s="1" t="s">
        <v>22</v>
      </c>
      <c r="I2603" s="1" t="s">
        <v>23</v>
      </c>
      <c r="J2603" s="1">
        <v>-1</v>
      </c>
      <c r="K2603" s="1">
        <v>3</v>
      </c>
      <c r="L2603" s="1">
        <v>1</v>
      </c>
      <c r="M2603" s="1">
        <v>1.01</v>
      </c>
    </row>
    <row r="2604" spans="4:13">
      <c r="D2604" s="1" t="s">
        <v>1551</v>
      </c>
      <c r="E2604" s="1" t="s">
        <v>99</v>
      </c>
      <c r="H2604" s="1" t="s">
        <v>25</v>
      </c>
      <c r="I2604" s="1" t="s">
        <v>23</v>
      </c>
      <c r="M2604" s="1" t="b">
        <v>0</v>
      </c>
    </row>
    <row r="2605" spans="4:13">
      <c r="D2605" s="1" t="s">
        <v>1551</v>
      </c>
      <c r="E2605" s="1" t="s">
        <v>47</v>
      </c>
      <c r="H2605" s="1" t="s">
        <v>25</v>
      </c>
      <c r="I2605" s="1" t="s">
        <v>23</v>
      </c>
      <c r="M2605" s="1" t="b">
        <v>0</v>
      </c>
    </row>
    <row r="2606" spans="4:13">
      <c r="D2606" s="1" t="s">
        <v>1551</v>
      </c>
      <c r="E2606" s="1" t="s">
        <v>100</v>
      </c>
      <c r="H2606" s="1" t="s">
        <v>22</v>
      </c>
      <c r="I2606" s="1" t="s">
        <v>23</v>
      </c>
      <c r="L2606" s="1">
        <v>1</v>
      </c>
      <c r="M2606" s="1">
        <v>10</v>
      </c>
    </row>
    <row r="2607" spans="4:13">
      <c r="D2607" s="1" t="s">
        <v>1551</v>
      </c>
      <c r="E2607" s="1" t="s">
        <v>101</v>
      </c>
      <c r="H2607" s="1" t="s">
        <v>22</v>
      </c>
      <c r="I2607" s="1" t="s">
        <v>23</v>
      </c>
      <c r="L2607" s="1">
        <v>1</v>
      </c>
      <c r="M2607" s="1">
        <v>0</v>
      </c>
    </row>
    <row r="2608" spans="4:13">
      <c r="D2608" s="1" t="s">
        <v>1551</v>
      </c>
      <c r="E2608" s="1" t="s">
        <v>102</v>
      </c>
      <c r="H2608" s="1" t="s">
        <v>22</v>
      </c>
      <c r="I2608" s="1" t="s">
        <v>23</v>
      </c>
      <c r="L2608" s="1">
        <v>1</v>
      </c>
      <c r="M2608" s="1">
        <v>0.1</v>
      </c>
    </row>
    <row r="2609" spans="4:13">
      <c r="D2609" s="1" t="s">
        <v>1551</v>
      </c>
      <c r="E2609" s="1" t="s">
        <v>103</v>
      </c>
      <c r="H2609" s="1" t="s">
        <v>22</v>
      </c>
      <c r="I2609" s="1" t="s">
        <v>29</v>
      </c>
      <c r="J2609" s="1">
        <v>0</v>
      </c>
      <c r="K2609" s="1">
        <v>10</v>
      </c>
      <c r="L2609" s="1">
        <v>5</v>
      </c>
    </row>
    <row r="2610" spans="4:13">
      <c r="D2610" s="1" t="s">
        <v>1552</v>
      </c>
      <c r="H2610" s="1" t="s">
        <v>25</v>
      </c>
      <c r="I2610" s="1" t="s">
        <v>23</v>
      </c>
      <c r="M2610" s="1" t="b">
        <v>1</v>
      </c>
    </row>
    <row r="2611" spans="4:13">
      <c r="D2611" s="1" t="s">
        <v>1553</v>
      </c>
      <c r="E2611" s="1" t="s">
        <v>99</v>
      </c>
      <c r="H2611" s="1" t="s">
        <v>25</v>
      </c>
      <c r="I2611" s="1" t="s">
        <v>23</v>
      </c>
      <c r="M2611" s="1" t="b">
        <v>1</v>
      </c>
    </row>
    <row r="2612" spans="4:13">
      <c r="D2612" s="1" t="s">
        <v>1553</v>
      </c>
      <c r="E2612" s="1" t="s">
        <v>47</v>
      </c>
      <c r="H2612" s="1" t="s">
        <v>25</v>
      </c>
      <c r="I2612" s="1" t="s">
        <v>23</v>
      </c>
      <c r="M2612" s="1" t="b">
        <v>0</v>
      </c>
    </row>
    <row r="2613" spans="4:13">
      <c r="D2613" s="1" t="s">
        <v>1553</v>
      </c>
      <c r="E2613" s="1" t="s">
        <v>102</v>
      </c>
      <c r="H2613" s="1" t="s">
        <v>22</v>
      </c>
      <c r="I2613" s="1" t="s">
        <v>23</v>
      </c>
      <c r="L2613" s="1">
        <v>1</v>
      </c>
      <c r="M2613" s="1">
        <v>0</v>
      </c>
    </row>
    <row r="2614" spans="4:13">
      <c r="D2614" s="1" t="s">
        <v>1554</v>
      </c>
      <c r="E2614" s="1" t="s">
        <v>1555</v>
      </c>
      <c r="F2614" s="1" t="s">
        <v>147</v>
      </c>
      <c r="G2614" s="1" t="s">
        <v>148</v>
      </c>
      <c r="H2614" s="1" t="s">
        <v>22</v>
      </c>
      <c r="I2614" s="1" t="s">
        <v>23</v>
      </c>
      <c r="L2614" s="1">
        <v>3.4121416351331</v>
      </c>
      <c r="M2614" s="1">
        <v>3412.1416351331</v>
      </c>
    </row>
    <row r="2615" spans="4:13">
      <c r="D2615" s="1" t="s">
        <v>1554</v>
      </c>
      <c r="E2615" s="1" t="s">
        <v>1556</v>
      </c>
      <c r="H2615" s="1" t="s">
        <v>25</v>
      </c>
      <c r="I2615" s="1" t="s">
        <v>23</v>
      </c>
      <c r="M2615" s="1" t="b">
        <v>0</v>
      </c>
    </row>
    <row r="2616" spans="4:13">
      <c r="D2616" s="1" t="s">
        <v>1554</v>
      </c>
      <c r="E2616" s="1" t="s">
        <v>1557</v>
      </c>
      <c r="H2616" s="1" t="s">
        <v>22</v>
      </c>
      <c r="I2616" s="1" t="s">
        <v>29</v>
      </c>
      <c r="J2616" s="1">
        <v>-1000000</v>
      </c>
      <c r="K2616" s="1">
        <v>1000000</v>
      </c>
      <c r="L2616" s="1">
        <v>1000</v>
      </c>
    </row>
    <row r="2617" spans="4:13">
      <c r="D2617" s="1" t="s">
        <v>1554</v>
      </c>
      <c r="E2617" s="1" t="s">
        <v>1558</v>
      </c>
      <c r="F2617" s="1" t="s">
        <v>35</v>
      </c>
      <c r="G2617" s="1" t="s">
        <v>36</v>
      </c>
      <c r="H2617" s="1" t="s">
        <v>22</v>
      </c>
      <c r="I2617" s="1" t="s">
        <v>23</v>
      </c>
      <c r="J2617" s="1">
        <v>-459.67</v>
      </c>
      <c r="L2617" s="1">
        <v>80.329999999999984</v>
      </c>
      <c r="M2617" s="1">
        <v>40.999999999999943</v>
      </c>
    </row>
    <row r="2618" spans="4:13">
      <c r="D2618" s="1" t="s">
        <v>1554</v>
      </c>
      <c r="E2618" s="1" t="s">
        <v>33</v>
      </c>
      <c r="H2618" s="1" t="s">
        <v>25</v>
      </c>
      <c r="I2618" s="1" t="s">
        <v>23</v>
      </c>
      <c r="M2618" s="1" t="b">
        <v>0</v>
      </c>
    </row>
    <row r="2619" spans="4:13">
      <c r="D2619" s="1" t="s">
        <v>1559</v>
      </c>
      <c r="E2619" s="1" t="s">
        <v>1555</v>
      </c>
      <c r="F2619" s="1" t="s">
        <v>147</v>
      </c>
      <c r="G2619" s="1" t="s">
        <v>148</v>
      </c>
      <c r="H2619" s="1" t="s">
        <v>22</v>
      </c>
      <c r="I2619" s="1" t="s">
        <v>23</v>
      </c>
      <c r="L2619" s="1">
        <v>3.4121416351331</v>
      </c>
      <c r="M2619" s="1">
        <v>3412.1416351331</v>
      </c>
    </row>
    <row r="2620" spans="4:13">
      <c r="D2620" s="1" t="s">
        <v>1559</v>
      </c>
      <c r="E2620" s="1" t="s">
        <v>1556</v>
      </c>
      <c r="H2620" s="1" t="s">
        <v>25</v>
      </c>
      <c r="I2620" s="1" t="s">
        <v>23</v>
      </c>
      <c r="M2620" s="1" t="b">
        <v>1</v>
      </c>
    </row>
    <row r="2621" spans="4:13">
      <c r="D2621" s="1" t="s">
        <v>1559</v>
      </c>
      <c r="E2621" s="1" t="s">
        <v>1558</v>
      </c>
      <c r="F2621" s="1" t="s">
        <v>35</v>
      </c>
      <c r="G2621" s="1" t="s">
        <v>36</v>
      </c>
      <c r="H2621" s="1" t="s">
        <v>22</v>
      </c>
      <c r="I2621" s="1" t="s">
        <v>23</v>
      </c>
      <c r="J2621" s="1">
        <v>-459.67</v>
      </c>
      <c r="L2621" s="1">
        <v>80.329999999999984</v>
      </c>
      <c r="M2621" s="1">
        <v>40.999999999999943</v>
      </c>
    </row>
    <row r="2622" spans="4:13">
      <c r="D2622" s="1" t="s">
        <v>1559</v>
      </c>
      <c r="E2622" s="1" t="s">
        <v>33</v>
      </c>
      <c r="H2622" s="1" t="s">
        <v>25</v>
      </c>
      <c r="I2622" s="1" t="s">
        <v>23</v>
      </c>
      <c r="M2622" s="1" t="b">
        <v>0</v>
      </c>
    </row>
    <row r="2623" spans="4:13">
      <c r="D2623" s="1" t="s">
        <v>1559</v>
      </c>
      <c r="E2623" s="1" t="s">
        <v>47</v>
      </c>
      <c r="H2623" s="1" t="s">
        <v>25</v>
      </c>
      <c r="I2623" s="1" t="s">
        <v>23</v>
      </c>
      <c r="M2623" s="1" t="b">
        <v>0</v>
      </c>
    </row>
    <row r="2624" spans="4:13">
      <c r="D2624" s="1" t="s">
        <v>1560</v>
      </c>
      <c r="E2624" s="1" t="s">
        <v>1555</v>
      </c>
      <c r="F2624" s="1" t="s">
        <v>147</v>
      </c>
      <c r="G2624" s="1" t="s">
        <v>148</v>
      </c>
      <c r="H2624" s="1" t="s">
        <v>22</v>
      </c>
      <c r="I2624" s="1" t="s">
        <v>23</v>
      </c>
      <c r="L2624" s="1">
        <v>3.4121416351331</v>
      </c>
      <c r="M2624" s="1">
        <v>3412.1416351331</v>
      </c>
    </row>
    <row r="2625" spans="4:13">
      <c r="D2625" s="1" t="s">
        <v>1560</v>
      </c>
      <c r="E2625" s="1" t="s">
        <v>1556</v>
      </c>
      <c r="H2625" s="1" t="s">
        <v>25</v>
      </c>
      <c r="I2625" s="1" t="s">
        <v>23</v>
      </c>
      <c r="M2625" s="1" t="b">
        <v>1</v>
      </c>
    </row>
    <row r="2626" spans="4:13">
      <c r="D2626" s="1" t="s">
        <v>1560</v>
      </c>
      <c r="E2626" s="1" t="s">
        <v>1558</v>
      </c>
      <c r="F2626" s="1" t="s">
        <v>35</v>
      </c>
      <c r="G2626" s="1" t="s">
        <v>36</v>
      </c>
      <c r="H2626" s="1" t="s">
        <v>22</v>
      </c>
      <c r="I2626" s="1" t="s">
        <v>23</v>
      </c>
      <c r="J2626" s="1">
        <v>-459.67</v>
      </c>
      <c r="L2626" s="1">
        <v>80.329999999999984</v>
      </c>
      <c r="M2626" s="1">
        <v>40.999999999999943</v>
      </c>
    </row>
    <row r="2627" spans="4:13">
      <c r="D2627" s="1" t="s">
        <v>1560</v>
      </c>
      <c r="E2627" s="1" t="s">
        <v>33</v>
      </c>
      <c r="H2627" s="1" t="s">
        <v>25</v>
      </c>
      <c r="I2627" s="1" t="s">
        <v>23</v>
      </c>
      <c r="M2627" s="1" t="b">
        <v>0</v>
      </c>
    </row>
    <row r="2628" spans="4:13">
      <c r="D2628" s="1" t="s">
        <v>1560</v>
      </c>
      <c r="E2628" s="1" t="s">
        <v>47</v>
      </c>
      <c r="H2628" s="1" t="s">
        <v>25</v>
      </c>
      <c r="I2628" s="1" t="s">
        <v>23</v>
      </c>
      <c r="M2628" s="1" t="b">
        <v>0</v>
      </c>
    </row>
    <row r="2629" spans="4:13">
      <c r="D2629" s="1" t="s">
        <v>1561</v>
      </c>
      <c r="E2629" s="1" t="s">
        <v>1562</v>
      </c>
      <c r="H2629" s="1" t="s">
        <v>22</v>
      </c>
      <c r="I2629" s="1" t="s">
        <v>23</v>
      </c>
      <c r="J2629" s="1">
        <v>0</v>
      </c>
      <c r="K2629" s="1">
        <v>1</v>
      </c>
      <c r="L2629" s="1">
        <v>1</v>
      </c>
      <c r="M2629" s="1">
        <v>0.5</v>
      </c>
    </row>
    <row r="2630" spans="4:13">
      <c r="D2630" s="1" t="s">
        <v>1561</v>
      </c>
      <c r="E2630" s="1" t="s">
        <v>47</v>
      </c>
      <c r="H2630" s="1" t="s">
        <v>25</v>
      </c>
      <c r="I2630" s="1" t="s">
        <v>23</v>
      </c>
      <c r="M2630" s="1" t="b">
        <v>0</v>
      </c>
    </row>
    <row r="2631" spans="4:13">
      <c r="D2631" s="1" t="s">
        <v>1561</v>
      </c>
      <c r="E2631" s="1" t="s">
        <v>1508</v>
      </c>
      <c r="H2631" s="1" t="s">
        <v>25</v>
      </c>
      <c r="I2631" s="1" t="s">
        <v>23</v>
      </c>
      <c r="M2631" s="1" t="b">
        <v>0</v>
      </c>
    </row>
    <row r="2632" spans="4:13">
      <c r="D2632" s="1" t="s">
        <v>1561</v>
      </c>
      <c r="E2632" s="1" t="s">
        <v>1563</v>
      </c>
      <c r="H2632" s="1" t="s">
        <v>25</v>
      </c>
      <c r="I2632" s="1" t="s">
        <v>23</v>
      </c>
      <c r="M2632" s="1" t="b">
        <v>0</v>
      </c>
    </row>
    <row r="2633" spans="4:13">
      <c r="D2633" s="1" t="s">
        <v>1561</v>
      </c>
      <c r="E2633" s="1" t="s">
        <v>1564</v>
      </c>
      <c r="F2633" s="1" t="s">
        <v>52</v>
      </c>
      <c r="G2633" s="1" t="s">
        <v>53</v>
      </c>
      <c r="H2633" s="1" t="s">
        <v>22</v>
      </c>
      <c r="I2633" s="1" t="s">
        <v>23</v>
      </c>
      <c r="L2633" s="1">
        <v>7936.6414386555998</v>
      </c>
      <c r="M2633" s="1">
        <v>0</v>
      </c>
    </row>
    <row r="2634" spans="4:13">
      <c r="D2634" s="1" t="s">
        <v>1561</v>
      </c>
      <c r="E2634" s="1" t="s">
        <v>1565</v>
      </c>
      <c r="F2634" s="1" t="s">
        <v>52</v>
      </c>
      <c r="G2634" s="1" t="s">
        <v>53</v>
      </c>
      <c r="H2634" s="1" t="s">
        <v>22</v>
      </c>
      <c r="I2634" s="1" t="s">
        <v>23</v>
      </c>
      <c r="L2634" s="1">
        <v>7936.6414386555998</v>
      </c>
      <c r="M2634" s="1">
        <v>0</v>
      </c>
    </row>
    <row r="2635" spans="4:13">
      <c r="D2635" s="1" t="s">
        <v>1561</v>
      </c>
      <c r="E2635" s="1" t="s">
        <v>1566</v>
      </c>
      <c r="F2635" s="1" t="s">
        <v>56</v>
      </c>
      <c r="G2635" s="1" t="s">
        <v>57</v>
      </c>
      <c r="H2635" s="1" t="s">
        <v>22</v>
      </c>
      <c r="I2635" s="1" t="s">
        <v>29</v>
      </c>
      <c r="J2635" s="1">
        <v>4.9312830828271128</v>
      </c>
      <c r="K2635" s="1">
        <v>623.66227223989961</v>
      </c>
      <c r="L2635" s="1">
        <v>50.713895374744951</v>
      </c>
    </row>
    <row r="2636" spans="4:13">
      <c r="D2636" s="1" t="s">
        <v>1561</v>
      </c>
      <c r="E2636" s="1" t="s">
        <v>1567</v>
      </c>
      <c r="F2636" s="1" t="s">
        <v>52</v>
      </c>
      <c r="G2636" s="1" t="s">
        <v>53</v>
      </c>
      <c r="H2636" s="1" t="s">
        <v>22</v>
      </c>
      <c r="I2636" s="1" t="s">
        <v>29</v>
      </c>
      <c r="J2636" s="1">
        <v>-793664.14386555995</v>
      </c>
      <c r="K2636" s="1">
        <v>0</v>
      </c>
      <c r="L2636" s="1">
        <v>7936.6414386555998</v>
      </c>
    </row>
    <row r="2637" spans="4:13">
      <c r="D2637" s="1" t="s">
        <v>1561</v>
      </c>
      <c r="E2637" s="1" t="s">
        <v>1568</v>
      </c>
      <c r="F2637" s="1" t="s">
        <v>52</v>
      </c>
      <c r="G2637" s="1" t="s">
        <v>53</v>
      </c>
      <c r="H2637" s="1" t="s">
        <v>22</v>
      </c>
      <c r="I2637" s="1" t="s">
        <v>29</v>
      </c>
      <c r="J2637" s="1">
        <v>-793664.14386555995</v>
      </c>
      <c r="K2637" s="1">
        <v>0</v>
      </c>
      <c r="L2637" s="1">
        <v>7936.6414386555998</v>
      </c>
    </row>
    <row r="2638" spans="4:13">
      <c r="D2638" s="1" t="s">
        <v>1561</v>
      </c>
      <c r="E2638" s="1" t="s">
        <v>62</v>
      </c>
      <c r="H2638" s="1" t="s">
        <v>63</v>
      </c>
      <c r="I2638" s="1" t="s">
        <v>23</v>
      </c>
      <c r="M2638" s="1">
        <v>1</v>
      </c>
    </row>
    <row r="2639" spans="4:13">
      <c r="D2639" s="1" t="s">
        <v>1569</v>
      </c>
      <c r="E2639" s="1" t="s">
        <v>1562</v>
      </c>
      <c r="H2639" s="1" t="s">
        <v>22</v>
      </c>
      <c r="I2639" s="1" t="s">
        <v>23</v>
      </c>
      <c r="J2639" s="1">
        <v>0</v>
      </c>
      <c r="K2639" s="1">
        <v>1</v>
      </c>
      <c r="L2639" s="1">
        <v>1</v>
      </c>
      <c r="M2639" s="1">
        <v>0.01</v>
      </c>
    </row>
    <row r="2640" spans="4:13">
      <c r="D2640" s="1" t="s">
        <v>1569</v>
      </c>
      <c r="E2640" s="1" t="s">
        <v>47</v>
      </c>
      <c r="H2640" s="1" t="s">
        <v>25</v>
      </c>
      <c r="I2640" s="1" t="s">
        <v>23</v>
      </c>
      <c r="M2640" s="1" t="b">
        <v>0</v>
      </c>
    </row>
    <row r="2641" spans="4:13">
      <c r="D2641" s="1" t="s">
        <v>1569</v>
      </c>
      <c r="E2641" s="1" t="s">
        <v>1508</v>
      </c>
      <c r="H2641" s="1" t="s">
        <v>25</v>
      </c>
      <c r="I2641" s="1" t="s">
        <v>23</v>
      </c>
      <c r="M2641" s="1" t="b">
        <v>1</v>
      </c>
    </row>
    <row r="2642" spans="4:13">
      <c r="D2642" s="1" t="s">
        <v>1569</v>
      </c>
      <c r="E2642" s="1" t="s">
        <v>1563</v>
      </c>
      <c r="H2642" s="1" t="s">
        <v>25</v>
      </c>
      <c r="I2642" s="1" t="s">
        <v>23</v>
      </c>
      <c r="M2642" s="1" t="b">
        <v>0</v>
      </c>
    </row>
    <row r="2643" spans="4:13">
      <c r="D2643" s="1" t="s">
        <v>1569</v>
      </c>
      <c r="E2643" s="1" t="s">
        <v>1564</v>
      </c>
      <c r="F2643" s="1" t="s">
        <v>52</v>
      </c>
      <c r="G2643" s="1" t="s">
        <v>53</v>
      </c>
      <c r="H2643" s="1" t="s">
        <v>22</v>
      </c>
      <c r="I2643" s="1" t="s">
        <v>23</v>
      </c>
      <c r="L2643" s="1">
        <v>7936.6414386555998</v>
      </c>
      <c r="M2643" s="1">
        <v>0</v>
      </c>
    </row>
    <row r="2644" spans="4:13">
      <c r="D2644" s="1" t="s">
        <v>1569</v>
      </c>
      <c r="E2644" s="1" t="s">
        <v>1565</v>
      </c>
      <c r="F2644" s="1" t="s">
        <v>52</v>
      </c>
      <c r="G2644" s="1" t="s">
        <v>53</v>
      </c>
      <c r="H2644" s="1" t="s">
        <v>22</v>
      </c>
      <c r="I2644" s="1" t="s">
        <v>23</v>
      </c>
      <c r="L2644" s="1">
        <v>7936.6414386555998</v>
      </c>
      <c r="M2644" s="1">
        <v>0</v>
      </c>
    </row>
    <row r="2645" spans="4:13">
      <c r="D2645" s="1" t="s">
        <v>1569</v>
      </c>
      <c r="E2645" s="1" t="s">
        <v>1566</v>
      </c>
      <c r="F2645" s="1" t="s">
        <v>56</v>
      </c>
      <c r="G2645" s="1" t="s">
        <v>57</v>
      </c>
      <c r="H2645" s="1" t="s">
        <v>22</v>
      </c>
      <c r="I2645" s="1" t="s">
        <v>29</v>
      </c>
      <c r="J2645" s="1">
        <v>4.9312830828271128</v>
      </c>
      <c r="K2645" s="1">
        <v>623.66227223989961</v>
      </c>
      <c r="L2645" s="1">
        <v>50.713895374744951</v>
      </c>
    </row>
    <row r="2646" spans="4:13">
      <c r="D2646" s="1" t="s">
        <v>1569</v>
      </c>
      <c r="E2646" s="1" t="s">
        <v>1567</v>
      </c>
      <c r="F2646" s="1" t="s">
        <v>52</v>
      </c>
      <c r="G2646" s="1" t="s">
        <v>53</v>
      </c>
      <c r="H2646" s="1" t="s">
        <v>22</v>
      </c>
      <c r="I2646" s="1" t="s">
        <v>29</v>
      </c>
      <c r="J2646" s="1">
        <v>-793664.14386555995</v>
      </c>
      <c r="K2646" s="1">
        <v>0</v>
      </c>
      <c r="L2646" s="1">
        <v>7936.6414386555998</v>
      </c>
    </row>
    <row r="2647" spans="4:13">
      <c r="D2647" s="1" t="s">
        <v>1569</v>
      </c>
      <c r="E2647" s="1" t="s">
        <v>1568</v>
      </c>
      <c r="F2647" s="1" t="s">
        <v>52</v>
      </c>
      <c r="G2647" s="1" t="s">
        <v>53</v>
      </c>
      <c r="H2647" s="1" t="s">
        <v>22</v>
      </c>
      <c r="I2647" s="1" t="s">
        <v>29</v>
      </c>
      <c r="J2647" s="1">
        <v>-793664.14386555995</v>
      </c>
      <c r="K2647" s="1">
        <v>0</v>
      </c>
      <c r="L2647" s="1">
        <v>7936.6414386555998</v>
      </c>
    </row>
    <row r="2648" spans="4:13">
      <c r="D2648" s="1" t="s">
        <v>1569</v>
      </c>
      <c r="E2648" s="1" t="s">
        <v>62</v>
      </c>
      <c r="H2648" s="1" t="s">
        <v>63</v>
      </c>
      <c r="I2648" s="1" t="s">
        <v>23</v>
      </c>
      <c r="M2648" s="1">
        <v>1</v>
      </c>
    </row>
    <row r="2649" spans="4:13">
      <c r="D2649" s="1" t="s">
        <v>1570</v>
      </c>
      <c r="E2649" s="1" t="s">
        <v>1562</v>
      </c>
      <c r="H2649" s="1" t="s">
        <v>22</v>
      </c>
      <c r="I2649" s="1" t="s">
        <v>23</v>
      </c>
      <c r="J2649" s="1">
        <v>0</v>
      </c>
      <c r="K2649" s="1">
        <v>1</v>
      </c>
      <c r="L2649" s="1">
        <v>1</v>
      </c>
      <c r="M2649" s="1">
        <v>0.01</v>
      </c>
    </row>
    <row r="2650" spans="4:13">
      <c r="D2650" s="1" t="s">
        <v>1570</v>
      </c>
      <c r="E2650" s="1" t="s">
        <v>47</v>
      </c>
      <c r="H2650" s="1" t="s">
        <v>25</v>
      </c>
      <c r="I2650" s="1" t="s">
        <v>23</v>
      </c>
      <c r="M2650" s="1" t="b">
        <v>0</v>
      </c>
    </row>
    <row r="2651" spans="4:13">
      <c r="D2651" s="1" t="s">
        <v>1570</v>
      </c>
      <c r="E2651" s="1" t="s">
        <v>1508</v>
      </c>
      <c r="H2651" s="1" t="s">
        <v>25</v>
      </c>
      <c r="I2651" s="1" t="s">
        <v>23</v>
      </c>
      <c r="M2651" s="1" t="b">
        <v>0</v>
      </c>
    </row>
    <row r="2652" spans="4:13">
      <c r="D2652" s="1" t="s">
        <v>1570</v>
      </c>
      <c r="E2652" s="1" t="s">
        <v>1563</v>
      </c>
      <c r="H2652" s="1" t="s">
        <v>25</v>
      </c>
      <c r="I2652" s="1" t="s">
        <v>23</v>
      </c>
      <c r="M2652" s="1" t="b">
        <v>0</v>
      </c>
    </row>
    <row r="2653" spans="4:13">
      <c r="D2653" s="1" t="s">
        <v>1570</v>
      </c>
      <c r="E2653" s="1" t="s">
        <v>1564</v>
      </c>
      <c r="F2653" s="1" t="s">
        <v>52</v>
      </c>
      <c r="G2653" s="1" t="s">
        <v>53</v>
      </c>
      <c r="H2653" s="1" t="s">
        <v>22</v>
      </c>
      <c r="I2653" s="1" t="s">
        <v>23</v>
      </c>
      <c r="L2653" s="1">
        <v>7936.6414386555998</v>
      </c>
      <c r="M2653" s="1">
        <v>0</v>
      </c>
    </row>
    <row r="2654" spans="4:13">
      <c r="D2654" s="1" t="s">
        <v>1570</v>
      </c>
      <c r="E2654" s="1" t="s">
        <v>1565</v>
      </c>
      <c r="F2654" s="1" t="s">
        <v>52</v>
      </c>
      <c r="G2654" s="1" t="s">
        <v>53</v>
      </c>
      <c r="H2654" s="1" t="s">
        <v>22</v>
      </c>
      <c r="I2654" s="1" t="s">
        <v>23</v>
      </c>
      <c r="L2654" s="1">
        <v>7936.6414386555998</v>
      </c>
      <c r="M2654" s="1">
        <v>0</v>
      </c>
    </row>
    <row r="2655" spans="4:13">
      <c r="D2655" s="1" t="s">
        <v>1570</v>
      </c>
      <c r="E2655" s="1" t="s">
        <v>1566</v>
      </c>
      <c r="F2655" s="1" t="s">
        <v>56</v>
      </c>
      <c r="G2655" s="1" t="s">
        <v>57</v>
      </c>
      <c r="H2655" s="1" t="s">
        <v>22</v>
      </c>
      <c r="I2655" s="1" t="s">
        <v>29</v>
      </c>
      <c r="J2655" s="1">
        <v>4.9312830828271128</v>
      </c>
      <c r="K2655" s="1">
        <v>623.66227223989961</v>
      </c>
      <c r="L2655" s="1">
        <v>50.713895374744951</v>
      </c>
    </row>
    <row r="2656" spans="4:13">
      <c r="D2656" s="1" t="s">
        <v>1570</v>
      </c>
      <c r="E2656" s="1" t="s">
        <v>1567</v>
      </c>
      <c r="F2656" s="1" t="s">
        <v>52</v>
      </c>
      <c r="G2656" s="1" t="s">
        <v>53</v>
      </c>
      <c r="H2656" s="1" t="s">
        <v>22</v>
      </c>
      <c r="I2656" s="1" t="s">
        <v>29</v>
      </c>
      <c r="J2656" s="1">
        <v>-793664.14386555995</v>
      </c>
      <c r="K2656" s="1">
        <v>0</v>
      </c>
      <c r="L2656" s="1">
        <v>7936.6414386555998</v>
      </c>
    </row>
    <row r="2657" spans="4:13">
      <c r="D2657" s="1" t="s">
        <v>1570</v>
      </c>
      <c r="E2657" s="1" t="s">
        <v>1568</v>
      </c>
      <c r="F2657" s="1" t="s">
        <v>52</v>
      </c>
      <c r="G2657" s="1" t="s">
        <v>53</v>
      </c>
      <c r="H2657" s="1" t="s">
        <v>22</v>
      </c>
      <c r="I2657" s="1" t="s">
        <v>29</v>
      </c>
      <c r="J2657" s="1">
        <v>-793664.14386555995</v>
      </c>
      <c r="K2657" s="1">
        <v>0</v>
      </c>
      <c r="L2657" s="1">
        <v>7936.6414386555998</v>
      </c>
    </row>
    <row r="2658" spans="4:13">
      <c r="D2658" s="1" t="s">
        <v>1570</v>
      </c>
      <c r="E2658" s="1" t="s">
        <v>62</v>
      </c>
      <c r="H2658" s="1" t="s">
        <v>63</v>
      </c>
      <c r="I2658" s="1" t="s">
        <v>23</v>
      </c>
      <c r="M2658" s="1">
        <v>1</v>
      </c>
    </row>
    <row r="2659" spans="4:13">
      <c r="D2659" s="1" t="s">
        <v>1571</v>
      </c>
      <c r="E2659" s="1" t="s">
        <v>1572</v>
      </c>
      <c r="H2659" s="1" t="s">
        <v>25</v>
      </c>
      <c r="I2659" s="1" t="s">
        <v>23</v>
      </c>
      <c r="M2659" s="1" t="b">
        <v>0</v>
      </c>
    </row>
    <row r="2660" spans="4:13">
      <c r="D2660" s="1" t="s">
        <v>1571</v>
      </c>
      <c r="E2660" s="1" t="s">
        <v>1573</v>
      </c>
      <c r="F2660" s="1" t="s">
        <v>147</v>
      </c>
      <c r="G2660" s="1" t="s">
        <v>148</v>
      </c>
      <c r="H2660" s="1" t="s">
        <v>22</v>
      </c>
      <c r="I2660" s="1" t="s">
        <v>23</v>
      </c>
      <c r="L2660" s="1">
        <v>3.4121416351331</v>
      </c>
      <c r="M2660" s="1">
        <v>12000000.007063219</v>
      </c>
    </row>
    <row r="2661" spans="4:13">
      <c r="D2661" s="1" t="s">
        <v>1571</v>
      </c>
      <c r="E2661" s="1" t="s">
        <v>1574</v>
      </c>
      <c r="H2661" s="1" t="s">
        <v>25</v>
      </c>
      <c r="I2661" s="1" t="s">
        <v>23</v>
      </c>
      <c r="M2661" s="1" t="b">
        <v>0</v>
      </c>
    </row>
    <row r="2662" spans="4:13">
      <c r="D2662" s="1" t="s">
        <v>1571</v>
      </c>
      <c r="E2662" s="1" t="s">
        <v>1575</v>
      </c>
      <c r="F2662" s="1" t="s">
        <v>147</v>
      </c>
      <c r="G2662" s="1" t="s">
        <v>148</v>
      </c>
      <c r="H2662" s="1" t="s">
        <v>22</v>
      </c>
      <c r="I2662" s="1" t="s">
        <v>23</v>
      </c>
      <c r="L2662" s="1">
        <v>3.4121416351331</v>
      </c>
      <c r="M2662" s="1">
        <v>0</v>
      </c>
    </row>
    <row r="2663" spans="4:13">
      <c r="D2663" s="1" t="s">
        <v>1571</v>
      </c>
      <c r="E2663" s="1" t="s">
        <v>1576</v>
      </c>
      <c r="H2663" s="1" t="s">
        <v>25</v>
      </c>
      <c r="I2663" s="1" t="s">
        <v>23</v>
      </c>
      <c r="M2663" s="1" t="b">
        <v>0</v>
      </c>
    </row>
    <row r="2664" spans="4:13">
      <c r="D2664" s="1" t="s">
        <v>1571</v>
      </c>
      <c r="E2664" s="1" t="s">
        <v>1577</v>
      </c>
      <c r="H2664" s="1" t="s">
        <v>25</v>
      </c>
      <c r="I2664" s="1" t="s">
        <v>23</v>
      </c>
      <c r="M2664" s="1" t="b">
        <v>0</v>
      </c>
    </row>
    <row r="2665" spans="4:13">
      <c r="D2665" s="1" t="s">
        <v>1571</v>
      </c>
      <c r="E2665" s="1" t="s">
        <v>1578</v>
      </c>
      <c r="H2665" s="1" t="s">
        <v>22</v>
      </c>
      <c r="I2665" s="1" t="s">
        <v>23</v>
      </c>
      <c r="L2665" s="1">
        <v>1</v>
      </c>
      <c r="M2665" s="1">
        <v>0.88</v>
      </c>
    </row>
    <row r="2666" spans="4:13">
      <c r="D2666" s="1" t="s">
        <v>1571</v>
      </c>
      <c r="E2666" s="1" t="s">
        <v>1579</v>
      </c>
      <c r="H2666" s="1" t="s">
        <v>25</v>
      </c>
      <c r="I2666" s="1" t="s">
        <v>23</v>
      </c>
      <c r="M2666" s="1" t="b">
        <v>1</v>
      </c>
    </row>
    <row r="2667" spans="4:13">
      <c r="D2667" s="1" t="s">
        <v>1571</v>
      </c>
      <c r="E2667" s="1" t="s">
        <v>1580</v>
      </c>
      <c r="H2667" s="1" t="s">
        <v>25</v>
      </c>
      <c r="I2667" s="1" t="s">
        <v>23</v>
      </c>
      <c r="M2667" s="1" t="b">
        <v>0</v>
      </c>
    </row>
    <row r="2668" spans="4:13">
      <c r="D2668" s="1" t="s">
        <v>1571</v>
      </c>
      <c r="E2668" s="1" t="s">
        <v>1581</v>
      </c>
      <c r="H2668" s="1" t="s">
        <v>25</v>
      </c>
      <c r="I2668" s="1" t="s">
        <v>23</v>
      </c>
      <c r="M2668" s="1" t="b">
        <v>0</v>
      </c>
    </row>
    <row r="2669" spans="4:13">
      <c r="D2669" s="1" t="s">
        <v>1571</v>
      </c>
      <c r="E2669" s="1" t="s">
        <v>1582</v>
      </c>
      <c r="F2669" s="1" t="s">
        <v>147</v>
      </c>
      <c r="G2669" s="1" t="s">
        <v>148</v>
      </c>
      <c r="H2669" s="1" t="s">
        <v>22</v>
      </c>
      <c r="I2669" s="1" t="s">
        <v>23</v>
      </c>
      <c r="L2669" s="1">
        <v>3.4121416351331</v>
      </c>
      <c r="M2669" s="1">
        <v>0</v>
      </c>
    </row>
    <row r="2670" spans="4:13">
      <c r="D2670" s="1" t="s">
        <v>1571</v>
      </c>
      <c r="E2670" s="1" t="s">
        <v>1583</v>
      </c>
      <c r="H2670" s="1" t="s">
        <v>25</v>
      </c>
      <c r="I2670" s="1" t="s">
        <v>23</v>
      </c>
      <c r="M2670" s="1" t="b">
        <v>0</v>
      </c>
    </row>
    <row r="2671" spans="4:13">
      <c r="D2671" s="1" t="s">
        <v>1571</v>
      </c>
      <c r="E2671" s="1" t="s">
        <v>1584</v>
      </c>
      <c r="F2671" s="1" t="s">
        <v>147</v>
      </c>
      <c r="G2671" s="1" t="s">
        <v>148</v>
      </c>
      <c r="H2671" s="1" t="s">
        <v>22</v>
      </c>
      <c r="I2671" s="1" t="s">
        <v>23</v>
      </c>
      <c r="L2671" s="1">
        <v>3.4121416351331</v>
      </c>
      <c r="M2671" s="1">
        <v>0</v>
      </c>
    </row>
    <row r="2672" spans="4:13">
      <c r="D2672" s="1" t="s">
        <v>1571</v>
      </c>
      <c r="E2672" s="1" t="s">
        <v>1585</v>
      </c>
      <c r="H2672" s="1" t="s">
        <v>25</v>
      </c>
      <c r="I2672" s="1" t="s">
        <v>23</v>
      </c>
      <c r="M2672" s="1" t="b">
        <v>0</v>
      </c>
    </row>
    <row r="2673" spans="4:13">
      <c r="D2673" s="1" t="s">
        <v>1571</v>
      </c>
      <c r="E2673" s="1" t="s">
        <v>1586</v>
      </c>
      <c r="F2673" s="1" t="s">
        <v>147</v>
      </c>
      <c r="G2673" s="1" t="s">
        <v>148</v>
      </c>
      <c r="H2673" s="1" t="s">
        <v>22</v>
      </c>
      <c r="I2673" s="1" t="s">
        <v>23</v>
      </c>
      <c r="L2673" s="1">
        <v>3.4121416351331</v>
      </c>
      <c r="M2673" s="1">
        <v>0</v>
      </c>
    </row>
    <row r="2674" spans="4:13">
      <c r="D2674" s="1" t="s">
        <v>1571</v>
      </c>
      <c r="E2674" s="1" t="s">
        <v>1587</v>
      </c>
      <c r="H2674" s="1" t="s">
        <v>25</v>
      </c>
      <c r="I2674" s="1" t="s">
        <v>23</v>
      </c>
      <c r="M2674" s="1" t="b">
        <v>0</v>
      </c>
    </row>
    <row r="2675" spans="4:13">
      <c r="D2675" s="1" t="s">
        <v>1571</v>
      </c>
      <c r="E2675" s="1" t="s">
        <v>1588</v>
      </c>
      <c r="F2675" s="1" t="s">
        <v>147</v>
      </c>
      <c r="G2675" s="1" t="s">
        <v>148</v>
      </c>
      <c r="H2675" s="1" t="s">
        <v>22</v>
      </c>
      <c r="I2675" s="1" t="s">
        <v>23</v>
      </c>
      <c r="L2675" s="1">
        <v>3.4121416351331</v>
      </c>
      <c r="M2675" s="1">
        <v>0</v>
      </c>
    </row>
    <row r="2676" spans="4:13">
      <c r="D2676" s="1" t="s">
        <v>1571</v>
      </c>
      <c r="E2676" s="1" t="s">
        <v>1589</v>
      </c>
      <c r="H2676" s="1" t="s">
        <v>22</v>
      </c>
      <c r="I2676" s="1" t="s">
        <v>65</v>
      </c>
      <c r="L2676" s="1">
        <v>1</v>
      </c>
    </row>
    <row r="2677" spans="4:13">
      <c r="D2677" s="1" t="s">
        <v>1571</v>
      </c>
      <c r="E2677" s="1" t="s">
        <v>1590</v>
      </c>
      <c r="H2677" s="1" t="s">
        <v>22</v>
      </c>
      <c r="I2677" s="1" t="s">
        <v>65</v>
      </c>
      <c r="L2677" s="1">
        <v>1</v>
      </c>
    </row>
    <row r="2678" spans="4:13">
      <c r="D2678" s="1" t="s">
        <v>1571</v>
      </c>
      <c r="E2678" s="1" t="s">
        <v>1591</v>
      </c>
      <c r="F2678" s="1" t="s">
        <v>147</v>
      </c>
      <c r="G2678" s="1" t="s">
        <v>148</v>
      </c>
      <c r="H2678" s="1" t="s">
        <v>22</v>
      </c>
      <c r="I2678" s="1" t="s">
        <v>65</v>
      </c>
      <c r="L2678" s="1">
        <v>3.4121416351331</v>
      </c>
    </row>
    <row r="2679" spans="4:13">
      <c r="D2679" s="1" t="s">
        <v>1571</v>
      </c>
      <c r="E2679" s="1" t="s">
        <v>1592</v>
      </c>
      <c r="F2679" s="1" t="s">
        <v>147</v>
      </c>
      <c r="G2679" s="1" t="s">
        <v>148</v>
      </c>
      <c r="H2679" s="1" t="s">
        <v>22</v>
      </c>
      <c r="I2679" s="1" t="s">
        <v>120</v>
      </c>
      <c r="L2679" s="1">
        <v>3.4121416351331</v>
      </c>
    </row>
    <row r="2680" spans="4:13">
      <c r="D2680" s="1" t="s">
        <v>1571</v>
      </c>
      <c r="E2680" s="1" t="s">
        <v>1593</v>
      </c>
      <c r="F2680" s="1" t="s">
        <v>147</v>
      </c>
      <c r="G2680" s="1" t="s">
        <v>148</v>
      </c>
      <c r="H2680" s="1" t="s">
        <v>22</v>
      </c>
      <c r="I2680" s="1" t="s">
        <v>65</v>
      </c>
      <c r="L2680" s="1">
        <v>3.4121416351331</v>
      </c>
    </row>
    <row r="2681" spans="4:13">
      <c r="D2681" s="1" t="s">
        <v>1571</v>
      </c>
      <c r="E2681" s="1" t="s">
        <v>1594</v>
      </c>
      <c r="H2681" s="1" t="s">
        <v>22</v>
      </c>
      <c r="I2681" s="1" t="s">
        <v>65</v>
      </c>
      <c r="L2681" s="1">
        <v>1</v>
      </c>
    </row>
    <row r="2682" spans="4:13">
      <c r="D2682" s="1" t="s">
        <v>1571</v>
      </c>
      <c r="E2682" s="1" t="s">
        <v>1595</v>
      </c>
      <c r="H2682" s="1" t="s">
        <v>22</v>
      </c>
      <c r="I2682" s="1" t="s">
        <v>65</v>
      </c>
      <c r="L2682" s="1">
        <v>1</v>
      </c>
    </row>
    <row r="2683" spans="4:13">
      <c r="D2683" s="1" t="s">
        <v>1571</v>
      </c>
      <c r="E2683" s="1" t="s">
        <v>1596</v>
      </c>
      <c r="F2683" s="1" t="s">
        <v>147</v>
      </c>
      <c r="G2683" s="1" t="s">
        <v>148</v>
      </c>
      <c r="H2683" s="1" t="s">
        <v>22</v>
      </c>
      <c r="I2683" s="1" t="s">
        <v>65</v>
      </c>
      <c r="L2683" s="1">
        <v>3.4121416351331</v>
      </c>
    </row>
    <row r="2684" spans="4:13">
      <c r="D2684" s="1" t="s">
        <v>1571</v>
      </c>
      <c r="E2684" s="1" t="s">
        <v>1597</v>
      </c>
      <c r="F2684" s="1" t="s">
        <v>147</v>
      </c>
      <c r="G2684" s="1" t="s">
        <v>148</v>
      </c>
      <c r="H2684" s="1" t="s">
        <v>22</v>
      </c>
      <c r="I2684" s="1" t="s">
        <v>120</v>
      </c>
      <c r="L2684" s="1">
        <v>3.4121416351331</v>
      </c>
    </row>
    <row r="2685" spans="4:13">
      <c r="D2685" s="1" t="s">
        <v>1571</v>
      </c>
      <c r="E2685" s="1" t="s">
        <v>1598</v>
      </c>
      <c r="F2685" s="1" t="s">
        <v>147</v>
      </c>
      <c r="G2685" s="1" t="s">
        <v>148</v>
      </c>
      <c r="H2685" s="1" t="s">
        <v>22</v>
      </c>
      <c r="I2685" s="1" t="s">
        <v>65</v>
      </c>
      <c r="L2685" s="1">
        <v>3.4121416351331</v>
      </c>
    </row>
    <row r="2686" spans="4:13">
      <c r="D2686" s="1" t="s">
        <v>1571</v>
      </c>
      <c r="E2686" s="1" t="s">
        <v>1599</v>
      </c>
      <c r="H2686" s="1" t="s">
        <v>25</v>
      </c>
      <c r="I2686" s="1" t="s">
        <v>120</v>
      </c>
    </row>
    <row r="2687" spans="4:13">
      <c r="D2687" s="1" t="s">
        <v>1571</v>
      </c>
      <c r="E2687" s="1" t="s">
        <v>1600</v>
      </c>
      <c r="H2687" s="1" t="s">
        <v>25</v>
      </c>
      <c r="I2687" s="1" t="s">
        <v>120</v>
      </c>
    </row>
    <row r="2688" spans="4:13">
      <c r="D2688" s="1" t="s">
        <v>1571</v>
      </c>
      <c r="E2688" s="1" t="s">
        <v>1601</v>
      </c>
      <c r="H2688" s="1" t="s">
        <v>22</v>
      </c>
      <c r="I2688" s="1" t="s">
        <v>65</v>
      </c>
      <c r="L2688" s="1">
        <v>1</v>
      </c>
    </row>
    <row r="2689" spans="4:13">
      <c r="D2689" s="1" t="s">
        <v>1571</v>
      </c>
      <c r="E2689" s="1" t="s">
        <v>1602</v>
      </c>
      <c r="F2689" s="1" t="s">
        <v>118</v>
      </c>
      <c r="G2689" s="1" t="s">
        <v>119</v>
      </c>
      <c r="H2689" s="1" t="s">
        <v>22</v>
      </c>
      <c r="I2689" s="1" t="s">
        <v>65</v>
      </c>
      <c r="J2689" s="1">
        <v>0</v>
      </c>
      <c r="L2689" s="1">
        <v>2.20462262185</v>
      </c>
    </row>
    <row r="2690" spans="4:13">
      <c r="D2690" s="1" t="s">
        <v>1571</v>
      </c>
      <c r="E2690" s="1" t="s">
        <v>1603</v>
      </c>
      <c r="F2690" s="1" t="s">
        <v>118</v>
      </c>
      <c r="G2690" s="1" t="s">
        <v>119</v>
      </c>
      <c r="H2690" s="1" t="s">
        <v>22</v>
      </c>
      <c r="I2690" s="1" t="s">
        <v>120</v>
      </c>
      <c r="J2690" s="1">
        <v>0</v>
      </c>
      <c r="L2690" s="1">
        <v>2.20462262185</v>
      </c>
    </row>
    <row r="2691" spans="4:13">
      <c r="D2691" s="1" t="s">
        <v>1571</v>
      </c>
      <c r="E2691" s="1" t="s">
        <v>1604</v>
      </c>
      <c r="H2691" s="1" t="s">
        <v>150</v>
      </c>
      <c r="I2691" s="1" t="s">
        <v>120</v>
      </c>
    </row>
    <row r="2692" spans="4:13">
      <c r="D2692" s="1" t="s">
        <v>1571</v>
      </c>
      <c r="E2692" s="1" t="s">
        <v>1605</v>
      </c>
      <c r="H2692" s="1" t="s">
        <v>63</v>
      </c>
      <c r="I2692" s="1" t="s">
        <v>120</v>
      </c>
    </row>
    <row r="2693" spans="4:13">
      <c r="D2693" s="1" t="s">
        <v>1571</v>
      </c>
      <c r="E2693" s="1" t="s">
        <v>1606</v>
      </c>
      <c r="H2693" s="1" t="s">
        <v>22</v>
      </c>
      <c r="I2693" s="1" t="s">
        <v>120</v>
      </c>
      <c r="L2693" s="1">
        <v>1</v>
      </c>
    </row>
    <row r="2694" spans="4:13">
      <c r="D2694" s="1" t="s">
        <v>1571</v>
      </c>
      <c r="E2694" s="1" t="s">
        <v>1607</v>
      </c>
      <c r="H2694" s="1" t="s">
        <v>22</v>
      </c>
      <c r="I2694" s="1" t="s">
        <v>120</v>
      </c>
      <c r="L2694" s="1">
        <v>1</v>
      </c>
    </row>
    <row r="2695" spans="4:13">
      <c r="D2695" s="1" t="s">
        <v>1571</v>
      </c>
      <c r="E2695" s="1" t="s">
        <v>1608</v>
      </c>
      <c r="F2695" s="1" t="s">
        <v>147</v>
      </c>
      <c r="G2695" s="1" t="s">
        <v>148</v>
      </c>
      <c r="H2695" s="1" t="s">
        <v>22</v>
      </c>
      <c r="I2695" s="1" t="s">
        <v>120</v>
      </c>
      <c r="L2695" s="1">
        <v>3.4121416351331</v>
      </c>
    </row>
    <row r="2696" spans="4:13">
      <c r="D2696" s="1" t="s">
        <v>1571</v>
      </c>
      <c r="E2696" s="1" t="s">
        <v>1609</v>
      </c>
      <c r="F2696" s="1" t="s">
        <v>147</v>
      </c>
      <c r="G2696" s="1" t="s">
        <v>148</v>
      </c>
      <c r="H2696" s="1" t="s">
        <v>22</v>
      </c>
      <c r="I2696" s="1" t="s">
        <v>120</v>
      </c>
      <c r="L2696" s="1">
        <v>3.4121416351331</v>
      </c>
    </row>
    <row r="2697" spans="4:13">
      <c r="D2697" s="1" t="s">
        <v>1571</v>
      </c>
      <c r="E2697" s="1" t="s">
        <v>1610</v>
      </c>
      <c r="F2697" s="1" t="s">
        <v>147</v>
      </c>
      <c r="G2697" s="1" t="s">
        <v>148</v>
      </c>
      <c r="H2697" s="1" t="s">
        <v>22</v>
      </c>
      <c r="I2697" s="1" t="s">
        <v>120</v>
      </c>
      <c r="L2697" s="1">
        <v>3.4121416351331</v>
      </c>
    </row>
    <row r="2698" spans="4:13">
      <c r="D2698" s="1" t="s">
        <v>1571</v>
      </c>
      <c r="E2698" s="1" t="s">
        <v>1611</v>
      </c>
      <c r="F2698" s="1" t="s">
        <v>147</v>
      </c>
      <c r="G2698" s="1" t="s">
        <v>148</v>
      </c>
      <c r="H2698" s="1" t="s">
        <v>22</v>
      </c>
      <c r="I2698" s="1" t="s">
        <v>65</v>
      </c>
      <c r="L2698" s="1">
        <v>3.4121416351331</v>
      </c>
    </row>
    <row r="2699" spans="4:13">
      <c r="D2699" s="1" t="s">
        <v>1571</v>
      </c>
      <c r="E2699" s="1" t="s">
        <v>1612</v>
      </c>
      <c r="F2699" s="1" t="s">
        <v>147</v>
      </c>
      <c r="G2699" s="1" t="s">
        <v>148</v>
      </c>
      <c r="H2699" s="1" t="s">
        <v>22</v>
      </c>
      <c r="I2699" s="1" t="s">
        <v>120</v>
      </c>
      <c r="L2699" s="1">
        <v>3.4121416351331</v>
      </c>
    </row>
    <row r="2700" spans="4:13">
      <c r="D2700" s="1" t="s">
        <v>1571</v>
      </c>
      <c r="E2700" s="1" t="s">
        <v>1613</v>
      </c>
      <c r="F2700" s="1" t="s">
        <v>147</v>
      </c>
      <c r="G2700" s="1" t="s">
        <v>148</v>
      </c>
      <c r="H2700" s="1" t="s">
        <v>22</v>
      </c>
      <c r="I2700" s="1" t="s">
        <v>65</v>
      </c>
      <c r="L2700" s="1">
        <v>3.4121416351331</v>
      </c>
    </row>
    <row r="2701" spans="4:13">
      <c r="D2701" s="1" t="s">
        <v>1614</v>
      </c>
      <c r="H2701" s="1" t="s">
        <v>25</v>
      </c>
      <c r="I2701" s="1" t="s">
        <v>23</v>
      </c>
      <c r="M2701" s="1" t="b">
        <v>0</v>
      </c>
    </row>
    <row r="2702" spans="4:13">
      <c r="D2702" s="1" t="s">
        <v>1615</v>
      </c>
      <c r="H2702" s="1" t="s">
        <v>25</v>
      </c>
      <c r="I2702" s="1" t="s">
        <v>23</v>
      </c>
      <c r="M2702" s="1" t="b">
        <v>1</v>
      </c>
    </row>
    <row r="2703" spans="4:13">
      <c r="D2703" s="1" t="s">
        <v>1616</v>
      </c>
      <c r="E2703" s="1" t="s">
        <v>1617</v>
      </c>
      <c r="H2703" s="1" t="s">
        <v>22</v>
      </c>
      <c r="I2703" s="1" t="s">
        <v>23</v>
      </c>
      <c r="L2703" s="1">
        <v>1</v>
      </c>
      <c r="M2703" s="1">
        <v>1</v>
      </c>
    </row>
    <row r="2704" spans="4:13">
      <c r="D2704" s="1" t="s">
        <v>1616</v>
      </c>
      <c r="E2704" s="1" t="s">
        <v>1618</v>
      </c>
      <c r="H2704" s="1" t="s">
        <v>181</v>
      </c>
      <c r="I2704" s="1" t="s">
        <v>23</v>
      </c>
      <c r="J2704" s="1">
        <v>1</v>
      </c>
      <c r="K2704" s="1">
        <v>11</v>
      </c>
      <c r="M2704" s="1" t="s">
        <v>950</v>
      </c>
    </row>
    <row r="2705" spans="4:13">
      <c r="D2705" s="1" t="s">
        <v>1616</v>
      </c>
      <c r="E2705" s="1" t="s">
        <v>1619</v>
      </c>
      <c r="F2705" s="1" t="s">
        <v>1535</v>
      </c>
      <c r="G2705" s="1" t="s">
        <v>1535</v>
      </c>
      <c r="H2705" s="1" t="s">
        <v>22</v>
      </c>
      <c r="I2705" s="1" t="s">
        <v>23</v>
      </c>
      <c r="J2705" s="1">
        <v>0</v>
      </c>
      <c r="K2705" s="1">
        <v>1000</v>
      </c>
      <c r="L2705" s="1">
        <v>1</v>
      </c>
      <c r="M2705" s="1">
        <v>50</v>
      </c>
    </row>
    <row r="2706" spans="4:13">
      <c r="D2706" s="1" t="s">
        <v>1616</v>
      </c>
      <c r="E2706" s="1" t="s">
        <v>1620</v>
      </c>
      <c r="H2706" s="1" t="s">
        <v>22</v>
      </c>
      <c r="I2706" s="1" t="s">
        <v>23</v>
      </c>
      <c r="J2706" s="1">
        <v>0</v>
      </c>
      <c r="K2706" s="1">
        <v>1</v>
      </c>
      <c r="L2706" s="1">
        <v>1</v>
      </c>
      <c r="M2706" s="1">
        <v>0.95</v>
      </c>
    </row>
    <row r="2707" spans="4:13">
      <c r="D2707" s="1" t="s">
        <v>1616</v>
      </c>
      <c r="E2707" s="1" t="s">
        <v>1621</v>
      </c>
      <c r="F2707" s="1">
        <v>1</v>
      </c>
      <c r="G2707" s="1">
        <v>1</v>
      </c>
      <c r="H2707" s="1" t="s">
        <v>22</v>
      </c>
      <c r="I2707" s="1" t="s">
        <v>29</v>
      </c>
      <c r="J2707" s="1">
        <v>0.01</v>
      </c>
      <c r="K2707" s="1">
        <v>1</v>
      </c>
      <c r="L2707" s="1">
        <v>0.95</v>
      </c>
    </row>
    <row r="2708" spans="4:13">
      <c r="D2708" s="1" t="s">
        <v>1616</v>
      </c>
      <c r="E2708" s="1" t="s">
        <v>1622</v>
      </c>
      <c r="F2708" s="1" t="s">
        <v>147</v>
      </c>
      <c r="G2708" s="1" t="s">
        <v>148</v>
      </c>
      <c r="H2708" s="1" t="s">
        <v>22</v>
      </c>
      <c r="I2708" s="1" t="s">
        <v>23</v>
      </c>
      <c r="J2708" s="1">
        <v>0</v>
      </c>
      <c r="K2708" s="1">
        <v>34121416351.331001</v>
      </c>
      <c r="L2708" s="1">
        <v>3.4121416351331</v>
      </c>
      <c r="M2708" s="1">
        <v>750671.15972928202</v>
      </c>
    </row>
    <row r="2709" spans="4:13">
      <c r="D2709" s="1" t="s">
        <v>1616</v>
      </c>
      <c r="E2709" s="1" t="s">
        <v>1623</v>
      </c>
      <c r="H2709" s="1" t="s">
        <v>181</v>
      </c>
      <c r="I2709" s="1" t="s">
        <v>23</v>
      </c>
      <c r="J2709" s="1">
        <v>1</v>
      </c>
      <c r="K2709" s="1">
        <v>24</v>
      </c>
      <c r="M2709" s="1" t="s">
        <v>1624</v>
      </c>
    </row>
    <row r="2710" spans="4:13">
      <c r="D2710" s="1" t="s">
        <v>1616</v>
      </c>
      <c r="E2710" s="1" t="s">
        <v>1625</v>
      </c>
      <c r="H2710" s="1" t="s">
        <v>181</v>
      </c>
      <c r="I2710" s="1" t="s">
        <v>23</v>
      </c>
      <c r="J2710" s="1">
        <v>1</v>
      </c>
      <c r="K2710" s="1">
        <v>4</v>
      </c>
      <c r="M2710" s="1" t="s">
        <v>950</v>
      </c>
    </row>
    <row r="2711" spans="4:13">
      <c r="D2711" s="1" t="s">
        <v>1616</v>
      </c>
      <c r="E2711" s="1" t="s">
        <v>1626</v>
      </c>
      <c r="H2711" s="1" t="s">
        <v>181</v>
      </c>
      <c r="I2711" s="1" t="s">
        <v>23</v>
      </c>
      <c r="J2711" s="1">
        <v>1</v>
      </c>
      <c r="K2711" s="1">
        <v>4</v>
      </c>
      <c r="M2711" s="1" t="s">
        <v>1627</v>
      </c>
    </row>
    <row r="2712" spans="4:13">
      <c r="D2712" s="1" t="s">
        <v>1616</v>
      </c>
      <c r="E2712" s="1" t="s">
        <v>1628</v>
      </c>
      <c r="H2712" s="1" t="s">
        <v>181</v>
      </c>
      <c r="I2712" s="1" t="s">
        <v>23</v>
      </c>
      <c r="J2712" s="1">
        <v>1</v>
      </c>
      <c r="K2712" s="1">
        <v>25</v>
      </c>
      <c r="M2712" s="1" t="s">
        <v>1629</v>
      </c>
    </row>
    <row r="2713" spans="4:13">
      <c r="D2713" s="1" t="s">
        <v>1616</v>
      </c>
      <c r="E2713" s="1" t="s">
        <v>1630</v>
      </c>
      <c r="H2713" s="1" t="s">
        <v>181</v>
      </c>
      <c r="I2713" s="1" t="s">
        <v>23</v>
      </c>
      <c r="J2713" s="1">
        <v>1</v>
      </c>
      <c r="K2713" s="1">
        <v>2</v>
      </c>
      <c r="M2713" s="1" t="s">
        <v>1631</v>
      </c>
    </row>
    <row r="2714" spans="4:13">
      <c r="D2714" s="1" t="s">
        <v>1616</v>
      </c>
      <c r="E2714" s="1" t="s">
        <v>1632</v>
      </c>
      <c r="H2714" s="1" t="s">
        <v>181</v>
      </c>
      <c r="I2714" s="1" t="s">
        <v>23</v>
      </c>
      <c r="J2714" s="1">
        <v>1</v>
      </c>
      <c r="K2714" s="1">
        <v>3</v>
      </c>
      <c r="M2714" s="1" t="s">
        <v>1633</v>
      </c>
    </row>
    <row r="2715" spans="4:13">
      <c r="D2715" s="1" t="s">
        <v>1616</v>
      </c>
      <c r="E2715" s="1" t="s">
        <v>1634</v>
      </c>
      <c r="H2715" s="1" t="s">
        <v>181</v>
      </c>
      <c r="I2715" s="1" t="s">
        <v>23</v>
      </c>
      <c r="J2715" s="1">
        <v>1</v>
      </c>
      <c r="K2715" s="1">
        <v>11</v>
      </c>
      <c r="M2715" s="1" t="s">
        <v>1635</v>
      </c>
    </row>
    <row r="2716" spans="4:13">
      <c r="D2716" s="1" t="s">
        <v>1616</v>
      </c>
      <c r="E2716" s="1" t="s">
        <v>906</v>
      </c>
      <c r="H2716" s="1" t="s">
        <v>22</v>
      </c>
      <c r="I2716" s="1" t="s">
        <v>23</v>
      </c>
      <c r="J2716" s="1">
        <v>0.5</v>
      </c>
      <c r="K2716" s="1">
        <v>2</v>
      </c>
      <c r="L2716" s="1">
        <v>1</v>
      </c>
      <c r="M2716" s="1">
        <v>1</v>
      </c>
    </row>
    <row r="2717" spans="4:13">
      <c r="D2717" s="1" t="s">
        <v>1616</v>
      </c>
      <c r="E2717" s="1" t="s">
        <v>907</v>
      </c>
      <c r="H2717" s="1" t="s">
        <v>25</v>
      </c>
      <c r="I2717" s="1" t="s">
        <v>23</v>
      </c>
      <c r="M2717" s="1" t="b">
        <v>1</v>
      </c>
    </row>
    <row r="2718" spans="4:13">
      <c r="D2718" s="1" t="s">
        <v>1616</v>
      </c>
      <c r="E2718" s="1" t="s">
        <v>1636</v>
      </c>
      <c r="F2718" s="1" t="s">
        <v>176</v>
      </c>
      <c r="G2718" s="1" t="s">
        <v>177</v>
      </c>
      <c r="H2718" s="1" t="s">
        <v>22</v>
      </c>
      <c r="I2718" s="1" t="s">
        <v>23</v>
      </c>
      <c r="J2718" s="1">
        <v>0</v>
      </c>
      <c r="K2718" s="1">
        <v>393700.78740157466</v>
      </c>
      <c r="L2718" s="1">
        <v>39.370078740157467</v>
      </c>
      <c r="M2718" s="1">
        <v>39370.078740157471</v>
      </c>
    </row>
    <row r="2719" spans="4:13">
      <c r="D2719" s="1" t="s">
        <v>1616</v>
      </c>
      <c r="E2719" s="1" t="s">
        <v>914</v>
      </c>
      <c r="H2719" s="1" t="s">
        <v>22</v>
      </c>
      <c r="I2719" s="1" t="s">
        <v>29</v>
      </c>
      <c r="J2719" s="1">
        <v>0.1</v>
      </c>
      <c r="K2719" s="1">
        <v>10</v>
      </c>
      <c r="L2719" s="1">
        <v>5.05</v>
      </c>
    </row>
    <row r="2720" spans="4:13">
      <c r="D2720" s="1" t="s">
        <v>1616</v>
      </c>
      <c r="E2720" s="1" t="s">
        <v>1519</v>
      </c>
      <c r="H2720" s="1" t="s">
        <v>25</v>
      </c>
      <c r="I2720" s="1" t="s">
        <v>23</v>
      </c>
      <c r="M2720" s="1" t="b">
        <v>1</v>
      </c>
    </row>
    <row r="2721" spans="4:13">
      <c r="D2721" s="1" t="s">
        <v>1616</v>
      </c>
      <c r="E2721" s="1" t="s">
        <v>1637</v>
      </c>
      <c r="F2721" s="1" t="s">
        <v>200</v>
      </c>
      <c r="G2721" s="1" t="s">
        <v>200</v>
      </c>
      <c r="H2721" s="1" t="s">
        <v>22</v>
      </c>
      <c r="I2721" s="1" t="s">
        <v>29</v>
      </c>
      <c r="J2721" s="1">
        <v>0.01</v>
      </c>
      <c r="K2721" s="1">
        <v>250000</v>
      </c>
      <c r="L2721" s="1">
        <v>500</v>
      </c>
    </row>
    <row r="2722" spans="4:13">
      <c r="D2722" s="1" t="s">
        <v>1616</v>
      </c>
      <c r="E2722" s="1" t="s">
        <v>1638</v>
      </c>
      <c r="F2722" s="1" t="s">
        <v>200</v>
      </c>
      <c r="G2722" s="1" t="s">
        <v>200</v>
      </c>
      <c r="H2722" s="1" t="s">
        <v>22</v>
      </c>
      <c r="I2722" s="1" t="s">
        <v>23</v>
      </c>
      <c r="J2722" s="1">
        <v>0</v>
      </c>
      <c r="K2722" s="1">
        <v>1000000</v>
      </c>
      <c r="L2722" s="1">
        <v>1</v>
      </c>
      <c r="M2722" s="1">
        <v>500</v>
      </c>
    </row>
    <row r="2723" spans="4:13">
      <c r="D2723" s="1" t="s">
        <v>1616</v>
      </c>
      <c r="E2723" s="1" t="s">
        <v>1520</v>
      </c>
      <c r="H2723" s="1" t="s">
        <v>22</v>
      </c>
      <c r="I2723" s="1" t="s">
        <v>23</v>
      </c>
      <c r="J2723" s="1">
        <v>0</v>
      </c>
      <c r="K2723" s="1">
        <v>1</v>
      </c>
      <c r="L2723" s="1">
        <v>1</v>
      </c>
      <c r="M2723" s="1">
        <v>0.97750000000000004</v>
      </c>
    </row>
    <row r="2724" spans="4:13">
      <c r="D2724" s="1" t="s">
        <v>1616</v>
      </c>
      <c r="E2724" s="1" t="s">
        <v>1639</v>
      </c>
      <c r="H2724" s="1" t="s">
        <v>22</v>
      </c>
      <c r="I2724" s="1" t="s">
        <v>29</v>
      </c>
      <c r="J2724" s="1">
        <v>0.01</v>
      </c>
      <c r="K2724" s="1">
        <v>1</v>
      </c>
      <c r="L2724" s="1">
        <v>0.95</v>
      </c>
    </row>
    <row r="2725" spans="4:13">
      <c r="D2725" s="1" t="s">
        <v>1616</v>
      </c>
      <c r="E2725" s="1" t="s">
        <v>1640</v>
      </c>
      <c r="H2725" s="1" t="s">
        <v>22</v>
      </c>
      <c r="I2725" s="1" t="s">
        <v>23</v>
      </c>
      <c r="J2725" s="1">
        <v>0</v>
      </c>
      <c r="K2725" s="1">
        <v>1</v>
      </c>
      <c r="L2725" s="1">
        <v>1</v>
      </c>
      <c r="M2725" s="1">
        <v>0.95</v>
      </c>
    </row>
    <row r="2726" spans="4:13">
      <c r="D2726" s="1" t="s">
        <v>1616</v>
      </c>
      <c r="E2726" s="1" t="s">
        <v>47</v>
      </c>
      <c r="H2726" s="1" t="s">
        <v>25</v>
      </c>
      <c r="I2726" s="1" t="s">
        <v>23</v>
      </c>
      <c r="M2726" s="1" t="b">
        <v>0</v>
      </c>
    </row>
    <row r="2727" spans="4:13">
      <c r="D2727" s="1" t="s">
        <v>1616</v>
      </c>
      <c r="E2727" s="1" t="s">
        <v>920</v>
      </c>
      <c r="H2727" s="1" t="s">
        <v>22</v>
      </c>
      <c r="I2727" s="1" t="s">
        <v>23</v>
      </c>
      <c r="J2727" s="1">
        <v>-1</v>
      </c>
      <c r="K2727" s="1">
        <v>1</v>
      </c>
      <c r="L2727" s="1">
        <v>1</v>
      </c>
      <c r="M2727" s="1">
        <v>0</v>
      </c>
    </row>
    <row r="2728" spans="4:13">
      <c r="D2728" s="1" t="s">
        <v>1616</v>
      </c>
      <c r="E2728" s="1" t="s">
        <v>921</v>
      </c>
      <c r="H2728" s="1" t="s">
        <v>22</v>
      </c>
      <c r="I2728" s="1" t="s">
        <v>23</v>
      </c>
      <c r="J2728" s="1">
        <v>0</v>
      </c>
      <c r="K2728" s="1">
        <v>1</v>
      </c>
      <c r="L2728" s="1">
        <v>1</v>
      </c>
      <c r="M2728" s="1">
        <v>0</v>
      </c>
    </row>
    <row r="2729" spans="4:13">
      <c r="D2729" s="1" t="s">
        <v>1616</v>
      </c>
      <c r="E2729" s="1" t="s">
        <v>1641</v>
      </c>
      <c r="H2729" s="1" t="s">
        <v>22</v>
      </c>
      <c r="I2729" s="1" t="s">
        <v>23</v>
      </c>
      <c r="J2729" s="1">
        <v>0</v>
      </c>
      <c r="K2729" s="1">
        <v>1</v>
      </c>
      <c r="L2729" s="1">
        <v>1</v>
      </c>
      <c r="M2729" s="1">
        <v>1</v>
      </c>
    </row>
    <row r="2730" spans="4:13">
      <c r="D2730" s="1" t="s">
        <v>1616</v>
      </c>
      <c r="E2730" s="1" t="s">
        <v>1642</v>
      </c>
      <c r="H2730" s="1" t="s">
        <v>25</v>
      </c>
      <c r="I2730" s="1" t="s">
        <v>23</v>
      </c>
      <c r="M2730" s="1" t="b">
        <v>0</v>
      </c>
    </row>
    <row r="2731" spans="4:13">
      <c r="D2731" s="1" t="s">
        <v>1616</v>
      </c>
      <c r="E2731" s="1" t="s">
        <v>1643</v>
      </c>
      <c r="F2731" s="1" t="s">
        <v>147</v>
      </c>
      <c r="G2731" s="1" t="s">
        <v>148</v>
      </c>
      <c r="H2731" s="1" t="s">
        <v>22</v>
      </c>
      <c r="I2731" s="1" t="s">
        <v>23</v>
      </c>
      <c r="J2731" s="1">
        <v>0</v>
      </c>
      <c r="K2731" s="1">
        <v>34121416351.331001</v>
      </c>
      <c r="L2731" s="1">
        <v>3.4121416351331</v>
      </c>
      <c r="M2731" s="1">
        <v>6824.2832702661999</v>
      </c>
    </row>
    <row r="2732" spans="4:13">
      <c r="D2732" s="1" t="s">
        <v>1616</v>
      </c>
      <c r="E2732" s="1" t="s">
        <v>1644</v>
      </c>
      <c r="F2732" s="1" t="s">
        <v>1535</v>
      </c>
      <c r="G2732" s="1" t="s">
        <v>1535</v>
      </c>
      <c r="H2732" s="1" t="s">
        <v>22</v>
      </c>
      <c r="I2732" s="1" t="s">
        <v>65</v>
      </c>
      <c r="L2732" s="1">
        <v>1</v>
      </c>
    </row>
    <row r="2733" spans="4:13">
      <c r="D2733" s="1" t="s">
        <v>1616</v>
      </c>
      <c r="E2733" s="1" t="s">
        <v>1645</v>
      </c>
      <c r="F2733" s="1" t="s">
        <v>147</v>
      </c>
      <c r="G2733" s="1" t="s">
        <v>148</v>
      </c>
      <c r="H2733" s="1" t="s">
        <v>22</v>
      </c>
      <c r="I2733" s="1" t="s">
        <v>65</v>
      </c>
      <c r="L2733" s="1">
        <v>3.4121416351331</v>
      </c>
    </row>
    <row r="2734" spans="4:13">
      <c r="D2734" s="1" t="s">
        <v>1616</v>
      </c>
      <c r="E2734" s="1" t="s">
        <v>1646</v>
      </c>
      <c r="F2734" s="1" t="s">
        <v>1517</v>
      </c>
      <c r="G2734" s="1" t="s">
        <v>1517</v>
      </c>
      <c r="H2734" s="1" t="s">
        <v>22</v>
      </c>
      <c r="I2734" s="1" t="s">
        <v>70</v>
      </c>
      <c r="L2734" s="1">
        <v>1</v>
      </c>
    </row>
    <row r="2735" spans="4:13">
      <c r="D2735" s="1" t="s">
        <v>1616</v>
      </c>
      <c r="E2735" s="1" t="s">
        <v>990</v>
      </c>
      <c r="H2735" s="1" t="s">
        <v>22</v>
      </c>
      <c r="I2735" s="1" t="s">
        <v>65</v>
      </c>
      <c r="L2735" s="1">
        <v>1</v>
      </c>
    </row>
    <row r="2736" spans="4:13">
      <c r="D2736" s="1" t="s">
        <v>1616</v>
      </c>
      <c r="E2736" s="1" t="s">
        <v>1647</v>
      </c>
      <c r="F2736" s="1" t="s">
        <v>200</v>
      </c>
      <c r="G2736" s="1" t="s">
        <v>200</v>
      </c>
      <c r="H2736" s="1" t="s">
        <v>22</v>
      </c>
      <c r="I2736" s="1" t="s">
        <v>65</v>
      </c>
      <c r="L2736" s="1">
        <v>1</v>
      </c>
    </row>
    <row r="2737" spans="4:13">
      <c r="D2737" s="1" t="s">
        <v>1616</v>
      </c>
      <c r="E2737" s="1" t="s">
        <v>1648</v>
      </c>
      <c r="F2737" s="1" t="s">
        <v>200</v>
      </c>
      <c r="G2737" s="1" t="s">
        <v>200</v>
      </c>
      <c r="H2737" s="1" t="s">
        <v>22</v>
      </c>
      <c r="I2737" s="1" t="s">
        <v>65</v>
      </c>
      <c r="L2737" s="1">
        <v>1</v>
      </c>
    </row>
    <row r="2738" spans="4:13">
      <c r="D2738" s="1" t="s">
        <v>1616</v>
      </c>
      <c r="E2738" s="1" t="s">
        <v>1649</v>
      </c>
      <c r="F2738" s="1">
        <v>1</v>
      </c>
      <c r="G2738" s="1">
        <v>1</v>
      </c>
      <c r="H2738" s="1" t="s">
        <v>22</v>
      </c>
      <c r="I2738" s="1" t="s">
        <v>65</v>
      </c>
      <c r="J2738" s="1">
        <v>0</v>
      </c>
      <c r="L2738" s="1">
        <v>1</v>
      </c>
    </row>
    <row r="2739" spans="4:13">
      <c r="D2739" s="1" t="s">
        <v>1616</v>
      </c>
      <c r="E2739" s="1" t="s">
        <v>69</v>
      </c>
      <c r="H2739" s="1" t="s">
        <v>25</v>
      </c>
      <c r="I2739" s="1" t="s">
        <v>70</v>
      </c>
    </row>
    <row r="2740" spans="4:13">
      <c r="D2740" s="1" t="s">
        <v>1616</v>
      </c>
      <c r="E2740" s="1" t="s">
        <v>1650</v>
      </c>
      <c r="F2740" s="1" t="s">
        <v>147</v>
      </c>
      <c r="G2740" s="1" t="s">
        <v>148</v>
      </c>
      <c r="H2740" s="1" t="s">
        <v>22</v>
      </c>
      <c r="I2740" s="1" t="s">
        <v>65</v>
      </c>
      <c r="L2740" s="1">
        <v>3.4121416351331</v>
      </c>
    </row>
    <row r="2741" spans="4:13">
      <c r="D2741" s="1" t="s">
        <v>1616</v>
      </c>
      <c r="E2741" s="1" t="s">
        <v>1651</v>
      </c>
      <c r="F2741" s="1" t="s">
        <v>147</v>
      </c>
      <c r="G2741" s="1" t="s">
        <v>148</v>
      </c>
      <c r="H2741" s="1" t="s">
        <v>22</v>
      </c>
      <c r="I2741" s="1" t="s">
        <v>65</v>
      </c>
      <c r="L2741" s="1">
        <v>3.4121416351331</v>
      </c>
    </row>
    <row r="2742" spans="4:13">
      <c r="D2742" s="1" t="s">
        <v>1616</v>
      </c>
      <c r="E2742" s="1" t="s">
        <v>1652</v>
      </c>
      <c r="F2742" s="1">
        <v>1</v>
      </c>
      <c r="G2742" s="1">
        <v>1</v>
      </c>
      <c r="H2742" s="1" t="s">
        <v>22</v>
      </c>
      <c r="I2742" s="1" t="s">
        <v>65</v>
      </c>
      <c r="L2742" s="1">
        <v>1</v>
      </c>
    </row>
    <row r="2743" spans="4:13">
      <c r="D2743" s="1" t="s">
        <v>1653</v>
      </c>
      <c r="E2743" s="1" t="s">
        <v>1470</v>
      </c>
      <c r="H2743" s="1" t="s">
        <v>22</v>
      </c>
      <c r="I2743" s="1" t="s">
        <v>23</v>
      </c>
      <c r="J2743" s="1">
        <v>0.5</v>
      </c>
      <c r="K2743" s="1">
        <v>2</v>
      </c>
      <c r="L2743" s="1">
        <v>1</v>
      </c>
      <c r="M2743" s="1">
        <v>1</v>
      </c>
    </row>
    <row r="2744" spans="4:13">
      <c r="D2744" s="1" t="s">
        <v>1653</v>
      </c>
      <c r="E2744" s="1" t="s">
        <v>47</v>
      </c>
      <c r="H2744" s="1" t="s">
        <v>25</v>
      </c>
      <c r="I2744" s="1" t="s">
        <v>23</v>
      </c>
      <c r="M2744" s="1" t="b">
        <v>0</v>
      </c>
    </row>
    <row r="2745" spans="4:13">
      <c r="D2745" s="1" t="s">
        <v>1653</v>
      </c>
      <c r="E2745" s="1" t="s">
        <v>920</v>
      </c>
      <c r="H2745" s="1" t="s">
        <v>22</v>
      </c>
      <c r="I2745" s="1" t="s">
        <v>23</v>
      </c>
      <c r="L2745" s="1">
        <v>1</v>
      </c>
      <c r="M2745" s="1">
        <v>0</v>
      </c>
    </row>
    <row r="2746" spans="4:13">
      <c r="D2746" s="1" t="s">
        <v>1653</v>
      </c>
      <c r="E2746" s="1" t="s">
        <v>921</v>
      </c>
      <c r="H2746" s="1" t="s">
        <v>22</v>
      </c>
      <c r="I2746" s="1" t="s">
        <v>23</v>
      </c>
      <c r="J2746" s="1">
        <v>0</v>
      </c>
      <c r="K2746" s="1">
        <v>1</v>
      </c>
      <c r="L2746" s="1">
        <v>1</v>
      </c>
      <c r="M2746" s="1">
        <v>0</v>
      </c>
    </row>
    <row r="2747" spans="4:13">
      <c r="D2747" s="1" t="s">
        <v>1653</v>
      </c>
      <c r="E2747" s="1" t="s">
        <v>1654</v>
      </c>
      <c r="H2747" s="1" t="s">
        <v>22</v>
      </c>
      <c r="I2747" s="1" t="s">
        <v>23</v>
      </c>
      <c r="J2747" s="1">
        <v>0</v>
      </c>
      <c r="K2747" s="1">
        <v>1</v>
      </c>
      <c r="L2747" s="1">
        <v>1</v>
      </c>
      <c r="M2747" s="1">
        <v>1</v>
      </c>
    </row>
    <row r="2748" spans="4:13">
      <c r="D2748" s="1" t="s">
        <v>1653</v>
      </c>
      <c r="E2748" s="1" t="s">
        <v>1655</v>
      </c>
      <c r="F2748" s="1" t="s">
        <v>45</v>
      </c>
      <c r="G2748" s="1" t="s">
        <v>46</v>
      </c>
      <c r="H2748" s="1" t="s">
        <v>22</v>
      </c>
      <c r="I2748" s="1" t="s">
        <v>29</v>
      </c>
      <c r="J2748" s="1">
        <v>-6.3932502128443591</v>
      </c>
      <c r="K2748" s="1">
        <v>358.61435929656</v>
      </c>
      <c r="L2748" s="1">
        <v>114.79148749423418</v>
      </c>
    </row>
    <row r="2749" spans="4:13">
      <c r="D2749" s="1" t="s">
        <v>1653</v>
      </c>
      <c r="E2749" s="1" t="s">
        <v>1298</v>
      </c>
      <c r="F2749" s="1" t="s">
        <v>147</v>
      </c>
      <c r="G2749" s="1" t="s">
        <v>148</v>
      </c>
      <c r="H2749" s="1" t="s">
        <v>22</v>
      </c>
      <c r="I2749" s="1" t="s">
        <v>65</v>
      </c>
      <c r="L2749" s="1">
        <v>3.4121416351331</v>
      </c>
    </row>
    <row r="2750" spans="4:13">
      <c r="D2750" s="1" t="s">
        <v>1653</v>
      </c>
      <c r="E2750" s="1" t="s">
        <v>69</v>
      </c>
      <c r="H2750" s="1" t="s">
        <v>25</v>
      </c>
      <c r="I2750" s="1" t="s">
        <v>70</v>
      </c>
    </row>
    <row r="2751" spans="4:13">
      <c r="D2751" s="1" t="s">
        <v>1653</v>
      </c>
      <c r="E2751" s="1" t="s">
        <v>117</v>
      </c>
      <c r="F2751" s="1" t="s">
        <v>118</v>
      </c>
      <c r="G2751" s="1" t="s">
        <v>119</v>
      </c>
      <c r="H2751" s="1" t="s">
        <v>22</v>
      </c>
      <c r="I2751" s="1" t="s">
        <v>65</v>
      </c>
      <c r="J2751" s="1">
        <v>0</v>
      </c>
      <c r="L2751" s="1">
        <v>2.20462262185</v>
      </c>
    </row>
    <row r="2752" spans="4:13">
      <c r="D2752" s="1" t="s">
        <v>1653</v>
      </c>
      <c r="E2752" s="1" t="s">
        <v>1656</v>
      </c>
      <c r="H2752" s="1" t="s">
        <v>63</v>
      </c>
      <c r="I2752" s="1" t="s">
        <v>120</v>
      </c>
    </row>
    <row r="2753" spans="4:12">
      <c r="D2753" s="1" t="s">
        <v>1653</v>
      </c>
      <c r="E2753" s="1" t="s">
        <v>1657</v>
      </c>
      <c r="F2753" s="1" t="s">
        <v>35</v>
      </c>
      <c r="G2753" s="1" t="s">
        <v>36</v>
      </c>
      <c r="H2753" s="1" t="s">
        <v>22</v>
      </c>
      <c r="I2753" s="1" t="s">
        <v>65</v>
      </c>
      <c r="J2753" s="1">
        <v>-457.87</v>
      </c>
      <c r="K2753" s="1">
        <v>17540.330000000002</v>
      </c>
      <c r="L2753" s="1">
        <v>80.329999999999984</v>
      </c>
    </row>
    <row r="2754" spans="4:12">
      <c r="D2754" s="1" t="s">
        <v>1653</v>
      </c>
      <c r="E2754" s="1" t="s">
        <v>1658</v>
      </c>
      <c r="F2754" s="1" t="s">
        <v>35</v>
      </c>
      <c r="G2754" s="1" t="s">
        <v>36</v>
      </c>
      <c r="H2754" s="1" t="s">
        <v>22</v>
      </c>
      <c r="I2754" s="1" t="s">
        <v>65</v>
      </c>
      <c r="J2754" s="1">
        <v>-457.87</v>
      </c>
      <c r="K2754" s="1">
        <v>17540.330000000002</v>
      </c>
      <c r="L2754" s="1">
        <v>80.329999999999984</v>
      </c>
    </row>
    <row r="2755" spans="4:12">
      <c r="D2755" s="1" t="s">
        <v>1653</v>
      </c>
      <c r="E2755" s="1" t="s">
        <v>1659</v>
      </c>
      <c r="F2755" s="1" t="s">
        <v>1660</v>
      </c>
      <c r="G2755" s="1" t="s">
        <v>1661</v>
      </c>
      <c r="H2755" s="1" t="s">
        <v>22</v>
      </c>
      <c r="I2755" s="1" t="s">
        <v>65</v>
      </c>
      <c r="J2755" s="1">
        <v>0</v>
      </c>
      <c r="K2755" s="1">
        <v>194.03202999999999</v>
      </c>
      <c r="L2755" s="1">
        <v>1.9403203E-3</v>
      </c>
    </row>
    <row r="2756" spans="4:12">
      <c r="D2756" s="1" t="s">
        <v>1653</v>
      </c>
      <c r="E2756" s="1" t="s">
        <v>1662</v>
      </c>
      <c r="F2756" s="1" t="s">
        <v>41</v>
      </c>
      <c r="G2756" s="1" t="s">
        <v>42</v>
      </c>
      <c r="H2756" s="1" t="s">
        <v>22</v>
      </c>
      <c r="I2756" s="1" t="s">
        <v>65</v>
      </c>
      <c r="L2756" s="1">
        <v>1.8</v>
      </c>
    </row>
    <row r="2757" spans="4:12">
      <c r="D2757" s="1" t="s">
        <v>1653</v>
      </c>
      <c r="E2757" s="1" t="s">
        <v>1663</v>
      </c>
      <c r="F2757" s="1" t="s">
        <v>45</v>
      </c>
      <c r="G2757" s="1" t="s">
        <v>46</v>
      </c>
      <c r="H2757" s="1" t="s">
        <v>22</v>
      </c>
      <c r="I2757" s="1" t="s">
        <v>65</v>
      </c>
      <c r="J2757" s="1">
        <v>-4299226.1378713567</v>
      </c>
      <c r="K2757" s="1">
        <v>4299226.1378713567</v>
      </c>
      <c r="L2757" s="1">
        <v>429.92261378713573</v>
      </c>
    </row>
    <row r="2758" spans="4:12">
      <c r="D2758" s="1" t="s">
        <v>1653</v>
      </c>
      <c r="E2758" s="1" t="s">
        <v>1664</v>
      </c>
      <c r="F2758" s="1" t="s">
        <v>56</v>
      </c>
      <c r="G2758" s="1" t="s">
        <v>57</v>
      </c>
      <c r="H2758" s="1" t="s">
        <v>22</v>
      </c>
      <c r="I2758" s="1" t="s">
        <v>65</v>
      </c>
      <c r="J2758" s="1">
        <v>0</v>
      </c>
      <c r="K2758" s="1">
        <v>14503.773773020921</v>
      </c>
      <c r="L2758" s="1">
        <v>14.503773773020921</v>
      </c>
    </row>
    <row r="2759" spans="4:12">
      <c r="D2759" s="1" t="s">
        <v>1653</v>
      </c>
      <c r="E2759" s="1" t="s">
        <v>1665</v>
      </c>
      <c r="H2759" s="1" t="s">
        <v>63</v>
      </c>
      <c r="I2759" s="1" t="s">
        <v>120</v>
      </c>
    </row>
    <row r="2760" spans="4:12">
      <c r="D2760" s="1" t="s">
        <v>1653</v>
      </c>
      <c r="E2760" s="1" t="s">
        <v>1666</v>
      </c>
      <c r="H2760" s="1" t="s">
        <v>22</v>
      </c>
      <c r="I2760" s="1" t="s">
        <v>65</v>
      </c>
      <c r="L2760" s="1">
        <v>1</v>
      </c>
    </row>
    <row r="2761" spans="4:12">
      <c r="D2761" s="1" t="s">
        <v>1653</v>
      </c>
      <c r="E2761" s="1" t="s">
        <v>1667</v>
      </c>
      <c r="F2761" s="1" t="s">
        <v>35</v>
      </c>
      <c r="G2761" s="1" t="s">
        <v>36</v>
      </c>
      <c r="H2761" s="1" t="s">
        <v>22</v>
      </c>
      <c r="I2761" s="1" t="s">
        <v>65</v>
      </c>
      <c r="J2761" s="1">
        <v>-457.87</v>
      </c>
      <c r="K2761" s="1">
        <v>17540.330000000002</v>
      </c>
      <c r="L2761" s="1">
        <v>80.329999999999984</v>
      </c>
    </row>
    <row r="2762" spans="4:12">
      <c r="D2762" s="1" t="s">
        <v>1653</v>
      </c>
      <c r="E2762" s="1" t="s">
        <v>1668</v>
      </c>
      <c r="F2762" s="1" t="s">
        <v>35</v>
      </c>
      <c r="G2762" s="1" t="s">
        <v>36</v>
      </c>
      <c r="H2762" s="1" t="s">
        <v>22</v>
      </c>
      <c r="I2762" s="1" t="s">
        <v>65</v>
      </c>
      <c r="J2762" s="1">
        <v>-457.87</v>
      </c>
      <c r="K2762" s="1">
        <v>17540.330000000002</v>
      </c>
      <c r="L2762" s="1">
        <v>80.329999999999984</v>
      </c>
    </row>
    <row r="2763" spans="4:12">
      <c r="D2763" s="1" t="s">
        <v>1653</v>
      </c>
      <c r="E2763" s="1" t="s">
        <v>1669</v>
      </c>
      <c r="F2763" s="1" t="s">
        <v>1660</v>
      </c>
      <c r="G2763" s="1" t="s">
        <v>1661</v>
      </c>
      <c r="H2763" s="1" t="s">
        <v>22</v>
      </c>
      <c r="I2763" s="1" t="s">
        <v>65</v>
      </c>
      <c r="J2763" s="1">
        <v>0</v>
      </c>
      <c r="K2763" s="1">
        <v>194.03202999999999</v>
      </c>
      <c r="L2763" s="1">
        <v>1.9403203E-3</v>
      </c>
    </row>
    <row r="2764" spans="4:12">
      <c r="D2764" s="1" t="s">
        <v>1653</v>
      </c>
      <c r="E2764" s="1" t="s">
        <v>1670</v>
      </c>
      <c r="F2764" s="1" t="s">
        <v>41</v>
      </c>
      <c r="G2764" s="1" t="s">
        <v>42</v>
      </c>
      <c r="H2764" s="1" t="s">
        <v>22</v>
      </c>
      <c r="I2764" s="1" t="s">
        <v>65</v>
      </c>
      <c r="L2764" s="1">
        <v>1.8</v>
      </c>
    </row>
    <row r="2765" spans="4:12">
      <c r="D2765" s="1" t="s">
        <v>1653</v>
      </c>
      <c r="E2765" s="1" t="s">
        <v>1671</v>
      </c>
      <c r="F2765" s="1" t="s">
        <v>45</v>
      </c>
      <c r="G2765" s="1" t="s">
        <v>46</v>
      </c>
      <c r="H2765" s="1" t="s">
        <v>22</v>
      </c>
      <c r="I2765" s="1" t="s">
        <v>65</v>
      </c>
      <c r="J2765" s="1">
        <v>-4299226.1378713567</v>
      </c>
      <c r="K2765" s="1">
        <v>4299226.1378713567</v>
      </c>
      <c r="L2765" s="1">
        <v>429.92261378713573</v>
      </c>
    </row>
    <row r="2766" spans="4:12">
      <c r="D2766" s="1" t="s">
        <v>1653</v>
      </c>
      <c r="E2766" s="1" t="s">
        <v>1672</v>
      </c>
      <c r="F2766" s="1" t="s">
        <v>56</v>
      </c>
      <c r="G2766" s="1" t="s">
        <v>57</v>
      </c>
      <c r="H2766" s="1" t="s">
        <v>22</v>
      </c>
      <c r="I2766" s="1" t="s">
        <v>65</v>
      </c>
      <c r="J2766" s="1">
        <v>0</v>
      </c>
      <c r="K2766" s="1">
        <v>14503.773773020921</v>
      </c>
      <c r="L2766" s="1">
        <v>14.503773773020921</v>
      </c>
    </row>
    <row r="2767" spans="4:12">
      <c r="D2767" s="1" t="s">
        <v>1653</v>
      </c>
      <c r="E2767" s="1" t="s">
        <v>1673</v>
      </c>
      <c r="H2767" s="1" t="s">
        <v>63</v>
      </c>
      <c r="I2767" s="1" t="s">
        <v>120</v>
      </c>
    </row>
    <row r="2768" spans="4:12">
      <c r="D2768" s="1" t="s">
        <v>1653</v>
      </c>
      <c r="E2768" s="1" t="s">
        <v>1674</v>
      </c>
      <c r="H2768" s="1" t="s">
        <v>22</v>
      </c>
      <c r="I2768" s="1" t="s">
        <v>65</v>
      </c>
      <c r="L2768" s="1">
        <v>1</v>
      </c>
    </row>
    <row r="2769" spans="4:13">
      <c r="D2769" s="1" t="s">
        <v>1653</v>
      </c>
      <c r="E2769" s="1" t="s">
        <v>123</v>
      </c>
      <c r="F2769" s="1" t="s">
        <v>124</v>
      </c>
      <c r="G2769" s="1" t="s">
        <v>125</v>
      </c>
      <c r="H2769" s="1" t="s">
        <v>22</v>
      </c>
      <c r="I2769" s="1" t="s">
        <v>70</v>
      </c>
      <c r="L2769" s="1">
        <v>35.314666699999997</v>
      </c>
    </row>
    <row r="2770" spans="4:13">
      <c r="D2770" s="1" t="s">
        <v>1653</v>
      </c>
      <c r="E2770" s="1" t="s">
        <v>1675</v>
      </c>
      <c r="F2770" s="1" t="s">
        <v>124</v>
      </c>
      <c r="G2770" s="1" t="s">
        <v>125</v>
      </c>
      <c r="H2770" s="1" t="s">
        <v>22</v>
      </c>
      <c r="I2770" s="1" t="s">
        <v>23</v>
      </c>
      <c r="L2770" s="1">
        <v>35.314666699999997</v>
      </c>
      <c r="M2770" s="1">
        <v>3.5314666699999997E-2</v>
      </c>
    </row>
    <row r="2771" spans="4:13">
      <c r="D2771" s="1" t="s">
        <v>1653</v>
      </c>
      <c r="E2771" s="1" t="s">
        <v>1676</v>
      </c>
      <c r="H2771" s="1" t="s">
        <v>22</v>
      </c>
      <c r="I2771" s="1" t="s">
        <v>23</v>
      </c>
      <c r="L2771" s="1">
        <v>1</v>
      </c>
      <c r="M2771" s="1">
        <v>0.95</v>
      </c>
    </row>
    <row r="2772" spans="4:13">
      <c r="D2772" s="1" t="s">
        <v>1677</v>
      </c>
      <c r="E2772" s="1" t="s">
        <v>1470</v>
      </c>
      <c r="H2772" s="1" t="s">
        <v>22</v>
      </c>
      <c r="I2772" s="1" t="s">
        <v>23</v>
      </c>
      <c r="J2772" s="1">
        <v>0.5</v>
      </c>
      <c r="K2772" s="1">
        <v>2</v>
      </c>
      <c r="L2772" s="1">
        <v>1</v>
      </c>
      <c r="M2772" s="1">
        <v>1</v>
      </c>
    </row>
    <row r="2773" spans="4:13">
      <c r="D2773" s="1" t="s">
        <v>1677</v>
      </c>
      <c r="E2773" s="1" t="s">
        <v>47</v>
      </c>
      <c r="H2773" s="1" t="s">
        <v>25</v>
      </c>
      <c r="I2773" s="1" t="s">
        <v>23</v>
      </c>
      <c r="M2773" s="1" t="b">
        <v>0</v>
      </c>
    </row>
    <row r="2774" spans="4:13">
      <c r="D2774" s="1" t="s">
        <v>1677</v>
      </c>
      <c r="E2774" s="1" t="s">
        <v>920</v>
      </c>
      <c r="H2774" s="1" t="s">
        <v>22</v>
      </c>
      <c r="I2774" s="1" t="s">
        <v>23</v>
      </c>
      <c r="L2774" s="1">
        <v>1</v>
      </c>
      <c r="M2774" s="1">
        <v>0</v>
      </c>
    </row>
    <row r="2775" spans="4:13">
      <c r="D2775" s="1" t="s">
        <v>1677</v>
      </c>
      <c r="E2775" s="1" t="s">
        <v>921</v>
      </c>
      <c r="H2775" s="1" t="s">
        <v>22</v>
      </c>
      <c r="I2775" s="1" t="s">
        <v>23</v>
      </c>
      <c r="J2775" s="1">
        <v>0</v>
      </c>
      <c r="K2775" s="1">
        <v>1</v>
      </c>
      <c r="L2775" s="1">
        <v>1</v>
      </c>
      <c r="M2775" s="1">
        <v>0</v>
      </c>
    </row>
    <row r="2776" spans="4:13">
      <c r="D2776" s="1" t="s">
        <v>1677</v>
      </c>
      <c r="E2776" s="1" t="s">
        <v>1654</v>
      </c>
      <c r="H2776" s="1" t="s">
        <v>22</v>
      </c>
      <c r="I2776" s="1" t="s">
        <v>23</v>
      </c>
      <c r="J2776" s="1">
        <v>0</v>
      </c>
      <c r="K2776" s="1">
        <v>1</v>
      </c>
      <c r="L2776" s="1">
        <v>1</v>
      </c>
      <c r="M2776" s="1">
        <v>1</v>
      </c>
    </row>
    <row r="2777" spans="4:13">
      <c r="D2777" s="1" t="s">
        <v>1677</v>
      </c>
      <c r="E2777" s="1" t="s">
        <v>1655</v>
      </c>
      <c r="F2777" s="1" t="s">
        <v>45</v>
      </c>
      <c r="G2777" s="1" t="s">
        <v>46</v>
      </c>
      <c r="H2777" s="1" t="s">
        <v>22</v>
      </c>
      <c r="I2777" s="1" t="s">
        <v>29</v>
      </c>
      <c r="J2777" s="1">
        <v>-6.3932502128443591</v>
      </c>
      <c r="K2777" s="1">
        <v>358.61435929656</v>
      </c>
      <c r="L2777" s="1">
        <v>114.79148749423418</v>
      </c>
    </row>
    <row r="2778" spans="4:13">
      <c r="D2778" s="1" t="s">
        <v>1677</v>
      </c>
      <c r="E2778" s="1" t="s">
        <v>1298</v>
      </c>
      <c r="F2778" s="1" t="s">
        <v>147</v>
      </c>
      <c r="G2778" s="1" t="s">
        <v>148</v>
      </c>
      <c r="H2778" s="1" t="s">
        <v>22</v>
      </c>
      <c r="I2778" s="1" t="s">
        <v>65</v>
      </c>
      <c r="L2778" s="1">
        <v>3.4121416351331</v>
      </c>
    </row>
    <row r="2779" spans="4:13">
      <c r="D2779" s="1" t="s">
        <v>1677</v>
      </c>
      <c r="E2779" s="1" t="s">
        <v>69</v>
      </c>
      <c r="H2779" s="1" t="s">
        <v>25</v>
      </c>
      <c r="I2779" s="1" t="s">
        <v>70</v>
      </c>
    </row>
    <row r="2780" spans="4:13">
      <c r="D2780" s="1" t="s">
        <v>1677</v>
      </c>
      <c r="E2780" s="1" t="s">
        <v>117</v>
      </c>
      <c r="F2780" s="1" t="s">
        <v>118</v>
      </c>
      <c r="G2780" s="1" t="s">
        <v>119</v>
      </c>
      <c r="H2780" s="1" t="s">
        <v>22</v>
      </c>
      <c r="I2780" s="1" t="s">
        <v>65</v>
      </c>
      <c r="J2780" s="1">
        <v>0</v>
      </c>
      <c r="L2780" s="1">
        <v>2.20462262185</v>
      </c>
    </row>
    <row r="2781" spans="4:13">
      <c r="D2781" s="1" t="s">
        <v>1677</v>
      </c>
      <c r="E2781" s="1" t="s">
        <v>1656</v>
      </c>
      <c r="H2781" s="1" t="s">
        <v>63</v>
      </c>
      <c r="I2781" s="1" t="s">
        <v>120</v>
      </c>
    </row>
    <row r="2782" spans="4:13">
      <c r="D2782" s="1" t="s">
        <v>1677</v>
      </c>
      <c r="E2782" s="1" t="s">
        <v>1657</v>
      </c>
      <c r="F2782" s="1" t="s">
        <v>35</v>
      </c>
      <c r="G2782" s="1" t="s">
        <v>36</v>
      </c>
      <c r="H2782" s="1" t="s">
        <v>22</v>
      </c>
      <c r="I2782" s="1" t="s">
        <v>65</v>
      </c>
      <c r="J2782" s="1">
        <v>-457.87</v>
      </c>
      <c r="K2782" s="1">
        <v>17540.330000000002</v>
      </c>
      <c r="L2782" s="1">
        <v>80.329999999999984</v>
      </c>
    </row>
    <row r="2783" spans="4:13">
      <c r="D2783" s="1" t="s">
        <v>1677</v>
      </c>
      <c r="E2783" s="1" t="s">
        <v>1658</v>
      </c>
      <c r="F2783" s="1" t="s">
        <v>35</v>
      </c>
      <c r="G2783" s="1" t="s">
        <v>36</v>
      </c>
      <c r="H2783" s="1" t="s">
        <v>22</v>
      </c>
      <c r="I2783" s="1" t="s">
        <v>65</v>
      </c>
      <c r="J2783" s="1">
        <v>-457.87</v>
      </c>
      <c r="K2783" s="1">
        <v>17540.330000000002</v>
      </c>
      <c r="L2783" s="1">
        <v>80.329999999999984</v>
      </c>
    </row>
    <row r="2784" spans="4:13">
      <c r="D2784" s="1" t="s">
        <v>1677</v>
      </c>
      <c r="E2784" s="1" t="s">
        <v>1659</v>
      </c>
      <c r="F2784" s="1" t="s">
        <v>1660</v>
      </c>
      <c r="G2784" s="1" t="s">
        <v>1661</v>
      </c>
      <c r="H2784" s="1" t="s">
        <v>22</v>
      </c>
      <c r="I2784" s="1" t="s">
        <v>65</v>
      </c>
      <c r="J2784" s="1">
        <v>0</v>
      </c>
      <c r="K2784" s="1">
        <v>194.03202999999999</v>
      </c>
      <c r="L2784" s="1">
        <v>1.9403203E-3</v>
      </c>
    </row>
    <row r="2785" spans="4:13">
      <c r="D2785" s="1" t="s">
        <v>1677</v>
      </c>
      <c r="E2785" s="1" t="s">
        <v>1662</v>
      </c>
      <c r="F2785" s="1" t="s">
        <v>41</v>
      </c>
      <c r="G2785" s="1" t="s">
        <v>42</v>
      </c>
      <c r="H2785" s="1" t="s">
        <v>22</v>
      </c>
      <c r="I2785" s="1" t="s">
        <v>65</v>
      </c>
      <c r="L2785" s="1">
        <v>1.8</v>
      </c>
    </row>
    <row r="2786" spans="4:13">
      <c r="D2786" s="1" t="s">
        <v>1677</v>
      </c>
      <c r="E2786" s="1" t="s">
        <v>1663</v>
      </c>
      <c r="F2786" s="1" t="s">
        <v>45</v>
      </c>
      <c r="G2786" s="1" t="s">
        <v>46</v>
      </c>
      <c r="H2786" s="1" t="s">
        <v>22</v>
      </c>
      <c r="I2786" s="1" t="s">
        <v>65</v>
      </c>
      <c r="J2786" s="1">
        <v>-4299226.1378713567</v>
      </c>
      <c r="K2786" s="1">
        <v>4299226.1378713567</v>
      </c>
      <c r="L2786" s="1">
        <v>429.92261378713573</v>
      </c>
    </row>
    <row r="2787" spans="4:13">
      <c r="D2787" s="1" t="s">
        <v>1677</v>
      </c>
      <c r="E2787" s="1" t="s">
        <v>1664</v>
      </c>
      <c r="F2787" s="1" t="s">
        <v>56</v>
      </c>
      <c r="G2787" s="1" t="s">
        <v>57</v>
      </c>
      <c r="H2787" s="1" t="s">
        <v>22</v>
      </c>
      <c r="I2787" s="1" t="s">
        <v>65</v>
      </c>
      <c r="J2787" s="1">
        <v>0</v>
      </c>
      <c r="K2787" s="1">
        <v>14503.773773020921</v>
      </c>
      <c r="L2787" s="1">
        <v>14.503773773020921</v>
      </c>
    </row>
    <row r="2788" spans="4:13">
      <c r="D2788" s="1" t="s">
        <v>1677</v>
      </c>
      <c r="E2788" s="1" t="s">
        <v>1665</v>
      </c>
      <c r="H2788" s="1" t="s">
        <v>63</v>
      </c>
      <c r="I2788" s="1" t="s">
        <v>120</v>
      </c>
    </row>
    <row r="2789" spans="4:13">
      <c r="D2789" s="1" t="s">
        <v>1677</v>
      </c>
      <c r="E2789" s="1" t="s">
        <v>1666</v>
      </c>
      <c r="H2789" s="1" t="s">
        <v>22</v>
      </c>
      <c r="I2789" s="1" t="s">
        <v>65</v>
      </c>
      <c r="L2789" s="1">
        <v>1</v>
      </c>
    </row>
    <row r="2790" spans="4:13">
      <c r="D2790" s="1" t="s">
        <v>1677</v>
      </c>
      <c r="E2790" s="1" t="s">
        <v>1667</v>
      </c>
      <c r="F2790" s="1" t="s">
        <v>35</v>
      </c>
      <c r="G2790" s="1" t="s">
        <v>36</v>
      </c>
      <c r="H2790" s="1" t="s">
        <v>22</v>
      </c>
      <c r="I2790" s="1" t="s">
        <v>65</v>
      </c>
      <c r="J2790" s="1">
        <v>-457.87</v>
      </c>
      <c r="K2790" s="1">
        <v>17540.330000000002</v>
      </c>
      <c r="L2790" s="1">
        <v>80.329999999999984</v>
      </c>
    </row>
    <row r="2791" spans="4:13">
      <c r="D2791" s="1" t="s">
        <v>1677</v>
      </c>
      <c r="E2791" s="1" t="s">
        <v>1668</v>
      </c>
      <c r="F2791" s="1" t="s">
        <v>35</v>
      </c>
      <c r="G2791" s="1" t="s">
        <v>36</v>
      </c>
      <c r="H2791" s="1" t="s">
        <v>22</v>
      </c>
      <c r="I2791" s="1" t="s">
        <v>65</v>
      </c>
      <c r="J2791" s="1">
        <v>-457.87</v>
      </c>
      <c r="K2791" s="1">
        <v>17540.330000000002</v>
      </c>
      <c r="L2791" s="1">
        <v>80.329999999999984</v>
      </c>
    </row>
    <row r="2792" spans="4:13">
      <c r="D2792" s="1" t="s">
        <v>1677</v>
      </c>
      <c r="E2792" s="1" t="s">
        <v>1669</v>
      </c>
      <c r="F2792" s="1" t="s">
        <v>1660</v>
      </c>
      <c r="G2792" s="1" t="s">
        <v>1661</v>
      </c>
      <c r="H2792" s="1" t="s">
        <v>22</v>
      </c>
      <c r="I2792" s="1" t="s">
        <v>65</v>
      </c>
      <c r="J2792" s="1">
        <v>0</v>
      </c>
      <c r="K2792" s="1">
        <v>194.03202999999999</v>
      </c>
      <c r="L2792" s="1">
        <v>1.9403203E-3</v>
      </c>
    </row>
    <row r="2793" spans="4:13">
      <c r="D2793" s="1" t="s">
        <v>1677</v>
      </c>
      <c r="E2793" s="1" t="s">
        <v>1670</v>
      </c>
      <c r="F2793" s="1" t="s">
        <v>41</v>
      </c>
      <c r="G2793" s="1" t="s">
        <v>42</v>
      </c>
      <c r="H2793" s="1" t="s">
        <v>22</v>
      </c>
      <c r="I2793" s="1" t="s">
        <v>65</v>
      </c>
      <c r="L2793" s="1">
        <v>1.8</v>
      </c>
    </row>
    <row r="2794" spans="4:13">
      <c r="D2794" s="1" t="s">
        <v>1677</v>
      </c>
      <c r="E2794" s="1" t="s">
        <v>1671</v>
      </c>
      <c r="F2794" s="1" t="s">
        <v>45</v>
      </c>
      <c r="G2794" s="1" t="s">
        <v>46</v>
      </c>
      <c r="H2794" s="1" t="s">
        <v>22</v>
      </c>
      <c r="I2794" s="1" t="s">
        <v>65</v>
      </c>
      <c r="J2794" s="1">
        <v>-4299226.1378713567</v>
      </c>
      <c r="K2794" s="1">
        <v>4299226.1378713567</v>
      </c>
      <c r="L2794" s="1">
        <v>429.92261378713573</v>
      </c>
    </row>
    <row r="2795" spans="4:13">
      <c r="D2795" s="1" t="s">
        <v>1677</v>
      </c>
      <c r="E2795" s="1" t="s">
        <v>1672</v>
      </c>
      <c r="F2795" s="1" t="s">
        <v>56</v>
      </c>
      <c r="G2795" s="1" t="s">
        <v>57</v>
      </c>
      <c r="H2795" s="1" t="s">
        <v>22</v>
      </c>
      <c r="I2795" s="1" t="s">
        <v>65</v>
      </c>
      <c r="J2795" s="1">
        <v>0</v>
      </c>
      <c r="K2795" s="1">
        <v>14503.773773020921</v>
      </c>
      <c r="L2795" s="1">
        <v>14.503773773020921</v>
      </c>
    </row>
    <row r="2796" spans="4:13">
      <c r="D2796" s="1" t="s">
        <v>1677</v>
      </c>
      <c r="E2796" s="1" t="s">
        <v>1673</v>
      </c>
      <c r="H2796" s="1" t="s">
        <v>63</v>
      </c>
      <c r="I2796" s="1" t="s">
        <v>120</v>
      </c>
    </row>
    <row r="2797" spans="4:13">
      <c r="D2797" s="1" t="s">
        <v>1677</v>
      </c>
      <c r="E2797" s="1" t="s">
        <v>1674</v>
      </c>
      <c r="H2797" s="1" t="s">
        <v>22</v>
      </c>
      <c r="I2797" s="1" t="s">
        <v>65</v>
      </c>
      <c r="L2797" s="1">
        <v>1</v>
      </c>
    </row>
    <row r="2798" spans="4:13">
      <c r="D2798" s="1" t="s">
        <v>1677</v>
      </c>
      <c r="E2798" s="1" t="s">
        <v>123</v>
      </c>
      <c r="F2798" s="1" t="s">
        <v>124</v>
      </c>
      <c r="G2798" s="1" t="s">
        <v>125</v>
      </c>
      <c r="H2798" s="1" t="s">
        <v>22</v>
      </c>
      <c r="I2798" s="1" t="s">
        <v>70</v>
      </c>
      <c r="L2798" s="1">
        <v>35.314666699999997</v>
      </c>
    </row>
    <row r="2799" spans="4:13">
      <c r="D2799" s="1" t="s">
        <v>1677</v>
      </c>
      <c r="E2799" s="1" t="s">
        <v>1675</v>
      </c>
      <c r="F2799" s="1" t="s">
        <v>124</v>
      </c>
      <c r="G2799" s="1" t="s">
        <v>125</v>
      </c>
      <c r="H2799" s="1" t="s">
        <v>22</v>
      </c>
      <c r="I2799" s="1" t="s">
        <v>23</v>
      </c>
      <c r="L2799" s="1">
        <v>35.314666699999997</v>
      </c>
      <c r="M2799" s="1">
        <v>3.5314666699999997E-2</v>
      </c>
    </row>
    <row r="2800" spans="4:13">
      <c r="D2800" s="1" t="s">
        <v>1677</v>
      </c>
      <c r="E2800" s="1" t="s">
        <v>1676</v>
      </c>
      <c r="H2800" s="1" t="s">
        <v>22</v>
      </c>
      <c r="I2800" s="1" t="s">
        <v>23</v>
      </c>
      <c r="L2800" s="1">
        <v>1</v>
      </c>
      <c r="M2800" s="1">
        <v>0.95</v>
      </c>
    </row>
    <row r="2801" spans="4:13">
      <c r="D2801" s="1" t="s">
        <v>1678</v>
      </c>
      <c r="E2801" s="1" t="s">
        <v>1470</v>
      </c>
      <c r="H2801" s="1" t="s">
        <v>22</v>
      </c>
      <c r="I2801" s="1" t="s">
        <v>23</v>
      </c>
      <c r="J2801" s="1">
        <v>0.5</v>
      </c>
      <c r="K2801" s="1">
        <v>2</v>
      </c>
      <c r="L2801" s="1">
        <v>1</v>
      </c>
      <c r="M2801" s="1">
        <v>1</v>
      </c>
    </row>
    <row r="2802" spans="4:13">
      <c r="D2802" s="1" t="s">
        <v>1678</v>
      </c>
      <c r="E2802" s="1" t="s">
        <v>47</v>
      </c>
      <c r="H2802" s="1" t="s">
        <v>25</v>
      </c>
      <c r="I2802" s="1" t="s">
        <v>23</v>
      </c>
      <c r="M2802" s="1" t="b">
        <v>0</v>
      </c>
    </row>
    <row r="2803" spans="4:13">
      <c r="D2803" s="1" t="s">
        <v>1678</v>
      </c>
      <c r="E2803" s="1" t="s">
        <v>920</v>
      </c>
      <c r="H2803" s="1" t="s">
        <v>22</v>
      </c>
      <c r="I2803" s="1" t="s">
        <v>23</v>
      </c>
      <c r="L2803" s="1">
        <v>1</v>
      </c>
      <c r="M2803" s="1">
        <v>0</v>
      </c>
    </row>
    <row r="2804" spans="4:13">
      <c r="D2804" s="1" t="s">
        <v>1678</v>
      </c>
      <c r="E2804" s="1" t="s">
        <v>921</v>
      </c>
      <c r="H2804" s="1" t="s">
        <v>22</v>
      </c>
      <c r="I2804" s="1" t="s">
        <v>23</v>
      </c>
      <c r="J2804" s="1">
        <v>0</v>
      </c>
      <c r="K2804" s="1">
        <v>1</v>
      </c>
      <c r="L2804" s="1">
        <v>1</v>
      </c>
      <c r="M2804" s="1">
        <v>0</v>
      </c>
    </row>
    <row r="2805" spans="4:13">
      <c r="D2805" s="1" t="s">
        <v>1678</v>
      </c>
      <c r="E2805" s="1" t="s">
        <v>1654</v>
      </c>
      <c r="H2805" s="1" t="s">
        <v>22</v>
      </c>
      <c r="I2805" s="1" t="s">
        <v>23</v>
      </c>
      <c r="J2805" s="1">
        <v>0</v>
      </c>
      <c r="K2805" s="1">
        <v>1</v>
      </c>
      <c r="L2805" s="1">
        <v>1</v>
      </c>
      <c r="M2805" s="1">
        <v>1</v>
      </c>
    </row>
    <row r="2806" spans="4:13">
      <c r="D2806" s="1" t="s">
        <v>1678</v>
      </c>
      <c r="E2806" s="1" t="s">
        <v>1655</v>
      </c>
      <c r="F2806" s="1" t="s">
        <v>45</v>
      </c>
      <c r="G2806" s="1" t="s">
        <v>46</v>
      </c>
      <c r="H2806" s="1" t="s">
        <v>22</v>
      </c>
      <c r="I2806" s="1" t="s">
        <v>29</v>
      </c>
      <c r="J2806" s="1">
        <v>-6.3932502128443591</v>
      </c>
      <c r="K2806" s="1">
        <v>358.61435929656</v>
      </c>
      <c r="L2806" s="1">
        <v>114.79148749423418</v>
      </c>
    </row>
    <row r="2807" spans="4:13">
      <c r="D2807" s="1" t="s">
        <v>1678</v>
      </c>
      <c r="E2807" s="1" t="s">
        <v>1298</v>
      </c>
      <c r="F2807" s="1" t="s">
        <v>147</v>
      </c>
      <c r="G2807" s="1" t="s">
        <v>148</v>
      </c>
      <c r="H2807" s="1" t="s">
        <v>22</v>
      </c>
      <c r="I2807" s="1" t="s">
        <v>65</v>
      </c>
      <c r="L2807" s="1">
        <v>3.4121416351331</v>
      </c>
    </row>
    <row r="2808" spans="4:13">
      <c r="D2808" s="1" t="s">
        <v>1678</v>
      </c>
      <c r="E2808" s="1" t="s">
        <v>69</v>
      </c>
      <c r="H2808" s="1" t="s">
        <v>25</v>
      </c>
      <c r="I2808" s="1" t="s">
        <v>70</v>
      </c>
    </row>
    <row r="2809" spans="4:13">
      <c r="D2809" s="1" t="s">
        <v>1678</v>
      </c>
      <c r="E2809" s="1" t="s">
        <v>117</v>
      </c>
      <c r="F2809" s="1" t="s">
        <v>118</v>
      </c>
      <c r="G2809" s="1" t="s">
        <v>119</v>
      </c>
      <c r="H2809" s="1" t="s">
        <v>22</v>
      </c>
      <c r="I2809" s="1" t="s">
        <v>65</v>
      </c>
      <c r="J2809" s="1">
        <v>0</v>
      </c>
      <c r="L2809" s="1">
        <v>2.20462262185</v>
      </c>
    </row>
    <row r="2810" spans="4:13">
      <c r="D2810" s="1" t="s">
        <v>1678</v>
      </c>
      <c r="E2810" s="1" t="s">
        <v>1656</v>
      </c>
      <c r="H2810" s="1" t="s">
        <v>63</v>
      </c>
      <c r="I2810" s="1" t="s">
        <v>120</v>
      </c>
    </row>
    <row r="2811" spans="4:13">
      <c r="D2811" s="1" t="s">
        <v>1678</v>
      </c>
      <c r="E2811" s="1" t="s">
        <v>1657</v>
      </c>
      <c r="F2811" s="1" t="s">
        <v>35</v>
      </c>
      <c r="G2811" s="1" t="s">
        <v>36</v>
      </c>
      <c r="H2811" s="1" t="s">
        <v>22</v>
      </c>
      <c r="I2811" s="1" t="s">
        <v>65</v>
      </c>
      <c r="J2811" s="1">
        <v>-457.87</v>
      </c>
      <c r="K2811" s="1">
        <v>17540.330000000002</v>
      </c>
      <c r="L2811" s="1">
        <v>80.329999999999984</v>
      </c>
    </row>
    <row r="2812" spans="4:13">
      <c r="D2812" s="1" t="s">
        <v>1678</v>
      </c>
      <c r="E2812" s="1" t="s">
        <v>1658</v>
      </c>
      <c r="F2812" s="1" t="s">
        <v>35</v>
      </c>
      <c r="G2812" s="1" t="s">
        <v>36</v>
      </c>
      <c r="H2812" s="1" t="s">
        <v>22</v>
      </c>
      <c r="I2812" s="1" t="s">
        <v>65</v>
      </c>
      <c r="J2812" s="1">
        <v>-457.87</v>
      </c>
      <c r="K2812" s="1">
        <v>17540.330000000002</v>
      </c>
      <c r="L2812" s="1">
        <v>80.329999999999984</v>
      </c>
    </row>
    <row r="2813" spans="4:13">
      <c r="D2813" s="1" t="s">
        <v>1678</v>
      </c>
      <c r="E2813" s="1" t="s">
        <v>1659</v>
      </c>
      <c r="F2813" s="1" t="s">
        <v>1660</v>
      </c>
      <c r="G2813" s="1" t="s">
        <v>1661</v>
      </c>
      <c r="H2813" s="1" t="s">
        <v>22</v>
      </c>
      <c r="I2813" s="1" t="s">
        <v>65</v>
      </c>
      <c r="J2813" s="1">
        <v>0</v>
      </c>
      <c r="K2813" s="1">
        <v>194.03202999999999</v>
      </c>
      <c r="L2813" s="1">
        <v>1.9403203E-3</v>
      </c>
    </row>
    <row r="2814" spans="4:13">
      <c r="D2814" s="1" t="s">
        <v>1678</v>
      </c>
      <c r="E2814" s="1" t="s">
        <v>1662</v>
      </c>
      <c r="F2814" s="1" t="s">
        <v>41</v>
      </c>
      <c r="G2814" s="1" t="s">
        <v>42</v>
      </c>
      <c r="H2814" s="1" t="s">
        <v>22</v>
      </c>
      <c r="I2814" s="1" t="s">
        <v>65</v>
      </c>
      <c r="L2814" s="1">
        <v>1.8</v>
      </c>
    </row>
    <row r="2815" spans="4:13">
      <c r="D2815" s="1" t="s">
        <v>1678</v>
      </c>
      <c r="E2815" s="1" t="s">
        <v>1663</v>
      </c>
      <c r="F2815" s="1" t="s">
        <v>45</v>
      </c>
      <c r="G2815" s="1" t="s">
        <v>46</v>
      </c>
      <c r="H2815" s="1" t="s">
        <v>22</v>
      </c>
      <c r="I2815" s="1" t="s">
        <v>65</v>
      </c>
      <c r="J2815" s="1">
        <v>-4299226.1378713567</v>
      </c>
      <c r="K2815" s="1">
        <v>4299226.1378713567</v>
      </c>
      <c r="L2815" s="1">
        <v>429.92261378713573</v>
      </c>
    </row>
    <row r="2816" spans="4:13">
      <c r="D2816" s="1" t="s">
        <v>1678</v>
      </c>
      <c r="E2816" s="1" t="s">
        <v>1664</v>
      </c>
      <c r="F2816" s="1" t="s">
        <v>56</v>
      </c>
      <c r="G2816" s="1" t="s">
        <v>57</v>
      </c>
      <c r="H2816" s="1" t="s">
        <v>22</v>
      </c>
      <c r="I2816" s="1" t="s">
        <v>65</v>
      </c>
      <c r="J2816" s="1">
        <v>0</v>
      </c>
      <c r="K2816" s="1">
        <v>14503.773773020921</v>
      </c>
      <c r="L2816" s="1">
        <v>14.503773773020921</v>
      </c>
    </row>
    <row r="2817" spans="4:13">
      <c r="D2817" s="1" t="s">
        <v>1678</v>
      </c>
      <c r="E2817" s="1" t="s">
        <v>1665</v>
      </c>
      <c r="H2817" s="1" t="s">
        <v>63</v>
      </c>
      <c r="I2817" s="1" t="s">
        <v>120</v>
      </c>
    </row>
    <row r="2818" spans="4:13">
      <c r="D2818" s="1" t="s">
        <v>1678</v>
      </c>
      <c r="E2818" s="1" t="s">
        <v>1666</v>
      </c>
      <c r="H2818" s="1" t="s">
        <v>22</v>
      </c>
      <c r="I2818" s="1" t="s">
        <v>65</v>
      </c>
      <c r="L2818" s="1">
        <v>1</v>
      </c>
    </row>
    <row r="2819" spans="4:13">
      <c r="D2819" s="1" t="s">
        <v>1678</v>
      </c>
      <c r="E2819" s="1" t="s">
        <v>1667</v>
      </c>
      <c r="F2819" s="1" t="s">
        <v>35</v>
      </c>
      <c r="G2819" s="1" t="s">
        <v>36</v>
      </c>
      <c r="H2819" s="1" t="s">
        <v>22</v>
      </c>
      <c r="I2819" s="1" t="s">
        <v>65</v>
      </c>
      <c r="J2819" s="1">
        <v>-457.87</v>
      </c>
      <c r="K2819" s="1">
        <v>17540.330000000002</v>
      </c>
      <c r="L2819" s="1">
        <v>80.329999999999984</v>
      </c>
    </row>
    <row r="2820" spans="4:13">
      <c r="D2820" s="1" t="s">
        <v>1678</v>
      </c>
      <c r="E2820" s="1" t="s">
        <v>1668</v>
      </c>
      <c r="F2820" s="1" t="s">
        <v>35</v>
      </c>
      <c r="G2820" s="1" t="s">
        <v>36</v>
      </c>
      <c r="H2820" s="1" t="s">
        <v>22</v>
      </c>
      <c r="I2820" s="1" t="s">
        <v>65</v>
      </c>
      <c r="J2820" s="1">
        <v>-457.87</v>
      </c>
      <c r="K2820" s="1">
        <v>17540.330000000002</v>
      </c>
      <c r="L2820" s="1">
        <v>80.329999999999984</v>
      </c>
    </row>
    <row r="2821" spans="4:13">
      <c r="D2821" s="1" t="s">
        <v>1678</v>
      </c>
      <c r="E2821" s="1" t="s">
        <v>1669</v>
      </c>
      <c r="F2821" s="1" t="s">
        <v>1660</v>
      </c>
      <c r="G2821" s="1" t="s">
        <v>1661</v>
      </c>
      <c r="H2821" s="1" t="s">
        <v>22</v>
      </c>
      <c r="I2821" s="1" t="s">
        <v>65</v>
      </c>
      <c r="J2821" s="1">
        <v>0</v>
      </c>
      <c r="K2821" s="1">
        <v>194.03202999999999</v>
      </c>
      <c r="L2821" s="1">
        <v>1.9403203E-3</v>
      </c>
    </row>
    <row r="2822" spans="4:13">
      <c r="D2822" s="1" t="s">
        <v>1678</v>
      </c>
      <c r="E2822" s="1" t="s">
        <v>1670</v>
      </c>
      <c r="F2822" s="1" t="s">
        <v>41</v>
      </c>
      <c r="G2822" s="1" t="s">
        <v>42</v>
      </c>
      <c r="H2822" s="1" t="s">
        <v>22</v>
      </c>
      <c r="I2822" s="1" t="s">
        <v>65</v>
      </c>
      <c r="L2822" s="1">
        <v>1.8</v>
      </c>
    </row>
    <row r="2823" spans="4:13">
      <c r="D2823" s="1" t="s">
        <v>1678</v>
      </c>
      <c r="E2823" s="1" t="s">
        <v>1671</v>
      </c>
      <c r="F2823" s="1" t="s">
        <v>45</v>
      </c>
      <c r="G2823" s="1" t="s">
        <v>46</v>
      </c>
      <c r="H2823" s="1" t="s">
        <v>22</v>
      </c>
      <c r="I2823" s="1" t="s">
        <v>65</v>
      </c>
      <c r="J2823" s="1">
        <v>-4299226.1378713567</v>
      </c>
      <c r="K2823" s="1">
        <v>4299226.1378713567</v>
      </c>
      <c r="L2823" s="1">
        <v>429.92261378713573</v>
      </c>
    </row>
    <row r="2824" spans="4:13">
      <c r="D2824" s="1" t="s">
        <v>1678</v>
      </c>
      <c r="E2824" s="1" t="s">
        <v>1672</v>
      </c>
      <c r="F2824" s="1" t="s">
        <v>56</v>
      </c>
      <c r="G2824" s="1" t="s">
        <v>57</v>
      </c>
      <c r="H2824" s="1" t="s">
        <v>22</v>
      </c>
      <c r="I2824" s="1" t="s">
        <v>65</v>
      </c>
      <c r="J2824" s="1">
        <v>0</v>
      </c>
      <c r="K2824" s="1">
        <v>14503.773773020921</v>
      </c>
      <c r="L2824" s="1">
        <v>14.503773773020921</v>
      </c>
    </row>
    <row r="2825" spans="4:13">
      <c r="D2825" s="1" t="s">
        <v>1678</v>
      </c>
      <c r="E2825" s="1" t="s">
        <v>1673</v>
      </c>
      <c r="H2825" s="1" t="s">
        <v>63</v>
      </c>
      <c r="I2825" s="1" t="s">
        <v>120</v>
      </c>
    </row>
    <row r="2826" spans="4:13">
      <c r="D2826" s="1" t="s">
        <v>1678</v>
      </c>
      <c r="E2826" s="1" t="s">
        <v>1674</v>
      </c>
      <c r="H2826" s="1" t="s">
        <v>22</v>
      </c>
      <c r="I2826" s="1" t="s">
        <v>65</v>
      </c>
      <c r="L2826" s="1">
        <v>1</v>
      </c>
    </row>
    <row r="2827" spans="4:13">
      <c r="D2827" s="1" t="s">
        <v>1678</v>
      </c>
      <c r="E2827" s="1" t="s">
        <v>123</v>
      </c>
      <c r="F2827" s="1" t="s">
        <v>124</v>
      </c>
      <c r="G2827" s="1" t="s">
        <v>125</v>
      </c>
      <c r="H2827" s="1" t="s">
        <v>22</v>
      </c>
      <c r="I2827" s="1" t="s">
        <v>70</v>
      </c>
      <c r="L2827" s="1">
        <v>35.314666699999997</v>
      </c>
    </row>
    <row r="2828" spans="4:13">
      <c r="D2828" s="1" t="s">
        <v>1678</v>
      </c>
      <c r="E2828" s="1" t="s">
        <v>1675</v>
      </c>
      <c r="F2828" s="1" t="s">
        <v>124</v>
      </c>
      <c r="G2828" s="1" t="s">
        <v>125</v>
      </c>
      <c r="H2828" s="1" t="s">
        <v>22</v>
      </c>
      <c r="I2828" s="1" t="s">
        <v>23</v>
      </c>
      <c r="L2828" s="1">
        <v>35.314666699999997</v>
      </c>
      <c r="M2828" s="1">
        <v>3.5314666699999997E-2</v>
      </c>
    </row>
    <row r="2829" spans="4:13">
      <c r="D2829" s="1" t="s">
        <v>1678</v>
      </c>
      <c r="E2829" s="1" t="s">
        <v>1676</v>
      </c>
      <c r="H2829" s="1" t="s">
        <v>22</v>
      </c>
      <c r="I2829" s="1" t="s">
        <v>23</v>
      </c>
      <c r="L2829" s="1">
        <v>1</v>
      </c>
      <c r="M2829" s="1">
        <v>0.95</v>
      </c>
    </row>
    <row r="2830" spans="4:13">
      <c r="D2830" s="1" t="s">
        <v>1679</v>
      </c>
      <c r="E2830" s="1" t="s">
        <v>28</v>
      </c>
      <c r="H2830" s="1" t="s">
        <v>22</v>
      </c>
      <c r="I2830" s="1" t="s">
        <v>29</v>
      </c>
      <c r="J2830" s="1">
        <v>34000</v>
      </c>
      <c r="K2830" s="1">
        <v>4300000</v>
      </c>
      <c r="L2830" s="1">
        <v>349660</v>
      </c>
    </row>
    <row r="2831" spans="4:13">
      <c r="D2831" s="1" t="s">
        <v>1679</v>
      </c>
      <c r="E2831" s="1" t="s">
        <v>30</v>
      </c>
      <c r="H2831" s="1" t="s">
        <v>22</v>
      </c>
      <c r="I2831" s="1" t="s">
        <v>29</v>
      </c>
      <c r="J2831" s="1">
        <v>-3.94</v>
      </c>
      <c r="K2831" s="1">
        <v>3.66</v>
      </c>
      <c r="L2831" s="1">
        <v>1</v>
      </c>
    </row>
    <row r="2832" spans="4:13">
      <c r="D2832" s="1" t="s">
        <v>1679</v>
      </c>
      <c r="E2832" s="1" t="s">
        <v>31</v>
      </c>
      <c r="H2832" s="1" t="s">
        <v>22</v>
      </c>
      <c r="I2832" s="1" t="s">
        <v>29</v>
      </c>
      <c r="J2832" s="1">
        <v>0</v>
      </c>
      <c r="K2832" s="1">
        <v>100</v>
      </c>
      <c r="L2832" s="1">
        <v>1</v>
      </c>
    </row>
    <row r="2833" spans="4:13">
      <c r="D2833" s="1" t="s">
        <v>1679</v>
      </c>
      <c r="E2833" s="1" t="s">
        <v>32</v>
      </c>
      <c r="H2833" s="1" t="s">
        <v>22</v>
      </c>
      <c r="I2833" s="1" t="s">
        <v>29</v>
      </c>
      <c r="J2833" s="1">
        <v>-3.94</v>
      </c>
      <c r="K2833" s="1">
        <v>3.66</v>
      </c>
      <c r="L2833" s="1">
        <v>1</v>
      </c>
    </row>
    <row r="2834" spans="4:13">
      <c r="D2834" s="1" t="s">
        <v>1679</v>
      </c>
      <c r="E2834" s="1" t="s">
        <v>33</v>
      </c>
      <c r="H2834" s="1" t="s">
        <v>25</v>
      </c>
      <c r="I2834" s="1" t="s">
        <v>23</v>
      </c>
      <c r="M2834" s="1" t="b">
        <v>0</v>
      </c>
    </row>
    <row r="2835" spans="4:13">
      <c r="D2835" s="1" t="s">
        <v>1679</v>
      </c>
      <c r="E2835" s="1" t="s">
        <v>34</v>
      </c>
      <c r="F2835" s="1" t="s">
        <v>35</v>
      </c>
      <c r="G2835" s="1" t="s">
        <v>36</v>
      </c>
      <c r="H2835" s="1" t="s">
        <v>22</v>
      </c>
      <c r="I2835" s="1" t="s">
        <v>23</v>
      </c>
      <c r="J2835" s="1">
        <v>-459.67</v>
      </c>
      <c r="K2835" s="1">
        <v>980.32999999999993</v>
      </c>
      <c r="L2835" s="1">
        <v>80.329999999999984</v>
      </c>
      <c r="M2835" s="1">
        <v>67.999999999999943</v>
      </c>
    </row>
    <row r="2836" spans="4:13">
      <c r="D2836" s="1" t="s">
        <v>1679</v>
      </c>
      <c r="E2836" s="1" t="s">
        <v>37</v>
      </c>
      <c r="H2836" s="1" t="s">
        <v>25</v>
      </c>
      <c r="I2836" s="1" t="s">
        <v>23</v>
      </c>
      <c r="M2836" s="1" t="b">
        <v>0</v>
      </c>
    </row>
    <row r="2837" spans="4:13">
      <c r="D2837" s="1" t="s">
        <v>1679</v>
      </c>
      <c r="E2837" s="1" t="s">
        <v>38</v>
      </c>
      <c r="F2837" s="1" t="s">
        <v>35</v>
      </c>
      <c r="G2837" s="1" t="s">
        <v>36</v>
      </c>
      <c r="H2837" s="1" t="s">
        <v>22</v>
      </c>
      <c r="I2837" s="1" t="s">
        <v>23</v>
      </c>
      <c r="J2837" s="1">
        <v>-99.670000000000016</v>
      </c>
      <c r="K2837" s="1">
        <v>980.32999999999993</v>
      </c>
      <c r="L2837" s="1">
        <v>80.329999999999984</v>
      </c>
      <c r="M2837" s="1">
        <v>13.999999999999943</v>
      </c>
    </row>
    <row r="2838" spans="4:13">
      <c r="D2838" s="1" t="s">
        <v>1679</v>
      </c>
      <c r="E2838" s="1" t="s">
        <v>39</v>
      </c>
      <c r="H2838" s="1" t="s">
        <v>25</v>
      </c>
      <c r="I2838" s="1" t="s">
        <v>23</v>
      </c>
      <c r="M2838" s="1" t="b">
        <v>0</v>
      </c>
    </row>
    <row r="2839" spans="4:13">
      <c r="D2839" s="1" t="s">
        <v>1679</v>
      </c>
      <c r="E2839" s="1" t="s">
        <v>40</v>
      </c>
      <c r="F2839" s="1" t="s">
        <v>41</v>
      </c>
      <c r="G2839" s="1" t="s">
        <v>42</v>
      </c>
      <c r="H2839" s="1" t="s">
        <v>22</v>
      </c>
      <c r="I2839" s="1" t="s">
        <v>23</v>
      </c>
      <c r="J2839" s="1">
        <v>-900</v>
      </c>
      <c r="K2839" s="1">
        <v>900</v>
      </c>
      <c r="L2839" s="1">
        <v>1.8</v>
      </c>
      <c r="M2839" s="1">
        <v>9</v>
      </c>
    </row>
    <row r="2840" spans="4:13">
      <c r="D2840" s="1" t="s">
        <v>1679</v>
      </c>
      <c r="E2840" s="1" t="s">
        <v>43</v>
      </c>
      <c r="H2840" s="1" t="s">
        <v>25</v>
      </c>
      <c r="I2840" s="1" t="s">
        <v>23</v>
      </c>
      <c r="M2840" s="1" t="b">
        <v>0</v>
      </c>
    </row>
    <row r="2841" spans="4:13">
      <c r="D2841" s="1" t="s">
        <v>1679</v>
      </c>
      <c r="E2841" s="1" t="s">
        <v>44</v>
      </c>
      <c r="F2841" s="1" t="s">
        <v>45</v>
      </c>
      <c r="G2841" s="1" t="s">
        <v>46</v>
      </c>
      <c r="H2841" s="1" t="s">
        <v>22</v>
      </c>
      <c r="I2841" s="1" t="s">
        <v>23</v>
      </c>
      <c r="J2841" s="1">
        <v>-85.984522757427143</v>
      </c>
      <c r="K2841" s="1">
        <v>8598.4522757427148</v>
      </c>
      <c r="L2841" s="1">
        <v>114.79148749423418</v>
      </c>
      <c r="M2841" s="1">
        <v>128.97678413614071</v>
      </c>
    </row>
    <row r="2842" spans="4:13">
      <c r="D2842" s="1" t="s">
        <v>1679</v>
      </c>
      <c r="E2842" s="1" t="s">
        <v>47</v>
      </c>
      <c r="H2842" s="1" t="s">
        <v>25</v>
      </c>
      <c r="I2842" s="1" t="s">
        <v>23</v>
      </c>
      <c r="M2842" s="1" t="b">
        <v>0</v>
      </c>
    </row>
    <row r="2843" spans="4:13">
      <c r="D2843" s="1" t="s">
        <v>1679</v>
      </c>
      <c r="E2843" s="1" t="s">
        <v>48</v>
      </c>
      <c r="H2843" s="1" t="s">
        <v>25</v>
      </c>
      <c r="I2843" s="1" t="s">
        <v>23</v>
      </c>
      <c r="M2843" s="1" t="b">
        <v>0</v>
      </c>
    </row>
    <row r="2844" spans="4:13">
      <c r="D2844" s="1" t="s">
        <v>1679</v>
      </c>
      <c r="E2844" s="1" t="s">
        <v>49</v>
      </c>
      <c r="H2844" s="1" t="s">
        <v>25</v>
      </c>
      <c r="I2844" s="1" t="s">
        <v>23</v>
      </c>
      <c r="M2844" s="1" t="b">
        <v>0</v>
      </c>
    </row>
    <row r="2845" spans="4:13">
      <c r="D2845" s="1" t="s">
        <v>1679</v>
      </c>
      <c r="E2845" s="1" t="s">
        <v>50</v>
      </c>
      <c r="H2845" s="1" t="s">
        <v>25</v>
      </c>
      <c r="I2845" s="1" t="s">
        <v>23</v>
      </c>
      <c r="M2845" s="1" t="b">
        <v>0</v>
      </c>
    </row>
    <row r="2846" spans="4:13">
      <c r="D2846" s="1" t="s">
        <v>1679</v>
      </c>
      <c r="E2846" s="1" t="s">
        <v>51</v>
      </c>
      <c r="F2846" s="1" t="s">
        <v>52</v>
      </c>
      <c r="G2846" s="1" t="s">
        <v>53</v>
      </c>
      <c r="H2846" s="1" t="s">
        <v>22</v>
      </c>
      <c r="I2846" s="1" t="s">
        <v>23</v>
      </c>
      <c r="J2846" s="1">
        <v>0</v>
      </c>
      <c r="K2846" s="1">
        <v>7936641438.6555996</v>
      </c>
      <c r="L2846" s="1">
        <v>7936.6414386555998</v>
      </c>
      <c r="M2846" s="1">
        <v>7936.6414386555998</v>
      </c>
    </row>
    <row r="2847" spans="4:13">
      <c r="D2847" s="1" t="s">
        <v>1679</v>
      </c>
      <c r="E2847" s="1" t="s">
        <v>54</v>
      </c>
      <c r="H2847" s="1" t="s">
        <v>25</v>
      </c>
      <c r="I2847" s="1" t="s">
        <v>23</v>
      </c>
      <c r="M2847" s="1" t="b">
        <v>0</v>
      </c>
    </row>
    <row r="2848" spans="4:13">
      <c r="D2848" s="1" t="s">
        <v>1679</v>
      </c>
      <c r="E2848" s="1" t="s">
        <v>55</v>
      </c>
      <c r="F2848" s="1" t="s">
        <v>56</v>
      </c>
      <c r="G2848" s="1" t="s">
        <v>57</v>
      </c>
      <c r="H2848" s="1" t="s">
        <v>22</v>
      </c>
      <c r="I2848" s="1" t="s">
        <v>23</v>
      </c>
      <c r="J2848" s="1">
        <v>0</v>
      </c>
      <c r="K2848" s="1">
        <v>9427.4529524635982</v>
      </c>
      <c r="L2848" s="1">
        <v>50.713895374744951</v>
      </c>
      <c r="M2848" s="1">
        <v>50.763208205573221</v>
      </c>
    </row>
    <row r="2849" spans="4:13">
      <c r="D2849" s="1" t="s">
        <v>1679</v>
      </c>
      <c r="E2849" s="1" t="s">
        <v>58</v>
      </c>
      <c r="H2849" s="1" t="s">
        <v>25</v>
      </c>
      <c r="I2849" s="1" t="s">
        <v>23</v>
      </c>
      <c r="M2849" s="1" t="b">
        <v>0</v>
      </c>
    </row>
    <row r="2850" spans="4:13">
      <c r="D2850" s="1" t="s">
        <v>1679</v>
      </c>
      <c r="E2850" s="1" t="s">
        <v>59</v>
      </c>
      <c r="F2850" s="1" t="s">
        <v>60</v>
      </c>
      <c r="G2850" s="1" t="s">
        <v>61</v>
      </c>
      <c r="H2850" s="1" t="s">
        <v>22</v>
      </c>
      <c r="I2850" s="1" t="s">
        <v>23</v>
      </c>
      <c r="J2850" s="1">
        <v>-9.5538358650799999</v>
      </c>
      <c r="K2850" s="1">
        <v>9.5538358650799999</v>
      </c>
      <c r="L2850" s="1">
        <v>0.23884589662700001</v>
      </c>
      <c r="M2850" s="1">
        <v>0.23884589662700001</v>
      </c>
    </row>
    <row r="2851" spans="4:13">
      <c r="D2851" s="1" t="s">
        <v>1679</v>
      </c>
      <c r="E2851" s="1" t="s">
        <v>62</v>
      </c>
      <c r="H2851" s="1" t="s">
        <v>63</v>
      </c>
      <c r="I2851" s="1" t="s">
        <v>23</v>
      </c>
      <c r="M2851" s="1">
        <v>1</v>
      </c>
    </row>
    <row r="2852" spans="4:13">
      <c r="D2852" s="1" t="s">
        <v>1679</v>
      </c>
      <c r="E2852" s="1" t="s">
        <v>64</v>
      </c>
      <c r="F2852" s="1" t="s">
        <v>35</v>
      </c>
      <c r="G2852" s="1" t="s">
        <v>36</v>
      </c>
      <c r="H2852" s="1" t="s">
        <v>22</v>
      </c>
      <c r="I2852" s="1" t="s">
        <v>65</v>
      </c>
      <c r="J2852" s="1">
        <v>-459.67</v>
      </c>
      <c r="L2852" s="1">
        <v>80.329999999999984</v>
      </c>
    </row>
    <row r="2853" spans="4:13">
      <c r="D2853" s="1" t="s">
        <v>1679</v>
      </c>
      <c r="E2853" s="1" t="s">
        <v>66</v>
      </c>
      <c r="F2853" s="1" t="s">
        <v>35</v>
      </c>
      <c r="G2853" s="1" t="s">
        <v>36</v>
      </c>
      <c r="H2853" s="1" t="s">
        <v>22</v>
      </c>
      <c r="I2853" s="1" t="s">
        <v>65</v>
      </c>
      <c r="J2853" s="1">
        <v>-459.67</v>
      </c>
      <c r="L2853" s="1">
        <v>80.329999999999984</v>
      </c>
    </row>
    <row r="2854" spans="4:13">
      <c r="D2854" s="1" t="s">
        <v>1679</v>
      </c>
      <c r="E2854" s="1" t="s">
        <v>67</v>
      </c>
      <c r="F2854" s="1" t="s">
        <v>41</v>
      </c>
      <c r="G2854" s="1" t="s">
        <v>42</v>
      </c>
      <c r="H2854" s="1" t="s">
        <v>22</v>
      </c>
      <c r="I2854" s="1" t="s">
        <v>65</v>
      </c>
      <c r="L2854" s="1">
        <v>1.8</v>
      </c>
    </row>
    <row r="2855" spans="4:13">
      <c r="D2855" s="1" t="s">
        <v>1679</v>
      </c>
      <c r="E2855" s="1" t="s">
        <v>68</v>
      </c>
      <c r="F2855" s="1" t="s">
        <v>45</v>
      </c>
      <c r="G2855" s="1" t="s">
        <v>46</v>
      </c>
      <c r="H2855" s="1" t="s">
        <v>22</v>
      </c>
      <c r="I2855" s="1" t="s">
        <v>65</v>
      </c>
      <c r="L2855" s="1">
        <v>4.2992261378713571E-4</v>
      </c>
    </row>
    <row r="2856" spans="4:13">
      <c r="D2856" s="1" t="s">
        <v>1679</v>
      </c>
      <c r="E2856" s="1" t="s">
        <v>69</v>
      </c>
      <c r="H2856" s="1" t="s">
        <v>25</v>
      </c>
      <c r="I2856" s="1" t="s">
        <v>70</v>
      </c>
    </row>
    <row r="2857" spans="4:13">
      <c r="D2857" s="1" t="s">
        <v>1679</v>
      </c>
      <c r="E2857" s="1" t="s">
        <v>71</v>
      </c>
      <c r="F2857" s="1" t="s">
        <v>52</v>
      </c>
      <c r="G2857" s="1" t="s">
        <v>53</v>
      </c>
      <c r="H2857" s="1" t="s">
        <v>22</v>
      </c>
      <c r="I2857" s="1" t="s">
        <v>65</v>
      </c>
      <c r="L2857" s="1">
        <v>7936.6414386555998</v>
      </c>
    </row>
    <row r="2858" spans="4:13">
      <c r="D2858" s="1" t="s">
        <v>1679</v>
      </c>
      <c r="E2858" s="1" t="s">
        <v>72</v>
      </c>
      <c r="F2858" s="1" t="s">
        <v>56</v>
      </c>
      <c r="G2858" s="1" t="s">
        <v>57</v>
      </c>
      <c r="H2858" s="1" t="s">
        <v>22</v>
      </c>
      <c r="I2858" s="1" t="s">
        <v>65</v>
      </c>
      <c r="J2858" s="1">
        <v>0</v>
      </c>
      <c r="L2858" s="1">
        <v>14.503773773020921</v>
      </c>
    </row>
    <row r="2859" spans="4:13">
      <c r="D2859" s="1" t="s">
        <v>1679</v>
      </c>
      <c r="E2859" s="1" t="s">
        <v>73</v>
      </c>
      <c r="F2859" s="1" t="s">
        <v>60</v>
      </c>
      <c r="G2859" s="1" t="s">
        <v>61</v>
      </c>
      <c r="H2859" s="1" t="s">
        <v>22</v>
      </c>
      <c r="I2859" s="1" t="s">
        <v>65</v>
      </c>
      <c r="L2859" s="1">
        <v>2.38845896627E-4</v>
      </c>
    </row>
    <row r="2860" spans="4:13">
      <c r="D2860" s="1" t="s">
        <v>1679</v>
      </c>
      <c r="E2860" s="1" t="s">
        <v>74</v>
      </c>
      <c r="F2860" s="1" t="s">
        <v>75</v>
      </c>
      <c r="G2860" s="1" t="s">
        <v>76</v>
      </c>
      <c r="H2860" s="1" t="s">
        <v>22</v>
      </c>
      <c r="I2860" s="1" t="s">
        <v>65</v>
      </c>
      <c r="J2860" s="1">
        <v>0</v>
      </c>
      <c r="L2860" s="1">
        <v>16.018463521800001</v>
      </c>
    </row>
    <row r="2861" spans="4:13">
      <c r="D2861" s="1" t="s">
        <v>1679</v>
      </c>
      <c r="E2861" s="1" t="s">
        <v>77</v>
      </c>
      <c r="H2861" s="1" t="s">
        <v>22</v>
      </c>
      <c r="I2861" s="1" t="s">
        <v>65</v>
      </c>
      <c r="L2861" s="1">
        <v>1</v>
      </c>
    </row>
    <row r="2862" spans="4:13">
      <c r="D2862" s="1" t="s">
        <v>1679</v>
      </c>
      <c r="E2862" s="1" t="s">
        <v>78</v>
      </c>
      <c r="H2862" s="1" t="s">
        <v>25</v>
      </c>
      <c r="I2862" s="1" t="s">
        <v>23</v>
      </c>
      <c r="M2862" s="1" t="b">
        <v>0</v>
      </c>
    </row>
    <row r="2863" spans="4:13">
      <c r="D2863" s="1" t="s">
        <v>1679</v>
      </c>
      <c r="E2863" s="1" t="s">
        <v>79</v>
      </c>
      <c r="F2863" s="1" t="s">
        <v>75</v>
      </c>
      <c r="G2863" s="1" t="s">
        <v>76</v>
      </c>
      <c r="H2863" s="1" t="s">
        <v>22</v>
      </c>
      <c r="I2863" s="1" t="s">
        <v>23</v>
      </c>
      <c r="J2863" s="1">
        <v>0</v>
      </c>
      <c r="K2863" s="1">
        <v>96.110781130800007</v>
      </c>
      <c r="L2863" s="1">
        <v>16.018463521800001</v>
      </c>
      <c r="M2863" s="1">
        <v>1.6018463521800002</v>
      </c>
    </row>
    <row r="2864" spans="4:13">
      <c r="D2864" s="1" t="s">
        <v>1679</v>
      </c>
      <c r="E2864" s="1" t="s">
        <v>80</v>
      </c>
      <c r="H2864" s="1" t="s">
        <v>25</v>
      </c>
      <c r="I2864" s="1" t="s">
        <v>23</v>
      </c>
      <c r="M2864" s="1" t="b">
        <v>0</v>
      </c>
    </row>
    <row r="2865" spans="4:13">
      <c r="D2865" s="1" t="s">
        <v>1679</v>
      </c>
      <c r="E2865" s="1" t="s">
        <v>81</v>
      </c>
      <c r="H2865" s="1" t="s">
        <v>25</v>
      </c>
      <c r="I2865" s="1" t="s">
        <v>23</v>
      </c>
      <c r="M2865" s="1" t="b">
        <v>1</v>
      </c>
    </row>
    <row r="2866" spans="4:13">
      <c r="D2866" s="1" t="s">
        <v>1679</v>
      </c>
      <c r="E2866" s="1" t="s">
        <v>82</v>
      </c>
      <c r="H2866" s="1" t="s">
        <v>22</v>
      </c>
      <c r="I2866" s="1" t="s">
        <v>23</v>
      </c>
      <c r="J2866" s="1">
        <v>-1</v>
      </c>
      <c r="K2866" s="1">
        <v>3</v>
      </c>
      <c r="L2866" s="1">
        <v>1</v>
      </c>
      <c r="M2866" s="1">
        <v>1.0000100000000001</v>
      </c>
    </row>
    <row r="2870" spans="4:13">
      <c r="D2870" s="1" t="s">
        <v>1680</v>
      </c>
    </row>
    <row r="2871" spans="4:13">
      <c r="D2871" s="1" t="s">
        <v>1681</v>
      </c>
    </row>
    <row r="2872" spans="4:13">
      <c r="D2872" s="1" t="s">
        <v>1682</v>
      </c>
    </row>
    <row r="2873" spans="4:13">
      <c r="D2873" s="1" t="s">
        <v>1683</v>
      </c>
    </row>
    <row r="2874" spans="4:13">
      <c r="D2874" s="1" t="s">
        <v>1684</v>
      </c>
    </row>
    <row r="2875" spans="4:13">
      <c r="D2875" s="1" t="s">
        <v>1685</v>
      </c>
    </row>
    <row r="2877" spans="4:13">
      <c r="D2877" s="1" t="s">
        <v>1686</v>
      </c>
    </row>
    <row r="2878" spans="4:13">
      <c r="D2878" s="1" t="s">
        <v>1687</v>
      </c>
    </row>
    <row r="2879" spans="4:13">
      <c r="D2879" s="1" t="s">
        <v>1688</v>
      </c>
    </row>
    <row r="2881" spans="4:4">
      <c r="D2881" s="1" t="s">
        <v>1689</v>
      </c>
    </row>
    <row r="2882" spans="4:4">
      <c r="D2882" s="1" t="s">
        <v>1690</v>
      </c>
    </row>
    <row r="2883" spans="4:4">
      <c r="D2883" s="1" t="s">
        <v>1691</v>
      </c>
    </row>
    <row r="2885" spans="4:4">
      <c r="D2885" s="1" t="s">
        <v>1692</v>
      </c>
    </row>
    <row r="2886" spans="4:4">
      <c r="D2886" s="1" t="s">
        <v>1693</v>
      </c>
    </row>
    <row r="2887" spans="4:4">
      <c r="D2887" s="1" t="s">
        <v>1694</v>
      </c>
    </row>
    <row r="2891" spans="4:4">
      <c r="D2891" s="1" t="s">
        <v>1695</v>
      </c>
    </row>
  </sheetData>
  <autoFilter ref="A4:M2866" xr:uid="{00000000-0001-0000-0000-000000000000}"/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B_BoltUIToolbox">
              <controlPr defaultSize="0" autoFill="0" autoLine="0" autoPict="0">
                <anchor moveWithCells="1">
                  <from>
                    <xdr:col>3</xdr:col>
                    <xdr:colOff>184150</xdr:colOff>
                    <xdr:row>1</xdr:row>
                    <xdr:rowOff>209550</xdr:rowOff>
                  </from>
                  <to>
                    <xdr:col>4</xdr:col>
                    <xdr:colOff>298450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DD_BoltUIToolbox">
              <controlPr defaultSize="0" autoLine="0" autoPict="0">
                <anchor moveWithCells="1">
                  <from>
                    <xdr:col>4</xdr:col>
                    <xdr:colOff>69850</xdr:colOff>
                    <xdr:row>2</xdr:row>
                    <xdr:rowOff>12700</xdr:rowOff>
                  </from>
                  <to>
                    <xdr:col>4</xdr:col>
                    <xdr:colOff>1231900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T_BoltUIToolbox">
              <controlPr defaultSize="0" print="0" disabled="1" autoFill="0" autoPict="0" macro="[0]!Basic_Click">
                <anchor moveWithCells="1" sizeWithCells="1">
                  <from>
                    <xdr:col>4</xdr:col>
                    <xdr:colOff>1498600</xdr:colOff>
                    <xdr:row>2</xdr:row>
                    <xdr:rowOff>19050</xdr:rowOff>
                  </from>
                  <to>
                    <xdr:col>4</xdr:col>
                    <xdr:colOff>2171700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8857-F23D-4860-9D5D-58FF407503A9}">
  <sheetPr codeName="Sheet8"/>
  <dimension ref="A1:R2892"/>
  <sheetViews>
    <sheetView workbookViewId="0">
      <pane xSplit="13" topLeftCell="N1" activePane="topRight" state="frozen"/>
      <selection pane="topRight" activeCell="G1" sqref="G1"/>
    </sheetView>
  </sheetViews>
  <sheetFormatPr defaultColWidth="8.90625" defaultRowHeight="14.5"/>
  <cols>
    <col min="1" max="1" width="3.36328125" style="2" customWidth="1"/>
    <col min="2" max="2" width="4.26953125" style="3" customWidth="1"/>
    <col min="3" max="3" width="3.36328125" style="2" customWidth="1"/>
    <col min="4" max="4" width="16.08984375" style="1" customWidth="1"/>
    <col min="5" max="5" width="33.6328125" style="1" customWidth="1"/>
    <col min="6" max="6" width="12.6328125" style="1" hidden="1" customWidth="1"/>
    <col min="7" max="7" width="16.08984375" style="1" customWidth="1"/>
    <col min="8" max="8" width="11.7265625" style="1" hidden="1" customWidth="1"/>
    <col min="9" max="9" width="18.7265625" style="1" customWidth="1"/>
    <col min="10" max="10" width="11.6328125" style="1" hidden="1" customWidth="1"/>
    <col min="11" max="11" width="12.26953125" style="1" hidden="1" customWidth="1"/>
    <col min="12" max="12" width="10.26953125" style="1" hidden="1" customWidth="1"/>
    <col min="13" max="13" width="14.6328125" style="1" customWidth="1"/>
    <col min="14" max="16384" width="8.90625" style="1"/>
  </cols>
  <sheetData>
    <row r="1" spans="1:18" s="2" customFormat="1" ht="18" customHeight="1">
      <c r="A1" s="6" t="s">
        <v>19</v>
      </c>
      <c r="B1" s="2" t="s">
        <v>15</v>
      </c>
      <c r="D1" s="9">
        <v>44663</v>
      </c>
      <c r="E1" s="2" t="s">
        <v>16</v>
      </c>
      <c r="F1" s="2" t="s">
        <v>18</v>
      </c>
      <c r="I1" s="2" t="s">
        <v>11</v>
      </c>
      <c r="M1" s="2">
        <f>COUNTIF(status_columns,"Solved")</f>
        <v>0</v>
      </c>
    </row>
    <row r="2" spans="1:18" s="3" customFormat="1" ht="18" customHeight="1">
      <c r="A2" s="2"/>
      <c r="B2" s="5" t="s">
        <v>14</v>
      </c>
      <c r="C2" s="8" t="s">
        <v>20</v>
      </c>
      <c r="E2" s="3" t="s">
        <v>17</v>
      </c>
      <c r="I2" s="3" t="s">
        <v>12</v>
      </c>
      <c r="M2" s="3">
        <f>COUNTIF(status_columns,"Not converged")</f>
        <v>0</v>
      </c>
      <c r="O2" s="3" t="s">
        <v>1707</v>
      </c>
      <c r="P2" s="3" t="s">
        <v>1708</v>
      </c>
      <c r="Q2" s="3" t="s">
        <v>1709</v>
      </c>
      <c r="R2" s="3" t="s">
        <v>1710</v>
      </c>
    </row>
    <row r="3" spans="1:18" s="2" customFormat="1" ht="18" customHeight="1">
      <c r="B3" s="3"/>
      <c r="C3" s="7" t="s">
        <v>1696</v>
      </c>
      <c r="I3" s="2" t="s">
        <v>13</v>
      </c>
      <c r="M3" s="2">
        <f>COLUMNS(status_columns)-M2-M1</f>
        <v>5</v>
      </c>
    </row>
    <row r="4" spans="1:18" s="4" customFormat="1">
      <c r="A4" s="2"/>
      <c r="B4" s="3"/>
      <c r="C4" s="2"/>
      <c r="D4" s="4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8</v>
      </c>
      <c r="M4" s="4" t="s">
        <v>9</v>
      </c>
      <c r="N4" s="4" t="s">
        <v>10</v>
      </c>
      <c r="O4" s="4" t="s">
        <v>10</v>
      </c>
      <c r="P4" s="4" t="s">
        <v>10</v>
      </c>
      <c r="Q4" s="4" t="s">
        <v>10</v>
      </c>
      <c r="R4" s="4" t="s">
        <v>10</v>
      </c>
    </row>
    <row r="5" spans="1:18">
      <c r="D5" s="1" t="s">
        <v>21</v>
      </c>
      <c r="H5" s="1" t="s">
        <v>22</v>
      </c>
      <c r="I5" s="1" t="s">
        <v>23</v>
      </c>
      <c r="L5" s="1">
        <v>1</v>
      </c>
      <c r="M5" s="1">
        <v>0.5</v>
      </c>
    </row>
    <row r="6" spans="1:18">
      <c r="D6" s="1" t="s">
        <v>24</v>
      </c>
      <c r="H6" s="1" t="s">
        <v>25</v>
      </c>
      <c r="I6" s="1" t="s">
        <v>23</v>
      </c>
      <c r="M6" s="1" t="b">
        <v>0</v>
      </c>
    </row>
    <row r="7" spans="1:18">
      <c r="D7" s="1" t="s">
        <v>26</v>
      </c>
      <c r="H7" s="1" t="s">
        <v>22</v>
      </c>
      <c r="I7" s="1" t="s">
        <v>23</v>
      </c>
      <c r="L7" s="1">
        <v>1</v>
      </c>
      <c r="M7" s="1">
        <v>0.97</v>
      </c>
    </row>
    <row r="8" spans="1:18">
      <c r="D8" s="1" t="s">
        <v>27</v>
      </c>
      <c r="E8" s="1" t="s">
        <v>28</v>
      </c>
      <c r="H8" s="1" t="s">
        <v>22</v>
      </c>
      <c r="I8" s="1" t="s">
        <v>29</v>
      </c>
      <c r="J8" s="1">
        <v>34000</v>
      </c>
      <c r="K8" s="1">
        <v>4300000</v>
      </c>
      <c r="L8" s="1">
        <v>349660</v>
      </c>
    </row>
    <row r="9" spans="1:18">
      <c r="D9" s="1" t="s">
        <v>27</v>
      </c>
      <c r="E9" s="1" t="s">
        <v>30</v>
      </c>
      <c r="H9" s="1" t="s">
        <v>22</v>
      </c>
      <c r="I9" s="1" t="s">
        <v>29</v>
      </c>
      <c r="J9" s="1">
        <v>-3.94</v>
      </c>
      <c r="K9" s="1">
        <v>3.66</v>
      </c>
      <c r="L9" s="1">
        <v>1</v>
      </c>
    </row>
    <row r="10" spans="1:18">
      <c r="D10" s="1" t="s">
        <v>27</v>
      </c>
      <c r="E10" s="1" t="s">
        <v>31</v>
      </c>
      <c r="H10" s="1" t="s">
        <v>22</v>
      </c>
      <c r="I10" s="1" t="s">
        <v>29</v>
      </c>
      <c r="J10" s="1">
        <v>0</v>
      </c>
      <c r="K10" s="1">
        <v>100</v>
      </c>
      <c r="L10" s="1">
        <v>1</v>
      </c>
    </row>
    <row r="11" spans="1:18">
      <c r="D11" s="1" t="s">
        <v>27</v>
      </c>
      <c r="E11" s="1" t="s">
        <v>32</v>
      </c>
      <c r="H11" s="1" t="s">
        <v>22</v>
      </c>
      <c r="I11" s="1" t="s">
        <v>29</v>
      </c>
      <c r="J11" s="1">
        <v>-3.94</v>
      </c>
      <c r="K11" s="1">
        <v>3.66</v>
      </c>
      <c r="L11" s="1">
        <v>1</v>
      </c>
    </row>
    <row r="12" spans="1:18">
      <c r="D12" s="1" t="s">
        <v>27</v>
      </c>
      <c r="E12" s="1" t="s">
        <v>33</v>
      </c>
      <c r="H12" s="1" t="s">
        <v>25</v>
      </c>
      <c r="I12" s="1" t="s">
        <v>23</v>
      </c>
      <c r="M12" s="1" t="b">
        <v>0</v>
      </c>
    </row>
    <row r="13" spans="1:18">
      <c r="D13" s="1" t="s">
        <v>27</v>
      </c>
      <c r="E13" s="1" t="s">
        <v>34</v>
      </c>
      <c r="F13" s="1" t="s">
        <v>35</v>
      </c>
      <c r="G13" s="1" t="s">
        <v>36</v>
      </c>
      <c r="H13" s="1" t="s">
        <v>22</v>
      </c>
      <c r="I13" s="1" t="s">
        <v>23</v>
      </c>
      <c r="J13" s="1">
        <v>-459.67</v>
      </c>
      <c r="K13" s="1">
        <v>980.32999999999993</v>
      </c>
      <c r="L13" s="1">
        <v>80.329999999999984</v>
      </c>
      <c r="M13" s="1">
        <v>67.999999999999943</v>
      </c>
    </row>
    <row r="14" spans="1:18">
      <c r="D14" s="1" t="s">
        <v>27</v>
      </c>
      <c r="E14" s="1" t="s">
        <v>37</v>
      </c>
      <c r="H14" s="1" t="s">
        <v>25</v>
      </c>
      <c r="I14" s="1" t="s">
        <v>23</v>
      </c>
      <c r="M14" s="1" t="b">
        <v>0</v>
      </c>
    </row>
    <row r="15" spans="1:18">
      <c r="D15" s="1" t="s">
        <v>27</v>
      </c>
      <c r="E15" s="1" t="s">
        <v>38</v>
      </c>
      <c r="F15" s="1" t="s">
        <v>35</v>
      </c>
      <c r="G15" s="1" t="s">
        <v>36</v>
      </c>
      <c r="H15" s="1" t="s">
        <v>22</v>
      </c>
      <c r="I15" s="1" t="s">
        <v>23</v>
      </c>
      <c r="J15" s="1">
        <v>-99.670000000000016</v>
      </c>
      <c r="K15" s="1">
        <v>980.32999999999993</v>
      </c>
      <c r="L15" s="1">
        <v>80.329999999999984</v>
      </c>
      <c r="M15" s="1">
        <v>13.999999999999943</v>
      </c>
    </row>
    <row r="16" spans="1:18">
      <c r="D16" s="1" t="s">
        <v>27</v>
      </c>
      <c r="E16" s="1" t="s">
        <v>39</v>
      </c>
      <c r="H16" s="1" t="s">
        <v>25</v>
      </c>
      <c r="I16" s="1" t="s">
        <v>23</v>
      </c>
      <c r="M16" s="1" t="b">
        <v>0</v>
      </c>
    </row>
    <row r="17" spans="4:13">
      <c r="D17" s="1" t="s">
        <v>27</v>
      </c>
      <c r="E17" s="1" t="s">
        <v>40</v>
      </c>
      <c r="F17" s="1" t="s">
        <v>41</v>
      </c>
      <c r="G17" s="1" t="s">
        <v>42</v>
      </c>
      <c r="H17" s="1" t="s">
        <v>22</v>
      </c>
      <c r="I17" s="1" t="s">
        <v>23</v>
      </c>
      <c r="J17" s="1">
        <v>-900</v>
      </c>
      <c r="K17" s="1">
        <v>900</v>
      </c>
      <c r="L17" s="1">
        <v>1.8</v>
      </c>
      <c r="M17" s="1">
        <v>9</v>
      </c>
    </row>
    <row r="18" spans="4:13">
      <c r="D18" s="1" t="s">
        <v>27</v>
      </c>
      <c r="E18" s="1" t="s">
        <v>43</v>
      </c>
      <c r="H18" s="1" t="s">
        <v>25</v>
      </c>
      <c r="I18" s="1" t="s">
        <v>23</v>
      </c>
      <c r="M18" s="1" t="b">
        <v>0</v>
      </c>
    </row>
    <row r="19" spans="4:13">
      <c r="D19" s="1" t="s">
        <v>27</v>
      </c>
      <c r="E19" s="1" t="s">
        <v>44</v>
      </c>
      <c r="F19" s="1" t="s">
        <v>45</v>
      </c>
      <c r="G19" s="1" t="s">
        <v>46</v>
      </c>
      <c r="H19" s="1" t="s">
        <v>22</v>
      </c>
      <c r="I19" s="1" t="s">
        <v>23</v>
      </c>
      <c r="J19" s="1">
        <v>-85.984522757427143</v>
      </c>
      <c r="K19" s="1">
        <v>8598.4522757427148</v>
      </c>
      <c r="L19" s="1">
        <v>114.79148749423418</v>
      </c>
      <c r="M19" s="1">
        <v>128.97678413614071</v>
      </c>
    </row>
    <row r="20" spans="4:13">
      <c r="D20" s="1" t="s">
        <v>27</v>
      </c>
      <c r="E20" s="1" t="s">
        <v>47</v>
      </c>
      <c r="H20" s="1" t="s">
        <v>25</v>
      </c>
      <c r="I20" s="1" t="s">
        <v>23</v>
      </c>
      <c r="M20" s="1" t="b">
        <v>0</v>
      </c>
    </row>
    <row r="21" spans="4:13">
      <c r="D21" s="1" t="s">
        <v>27</v>
      </c>
      <c r="E21" s="1" t="s">
        <v>48</v>
      </c>
      <c r="H21" s="1" t="s">
        <v>25</v>
      </c>
      <c r="I21" s="1" t="s">
        <v>23</v>
      </c>
      <c r="M21" s="1" t="b">
        <v>0</v>
      </c>
    </row>
    <row r="22" spans="4:13">
      <c r="D22" s="1" t="s">
        <v>27</v>
      </c>
      <c r="E22" s="1" t="s">
        <v>49</v>
      </c>
      <c r="H22" s="1" t="s">
        <v>25</v>
      </c>
      <c r="I22" s="1" t="s">
        <v>23</v>
      </c>
      <c r="M22" s="1" t="b">
        <v>0</v>
      </c>
    </row>
    <row r="23" spans="4:13">
      <c r="D23" s="1" t="s">
        <v>27</v>
      </c>
      <c r="E23" s="1" t="s">
        <v>50</v>
      </c>
      <c r="H23" s="1" t="s">
        <v>25</v>
      </c>
      <c r="I23" s="1" t="s">
        <v>23</v>
      </c>
      <c r="M23" s="1" t="b">
        <v>0</v>
      </c>
    </row>
    <row r="24" spans="4:13">
      <c r="D24" s="1" t="s">
        <v>27</v>
      </c>
      <c r="E24" s="1" t="s">
        <v>51</v>
      </c>
      <c r="F24" s="1" t="s">
        <v>52</v>
      </c>
      <c r="G24" s="1" t="s">
        <v>53</v>
      </c>
      <c r="H24" s="1" t="s">
        <v>22</v>
      </c>
      <c r="I24" s="1" t="s">
        <v>23</v>
      </c>
      <c r="J24" s="1">
        <v>0</v>
      </c>
      <c r="K24" s="1">
        <v>7936641438.6555996</v>
      </c>
      <c r="L24" s="1">
        <v>7936.6414386555998</v>
      </c>
      <c r="M24" s="1">
        <v>7936.6414386555998</v>
      </c>
    </row>
    <row r="25" spans="4:13">
      <c r="D25" s="1" t="s">
        <v>27</v>
      </c>
      <c r="E25" s="1" t="s">
        <v>54</v>
      </c>
      <c r="H25" s="1" t="s">
        <v>25</v>
      </c>
      <c r="I25" s="1" t="s">
        <v>23</v>
      </c>
      <c r="M25" s="1" t="b">
        <v>0</v>
      </c>
    </row>
    <row r="26" spans="4:13">
      <c r="D26" s="1" t="s">
        <v>27</v>
      </c>
      <c r="E26" s="1" t="s">
        <v>55</v>
      </c>
      <c r="F26" s="1" t="s">
        <v>56</v>
      </c>
      <c r="G26" s="1" t="s">
        <v>57</v>
      </c>
      <c r="H26" s="1" t="s">
        <v>22</v>
      </c>
      <c r="I26" s="1" t="s">
        <v>23</v>
      </c>
      <c r="J26" s="1">
        <v>0</v>
      </c>
      <c r="K26" s="1">
        <v>9427.4529524635982</v>
      </c>
      <c r="L26" s="1">
        <v>50.713895374744951</v>
      </c>
      <c r="M26" s="1">
        <v>50.763208205573221</v>
      </c>
    </row>
    <row r="27" spans="4:13">
      <c r="D27" s="1" t="s">
        <v>27</v>
      </c>
      <c r="E27" s="1" t="s">
        <v>58</v>
      </c>
      <c r="H27" s="1" t="s">
        <v>25</v>
      </c>
      <c r="I27" s="1" t="s">
        <v>23</v>
      </c>
      <c r="M27" s="1" t="b">
        <v>0</v>
      </c>
    </row>
    <row r="28" spans="4:13">
      <c r="D28" s="1" t="s">
        <v>27</v>
      </c>
      <c r="E28" s="1" t="s">
        <v>59</v>
      </c>
      <c r="F28" s="1" t="s">
        <v>60</v>
      </c>
      <c r="G28" s="1" t="s">
        <v>61</v>
      </c>
      <c r="H28" s="1" t="s">
        <v>22</v>
      </c>
      <c r="I28" s="1" t="s">
        <v>23</v>
      </c>
      <c r="J28" s="1">
        <v>-9.5538358650799999</v>
      </c>
      <c r="K28" s="1">
        <v>9.5538358650799999</v>
      </c>
      <c r="L28" s="1">
        <v>0.23884589662700001</v>
      </c>
      <c r="M28" s="1">
        <v>0.23884589662700001</v>
      </c>
    </row>
    <row r="29" spans="4:13">
      <c r="D29" s="1" t="s">
        <v>27</v>
      </c>
      <c r="E29" s="1" t="s">
        <v>62</v>
      </c>
      <c r="H29" s="1" t="s">
        <v>63</v>
      </c>
      <c r="I29" s="1" t="s">
        <v>23</v>
      </c>
      <c r="M29" s="1">
        <v>1</v>
      </c>
    </row>
    <row r="30" spans="4:13">
      <c r="D30" s="1" t="s">
        <v>27</v>
      </c>
      <c r="E30" s="1" t="s">
        <v>64</v>
      </c>
      <c r="F30" s="1" t="s">
        <v>35</v>
      </c>
      <c r="G30" s="1" t="s">
        <v>36</v>
      </c>
      <c r="H30" s="1" t="s">
        <v>22</v>
      </c>
      <c r="I30" s="1" t="s">
        <v>65</v>
      </c>
      <c r="J30" s="1">
        <v>-459.67</v>
      </c>
      <c r="L30" s="1">
        <v>80.329999999999984</v>
      </c>
    </row>
    <row r="31" spans="4:13">
      <c r="D31" s="1" t="s">
        <v>27</v>
      </c>
      <c r="E31" s="1" t="s">
        <v>66</v>
      </c>
      <c r="F31" s="1" t="s">
        <v>35</v>
      </c>
      <c r="G31" s="1" t="s">
        <v>36</v>
      </c>
      <c r="H31" s="1" t="s">
        <v>22</v>
      </c>
      <c r="I31" s="1" t="s">
        <v>65</v>
      </c>
      <c r="J31" s="1">
        <v>-459.67</v>
      </c>
      <c r="L31" s="1">
        <v>80.329999999999984</v>
      </c>
    </row>
    <row r="32" spans="4:13">
      <c r="D32" s="1" t="s">
        <v>27</v>
      </c>
      <c r="E32" s="1" t="s">
        <v>67</v>
      </c>
      <c r="F32" s="1" t="s">
        <v>41</v>
      </c>
      <c r="G32" s="1" t="s">
        <v>42</v>
      </c>
      <c r="H32" s="1" t="s">
        <v>22</v>
      </c>
      <c r="I32" s="1" t="s">
        <v>65</v>
      </c>
      <c r="L32" s="1">
        <v>1.8</v>
      </c>
    </row>
    <row r="33" spans="4:13">
      <c r="D33" s="1" t="s">
        <v>27</v>
      </c>
      <c r="E33" s="1" t="s">
        <v>68</v>
      </c>
      <c r="F33" s="1" t="s">
        <v>45</v>
      </c>
      <c r="G33" s="1" t="s">
        <v>46</v>
      </c>
      <c r="H33" s="1" t="s">
        <v>22</v>
      </c>
      <c r="I33" s="1" t="s">
        <v>65</v>
      </c>
      <c r="L33" s="1">
        <v>4.2992261378713571E-4</v>
      </c>
    </row>
    <row r="34" spans="4:13">
      <c r="D34" s="1" t="s">
        <v>27</v>
      </c>
      <c r="E34" s="1" t="s">
        <v>69</v>
      </c>
      <c r="H34" s="1" t="s">
        <v>25</v>
      </c>
      <c r="I34" s="1" t="s">
        <v>70</v>
      </c>
    </row>
    <row r="35" spans="4:13">
      <c r="D35" s="1" t="s">
        <v>27</v>
      </c>
      <c r="E35" s="1" t="s">
        <v>71</v>
      </c>
      <c r="F35" s="1" t="s">
        <v>52</v>
      </c>
      <c r="G35" s="1" t="s">
        <v>53</v>
      </c>
      <c r="H35" s="1" t="s">
        <v>22</v>
      </c>
      <c r="I35" s="1" t="s">
        <v>65</v>
      </c>
      <c r="L35" s="1">
        <v>7936.6414386555998</v>
      </c>
    </row>
    <row r="36" spans="4:13">
      <c r="D36" s="1" t="s">
        <v>27</v>
      </c>
      <c r="E36" s="1" t="s">
        <v>72</v>
      </c>
      <c r="F36" s="1" t="s">
        <v>56</v>
      </c>
      <c r="G36" s="1" t="s">
        <v>57</v>
      </c>
      <c r="H36" s="1" t="s">
        <v>22</v>
      </c>
      <c r="I36" s="1" t="s">
        <v>65</v>
      </c>
      <c r="J36" s="1">
        <v>0</v>
      </c>
      <c r="L36" s="1">
        <v>14.503773773020921</v>
      </c>
    </row>
    <row r="37" spans="4:13">
      <c r="D37" s="1" t="s">
        <v>27</v>
      </c>
      <c r="E37" s="1" t="s">
        <v>73</v>
      </c>
      <c r="F37" s="1" t="s">
        <v>60</v>
      </c>
      <c r="G37" s="1" t="s">
        <v>61</v>
      </c>
      <c r="H37" s="1" t="s">
        <v>22</v>
      </c>
      <c r="I37" s="1" t="s">
        <v>65</v>
      </c>
      <c r="L37" s="1">
        <v>2.38845896627E-4</v>
      </c>
    </row>
    <row r="38" spans="4:13">
      <c r="D38" s="1" t="s">
        <v>27</v>
      </c>
      <c r="E38" s="1" t="s">
        <v>74</v>
      </c>
      <c r="F38" s="1" t="s">
        <v>75</v>
      </c>
      <c r="G38" s="1" t="s">
        <v>76</v>
      </c>
      <c r="H38" s="1" t="s">
        <v>22</v>
      </c>
      <c r="I38" s="1" t="s">
        <v>65</v>
      </c>
      <c r="J38" s="1">
        <v>0</v>
      </c>
      <c r="L38" s="1">
        <v>16.018463521800001</v>
      </c>
    </row>
    <row r="39" spans="4:13">
      <c r="D39" s="1" t="s">
        <v>27</v>
      </c>
      <c r="E39" s="1" t="s">
        <v>77</v>
      </c>
      <c r="H39" s="1" t="s">
        <v>22</v>
      </c>
      <c r="I39" s="1" t="s">
        <v>65</v>
      </c>
      <c r="L39" s="1">
        <v>1</v>
      </c>
    </row>
    <row r="40" spans="4:13">
      <c r="D40" s="1" t="s">
        <v>27</v>
      </c>
      <c r="E40" s="1" t="s">
        <v>78</v>
      </c>
      <c r="H40" s="1" t="s">
        <v>25</v>
      </c>
      <c r="I40" s="1" t="s">
        <v>23</v>
      </c>
      <c r="M40" s="1" t="b">
        <v>0</v>
      </c>
    </row>
    <row r="41" spans="4:13">
      <c r="D41" s="1" t="s">
        <v>27</v>
      </c>
      <c r="E41" s="1" t="s">
        <v>79</v>
      </c>
      <c r="F41" s="1" t="s">
        <v>75</v>
      </c>
      <c r="G41" s="1" t="s">
        <v>76</v>
      </c>
      <c r="H41" s="1" t="s">
        <v>22</v>
      </c>
      <c r="I41" s="1" t="s">
        <v>23</v>
      </c>
      <c r="J41" s="1">
        <v>0</v>
      </c>
      <c r="K41" s="1">
        <v>96.110781130800007</v>
      </c>
      <c r="L41" s="1">
        <v>16.018463521800001</v>
      </c>
      <c r="M41" s="1">
        <v>1.6018463521800002</v>
      </c>
    </row>
    <row r="42" spans="4:13">
      <c r="D42" s="1" t="s">
        <v>27</v>
      </c>
      <c r="E42" s="1" t="s">
        <v>80</v>
      </c>
      <c r="H42" s="1" t="s">
        <v>25</v>
      </c>
      <c r="I42" s="1" t="s">
        <v>23</v>
      </c>
      <c r="M42" s="1" t="b">
        <v>0</v>
      </c>
    </row>
    <row r="43" spans="4:13">
      <c r="D43" s="1" t="s">
        <v>27</v>
      </c>
      <c r="E43" s="1" t="s">
        <v>81</v>
      </c>
      <c r="H43" s="1" t="s">
        <v>25</v>
      </c>
      <c r="I43" s="1" t="s">
        <v>23</v>
      </c>
      <c r="M43" s="1" t="b">
        <v>0</v>
      </c>
    </row>
    <row r="44" spans="4:13">
      <c r="D44" s="1" t="s">
        <v>27</v>
      </c>
      <c r="E44" s="1" t="s">
        <v>82</v>
      </c>
      <c r="H44" s="1" t="s">
        <v>22</v>
      </c>
      <c r="I44" s="1" t="s">
        <v>23</v>
      </c>
      <c r="J44" s="1">
        <v>-1</v>
      </c>
      <c r="K44" s="1">
        <v>3</v>
      </c>
      <c r="L44" s="1">
        <v>1</v>
      </c>
      <c r="M44" s="1">
        <v>1.01</v>
      </c>
    </row>
    <row r="45" spans="4:13">
      <c r="D45" s="1" t="s">
        <v>83</v>
      </c>
      <c r="E45" s="1" t="s">
        <v>28</v>
      </c>
      <c r="H45" s="1" t="s">
        <v>22</v>
      </c>
      <c r="I45" s="1" t="s">
        <v>29</v>
      </c>
      <c r="J45" s="1">
        <v>34000</v>
      </c>
      <c r="K45" s="1">
        <v>4300000</v>
      </c>
      <c r="L45" s="1">
        <v>349660</v>
      </c>
    </row>
    <row r="46" spans="4:13">
      <c r="D46" s="1" t="s">
        <v>83</v>
      </c>
      <c r="E46" s="1" t="s">
        <v>30</v>
      </c>
      <c r="H46" s="1" t="s">
        <v>22</v>
      </c>
      <c r="I46" s="1" t="s">
        <v>29</v>
      </c>
      <c r="J46" s="1">
        <v>-3.94</v>
      </c>
      <c r="K46" s="1">
        <v>3.66</v>
      </c>
      <c r="L46" s="1">
        <v>1</v>
      </c>
    </row>
    <row r="47" spans="4:13">
      <c r="D47" s="1" t="s">
        <v>83</v>
      </c>
      <c r="E47" s="1" t="s">
        <v>31</v>
      </c>
      <c r="H47" s="1" t="s">
        <v>22</v>
      </c>
      <c r="I47" s="1" t="s">
        <v>29</v>
      </c>
      <c r="J47" s="1">
        <v>0</v>
      </c>
      <c r="K47" s="1">
        <v>100</v>
      </c>
      <c r="L47" s="1">
        <v>1</v>
      </c>
    </row>
    <row r="48" spans="4:13">
      <c r="D48" s="1" t="s">
        <v>83</v>
      </c>
      <c r="E48" s="1" t="s">
        <v>32</v>
      </c>
      <c r="H48" s="1" t="s">
        <v>22</v>
      </c>
      <c r="I48" s="1" t="s">
        <v>29</v>
      </c>
      <c r="J48" s="1">
        <v>-3.94</v>
      </c>
      <c r="K48" s="1">
        <v>3.66</v>
      </c>
      <c r="L48" s="1">
        <v>1</v>
      </c>
    </row>
    <row r="49" spans="4:13">
      <c r="D49" s="1" t="s">
        <v>83</v>
      </c>
      <c r="E49" s="1" t="s">
        <v>33</v>
      </c>
      <c r="H49" s="1" t="s">
        <v>25</v>
      </c>
      <c r="I49" s="1" t="s">
        <v>23</v>
      </c>
      <c r="M49" s="1" t="b">
        <v>0</v>
      </c>
    </row>
    <row r="50" spans="4:13">
      <c r="D50" s="1" t="s">
        <v>83</v>
      </c>
      <c r="E50" s="1" t="s">
        <v>34</v>
      </c>
      <c r="F50" s="1" t="s">
        <v>35</v>
      </c>
      <c r="G50" s="1" t="s">
        <v>36</v>
      </c>
      <c r="H50" s="1" t="s">
        <v>22</v>
      </c>
      <c r="I50" s="1" t="s">
        <v>23</v>
      </c>
      <c r="J50" s="1">
        <v>-459.67</v>
      </c>
      <c r="K50" s="1">
        <v>980.32999999999993</v>
      </c>
      <c r="L50" s="1">
        <v>80.329999999999984</v>
      </c>
      <c r="M50" s="1">
        <v>67.999999999999943</v>
      </c>
    </row>
    <row r="51" spans="4:13">
      <c r="D51" s="1" t="s">
        <v>83</v>
      </c>
      <c r="E51" s="1" t="s">
        <v>37</v>
      </c>
      <c r="H51" s="1" t="s">
        <v>25</v>
      </c>
      <c r="I51" s="1" t="s">
        <v>23</v>
      </c>
      <c r="M51" s="1" t="b">
        <v>0</v>
      </c>
    </row>
    <row r="52" spans="4:13">
      <c r="D52" s="1" t="s">
        <v>83</v>
      </c>
      <c r="E52" s="1" t="s">
        <v>38</v>
      </c>
      <c r="F52" s="1" t="s">
        <v>35</v>
      </c>
      <c r="G52" s="1" t="s">
        <v>36</v>
      </c>
      <c r="H52" s="1" t="s">
        <v>22</v>
      </c>
      <c r="I52" s="1" t="s">
        <v>23</v>
      </c>
      <c r="J52" s="1">
        <v>-99.670000000000016</v>
      </c>
      <c r="K52" s="1">
        <v>980.32999999999993</v>
      </c>
      <c r="L52" s="1">
        <v>80.329999999999984</v>
      </c>
      <c r="M52" s="1">
        <v>13.999999999999943</v>
      </c>
    </row>
    <row r="53" spans="4:13">
      <c r="D53" s="1" t="s">
        <v>83</v>
      </c>
      <c r="E53" s="1" t="s">
        <v>39</v>
      </c>
      <c r="H53" s="1" t="s">
        <v>25</v>
      </c>
      <c r="I53" s="1" t="s">
        <v>23</v>
      </c>
      <c r="M53" s="1" t="b">
        <v>0</v>
      </c>
    </row>
    <row r="54" spans="4:13">
      <c r="D54" s="1" t="s">
        <v>83</v>
      </c>
      <c r="E54" s="1" t="s">
        <v>40</v>
      </c>
      <c r="F54" s="1" t="s">
        <v>41</v>
      </c>
      <c r="G54" s="1" t="s">
        <v>42</v>
      </c>
      <c r="H54" s="1" t="s">
        <v>22</v>
      </c>
      <c r="I54" s="1" t="s">
        <v>23</v>
      </c>
      <c r="J54" s="1">
        <v>-900</v>
      </c>
      <c r="K54" s="1">
        <v>900</v>
      </c>
      <c r="L54" s="1">
        <v>1.8</v>
      </c>
      <c r="M54" s="1">
        <v>9</v>
      </c>
    </row>
    <row r="55" spans="4:13">
      <c r="D55" s="1" t="s">
        <v>83</v>
      </c>
      <c r="E55" s="1" t="s">
        <v>43</v>
      </c>
      <c r="H55" s="1" t="s">
        <v>25</v>
      </c>
      <c r="I55" s="1" t="s">
        <v>23</v>
      </c>
      <c r="M55" s="1" t="b">
        <v>0</v>
      </c>
    </row>
    <row r="56" spans="4:13">
      <c r="D56" s="1" t="s">
        <v>83</v>
      </c>
      <c r="E56" s="1" t="s">
        <v>44</v>
      </c>
      <c r="F56" s="1" t="s">
        <v>45</v>
      </c>
      <c r="G56" s="1" t="s">
        <v>46</v>
      </c>
      <c r="H56" s="1" t="s">
        <v>22</v>
      </c>
      <c r="I56" s="1" t="s">
        <v>23</v>
      </c>
      <c r="J56" s="1">
        <v>-85.984522757427143</v>
      </c>
      <c r="K56" s="1">
        <v>8598.4522757427148</v>
      </c>
      <c r="L56" s="1">
        <v>114.79148749423418</v>
      </c>
      <c r="M56" s="1">
        <v>128.97678413614071</v>
      </c>
    </row>
    <row r="57" spans="4:13">
      <c r="D57" s="1" t="s">
        <v>83</v>
      </c>
      <c r="E57" s="1" t="s">
        <v>47</v>
      </c>
      <c r="H57" s="1" t="s">
        <v>25</v>
      </c>
      <c r="I57" s="1" t="s">
        <v>23</v>
      </c>
      <c r="M57" s="1" t="b">
        <v>0</v>
      </c>
    </row>
    <row r="58" spans="4:13">
      <c r="D58" s="1" t="s">
        <v>83</v>
      </c>
      <c r="E58" s="1" t="s">
        <v>48</v>
      </c>
      <c r="H58" s="1" t="s">
        <v>25</v>
      </c>
      <c r="I58" s="1" t="s">
        <v>23</v>
      </c>
      <c r="M58" s="1" t="b">
        <v>0</v>
      </c>
    </row>
    <row r="59" spans="4:13">
      <c r="D59" s="1" t="s">
        <v>83</v>
      </c>
      <c r="E59" s="1" t="s">
        <v>49</v>
      </c>
      <c r="H59" s="1" t="s">
        <v>25</v>
      </c>
      <c r="I59" s="1" t="s">
        <v>23</v>
      </c>
      <c r="M59" s="1" t="b">
        <v>0</v>
      </c>
    </row>
    <row r="60" spans="4:13">
      <c r="D60" s="1" t="s">
        <v>83</v>
      </c>
      <c r="E60" s="1" t="s">
        <v>50</v>
      </c>
      <c r="H60" s="1" t="s">
        <v>25</v>
      </c>
      <c r="I60" s="1" t="s">
        <v>23</v>
      </c>
      <c r="M60" s="1" t="b">
        <v>0</v>
      </c>
    </row>
    <row r="61" spans="4:13">
      <c r="D61" s="1" t="s">
        <v>83</v>
      </c>
      <c r="E61" s="1" t="s">
        <v>51</v>
      </c>
      <c r="F61" s="1" t="s">
        <v>52</v>
      </c>
      <c r="G61" s="1" t="s">
        <v>53</v>
      </c>
      <c r="H61" s="1" t="s">
        <v>22</v>
      </c>
      <c r="I61" s="1" t="s">
        <v>23</v>
      </c>
      <c r="J61" s="1">
        <v>0</v>
      </c>
      <c r="K61" s="1">
        <v>7936641438.6555996</v>
      </c>
      <c r="L61" s="1">
        <v>7936.6414386555998</v>
      </c>
      <c r="M61" s="1">
        <v>7936.6414386555998</v>
      </c>
    </row>
    <row r="62" spans="4:13">
      <c r="D62" s="1" t="s">
        <v>83</v>
      </c>
      <c r="E62" s="1" t="s">
        <v>54</v>
      </c>
      <c r="H62" s="1" t="s">
        <v>25</v>
      </c>
      <c r="I62" s="1" t="s">
        <v>23</v>
      </c>
      <c r="M62" s="1" t="b">
        <v>0</v>
      </c>
    </row>
    <row r="63" spans="4:13">
      <c r="D63" s="1" t="s">
        <v>83</v>
      </c>
      <c r="E63" s="1" t="s">
        <v>55</v>
      </c>
      <c r="F63" s="1" t="s">
        <v>56</v>
      </c>
      <c r="G63" s="1" t="s">
        <v>57</v>
      </c>
      <c r="H63" s="1" t="s">
        <v>22</v>
      </c>
      <c r="I63" s="1" t="s">
        <v>23</v>
      </c>
      <c r="J63" s="1">
        <v>0</v>
      </c>
      <c r="K63" s="1">
        <v>9427.4529524635982</v>
      </c>
      <c r="L63" s="1">
        <v>50.713895374744951</v>
      </c>
      <c r="M63" s="1">
        <v>50.763208205573221</v>
      </c>
    </row>
    <row r="64" spans="4:13">
      <c r="D64" s="1" t="s">
        <v>83</v>
      </c>
      <c r="E64" s="1" t="s">
        <v>58</v>
      </c>
      <c r="H64" s="1" t="s">
        <v>25</v>
      </c>
      <c r="I64" s="1" t="s">
        <v>23</v>
      </c>
      <c r="M64" s="1" t="b">
        <v>0</v>
      </c>
    </row>
    <row r="65" spans="4:13">
      <c r="D65" s="1" t="s">
        <v>83</v>
      </c>
      <c r="E65" s="1" t="s">
        <v>59</v>
      </c>
      <c r="F65" s="1" t="s">
        <v>60</v>
      </c>
      <c r="G65" s="1" t="s">
        <v>61</v>
      </c>
      <c r="H65" s="1" t="s">
        <v>22</v>
      </c>
      <c r="I65" s="1" t="s">
        <v>23</v>
      </c>
      <c r="J65" s="1">
        <v>-9.5538358650799999</v>
      </c>
      <c r="K65" s="1">
        <v>9.5538358650799999</v>
      </c>
      <c r="L65" s="1">
        <v>0.23884589662700001</v>
      </c>
      <c r="M65" s="1">
        <v>0.23884589662700001</v>
      </c>
    </row>
    <row r="66" spans="4:13">
      <c r="D66" s="1" t="s">
        <v>83</v>
      </c>
      <c r="E66" s="1" t="s">
        <v>62</v>
      </c>
      <c r="H66" s="1" t="s">
        <v>63</v>
      </c>
      <c r="I66" s="1" t="s">
        <v>23</v>
      </c>
      <c r="M66" s="1">
        <v>1</v>
      </c>
    </row>
    <row r="67" spans="4:13">
      <c r="D67" s="1" t="s">
        <v>83</v>
      </c>
      <c r="E67" s="1" t="s">
        <v>64</v>
      </c>
      <c r="F67" s="1" t="s">
        <v>35</v>
      </c>
      <c r="G67" s="1" t="s">
        <v>36</v>
      </c>
      <c r="H67" s="1" t="s">
        <v>22</v>
      </c>
      <c r="I67" s="1" t="s">
        <v>65</v>
      </c>
      <c r="J67" s="1">
        <v>-459.67</v>
      </c>
      <c r="L67" s="1">
        <v>80.329999999999984</v>
      </c>
    </row>
    <row r="68" spans="4:13">
      <c r="D68" s="1" t="s">
        <v>83</v>
      </c>
      <c r="E68" s="1" t="s">
        <v>66</v>
      </c>
      <c r="F68" s="1" t="s">
        <v>35</v>
      </c>
      <c r="G68" s="1" t="s">
        <v>36</v>
      </c>
      <c r="H68" s="1" t="s">
        <v>22</v>
      </c>
      <c r="I68" s="1" t="s">
        <v>65</v>
      </c>
      <c r="J68" s="1">
        <v>-459.67</v>
      </c>
      <c r="L68" s="1">
        <v>80.329999999999984</v>
      </c>
    </row>
    <row r="69" spans="4:13">
      <c r="D69" s="1" t="s">
        <v>83</v>
      </c>
      <c r="E69" s="1" t="s">
        <v>67</v>
      </c>
      <c r="F69" s="1" t="s">
        <v>41</v>
      </c>
      <c r="G69" s="1" t="s">
        <v>42</v>
      </c>
      <c r="H69" s="1" t="s">
        <v>22</v>
      </c>
      <c r="I69" s="1" t="s">
        <v>65</v>
      </c>
      <c r="L69" s="1">
        <v>1.8</v>
      </c>
    </row>
    <row r="70" spans="4:13">
      <c r="D70" s="1" t="s">
        <v>83</v>
      </c>
      <c r="E70" s="1" t="s">
        <v>68</v>
      </c>
      <c r="F70" s="1" t="s">
        <v>45</v>
      </c>
      <c r="G70" s="1" t="s">
        <v>46</v>
      </c>
      <c r="H70" s="1" t="s">
        <v>22</v>
      </c>
      <c r="I70" s="1" t="s">
        <v>65</v>
      </c>
      <c r="L70" s="1">
        <v>4.2992261378713571E-4</v>
      </c>
    </row>
    <row r="71" spans="4:13">
      <c r="D71" s="1" t="s">
        <v>83</v>
      </c>
      <c r="E71" s="1" t="s">
        <v>69</v>
      </c>
      <c r="H71" s="1" t="s">
        <v>25</v>
      </c>
      <c r="I71" s="1" t="s">
        <v>70</v>
      </c>
    </row>
    <row r="72" spans="4:13">
      <c r="D72" s="1" t="s">
        <v>83</v>
      </c>
      <c r="E72" s="1" t="s">
        <v>71</v>
      </c>
      <c r="F72" s="1" t="s">
        <v>52</v>
      </c>
      <c r="G72" s="1" t="s">
        <v>53</v>
      </c>
      <c r="H72" s="1" t="s">
        <v>22</v>
      </c>
      <c r="I72" s="1" t="s">
        <v>65</v>
      </c>
      <c r="L72" s="1">
        <v>7936.6414386555998</v>
      </c>
    </row>
    <row r="73" spans="4:13">
      <c r="D73" s="1" t="s">
        <v>83</v>
      </c>
      <c r="E73" s="1" t="s">
        <v>72</v>
      </c>
      <c r="F73" s="1" t="s">
        <v>56</v>
      </c>
      <c r="G73" s="1" t="s">
        <v>57</v>
      </c>
      <c r="H73" s="1" t="s">
        <v>22</v>
      </c>
      <c r="I73" s="1" t="s">
        <v>65</v>
      </c>
      <c r="J73" s="1">
        <v>0</v>
      </c>
      <c r="L73" s="1">
        <v>14.503773773020921</v>
      </c>
    </row>
    <row r="74" spans="4:13">
      <c r="D74" s="1" t="s">
        <v>83</v>
      </c>
      <c r="E74" s="1" t="s">
        <v>73</v>
      </c>
      <c r="F74" s="1" t="s">
        <v>60</v>
      </c>
      <c r="G74" s="1" t="s">
        <v>61</v>
      </c>
      <c r="H74" s="1" t="s">
        <v>22</v>
      </c>
      <c r="I74" s="1" t="s">
        <v>65</v>
      </c>
      <c r="L74" s="1">
        <v>2.38845896627E-4</v>
      </c>
    </row>
    <row r="75" spans="4:13">
      <c r="D75" s="1" t="s">
        <v>83</v>
      </c>
      <c r="E75" s="1" t="s">
        <v>74</v>
      </c>
      <c r="F75" s="1" t="s">
        <v>75</v>
      </c>
      <c r="G75" s="1" t="s">
        <v>76</v>
      </c>
      <c r="H75" s="1" t="s">
        <v>22</v>
      </c>
      <c r="I75" s="1" t="s">
        <v>65</v>
      </c>
      <c r="J75" s="1">
        <v>0</v>
      </c>
      <c r="L75" s="1">
        <v>16.018463521800001</v>
      </c>
    </row>
    <row r="76" spans="4:13">
      <c r="D76" s="1" t="s">
        <v>83</v>
      </c>
      <c r="E76" s="1" t="s">
        <v>77</v>
      </c>
      <c r="H76" s="1" t="s">
        <v>22</v>
      </c>
      <c r="I76" s="1" t="s">
        <v>65</v>
      </c>
      <c r="L76" s="1">
        <v>1</v>
      </c>
    </row>
    <row r="77" spans="4:13">
      <c r="D77" s="1" t="s">
        <v>83</v>
      </c>
      <c r="E77" s="1" t="s">
        <v>78</v>
      </c>
      <c r="H77" s="1" t="s">
        <v>25</v>
      </c>
      <c r="I77" s="1" t="s">
        <v>23</v>
      </c>
      <c r="M77" s="1" t="b">
        <v>0</v>
      </c>
    </row>
    <row r="78" spans="4:13">
      <c r="D78" s="1" t="s">
        <v>83</v>
      </c>
      <c r="E78" s="1" t="s">
        <v>79</v>
      </c>
      <c r="F78" s="1" t="s">
        <v>75</v>
      </c>
      <c r="G78" s="1" t="s">
        <v>76</v>
      </c>
      <c r="H78" s="1" t="s">
        <v>22</v>
      </c>
      <c r="I78" s="1" t="s">
        <v>23</v>
      </c>
      <c r="J78" s="1">
        <v>0</v>
      </c>
      <c r="K78" s="1">
        <v>96.110781130800007</v>
      </c>
      <c r="L78" s="1">
        <v>16.018463521800001</v>
      </c>
      <c r="M78" s="1">
        <v>1.6018463521800002</v>
      </c>
    </row>
    <row r="79" spans="4:13">
      <c r="D79" s="1" t="s">
        <v>83</v>
      </c>
      <c r="E79" s="1" t="s">
        <v>80</v>
      </c>
      <c r="H79" s="1" t="s">
        <v>25</v>
      </c>
      <c r="I79" s="1" t="s">
        <v>23</v>
      </c>
      <c r="M79" s="1" t="b">
        <v>0</v>
      </c>
    </row>
    <row r="80" spans="4:13">
      <c r="D80" s="1" t="s">
        <v>83</v>
      </c>
      <c r="E80" s="1" t="s">
        <v>81</v>
      </c>
      <c r="H80" s="1" t="s">
        <v>25</v>
      </c>
      <c r="I80" s="1" t="s">
        <v>23</v>
      </c>
      <c r="M80" s="1" t="b">
        <v>0</v>
      </c>
    </row>
    <row r="81" spans="4:13">
      <c r="D81" s="1" t="s">
        <v>83</v>
      </c>
      <c r="E81" s="1" t="s">
        <v>82</v>
      </c>
      <c r="H81" s="1" t="s">
        <v>22</v>
      </c>
      <c r="I81" s="1" t="s">
        <v>23</v>
      </c>
      <c r="J81" s="1">
        <v>-1</v>
      </c>
      <c r="K81" s="1">
        <v>3</v>
      </c>
      <c r="L81" s="1">
        <v>1</v>
      </c>
      <c r="M81" s="1">
        <v>1.01</v>
      </c>
    </row>
    <row r="82" spans="4:13">
      <c r="D82" s="1" t="s">
        <v>84</v>
      </c>
      <c r="E82" s="1" t="s">
        <v>28</v>
      </c>
      <c r="H82" s="1" t="s">
        <v>22</v>
      </c>
      <c r="I82" s="1" t="s">
        <v>29</v>
      </c>
      <c r="J82" s="1">
        <v>34000</v>
      </c>
      <c r="K82" s="1">
        <v>4300000</v>
      </c>
      <c r="L82" s="1">
        <v>349660</v>
      </c>
    </row>
    <row r="83" spans="4:13">
      <c r="D83" s="1" t="s">
        <v>84</v>
      </c>
      <c r="E83" s="1" t="s">
        <v>30</v>
      </c>
      <c r="H83" s="1" t="s">
        <v>22</v>
      </c>
      <c r="I83" s="1" t="s">
        <v>29</v>
      </c>
      <c r="J83" s="1">
        <v>-3.94</v>
      </c>
      <c r="K83" s="1">
        <v>3.66</v>
      </c>
      <c r="L83" s="1">
        <v>1</v>
      </c>
    </row>
    <row r="84" spans="4:13">
      <c r="D84" s="1" t="s">
        <v>84</v>
      </c>
      <c r="E84" s="1" t="s">
        <v>31</v>
      </c>
      <c r="H84" s="1" t="s">
        <v>22</v>
      </c>
      <c r="I84" s="1" t="s">
        <v>29</v>
      </c>
      <c r="J84" s="1">
        <v>0</v>
      </c>
      <c r="K84" s="1">
        <v>100</v>
      </c>
      <c r="L84" s="1">
        <v>1</v>
      </c>
    </row>
    <row r="85" spans="4:13">
      <c r="D85" s="1" t="s">
        <v>84</v>
      </c>
      <c r="E85" s="1" t="s">
        <v>32</v>
      </c>
      <c r="H85" s="1" t="s">
        <v>22</v>
      </c>
      <c r="I85" s="1" t="s">
        <v>29</v>
      </c>
      <c r="J85" s="1">
        <v>-3.94</v>
      </c>
      <c r="K85" s="1">
        <v>3.66</v>
      </c>
      <c r="L85" s="1">
        <v>1</v>
      </c>
    </row>
    <row r="86" spans="4:13">
      <c r="D86" s="1" t="s">
        <v>84</v>
      </c>
      <c r="E86" s="1" t="s">
        <v>33</v>
      </c>
      <c r="H86" s="1" t="s">
        <v>25</v>
      </c>
      <c r="I86" s="1" t="s">
        <v>23</v>
      </c>
      <c r="M86" s="1" t="b">
        <v>0</v>
      </c>
    </row>
    <row r="87" spans="4:13">
      <c r="D87" s="1" t="s">
        <v>84</v>
      </c>
      <c r="E87" s="1" t="s">
        <v>34</v>
      </c>
      <c r="F87" s="1" t="s">
        <v>35</v>
      </c>
      <c r="G87" s="1" t="s">
        <v>36</v>
      </c>
      <c r="H87" s="1" t="s">
        <v>22</v>
      </c>
      <c r="I87" s="1" t="s">
        <v>23</v>
      </c>
      <c r="J87" s="1">
        <v>-459.67</v>
      </c>
      <c r="K87" s="1">
        <v>980.32999999999993</v>
      </c>
      <c r="L87" s="1">
        <v>80.329999999999984</v>
      </c>
      <c r="M87" s="1">
        <v>67.999999999999943</v>
      </c>
    </row>
    <row r="88" spans="4:13">
      <c r="D88" s="1" t="s">
        <v>84</v>
      </c>
      <c r="E88" s="1" t="s">
        <v>37</v>
      </c>
      <c r="H88" s="1" t="s">
        <v>25</v>
      </c>
      <c r="I88" s="1" t="s">
        <v>23</v>
      </c>
      <c r="M88" s="1" t="b">
        <v>0</v>
      </c>
    </row>
    <row r="89" spans="4:13">
      <c r="D89" s="1" t="s">
        <v>84</v>
      </c>
      <c r="E89" s="1" t="s">
        <v>38</v>
      </c>
      <c r="F89" s="1" t="s">
        <v>35</v>
      </c>
      <c r="G89" s="1" t="s">
        <v>36</v>
      </c>
      <c r="H89" s="1" t="s">
        <v>22</v>
      </c>
      <c r="I89" s="1" t="s">
        <v>23</v>
      </c>
      <c r="J89" s="1">
        <v>-99.670000000000016</v>
      </c>
      <c r="K89" s="1">
        <v>980.32999999999993</v>
      </c>
      <c r="L89" s="1">
        <v>80.329999999999984</v>
      </c>
      <c r="M89" s="1">
        <v>13.999999999999943</v>
      </c>
    </row>
    <row r="90" spans="4:13">
      <c r="D90" s="1" t="s">
        <v>84</v>
      </c>
      <c r="E90" s="1" t="s">
        <v>39</v>
      </c>
      <c r="H90" s="1" t="s">
        <v>25</v>
      </c>
      <c r="I90" s="1" t="s">
        <v>23</v>
      </c>
      <c r="M90" s="1" t="b">
        <v>0</v>
      </c>
    </row>
    <row r="91" spans="4:13">
      <c r="D91" s="1" t="s">
        <v>84</v>
      </c>
      <c r="E91" s="1" t="s">
        <v>40</v>
      </c>
      <c r="F91" s="1" t="s">
        <v>41</v>
      </c>
      <c r="G91" s="1" t="s">
        <v>42</v>
      </c>
      <c r="H91" s="1" t="s">
        <v>22</v>
      </c>
      <c r="I91" s="1" t="s">
        <v>23</v>
      </c>
      <c r="J91" s="1">
        <v>-900</v>
      </c>
      <c r="K91" s="1">
        <v>900</v>
      </c>
      <c r="L91" s="1">
        <v>1.8</v>
      </c>
      <c r="M91" s="1">
        <v>9</v>
      </c>
    </row>
    <row r="92" spans="4:13">
      <c r="D92" s="1" t="s">
        <v>84</v>
      </c>
      <c r="E92" s="1" t="s">
        <v>43</v>
      </c>
      <c r="H92" s="1" t="s">
        <v>25</v>
      </c>
      <c r="I92" s="1" t="s">
        <v>23</v>
      </c>
      <c r="M92" s="1" t="b">
        <v>0</v>
      </c>
    </row>
    <row r="93" spans="4:13">
      <c r="D93" s="1" t="s">
        <v>84</v>
      </c>
      <c r="E93" s="1" t="s">
        <v>44</v>
      </c>
      <c r="F93" s="1" t="s">
        <v>45</v>
      </c>
      <c r="G93" s="1" t="s">
        <v>46</v>
      </c>
      <c r="H93" s="1" t="s">
        <v>22</v>
      </c>
      <c r="I93" s="1" t="s">
        <v>23</v>
      </c>
      <c r="J93" s="1">
        <v>-85.984522757427143</v>
      </c>
      <c r="K93" s="1">
        <v>8598.4522757427148</v>
      </c>
      <c r="L93" s="1">
        <v>114.79148749423418</v>
      </c>
      <c r="M93" s="1">
        <v>128.97678413614071</v>
      </c>
    </row>
    <row r="94" spans="4:13">
      <c r="D94" s="1" t="s">
        <v>84</v>
      </c>
      <c r="E94" s="1" t="s">
        <v>47</v>
      </c>
      <c r="H94" s="1" t="s">
        <v>25</v>
      </c>
      <c r="I94" s="1" t="s">
        <v>23</v>
      </c>
      <c r="M94" s="1" t="b">
        <v>0</v>
      </c>
    </row>
    <row r="95" spans="4:13">
      <c r="D95" s="1" t="s">
        <v>84</v>
      </c>
      <c r="E95" s="1" t="s">
        <v>48</v>
      </c>
      <c r="H95" s="1" t="s">
        <v>25</v>
      </c>
      <c r="I95" s="1" t="s">
        <v>23</v>
      </c>
      <c r="M95" s="1" t="b">
        <v>0</v>
      </c>
    </row>
    <row r="96" spans="4:13">
      <c r="D96" s="1" t="s">
        <v>84</v>
      </c>
      <c r="E96" s="1" t="s">
        <v>49</v>
      </c>
      <c r="H96" s="1" t="s">
        <v>25</v>
      </c>
      <c r="I96" s="1" t="s">
        <v>23</v>
      </c>
      <c r="M96" s="1" t="b">
        <v>0</v>
      </c>
    </row>
    <row r="97" spans="4:13">
      <c r="D97" s="1" t="s">
        <v>84</v>
      </c>
      <c r="E97" s="1" t="s">
        <v>50</v>
      </c>
      <c r="H97" s="1" t="s">
        <v>25</v>
      </c>
      <c r="I97" s="1" t="s">
        <v>23</v>
      </c>
      <c r="M97" s="1" t="b">
        <v>0</v>
      </c>
    </row>
    <row r="98" spans="4:13">
      <c r="D98" s="1" t="s">
        <v>84</v>
      </c>
      <c r="E98" s="1" t="s">
        <v>51</v>
      </c>
      <c r="F98" s="1" t="s">
        <v>52</v>
      </c>
      <c r="G98" s="1" t="s">
        <v>53</v>
      </c>
      <c r="H98" s="1" t="s">
        <v>22</v>
      </c>
      <c r="I98" s="1" t="s">
        <v>23</v>
      </c>
      <c r="J98" s="1">
        <v>0</v>
      </c>
      <c r="K98" s="1">
        <v>7936641438.6555996</v>
      </c>
      <c r="L98" s="1">
        <v>7936.6414386555998</v>
      </c>
      <c r="M98" s="1">
        <v>7936.6414386555998</v>
      </c>
    </row>
    <row r="99" spans="4:13">
      <c r="D99" s="1" t="s">
        <v>84</v>
      </c>
      <c r="E99" s="1" t="s">
        <v>54</v>
      </c>
      <c r="H99" s="1" t="s">
        <v>25</v>
      </c>
      <c r="I99" s="1" t="s">
        <v>23</v>
      </c>
      <c r="M99" s="1" t="b">
        <v>0</v>
      </c>
    </row>
    <row r="100" spans="4:13">
      <c r="D100" s="1" t="s">
        <v>84</v>
      </c>
      <c r="E100" s="1" t="s">
        <v>55</v>
      </c>
      <c r="F100" s="1" t="s">
        <v>56</v>
      </c>
      <c r="G100" s="1" t="s">
        <v>57</v>
      </c>
      <c r="H100" s="1" t="s">
        <v>22</v>
      </c>
      <c r="I100" s="1" t="s">
        <v>23</v>
      </c>
      <c r="J100" s="1">
        <v>0</v>
      </c>
      <c r="K100" s="1">
        <v>9427.4529524635982</v>
      </c>
      <c r="L100" s="1">
        <v>50.713895374744951</v>
      </c>
      <c r="M100" s="1">
        <v>50.763208205573221</v>
      </c>
    </row>
    <row r="101" spans="4:13">
      <c r="D101" s="1" t="s">
        <v>84</v>
      </c>
      <c r="E101" s="1" t="s">
        <v>58</v>
      </c>
      <c r="H101" s="1" t="s">
        <v>25</v>
      </c>
      <c r="I101" s="1" t="s">
        <v>23</v>
      </c>
      <c r="M101" s="1" t="b">
        <v>0</v>
      </c>
    </row>
    <row r="102" spans="4:13">
      <c r="D102" s="1" t="s">
        <v>84</v>
      </c>
      <c r="E102" s="1" t="s">
        <v>59</v>
      </c>
      <c r="F102" s="1" t="s">
        <v>60</v>
      </c>
      <c r="G102" s="1" t="s">
        <v>61</v>
      </c>
      <c r="H102" s="1" t="s">
        <v>22</v>
      </c>
      <c r="I102" s="1" t="s">
        <v>23</v>
      </c>
      <c r="J102" s="1">
        <v>-9.5538358650799999</v>
      </c>
      <c r="K102" s="1">
        <v>9.5538358650799999</v>
      </c>
      <c r="L102" s="1">
        <v>0.23884589662700001</v>
      </c>
      <c r="M102" s="1">
        <v>0.23884589662700001</v>
      </c>
    </row>
    <row r="103" spans="4:13">
      <c r="D103" s="1" t="s">
        <v>84</v>
      </c>
      <c r="E103" s="1" t="s">
        <v>62</v>
      </c>
      <c r="H103" s="1" t="s">
        <v>63</v>
      </c>
      <c r="I103" s="1" t="s">
        <v>23</v>
      </c>
      <c r="M103" s="1">
        <v>1</v>
      </c>
    </row>
    <row r="104" spans="4:13">
      <c r="D104" s="1" t="s">
        <v>84</v>
      </c>
      <c r="E104" s="1" t="s">
        <v>64</v>
      </c>
      <c r="F104" s="1" t="s">
        <v>35</v>
      </c>
      <c r="G104" s="1" t="s">
        <v>36</v>
      </c>
      <c r="H104" s="1" t="s">
        <v>22</v>
      </c>
      <c r="I104" s="1" t="s">
        <v>65</v>
      </c>
      <c r="J104" s="1">
        <v>-459.67</v>
      </c>
      <c r="L104" s="1">
        <v>80.329999999999984</v>
      </c>
    </row>
    <row r="105" spans="4:13">
      <c r="D105" s="1" t="s">
        <v>84</v>
      </c>
      <c r="E105" s="1" t="s">
        <v>66</v>
      </c>
      <c r="F105" s="1" t="s">
        <v>35</v>
      </c>
      <c r="G105" s="1" t="s">
        <v>36</v>
      </c>
      <c r="H105" s="1" t="s">
        <v>22</v>
      </c>
      <c r="I105" s="1" t="s">
        <v>65</v>
      </c>
      <c r="J105" s="1">
        <v>-459.67</v>
      </c>
      <c r="L105" s="1">
        <v>80.329999999999984</v>
      </c>
    </row>
    <row r="106" spans="4:13">
      <c r="D106" s="1" t="s">
        <v>84</v>
      </c>
      <c r="E106" s="1" t="s">
        <v>67</v>
      </c>
      <c r="F106" s="1" t="s">
        <v>41</v>
      </c>
      <c r="G106" s="1" t="s">
        <v>42</v>
      </c>
      <c r="H106" s="1" t="s">
        <v>22</v>
      </c>
      <c r="I106" s="1" t="s">
        <v>65</v>
      </c>
      <c r="L106" s="1">
        <v>1.8</v>
      </c>
    </row>
    <row r="107" spans="4:13">
      <c r="D107" s="1" t="s">
        <v>84</v>
      </c>
      <c r="E107" s="1" t="s">
        <v>68</v>
      </c>
      <c r="F107" s="1" t="s">
        <v>45</v>
      </c>
      <c r="G107" s="1" t="s">
        <v>46</v>
      </c>
      <c r="H107" s="1" t="s">
        <v>22</v>
      </c>
      <c r="I107" s="1" t="s">
        <v>65</v>
      </c>
      <c r="L107" s="1">
        <v>4.2992261378713571E-4</v>
      </c>
    </row>
    <row r="108" spans="4:13">
      <c r="D108" s="1" t="s">
        <v>84</v>
      </c>
      <c r="E108" s="1" t="s">
        <v>69</v>
      </c>
      <c r="H108" s="1" t="s">
        <v>25</v>
      </c>
      <c r="I108" s="1" t="s">
        <v>70</v>
      </c>
    </row>
    <row r="109" spans="4:13">
      <c r="D109" s="1" t="s">
        <v>84</v>
      </c>
      <c r="E109" s="1" t="s">
        <v>71</v>
      </c>
      <c r="F109" s="1" t="s">
        <v>52</v>
      </c>
      <c r="G109" s="1" t="s">
        <v>53</v>
      </c>
      <c r="H109" s="1" t="s">
        <v>22</v>
      </c>
      <c r="I109" s="1" t="s">
        <v>65</v>
      </c>
      <c r="L109" s="1">
        <v>7936.6414386555998</v>
      </c>
    </row>
    <row r="110" spans="4:13">
      <c r="D110" s="1" t="s">
        <v>84</v>
      </c>
      <c r="E110" s="1" t="s">
        <v>72</v>
      </c>
      <c r="F110" s="1" t="s">
        <v>56</v>
      </c>
      <c r="G110" s="1" t="s">
        <v>57</v>
      </c>
      <c r="H110" s="1" t="s">
        <v>22</v>
      </c>
      <c r="I110" s="1" t="s">
        <v>65</v>
      </c>
      <c r="J110" s="1">
        <v>0</v>
      </c>
      <c r="L110" s="1">
        <v>14.503773773020921</v>
      </c>
    </row>
    <row r="111" spans="4:13">
      <c r="D111" s="1" t="s">
        <v>84</v>
      </c>
      <c r="E111" s="1" t="s">
        <v>73</v>
      </c>
      <c r="F111" s="1" t="s">
        <v>60</v>
      </c>
      <c r="G111" s="1" t="s">
        <v>61</v>
      </c>
      <c r="H111" s="1" t="s">
        <v>22</v>
      </c>
      <c r="I111" s="1" t="s">
        <v>65</v>
      </c>
      <c r="L111" s="1">
        <v>2.38845896627E-4</v>
      </c>
    </row>
    <row r="112" spans="4:13">
      <c r="D112" s="1" t="s">
        <v>84</v>
      </c>
      <c r="E112" s="1" t="s">
        <v>74</v>
      </c>
      <c r="F112" s="1" t="s">
        <v>75</v>
      </c>
      <c r="G112" s="1" t="s">
        <v>76</v>
      </c>
      <c r="H112" s="1" t="s">
        <v>22</v>
      </c>
      <c r="I112" s="1" t="s">
        <v>65</v>
      </c>
      <c r="J112" s="1">
        <v>0</v>
      </c>
      <c r="L112" s="1">
        <v>16.018463521800001</v>
      </c>
    </row>
    <row r="113" spans="4:13">
      <c r="D113" s="1" t="s">
        <v>84</v>
      </c>
      <c r="E113" s="1" t="s">
        <v>77</v>
      </c>
      <c r="H113" s="1" t="s">
        <v>22</v>
      </c>
      <c r="I113" s="1" t="s">
        <v>65</v>
      </c>
      <c r="L113" s="1">
        <v>1</v>
      </c>
    </row>
    <row r="114" spans="4:13">
      <c r="D114" s="1" t="s">
        <v>84</v>
      </c>
      <c r="E114" s="1" t="s">
        <v>78</v>
      </c>
      <c r="H114" s="1" t="s">
        <v>25</v>
      </c>
      <c r="I114" s="1" t="s">
        <v>23</v>
      </c>
      <c r="M114" s="1" t="b">
        <v>0</v>
      </c>
    </row>
    <row r="115" spans="4:13">
      <c r="D115" s="1" t="s">
        <v>84</v>
      </c>
      <c r="E115" s="1" t="s">
        <v>79</v>
      </c>
      <c r="F115" s="1" t="s">
        <v>75</v>
      </c>
      <c r="G115" s="1" t="s">
        <v>76</v>
      </c>
      <c r="H115" s="1" t="s">
        <v>22</v>
      </c>
      <c r="I115" s="1" t="s">
        <v>23</v>
      </c>
      <c r="J115" s="1">
        <v>0</v>
      </c>
      <c r="K115" s="1">
        <v>96.110781130800007</v>
      </c>
      <c r="L115" s="1">
        <v>16.018463521800001</v>
      </c>
      <c r="M115" s="1">
        <v>1.6018463521800002</v>
      </c>
    </row>
    <row r="116" spans="4:13">
      <c r="D116" s="1" t="s">
        <v>84</v>
      </c>
      <c r="E116" s="1" t="s">
        <v>80</v>
      </c>
      <c r="H116" s="1" t="s">
        <v>25</v>
      </c>
      <c r="I116" s="1" t="s">
        <v>23</v>
      </c>
      <c r="M116" s="1" t="b">
        <v>0</v>
      </c>
    </row>
    <row r="117" spans="4:13">
      <c r="D117" s="1" t="s">
        <v>84</v>
      </c>
      <c r="E117" s="1" t="s">
        <v>81</v>
      </c>
      <c r="H117" s="1" t="s">
        <v>25</v>
      </c>
      <c r="I117" s="1" t="s">
        <v>23</v>
      </c>
      <c r="M117" s="1" t="b">
        <v>0</v>
      </c>
    </row>
    <row r="118" spans="4:13">
      <c r="D118" s="1" t="s">
        <v>84</v>
      </c>
      <c r="E118" s="1" t="s">
        <v>82</v>
      </c>
      <c r="H118" s="1" t="s">
        <v>22</v>
      </c>
      <c r="I118" s="1" t="s">
        <v>23</v>
      </c>
      <c r="J118" s="1">
        <v>-1</v>
      </c>
      <c r="K118" s="1">
        <v>3</v>
      </c>
      <c r="L118" s="1">
        <v>1</v>
      </c>
      <c r="M118" s="1">
        <v>1.01</v>
      </c>
    </row>
    <row r="119" spans="4:13">
      <c r="D119" s="1" t="s">
        <v>85</v>
      </c>
      <c r="E119" s="1" t="s">
        <v>28</v>
      </c>
      <c r="H119" s="1" t="s">
        <v>22</v>
      </c>
      <c r="I119" s="1" t="s">
        <v>29</v>
      </c>
      <c r="J119" s="1">
        <v>34000</v>
      </c>
      <c r="K119" s="1">
        <v>4300000</v>
      </c>
      <c r="L119" s="1">
        <v>349660</v>
      </c>
    </row>
    <row r="120" spans="4:13">
      <c r="D120" s="1" t="s">
        <v>85</v>
      </c>
      <c r="E120" s="1" t="s">
        <v>30</v>
      </c>
      <c r="H120" s="1" t="s">
        <v>22</v>
      </c>
      <c r="I120" s="1" t="s">
        <v>29</v>
      </c>
      <c r="J120" s="1">
        <v>-3.94</v>
      </c>
      <c r="K120" s="1">
        <v>3.66</v>
      </c>
      <c r="L120" s="1">
        <v>1</v>
      </c>
    </row>
    <row r="121" spans="4:13">
      <c r="D121" s="1" t="s">
        <v>85</v>
      </c>
      <c r="E121" s="1" t="s">
        <v>31</v>
      </c>
      <c r="H121" s="1" t="s">
        <v>22</v>
      </c>
      <c r="I121" s="1" t="s">
        <v>29</v>
      </c>
      <c r="J121" s="1">
        <v>0</v>
      </c>
      <c r="K121" s="1">
        <v>100</v>
      </c>
      <c r="L121" s="1">
        <v>1</v>
      </c>
    </row>
    <row r="122" spans="4:13">
      <c r="D122" s="1" t="s">
        <v>85</v>
      </c>
      <c r="E122" s="1" t="s">
        <v>32</v>
      </c>
      <c r="H122" s="1" t="s">
        <v>22</v>
      </c>
      <c r="I122" s="1" t="s">
        <v>29</v>
      </c>
      <c r="J122" s="1">
        <v>-3.94</v>
      </c>
      <c r="K122" s="1">
        <v>3.66</v>
      </c>
      <c r="L122" s="1">
        <v>1</v>
      </c>
    </row>
    <row r="123" spans="4:13">
      <c r="D123" s="1" t="s">
        <v>85</v>
      </c>
      <c r="E123" s="1" t="s">
        <v>33</v>
      </c>
      <c r="H123" s="1" t="s">
        <v>25</v>
      </c>
      <c r="I123" s="1" t="s">
        <v>23</v>
      </c>
      <c r="M123" s="1" t="b">
        <v>0</v>
      </c>
    </row>
    <row r="124" spans="4:13">
      <c r="D124" s="1" t="s">
        <v>85</v>
      </c>
      <c r="E124" s="1" t="s">
        <v>34</v>
      </c>
      <c r="F124" s="1" t="s">
        <v>35</v>
      </c>
      <c r="G124" s="1" t="s">
        <v>36</v>
      </c>
      <c r="H124" s="1" t="s">
        <v>22</v>
      </c>
      <c r="I124" s="1" t="s">
        <v>23</v>
      </c>
      <c r="J124" s="1">
        <v>-459.67</v>
      </c>
      <c r="K124" s="1">
        <v>980.32999999999993</v>
      </c>
      <c r="L124" s="1">
        <v>80.329999999999984</v>
      </c>
      <c r="M124" s="1">
        <v>67.999999999999943</v>
      </c>
    </row>
    <row r="125" spans="4:13">
      <c r="D125" s="1" t="s">
        <v>85</v>
      </c>
      <c r="E125" s="1" t="s">
        <v>37</v>
      </c>
      <c r="H125" s="1" t="s">
        <v>25</v>
      </c>
      <c r="I125" s="1" t="s">
        <v>23</v>
      </c>
      <c r="M125" s="1" t="b">
        <v>0</v>
      </c>
    </row>
    <row r="126" spans="4:13">
      <c r="D126" s="1" t="s">
        <v>85</v>
      </c>
      <c r="E126" s="1" t="s">
        <v>38</v>
      </c>
      <c r="F126" s="1" t="s">
        <v>35</v>
      </c>
      <c r="G126" s="1" t="s">
        <v>36</v>
      </c>
      <c r="H126" s="1" t="s">
        <v>22</v>
      </c>
      <c r="I126" s="1" t="s">
        <v>23</v>
      </c>
      <c r="J126" s="1">
        <v>-99.670000000000016</v>
      </c>
      <c r="K126" s="1">
        <v>980.32999999999993</v>
      </c>
      <c r="L126" s="1">
        <v>80.329999999999984</v>
      </c>
      <c r="M126" s="1">
        <v>13.999999999999943</v>
      </c>
    </row>
    <row r="127" spans="4:13">
      <c r="D127" s="1" t="s">
        <v>85</v>
      </c>
      <c r="E127" s="1" t="s">
        <v>39</v>
      </c>
      <c r="H127" s="1" t="s">
        <v>25</v>
      </c>
      <c r="I127" s="1" t="s">
        <v>23</v>
      </c>
      <c r="M127" s="1" t="b">
        <v>0</v>
      </c>
    </row>
    <row r="128" spans="4:13">
      <c r="D128" s="1" t="s">
        <v>85</v>
      </c>
      <c r="E128" s="1" t="s">
        <v>40</v>
      </c>
      <c r="F128" s="1" t="s">
        <v>41</v>
      </c>
      <c r="G128" s="1" t="s">
        <v>42</v>
      </c>
      <c r="H128" s="1" t="s">
        <v>22</v>
      </c>
      <c r="I128" s="1" t="s">
        <v>23</v>
      </c>
      <c r="J128" s="1">
        <v>-900</v>
      </c>
      <c r="K128" s="1">
        <v>900</v>
      </c>
      <c r="L128" s="1">
        <v>1.8</v>
      </c>
      <c r="M128" s="1">
        <v>9</v>
      </c>
    </row>
    <row r="129" spans="4:13">
      <c r="D129" s="1" t="s">
        <v>85</v>
      </c>
      <c r="E129" s="1" t="s">
        <v>43</v>
      </c>
      <c r="H129" s="1" t="s">
        <v>25</v>
      </c>
      <c r="I129" s="1" t="s">
        <v>23</v>
      </c>
      <c r="M129" s="1" t="b">
        <v>0</v>
      </c>
    </row>
    <row r="130" spans="4:13">
      <c r="D130" s="1" t="s">
        <v>85</v>
      </c>
      <c r="E130" s="1" t="s">
        <v>44</v>
      </c>
      <c r="F130" s="1" t="s">
        <v>45</v>
      </c>
      <c r="G130" s="1" t="s">
        <v>46</v>
      </c>
      <c r="H130" s="1" t="s">
        <v>22</v>
      </c>
      <c r="I130" s="1" t="s">
        <v>23</v>
      </c>
      <c r="J130" s="1">
        <v>-85.984522757427143</v>
      </c>
      <c r="K130" s="1">
        <v>8598.4522757427148</v>
      </c>
      <c r="L130" s="1">
        <v>114.79148749423418</v>
      </c>
      <c r="M130" s="1">
        <v>128.97678413614071</v>
      </c>
    </row>
    <row r="131" spans="4:13">
      <c r="D131" s="1" t="s">
        <v>85</v>
      </c>
      <c r="E131" s="1" t="s">
        <v>47</v>
      </c>
      <c r="H131" s="1" t="s">
        <v>25</v>
      </c>
      <c r="I131" s="1" t="s">
        <v>23</v>
      </c>
      <c r="M131" s="1" t="b">
        <v>0</v>
      </c>
    </row>
    <row r="132" spans="4:13">
      <c r="D132" s="1" t="s">
        <v>85</v>
      </c>
      <c r="E132" s="1" t="s">
        <v>48</v>
      </c>
      <c r="H132" s="1" t="s">
        <v>25</v>
      </c>
      <c r="I132" s="1" t="s">
        <v>23</v>
      </c>
      <c r="M132" s="1" t="b">
        <v>0</v>
      </c>
    </row>
    <row r="133" spans="4:13">
      <c r="D133" s="1" t="s">
        <v>85</v>
      </c>
      <c r="E133" s="1" t="s">
        <v>49</v>
      </c>
      <c r="H133" s="1" t="s">
        <v>25</v>
      </c>
      <c r="I133" s="1" t="s">
        <v>23</v>
      </c>
      <c r="M133" s="1" t="b">
        <v>0</v>
      </c>
    </row>
    <row r="134" spans="4:13">
      <c r="D134" s="1" t="s">
        <v>85</v>
      </c>
      <c r="E134" s="1" t="s">
        <v>50</v>
      </c>
      <c r="H134" s="1" t="s">
        <v>25</v>
      </c>
      <c r="I134" s="1" t="s">
        <v>23</v>
      </c>
      <c r="M134" s="1" t="b">
        <v>0</v>
      </c>
    </row>
    <row r="135" spans="4:13">
      <c r="D135" s="1" t="s">
        <v>85</v>
      </c>
      <c r="E135" s="1" t="s">
        <v>51</v>
      </c>
      <c r="F135" s="1" t="s">
        <v>52</v>
      </c>
      <c r="G135" s="1" t="s">
        <v>53</v>
      </c>
      <c r="H135" s="1" t="s">
        <v>22</v>
      </c>
      <c r="I135" s="1" t="s">
        <v>23</v>
      </c>
      <c r="J135" s="1">
        <v>0</v>
      </c>
      <c r="K135" s="1">
        <v>7936641438.6555996</v>
      </c>
      <c r="L135" s="1">
        <v>7936.6414386555998</v>
      </c>
      <c r="M135" s="1">
        <v>7936.6414386555998</v>
      </c>
    </row>
    <row r="136" spans="4:13">
      <c r="D136" s="1" t="s">
        <v>85</v>
      </c>
      <c r="E136" s="1" t="s">
        <v>54</v>
      </c>
      <c r="H136" s="1" t="s">
        <v>25</v>
      </c>
      <c r="I136" s="1" t="s">
        <v>23</v>
      </c>
      <c r="M136" s="1" t="b">
        <v>0</v>
      </c>
    </row>
    <row r="137" spans="4:13">
      <c r="D137" s="1" t="s">
        <v>85</v>
      </c>
      <c r="E137" s="1" t="s">
        <v>55</v>
      </c>
      <c r="F137" s="1" t="s">
        <v>56</v>
      </c>
      <c r="G137" s="1" t="s">
        <v>57</v>
      </c>
      <c r="H137" s="1" t="s">
        <v>22</v>
      </c>
      <c r="I137" s="1" t="s">
        <v>23</v>
      </c>
      <c r="J137" s="1">
        <v>0</v>
      </c>
      <c r="K137" s="1">
        <v>9427.4529524635982</v>
      </c>
      <c r="L137" s="1">
        <v>50.713895374744951</v>
      </c>
      <c r="M137" s="1">
        <v>50.763208205573221</v>
      </c>
    </row>
    <row r="138" spans="4:13">
      <c r="D138" s="1" t="s">
        <v>85</v>
      </c>
      <c r="E138" s="1" t="s">
        <v>58</v>
      </c>
      <c r="H138" s="1" t="s">
        <v>25</v>
      </c>
      <c r="I138" s="1" t="s">
        <v>23</v>
      </c>
      <c r="M138" s="1" t="b">
        <v>0</v>
      </c>
    </row>
    <row r="139" spans="4:13">
      <c r="D139" s="1" t="s">
        <v>85</v>
      </c>
      <c r="E139" s="1" t="s">
        <v>59</v>
      </c>
      <c r="F139" s="1" t="s">
        <v>60</v>
      </c>
      <c r="G139" s="1" t="s">
        <v>61</v>
      </c>
      <c r="H139" s="1" t="s">
        <v>22</v>
      </c>
      <c r="I139" s="1" t="s">
        <v>23</v>
      </c>
      <c r="J139" s="1">
        <v>-9.5538358650799999</v>
      </c>
      <c r="K139" s="1">
        <v>9.5538358650799999</v>
      </c>
      <c r="L139" s="1">
        <v>0.23884589662700001</v>
      </c>
      <c r="M139" s="1">
        <v>0.23884589662700001</v>
      </c>
    </row>
    <row r="140" spans="4:13">
      <c r="D140" s="1" t="s">
        <v>85</v>
      </c>
      <c r="E140" s="1" t="s">
        <v>62</v>
      </c>
      <c r="H140" s="1" t="s">
        <v>63</v>
      </c>
      <c r="I140" s="1" t="s">
        <v>23</v>
      </c>
      <c r="M140" s="1">
        <v>1</v>
      </c>
    </row>
    <row r="141" spans="4:13">
      <c r="D141" s="1" t="s">
        <v>85</v>
      </c>
      <c r="E141" s="1" t="s">
        <v>64</v>
      </c>
      <c r="F141" s="1" t="s">
        <v>35</v>
      </c>
      <c r="G141" s="1" t="s">
        <v>36</v>
      </c>
      <c r="H141" s="1" t="s">
        <v>22</v>
      </c>
      <c r="I141" s="1" t="s">
        <v>65</v>
      </c>
      <c r="J141" s="1">
        <v>-459.67</v>
      </c>
      <c r="L141" s="1">
        <v>80.329999999999984</v>
      </c>
    </row>
    <row r="142" spans="4:13">
      <c r="D142" s="1" t="s">
        <v>85</v>
      </c>
      <c r="E142" s="1" t="s">
        <v>66</v>
      </c>
      <c r="F142" s="1" t="s">
        <v>35</v>
      </c>
      <c r="G142" s="1" t="s">
        <v>36</v>
      </c>
      <c r="H142" s="1" t="s">
        <v>22</v>
      </c>
      <c r="I142" s="1" t="s">
        <v>65</v>
      </c>
      <c r="J142" s="1">
        <v>-459.67</v>
      </c>
      <c r="L142" s="1">
        <v>80.329999999999984</v>
      </c>
    </row>
    <row r="143" spans="4:13">
      <c r="D143" s="1" t="s">
        <v>85</v>
      </c>
      <c r="E143" s="1" t="s">
        <v>67</v>
      </c>
      <c r="F143" s="1" t="s">
        <v>41</v>
      </c>
      <c r="G143" s="1" t="s">
        <v>42</v>
      </c>
      <c r="H143" s="1" t="s">
        <v>22</v>
      </c>
      <c r="I143" s="1" t="s">
        <v>65</v>
      </c>
      <c r="L143" s="1">
        <v>1.8</v>
      </c>
    </row>
    <row r="144" spans="4:13">
      <c r="D144" s="1" t="s">
        <v>85</v>
      </c>
      <c r="E144" s="1" t="s">
        <v>68</v>
      </c>
      <c r="F144" s="1" t="s">
        <v>45</v>
      </c>
      <c r="G144" s="1" t="s">
        <v>46</v>
      </c>
      <c r="H144" s="1" t="s">
        <v>22</v>
      </c>
      <c r="I144" s="1" t="s">
        <v>65</v>
      </c>
      <c r="L144" s="1">
        <v>4.2992261378713571E-4</v>
      </c>
    </row>
    <row r="145" spans="4:13">
      <c r="D145" s="1" t="s">
        <v>85</v>
      </c>
      <c r="E145" s="1" t="s">
        <v>69</v>
      </c>
      <c r="H145" s="1" t="s">
        <v>25</v>
      </c>
      <c r="I145" s="1" t="s">
        <v>70</v>
      </c>
    </row>
    <row r="146" spans="4:13">
      <c r="D146" s="1" t="s">
        <v>85</v>
      </c>
      <c r="E146" s="1" t="s">
        <v>71</v>
      </c>
      <c r="F146" s="1" t="s">
        <v>52</v>
      </c>
      <c r="G146" s="1" t="s">
        <v>53</v>
      </c>
      <c r="H146" s="1" t="s">
        <v>22</v>
      </c>
      <c r="I146" s="1" t="s">
        <v>65</v>
      </c>
      <c r="L146" s="1">
        <v>7936.6414386555998</v>
      </c>
    </row>
    <row r="147" spans="4:13">
      <c r="D147" s="1" t="s">
        <v>85</v>
      </c>
      <c r="E147" s="1" t="s">
        <v>72</v>
      </c>
      <c r="F147" s="1" t="s">
        <v>56</v>
      </c>
      <c r="G147" s="1" t="s">
        <v>57</v>
      </c>
      <c r="H147" s="1" t="s">
        <v>22</v>
      </c>
      <c r="I147" s="1" t="s">
        <v>65</v>
      </c>
      <c r="J147" s="1">
        <v>0</v>
      </c>
      <c r="L147" s="1">
        <v>14.503773773020921</v>
      </c>
    </row>
    <row r="148" spans="4:13">
      <c r="D148" s="1" t="s">
        <v>85</v>
      </c>
      <c r="E148" s="1" t="s">
        <v>73</v>
      </c>
      <c r="F148" s="1" t="s">
        <v>60</v>
      </c>
      <c r="G148" s="1" t="s">
        <v>61</v>
      </c>
      <c r="H148" s="1" t="s">
        <v>22</v>
      </c>
      <c r="I148" s="1" t="s">
        <v>65</v>
      </c>
      <c r="L148" s="1">
        <v>2.38845896627E-4</v>
      </c>
    </row>
    <row r="149" spans="4:13">
      <c r="D149" s="1" t="s">
        <v>85</v>
      </c>
      <c r="E149" s="1" t="s">
        <v>74</v>
      </c>
      <c r="F149" s="1" t="s">
        <v>75</v>
      </c>
      <c r="G149" s="1" t="s">
        <v>76</v>
      </c>
      <c r="H149" s="1" t="s">
        <v>22</v>
      </c>
      <c r="I149" s="1" t="s">
        <v>65</v>
      </c>
      <c r="J149" s="1">
        <v>0</v>
      </c>
      <c r="L149" s="1">
        <v>16.018463521800001</v>
      </c>
    </row>
    <row r="150" spans="4:13">
      <c r="D150" s="1" t="s">
        <v>85</v>
      </c>
      <c r="E150" s="1" t="s">
        <v>77</v>
      </c>
      <c r="H150" s="1" t="s">
        <v>22</v>
      </c>
      <c r="I150" s="1" t="s">
        <v>65</v>
      </c>
      <c r="L150" s="1">
        <v>1</v>
      </c>
    </row>
    <row r="151" spans="4:13">
      <c r="D151" s="1" t="s">
        <v>85</v>
      </c>
      <c r="E151" s="1" t="s">
        <v>78</v>
      </c>
      <c r="H151" s="1" t="s">
        <v>25</v>
      </c>
      <c r="I151" s="1" t="s">
        <v>23</v>
      </c>
      <c r="M151" s="1" t="b">
        <v>0</v>
      </c>
    </row>
    <row r="152" spans="4:13">
      <c r="D152" s="1" t="s">
        <v>85</v>
      </c>
      <c r="E152" s="1" t="s">
        <v>79</v>
      </c>
      <c r="F152" s="1" t="s">
        <v>75</v>
      </c>
      <c r="G152" s="1" t="s">
        <v>76</v>
      </c>
      <c r="H152" s="1" t="s">
        <v>22</v>
      </c>
      <c r="I152" s="1" t="s">
        <v>23</v>
      </c>
      <c r="J152" s="1">
        <v>0</v>
      </c>
      <c r="K152" s="1">
        <v>96.110781130800007</v>
      </c>
      <c r="L152" s="1">
        <v>16.018463521800001</v>
      </c>
      <c r="M152" s="1">
        <v>1.6018463521800002</v>
      </c>
    </row>
    <row r="153" spans="4:13">
      <c r="D153" s="1" t="s">
        <v>85</v>
      </c>
      <c r="E153" s="1" t="s">
        <v>80</v>
      </c>
      <c r="H153" s="1" t="s">
        <v>25</v>
      </c>
      <c r="I153" s="1" t="s">
        <v>23</v>
      </c>
      <c r="M153" s="1" t="b">
        <v>0</v>
      </c>
    </row>
    <row r="154" spans="4:13">
      <c r="D154" s="1" t="s">
        <v>85</v>
      </c>
      <c r="E154" s="1" t="s">
        <v>81</v>
      </c>
      <c r="H154" s="1" t="s">
        <v>25</v>
      </c>
      <c r="I154" s="1" t="s">
        <v>23</v>
      </c>
      <c r="M154" s="1" t="b">
        <v>0</v>
      </c>
    </row>
    <row r="155" spans="4:13">
      <c r="D155" s="1" t="s">
        <v>85</v>
      </c>
      <c r="E155" s="1" t="s">
        <v>82</v>
      </c>
      <c r="H155" s="1" t="s">
        <v>22</v>
      </c>
      <c r="I155" s="1" t="s">
        <v>23</v>
      </c>
      <c r="J155" s="1">
        <v>-1</v>
      </c>
      <c r="K155" s="1">
        <v>3</v>
      </c>
      <c r="L155" s="1">
        <v>1</v>
      </c>
      <c r="M155" s="1">
        <v>1.01</v>
      </c>
    </row>
    <row r="156" spans="4:13">
      <c r="D156" s="1" t="s">
        <v>86</v>
      </c>
      <c r="E156" s="1" t="s">
        <v>28</v>
      </c>
      <c r="H156" s="1" t="s">
        <v>22</v>
      </c>
      <c r="I156" s="1" t="s">
        <v>29</v>
      </c>
      <c r="J156" s="1">
        <v>34000</v>
      </c>
      <c r="K156" s="1">
        <v>4300000</v>
      </c>
      <c r="L156" s="1">
        <v>349660</v>
      </c>
    </row>
    <row r="157" spans="4:13">
      <c r="D157" s="1" t="s">
        <v>86</v>
      </c>
      <c r="E157" s="1" t="s">
        <v>30</v>
      </c>
      <c r="H157" s="1" t="s">
        <v>22</v>
      </c>
      <c r="I157" s="1" t="s">
        <v>29</v>
      </c>
      <c r="J157" s="1">
        <v>-3.94</v>
      </c>
      <c r="K157" s="1">
        <v>3.66</v>
      </c>
      <c r="L157" s="1">
        <v>1</v>
      </c>
    </row>
    <row r="158" spans="4:13">
      <c r="D158" s="1" t="s">
        <v>86</v>
      </c>
      <c r="E158" s="1" t="s">
        <v>31</v>
      </c>
      <c r="H158" s="1" t="s">
        <v>22</v>
      </c>
      <c r="I158" s="1" t="s">
        <v>29</v>
      </c>
      <c r="J158" s="1">
        <v>0</v>
      </c>
      <c r="K158" s="1">
        <v>100</v>
      </c>
      <c r="L158" s="1">
        <v>1</v>
      </c>
    </row>
    <row r="159" spans="4:13">
      <c r="D159" s="1" t="s">
        <v>86</v>
      </c>
      <c r="E159" s="1" t="s">
        <v>32</v>
      </c>
      <c r="H159" s="1" t="s">
        <v>22</v>
      </c>
      <c r="I159" s="1" t="s">
        <v>29</v>
      </c>
      <c r="J159" s="1">
        <v>-3.94</v>
      </c>
      <c r="K159" s="1">
        <v>3.66</v>
      </c>
      <c r="L159" s="1">
        <v>1</v>
      </c>
    </row>
    <row r="160" spans="4:13">
      <c r="D160" s="1" t="s">
        <v>86</v>
      </c>
      <c r="E160" s="1" t="s">
        <v>33</v>
      </c>
      <c r="H160" s="1" t="s">
        <v>25</v>
      </c>
      <c r="I160" s="1" t="s">
        <v>23</v>
      </c>
      <c r="M160" s="1" t="b">
        <v>0</v>
      </c>
    </row>
    <row r="161" spans="4:13">
      <c r="D161" s="1" t="s">
        <v>86</v>
      </c>
      <c r="E161" s="1" t="s">
        <v>34</v>
      </c>
      <c r="F161" s="1" t="s">
        <v>35</v>
      </c>
      <c r="G161" s="1" t="s">
        <v>36</v>
      </c>
      <c r="H161" s="1" t="s">
        <v>22</v>
      </c>
      <c r="I161" s="1" t="s">
        <v>23</v>
      </c>
      <c r="J161" s="1">
        <v>-459.67</v>
      </c>
      <c r="K161" s="1">
        <v>980.32999999999993</v>
      </c>
      <c r="L161" s="1">
        <v>80.329999999999984</v>
      </c>
      <c r="M161" s="1">
        <v>67.999999999999943</v>
      </c>
    </row>
    <row r="162" spans="4:13">
      <c r="D162" s="1" t="s">
        <v>86</v>
      </c>
      <c r="E162" s="1" t="s">
        <v>37</v>
      </c>
      <c r="H162" s="1" t="s">
        <v>25</v>
      </c>
      <c r="I162" s="1" t="s">
        <v>23</v>
      </c>
      <c r="M162" s="1" t="b">
        <v>0</v>
      </c>
    </row>
    <row r="163" spans="4:13">
      <c r="D163" s="1" t="s">
        <v>86</v>
      </c>
      <c r="E163" s="1" t="s">
        <v>38</v>
      </c>
      <c r="F163" s="1" t="s">
        <v>35</v>
      </c>
      <c r="G163" s="1" t="s">
        <v>36</v>
      </c>
      <c r="H163" s="1" t="s">
        <v>22</v>
      </c>
      <c r="I163" s="1" t="s">
        <v>23</v>
      </c>
      <c r="J163" s="1">
        <v>-99.670000000000016</v>
      </c>
      <c r="K163" s="1">
        <v>980.32999999999993</v>
      </c>
      <c r="L163" s="1">
        <v>80.329999999999984</v>
      </c>
      <c r="M163" s="1">
        <v>13.999999999999943</v>
      </c>
    </row>
    <row r="164" spans="4:13">
      <c r="D164" s="1" t="s">
        <v>86</v>
      </c>
      <c r="E164" s="1" t="s">
        <v>39</v>
      </c>
      <c r="H164" s="1" t="s">
        <v>25</v>
      </c>
      <c r="I164" s="1" t="s">
        <v>23</v>
      </c>
      <c r="M164" s="1" t="b">
        <v>0</v>
      </c>
    </row>
    <row r="165" spans="4:13">
      <c r="D165" s="1" t="s">
        <v>86</v>
      </c>
      <c r="E165" s="1" t="s">
        <v>40</v>
      </c>
      <c r="F165" s="1" t="s">
        <v>41</v>
      </c>
      <c r="G165" s="1" t="s">
        <v>42</v>
      </c>
      <c r="H165" s="1" t="s">
        <v>22</v>
      </c>
      <c r="I165" s="1" t="s">
        <v>23</v>
      </c>
      <c r="J165" s="1">
        <v>-900</v>
      </c>
      <c r="K165" s="1">
        <v>900</v>
      </c>
      <c r="L165" s="1">
        <v>1.8</v>
      </c>
      <c r="M165" s="1">
        <v>9</v>
      </c>
    </row>
    <row r="166" spans="4:13">
      <c r="D166" s="1" t="s">
        <v>86</v>
      </c>
      <c r="E166" s="1" t="s">
        <v>43</v>
      </c>
      <c r="H166" s="1" t="s">
        <v>25</v>
      </c>
      <c r="I166" s="1" t="s">
        <v>23</v>
      </c>
      <c r="M166" s="1" t="b">
        <v>0</v>
      </c>
    </row>
    <row r="167" spans="4:13">
      <c r="D167" s="1" t="s">
        <v>86</v>
      </c>
      <c r="E167" s="1" t="s">
        <v>44</v>
      </c>
      <c r="F167" s="1" t="s">
        <v>45</v>
      </c>
      <c r="G167" s="1" t="s">
        <v>46</v>
      </c>
      <c r="H167" s="1" t="s">
        <v>22</v>
      </c>
      <c r="I167" s="1" t="s">
        <v>23</v>
      </c>
      <c r="J167" s="1">
        <v>-85.984522757427143</v>
      </c>
      <c r="K167" s="1">
        <v>8598.4522757427148</v>
      </c>
      <c r="L167" s="1">
        <v>114.79148749423418</v>
      </c>
      <c r="M167" s="1">
        <v>128.97678413614071</v>
      </c>
    </row>
    <row r="168" spans="4:13">
      <c r="D168" s="1" t="s">
        <v>86</v>
      </c>
      <c r="E168" s="1" t="s">
        <v>47</v>
      </c>
      <c r="H168" s="1" t="s">
        <v>25</v>
      </c>
      <c r="I168" s="1" t="s">
        <v>23</v>
      </c>
      <c r="M168" s="1" t="b">
        <v>0</v>
      </c>
    </row>
    <row r="169" spans="4:13">
      <c r="D169" s="1" t="s">
        <v>86</v>
      </c>
      <c r="E169" s="1" t="s">
        <v>48</v>
      </c>
      <c r="H169" s="1" t="s">
        <v>25</v>
      </c>
      <c r="I169" s="1" t="s">
        <v>23</v>
      </c>
      <c r="M169" s="1" t="b">
        <v>0</v>
      </c>
    </row>
    <row r="170" spans="4:13">
      <c r="D170" s="1" t="s">
        <v>86</v>
      </c>
      <c r="E170" s="1" t="s">
        <v>49</v>
      </c>
      <c r="H170" s="1" t="s">
        <v>25</v>
      </c>
      <c r="I170" s="1" t="s">
        <v>23</v>
      </c>
      <c r="M170" s="1" t="b">
        <v>0</v>
      </c>
    </row>
    <row r="171" spans="4:13">
      <c r="D171" s="1" t="s">
        <v>86</v>
      </c>
      <c r="E171" s="1" t="s">
        <v>50</v>
      </c>
      <c r="H171" s="1" t="s">
        <v>25</v>
      </c>
      <c r="I171" s="1" t="s">
        <v>23</v>
      </c>
      <c r="M171" s="1" t="b">
        <v>0</v>
      </c>
    </row>
    <row r="172" spans="4:13">
      <c r="D172" s="1" t="s">
        <v>86</v>
      </c>
      <c r="E172" s="1" t="s">
        <v>51</v>
      </c>
      <c r="F172" s="1" t="s">
        <v>52</v>
      </c>
      <c r="G172" s="1" t="s">
        <v>53</v>
      </c>
      <c r="H172" s="1" t="s">
        <v>22</v>
      </c>
      <c r="I172" s="1" t="s">
        <v>23</v>
      </c>
      <c r="J172" s="1">
        <v>0</v>
      </c>
      <c r="K172" s="1">
        <v>7936641438.6555996</v>
      </c>
      <c r="L172" s="1">
        <v>7936.6414386555998</v>
      </c>
      <c r="M172" s="1">
        <v>7936.6414386555998</v>
      </c>
    </row>
    <row r="173" spans="4:13">
      <c r="D173" s="1" t="s">
        <v>86</v>
      </c>
      <c r="E173" s="1" t="s">
        <v>54</v>
      </c>
      <c r="H173" s="1" t="s">
        <v>25</v>
      </c>
      <c r="I173" s="1" t="s">
        <v>23</v>
      </c>
      <c r="M173" s="1" t="b">
        <v>0</v>
      </c>
    </row>
    <row r="174" spans="4:13">
      <c r="D174" s="1" t="s">
        <v>86</v>
      </c>
      <c r="E174" s="1" t="s">
        <v>55</v>
      </c>
      <c r="F174" s="1" t="s">
        <v>56</v>
      </c>
      <c r="G174" s="1" t="s">
        <v>57</v>
      </c>
      <c r="H174" s="1" t="s">
        <v>22</v>
      </c>
      <c r="I174" s="1" t="s">
        <v>23</v>
      </c>
      <c r="J174" s="1">
        <v>0</v>
      </c>
      <c r="K174" s="1">
        <v>9427.4529524635982</v>
      </c>
      <c r="L174" s="1">
        <v>50.713895374744951</v>
      </c>
      <c r="M174" s="1">
        <v>50.763208205573221</v>
      </c>
    </row>
    <row r="175" spans="4:13">
      <c r="D175" s="1" t="s">
        <v>86</v>
      </c>
      <c r="E175" s="1" t="s">
        <v>58</v>
      </c>
      <c r="H175" s="1" t="s">
        <v>25</v>
      </c>
      <c r="I175" s="1" t="s">
        <v>23</v>
      </c>
      <c r="M175" s="1" t="b">
        <v>0</v>
      </c>
    </row>
    <row r="176" spans="4:13">
      <c r="D176" s="1" t="s">
        <v>86</v>
      </c>
      <c r="E176" s="1" t="s">
        <v>59</v>
      </c>
      <c r="F176" s="1" t="s">
        <v>60</v>
      </c>
      <c r="G176" s="1" t="s">
        <v>61</v>
      </c>
      <c r="H176" s="1" t="s">
        <v>22</v>
      </c>
      <c r="I176" s="1" t="s">
        <v>23</v>
      </c>
      <c r="J176" s="1">
        <v>-9.5538358650799999</v>
      </c>
      <c r="K176" s="1">
        <v>9.5538358650799999</v>
      </c>
      <c r="L176" s="1">
        <v>0.23884589662700001</v>
      </c>
      <c r="M176" s="1">
        <v>0.23884589662700001</v>
      </c>
    </row>
    <row r="177" spans="4:13">
      <c r="D177" s="1" t="s">
        <v>86</v>
      </c>
      <c r="E177" s="1" t="s">
        <v>62</v>
      </c>
      <c r="H177" s="1" t="s">
        <v>63</v>
      </c>
      <c r="I177" s="1" t="s">
        <v>23</v>
      </c>
      <c r="M177" s="1">
        <v>1</v>
      </c>
    </row>
    <row r="178" spans="4:13">
      <c r="D178" s="1" t="s">
        <v>86</v>
      </c>
      <c r="E178" s="1" t="s">
        <v>64</v>
      </c>
      <c r="F178" s="1" t="s">
        <v>35</v>
      </c>
      <c r="G178" s="1" t="s">
        <v>36</v>
      </c>
      <c r="H178" s="1" t="s">
        <v>22</v>
      </c>
      <c r="I178" s="1" t="s">
        <v>65</v>
      </c>
      <c r="J178" s="1">
        <v>-459.67</v>
      </c>
      <c r="L178" s="1">
        <v>80.329999999999984</v>
      </c>
    </row>
    <row r="179" spans="4:13">
      <c r="D179" s="1" t="s">
        <v>86</v>
      </c>
      <c r="E179" s="1" t="s">
        <v>66</v>
      </c>
      <c r="F179" s="1" t="s">
        <v>35</v>
      </c>
      <c r="G179" s="1" t="s">
        <v>36</v>
      </c>
      <c r="H179" s="1" t="s">
        <v>22</v>
      </c>
      <c r="I179" s="1" t="s">
        <v>65</v>
      </c>
      <c r="J179" s="1">
        <v>-459.67</v>
      </c>
      <c r="L179" s="1">
        <v>80.329999999999984</v>
      </c>
    </row>
    <row r="180" spans="4:13">
      <c r="D180" s="1" t="s">
        <v>86</v>
      </c>
      <c r="E180" s="1" t="s">
        <v>67</v>
      </c>
      <c r="F180" s="1" t="s">
        <v>41</v>
      </c>
      <c r="G180" s="1" t="s">
        <v>42</v>
      </c>
      <c r="H180" s="1" t="s">
        <v>22</v>
      </c>
      <c r="I180" s="1" t="s">
        <v>65</v>
      </c>
      <c r="L180" s="1">
        <v>1.8</v>
      </c>
    </row>
    <row r="181" spans="4:13">
      <c r="D181" s="1" t="s">
        <v>86</v>
      </c>
      <c r="E181" s="1" t="s">
        <v>68</v>
      </c>
      <c r="F181" s="1" t="s">
        <v>45</v>
      </c>
      <c r="G181" s="1" t="s">
        <v>46</v>
      </c>
      <c r="H181" s="1" t="s">
        <v>22</v>
      </c>
      <c r="I181" s="1" t="s">
        <v>65</v>
      </c>
      <c r="L181" s="1">
        <v>4.2992261378713571E-4</v>
      </c>
    </row>
    <row r="182" spans="4:13">
      <c r="D182" s="1" t="s">
        <v>86</v>
      </c>
      <c r="E182" s="1" t="s">
        <v>69</v>
      </c>
      <c r="H182" s="1" t="s">
        <v>25</v>
      </c>
      <c r="I182" s="1" t="s">
        <v>70</v>
      </c>
    </row>
    <row r="183" spans="4:13">
      <c r="D183" s="1" t="s">
        <v>86</v>
      </c>
      <c r="E183" s="1" t="s">
        <v>71</v>
      </c>
      <c r="F183" s="1" t="s">
        <v>52</v>
      </c>
      <c r="G183" s="1" t="s">
        <v>53</v>
      </c>
      <c r="H183" s="1" t="s">
        <v>22</v>
      </c>
      <c r="I183" s="1" t="s">
        <v>65</v>
      </c>
      <c r="L183" s="1">
        <v>7936.6414386555998</v>
      </c>
    </row>
    <row r="184" spans="4:13">
      <c r="D184" s="1" t="s">
        <v>86</v>
      </c>
      <c r="E184" s="1" t="s">
        <v>72</v>
      </c>
      <c r="F184" s="1" t="s">
        <v>56</v>
      </c>
      <c r="G184" s="1" t="s">
        <v>57</v>
      </c>
      <c r="H184" s="1" t="s">
        <v>22</v>
      </c>
      <c r="I184" s="1" t="s">
        <v>65</v>
      </c>
      <c r="J184" s="1">
        <v>0</v>
      </c>
      <c r="L184" s="1">
        <v>14.503773773020921</v>
      </c>
    </row>
    <row r="185" spans="4:13">
      <c r="D185" s="1" t="s">
        <v>86</v>
      </c>
      <c r="E185" s="1" t="s">
        <v>73</v>
      </c>
      <c r="F185" s="1" t="s">
        <v>60</v>
      </c>
      <c r="G185" s="1" t="s">
        <v>61</v>
      </c>
      <c r="H185" s="1" t="s">
        <v>22</v>
      </c>
      <c r="I185" s="1" t="s">
        <v>65</v>
      </c>
      <c r="L185" s="1">
        <v>2.38845896627E-4</v>
      </c>
    </row>
    <row r="186" spans="4:13">
      <c r="D186" s="1" t="s">
        <v>86</v>
      </c>
      <c r="E186" s="1" t="s">
        <v>74</v>
      </c>
      <c r="F186" s="1" t="s">
        <v>75</v>
      </c>
      <c r="G186" s="1" t="s">
        <v>76</v>
      </c>
      <c r="H186" s="1" t="s">
        <v>22</v>
      </c>
      <c r="I186" s="1" t="s">
        <v>65</v>
      </c>
      <c r="J186" s="1">
        <v>0</v>
      </c>
      <c r="L186" s="1">
        <v>16.018463521800001</v>
      </c>
    </row>
    <row r="187" spans="4:13">
      <c r="D187" s="1" t="s">
        <v>86</v>
      </c>
      <c r="E187" s="1" t="s">
        <v>77</v>
      </c>
      <c r="H187" s="1" t="s">
        <v>22</v>
      </c>
      <c r="I187" s="1" t="s">
        <v>65</v>
      </c>
      <c r="L187" s="1">
        <v>1</v>
      </c>
    </row>
    <row r="188" spans="4:13">
      <c r="D188" s="1" t="s">
        <v>86</v>
      </c>
      <c r="E188" s="1" t="s">
        <v>78</v>
      </c>
      <c r="H188" s="1" t="s">
        <v>25</v>
      </c>
      <c r="I188" s="1" t="s">
        <v>23</v>
      </c>
      <c r="M188" s="1" t="b">
        <v>0</v>
      </c>
    </row>
    <row r="189" spans="4:13">
      <c r="D189" s="1" t="s">
        <v>86</v>
      </c>
      <c r="E189" s="1" t="s">
        <v>79</v>
      </c>
      <c r="F189" s="1" t="s">
        <v>75</v>
      </c>
      <c r="G189" s="1" t="s">
        <v>76</v>
      </c>
      <c r="H189" s="1" t="s">
        <v>22</v>
      </c>
      <c r="I189" s="1" t="s">
        <v>23</v>
      </c>
      <c r="J189" s="1">
        <v>0</v>
      </c>
      <c r="K189" s="1">
        <v>96.110781130800007</v>
      </c>
      <c r="L189" s="1">
        <v>16.018463521800001</v>
      </c>
      <c r="M189" s="1">
        <v>1.6018463521800002</v>
      </c>
    </row>
    <row r="190" spans="4:13">
      <c r="D190" s="1" t="s">
        <v>86</v>
      </c>
      <c r="E190" s="1" t="s">
        <v>80</v>
      </c>
      <c r="H190" s="1" t="s">
        <v>25</v>
      </c>
      <c r="I190" s="1" t="s">
        <v>23</v>
      </c>
      <c r="M190" s="1" t="b">
        <v>0</v>
      </c>
    </row>
    <row r="191" spans="4:13">
      <c r="D191" s="1" t="s">
        <v>86</v>
      </c>
      <c r="E191" s="1" t="s">
        <v>81</v>
      </c>
      <c r="H191" s="1" t="s">
        <v>25</v>
      </c>
      <c r="I191" s="1" t="s">
        <v>23</v>
      </c>
      <c r="M191" s="1" t="b">
        <v>0</v>
      </c>
    </row>
    <row r="192" spans="4:13">
      <c r="D192" s="1" t="s">
        <v>86</v>
      </c>
      <c r="E192" s="1" t="s">
        <v>82</v>
      </c>
      <c r="H192" s="1" t="s">
        <v>22</v>
      </c>
      <c r="I192" s="1" t="s">
        <v>23</v>
      </c>
      <c r="J192" s="1">
        <v>-1</v>
      </c>
      <c r="K192" s="1">
        <v>3</v>
      </c>
      <c r="L192" s="1">
        <v>1</v>
      </c>
      <c r="M192" s="1">
        <v>1.01</v>
      </c>
    </row>
    <row r="193" spans="4:13">
      <c r="D193" s="1" t="s">
        <v>87</v>
      </c>
      <c r="E193" s="1" t="s">
        <v>28</v>
      </c>
      <c r="H193" s="1" t="s">
        <v>22</v>
      </c>
      <c r="I193" s="1" t="s">
        <v>29</v>
      </c>
      <c r="J193" s="1">
        <v>34000</v>
      </c>
      <c r="K193" s="1">
        <v>4300000</v>
      </c>
      <c r="L193" s="1">
        <v>349660</v>
      </c>
    </row>
    <row r="194" spans="4:13">
      <c r="D194" s="1" t="s">
        <v>87</v>
      </c>
      <c r="E194" s="1" t="s">
        <v>30</v>
      </c>
      <c r="H194" s="1" t="s">
        <v>22</v>
      </c>
      <c r="I194" s="1" t="s">
        <v>29</v>
      </c>
      <c r="J194" s="1">
        <v>-3.94</v>
      </c>
      <c r="K194" s="1">
        <v>3.66</v>
      </c>
      <c r="L194" s="1">
        <v>1</v>
      </c>
    </row>
    <row r="195" spans="4:13">
      <c r="D195" s="1" t="s">
        <v>87</v>
      </c>
      <c r="E195" s="1" t="s">
        <v>31</v>
      </c>
      <c r="H195" s="1" t="s">
        <v>22</v>
      </c>
      <c r="I195" s="1" t="s">
        <v>29</v>
      </c>
      <c r="J195" s="1">
        <v>0</v>
      </c>
      <c r="K195" s="1">
        <v>100</v>
      </c>
      <c r="L195" s="1">
        <v>1</v>
      </c>
    </row>
    <row r="196" spans="4:13">
      <c r="D196" s="1" t="s">
        <v>87</v>
      </c>
      <c r="E196" s="1" t="s">
        <v>32</v>
      </c>
      <c r="H196" s="1" t="s">
        <v>22</v>
      </c>
      <c r="I196" s="1" t="s">
        <v>29</v>
      </c>
      <c r="J196" s="1">
        <v>-3.94</v>
      </c>
      <c r="K196" s="1">
        <v>3.66</v>
      </c>
      <c r="L196" s="1">
        <v>1</v>
      </c>
    </row>
    <row r="197" spans="4:13">
      <c r="D197" s="1" t="s">
        <v>87</v>
      </c>
      <c r="E197" s="1" t="s">
        <v>33</v>
      </c>
      <c r="H197" s="1" t="s">
        <v>25</v>
      </c>
      <c r="I197" s="1" t="s">
        <v>23</v>
      </c>
      <c r="M197" s="1" t="b">
        <v>0</v>
      </c>
    </row>
    <row r="198" spans="4:13">
      <c r="D198" s="1" t="s">
        <v>87</v>
      </c>
      <c r="E198" s="1" t="s">
        <v>34</v>
      </c>
      <c r="F198" s="1" t="s">
        <v>35</v>
      </c>
      <c r="G198" s="1" t="s">
        <v>36</v>
      </c>
      <c r="H198" s="1" t="s">
        <v>22</v>
      </c>
      <c r="I198" s="1" t="s">
        <v>23</v>
      </c>
      <c r="J198" s="1">
        <v>-459.67</v>
      </c>
      <c r="K198" s="1">
        <v>980.32999999999993</v>
      </c>
      <c r="L198" s="1">
        <v>80.329999999999984</v>
      </c>
      <c r="M198" s="1">
        <v>67.999999999999943</v>
      </c>
    </row>
    <row r="199" spans="4:13">
      <c r="D199" s="1" t="s">
        <v>87</v>
      </c>
      <c r="E199" s="1" t="s">
        <v>37</v>
      </c>
      <c r="H199" s="1" t="s">
        <v>25</v>
      </c>
      <c r="I199" s="1" t="s">
        <v>23</v>
      </c>
      <c r="M199" s="1" t="b">
        <v>0</v>
      </c>
    </row>
    <row r="200" spans="4:13">
      <c r="D200" s="1" t="s">
        <v>87</v>
      </c>
      <c r="E200" s="1" t="s">
        <v>38</v>
      </c>
      <c r="F200" s="1" t="s">
        <v>35</v>
      </c>
      <c r="G200" s="1" t="s">
        <v>36</v>
      </c>
      <c r="H200" s="1" t="s">
        <v>22</v>
      </c>
      <c r="I200" s="1" t="s">
        <v>23</v>
      </c>
      <c r="J200" s="1">
        <v>-99.670000000000016</v>
      </c>
      <c r="K200" s="1">
        <v>980.32999999999993</v>
      </c>
      <c r="L200" s="1">
        <v>80.329999999999984</v>
      </c>
      <c r="M200" s="1">
        <v>13.999999999999943</v>
      </c>
    </row>
    <row r="201" spans="4:13">
      <c r="D201" s="1" t="s">
        <v>87</v>
      </c>
      <c r="E201" s="1" t="s">
        <v>39</v>
      </c>
      <c r="H201" s="1" t="s">
        <v>25</v>
      </c>
      <c r="I201" s="1" t="s">
        <v>23</v>
      </c>
      <c r="M201" s="1" t="b">
        <v>0</v>
      </c>
    </row>
    <row r="202" spans="4:13">
      <c r="D202" s="1" t="s">
        <v>87</v>
      </c>
      <c r="E202" s="1" t="s">
        <v>40</v>
      </c>
      <c r="F202" s="1" t="s">
        <v>41</v>
      </c>
      <c r="G202" s="1" t="s">
        <v>42</v>
      </c>
      <c r="H202" s="1" t="s">
        <v>22</v>
      </c>
      <c r="I202" s="1" t="s">
        <v>23</v>
      </c>
      <c r="J202" s="1">
        <v>-900</v>
      </c>
      <c r="K202" s="1">
        <v>900</v>
      </c>
      <c r="L202" s="1">
        <v>1.8</v>
      </c>
      <c r="M202" s="1">
        <v>9</v>
      </c>
    </row>
    <row r="203" spans="4:13">
      <c r="D203" s="1" t="s">
        <v>87</v>
      </c>
      <c r="E203" s="1" t="s">
        <v>43</v>
      </c>
      <c r="H203" s="1" t="s">
        <v>25</v>
      </c>
      <c r="I203" s="1" t="s">
        <v>23</v>
      </c>
      <c r="M203" s="1" t="b">
        <v>0</v>
      </c>
    </row>
    <row r="204" spans="4:13">
      <c r="D204" s="1" t="s">
        <v>87</v>
      </c>
      <c r="E204" s="1" t="s">
        <v>44</v>
      </c>
      <c r="F204" s="1" t="s">
        <v>45</v>
      </c>
      <c r="G204" s="1" t="s">
        <v>46</v>
      </c>
      <c r="H204" s="1" t="s">
        <v>22</v>
      </c>
      <c r="I204" s="1" t="s">
        <v>23</v>
      </c>
      <c r="J204" s="1">
        <v>-85.984522757427143</v>
      </c>
      <c r="K204" s="1">
        <v>8598.4522757427148</v>
      </c>
      <c r="L204" s="1">
        <v>114.79148749423418</v>
      </c>
      <c r="M204" s="1">
        <v>128.97678413614071</v>
      </c>
    </row>
    <row r="205" spans="4:13">
      <c r="D205" s="1" t="s">
        <v>87</v>
      </c>
      <c r="E205" s="1" t="s">
        <v>47</v>
      </c>
      <c r="H205" s="1" t="s">
        <v>25</v>
      </c>
      <c r="I205" s="1" t="s">
        <v>23</v>
      </c>
      <c r="M205" s="1" t="b">
        <v>0</v>
      </c>
    </row>
    <row r="206" spans="4:13">
      <c r="D206" s="1" t="s">
        <v>87</v>
      </c>
      <c r="E206" s="1" t="s">
        <v>48</v>
      </c>
      <c r="H206" s="1" t="s">
        <v>25</v>
      </c>
      <c r="I206" s="1" t="s">
        <v>23</v>
      </c>
      <c r="M206" s="1" t="b">
        <v>0</v>
      </c>
    </row>
    <row r="207" spans="4:13">
      <c r="D207" s="1" t="s">
        <v>87</v>
      </c>
      <c r="E207" s="1" t="s">
        <v>49</v>
      </c>
      <c r="H207" s="1" t="s">
        <v>25</v>
      </c>
      <c r="I207" s="1" t="s">
        <v>23</v>
      </c>
      <c r="M207" s="1" t="b">
        <v>0</v>
      </c>
    </row>
    <row r="208" spans="4:13">
      <c r="D208" s="1" t="s">
        <v>87</v>
      </c>
      <c r="E208" s="1" t="s">
        <v>50</v>
      </c>
      <c r="H208" s="1" t="s">
        <v>25</v>
      </c>
      <c r="I208" s="1" t="s">
        <v>23</v>
      </c>
      <c r="M208" s="1" t="b">
        <v>0</v>
      </c>
    </row>
    <row r="209" spans="4:13">
      <c r="D209" s="1" t="s">
        <v>87</v>
      </c>
      <c r="E209" s="1" t="s">
        <v>51</v>
      </c>
      <c r="F209" s="1" t="s">
        <v>52</v>
      </c>
      <c r="G209" s="1" t="s">
        <v>53</v>
      </c>
      <c r="H209" s="1" t="s">
        <v>22</v>
      </c>
      <c r="I209" s="1" t="s">
        <v>23</v>
      </c>
      <c r="J209" s="1">
        <v>0</v>
      </c>
      <c r="K209" s="1">
        <v>7936641438.6555996</v>
      </c>
      <c r="L209" s="1">
        <v>7936.6414386555998</v>
      </c>
      <c r="M209" s="1">
        <v>7936.6414386555998</v>
      </c>
    </row>
    <row r="210" spans="4:13">
      <c r="D210" s="1" t="s">
        <v>87</v>
      </c>
      <c r="E210" s="1" t="s">
        <v>54</v>
      </c>
      <c r="H210" s="1" t="s">
        <v>25</v>
      </c>
      <c r="I210" s="1" t="s">
        <v>23</v>
      </c>
      <c r="M210" s="1" t="b">
        <v>0</v>
      </c>
    </row>
    <row r="211" spans="4:13">
      <c r="D211" s="1" t="s">
        <v>87</v>
      </c>
      <c r="E211" s="1" t="s">
        <v>55</v>
      </c>
      <c r="F211" s="1" t="s">
        <v>56</v>
      </c>
      <c r="G211" s="1" t="s">
        <v>57</v>
      </c>
      <c r="H211" s="1" t="s">
        <v>22</v>
      </c>
      <c r="I211" s="1" t="s">
        <v>23</v>
      </c>
      <c r="J211" s="1">
        <v>0</v>
      </c>
      <c r="K211" s="1">
        <v>9427.4529524635982</v>
      </c>
      <c r="L211" s="1">
        <v>50.713895374744951</v>
      </c>
      <c r="M211" s="1">
        <v>50.763208205573221</v>
      </c>
    </row>
    <row r="212" spans="4:13">
      <c r="D212" s="1" t="s">
        <v>87</v>
      </c>
      <c r="E212" s="1" t="s">
        <v>58</v>
      </c>
      <c r="H212" s="1" t="s">
        <v>25</v>
      </c>
      <c r="I212" s="1" t="s">
        <v>23</v>
      </c>
      <c r="M212" s="1" t="b">
        <v>0</v>
      </c>
    </row>
    <row r="213" spans="4:13">
      <c r="D213" s="1" t="s">
        <v>87</v>
      </c>
      <c r="E213" s="1" t="s">
        <v>59</v>
      </c>
      <c r="F213" s="1" t="s">
        <v>60</v>
      </c>
      <c r="G213" s="1" t="s">
        <v>61</v>
      </c>
      <c r="H213" s="1" t="s">
        <v>22</v>
      </c>
      <c r="I213" s="1" t="s">
        <v>23</v>
      </c>
      <c r="J213" s="1">
        <v>-9.5538358650799999</v>
      </c>
      <c r="K213" s="1">
        <v>9.5538358650799999</v>
      </c>
      <c r="L213" s="1">
        <v>0.23884589662700001</v>
      </c>
      <c r="M213" s="1">
        <v>0.23884589662700001</v>
      </c>
    </row>
    <row r="214" spans="4:13">
      <c r="D214" s="1" t="s">
        <v>87</v>
      </c>
      <c r="E214" s="1" t="s">
        <v>62</v>
      </c>
      <c r="H214" s="1" t="s">
        <v>63</v>
      </c>
      <c r="I214" s="1" t="s">
        <v>23</v>
      </c>
      <c r="M214" s="1">
        <v>1</v>
      </c>
    </row>
    <row r="215" spans="4:13">
      <c r="D215" s="1" t="s">
        <v>87</v>
      </c>
      <c r="E215" s="1" t="s">
        <v>64</v>
      </c>
      <c r="F215" s="1" t="s">
        <v>35</v>
      </c>
      <c r="G215" s="1" t="s">
        <v>36</v>
      </c>
      <c r="H215" s="1" t="s">
        <v>22</v>
      </c>
      <c r="I215" s="1" t="s">
        <v>65</v>
      </c>
      <c r="J215" s="1">
        <v>-459.67</v>
      </c>
      <c r="L215" s="1">
        <v>80.329999999999984</v>
      </c>
    </row>
    <row r="216" spans="4:13">
      <c r="D216" s="1" t="s">
        <v>87</v>
      </c>
      <c r="E216" s="1" t="s">
        <v>66</v>
      </c>
      <c r="F216" s="1" t="s">
        <v>35</v>
      </c>
      <c r="G216" s="1" t="s">
        <v>36</v>
      </c>
      <c r="H216" s="1" t="s">
        <v>22</v>
      </c>
      <c r="I216" s="1" t="s">
        <v>65</v>
      </c>
      <c r="J216" s="1">
        <v>-459.67</v>
      </c>
      <c r="L216" s="1">
        <v>80.329999999999984</v>
      </c>
    </row>
    <row r="217" spans="4:13">
      <c r="D217" s="1" t="s">
        <v>87</v>
      </c>
      <c r="E217" s="1" t="s">
        <v>67</v>
      </c>
      <c r="F217" s="1" t="s">
        <v>41</v>
      </c>
      <c r="G217" s="1" t="s">
        <v>42</v>
      </c>
      <c r="H217" s="1" t="s">
        <v>22</v>
      </c>
      <c r="I217" s="1" t="s">
        <v>65</v>
      </c>
      <c r="L217" s="1">
        <v>1.8</v>
      </c>
    </row>
    <row r="218" spans="4:13">
      <c r="D218" s="1" t="s">
        <v>87</v>
      </c>
      <c r="E218" s="1" t="s">
        <v>68</v>
      </c>
      <c r="F218" s="1" t="s">
        <v>45</v>
      </c>
      <c r="G218" s="1" t="s">
        <v>46</v>
      </c>
      <c r="H218" s="1" t="s">
        <v>22</v>
      </c>
      <c r="I218" s="1" t="s">
        <v>65</v>
      </c>
      <c r="L218" s="1">
        <v>4.2992261378713571E-4</v>
      </c>
    </row>
    <row r="219" spans="4:13">
      <c r="D219" s="1" t="s">
        <v>87</v>
      </c>
      <c r="E219" s="1" t="s">
        <v>69</v>
      </c>
      <c r="H219" s="1" t="s">
        <v>25</v>
      </c>
      <c r="I219" s="1" t="s">
        <v>70</v>
      </c>
    </row>
    <row r="220" spans="4:13">
      <c r="D220" s="1" t="s">
        <v>87</v>
      </c>
      <c r="E220" s="1" t="s">
        <v>71</v>
      </c>
      <c r="F220" s="1" t="s">
        <v>52</v>
      </c>
      <c r="G220" s="1" t="s">
        <v>53</v>
      </c>
      <c r="H220" s="1" t="s">
        <v>22</v>
      </c>
      <c r="I220" s="1" t="s">
        <v>65</v>
      </c>
      <c r="L220" s="1">
        <v>7936.6414386555998</v>
      </c>
    </row>
    <row r="221" spans="4:13">
      <c r="D221" s="1" t="s">
        <v>87</v>
      </c>
      <c r="E221" s="1" t="s">
        <v>72</v>
      </c>
      <c r="F221" s="1" t="s">
        <v>56</v>
      </c>
      <c r="G221" s="1" t="s">
        <v>57</v>
      </c>
      <c r="H221" s="1" t="s">
        <v>22</v>
      </c>
      <c r="I221" s="1" t="s">
        <v>65</v>
      </c>
      <c r="J221" s="1">
        <v>0</v>
      </c>
      <c r="L221" s="1">
        <v>14.503773773020921</v>
      </c>
    </row>
    <row r="222" spans="4:13">
      <c r="D222" s="1" t="s">
        <v>87</v>
      </c>
      <c r="E222" s="1" t="s">
        <v>73</v>
      </c>
      <c r="F222" s="1" t="s">
        <v>60</v>
      </c>
      <c r="G222" s="1" t="s">
        <v>61</v>
      </c>
      <c r="H222" s="1" t="s">
        <v>22</v>
      </c>
      <c r="I222" s="1" t="s">
        <v>65</v>
      </c>
      <c r="L222" s="1">
        <v>2.38845896627E-4</v>
      </c>
    </row>
    <row r="223" spans="4:13">
      <c r="D223" s="1" t="s">
        <v>87</v>
      </c>
      <c r="E223" s="1" t="s">
        <v>74</v>
      </c>
      <c r="F223" s="1" t="s">
        <v>75</v>
      </c>
      <c r="G223" s="1" t="s">
        <v>76</v>
      </c>
      <c r="H223" s="1" t="s">
        <v>22</v>
      </c>
      <c r="I223" s="1" t="s">
        <v>65</v>
      </c>
      <c r="J223" s="1">
        <v>0</v>
      </c>
      <c r="L223" s="1">
        <v>16.018463521800001</v>
      </c>
    </row>
    <row r="224" spans="4:13">
      <c r="D224" s="1" t="s">
        <v>87</v>
      </c>
      <c r="E224" s="1" t="s">
        <v>77</v>
      </c>
      <c r="H224" s="1" t="s">
        <v>22</v>
      </c>
      <c r="I224" s="1" t="s">
        <v>65</v>
      </c>
      <c r="L224" s="1">
        <v>1</v>
      </c>
    </row>
    <row r="225" spans="4:13">
      <c r="D225" s="1" t="s">
        <v>87</v>
      </c>
      <c r="E225" s="1" t="s">
        <v>78</v>
      </c>
      <c r="H225" s="1" t="s">
        <v>25</v>
      </c>
      <c r="I225" s="1" t="s">
        <v>23</v>
      </c>
      <c r="M225" s="1" t="b">
        <v>0</v>
      </c>
    </row>
    <row r="226" spans="4:13">
      <c r="D226" s="1" t="s">
        <v>87</v>
      </c>
      <c r="E226" s="1" t="s">
        <v>79</v>
      </c>
      <c r="F226" s="1" t="s">
        <v>75</v>
      </c>
      <c r="G226" s="1" t="s">
        <v>76</v>
      </c>
      <c r="H226" s="1" t="s">
        <v>22</v>
      </c>
      <c r="I226" s="1" t="s">
        <v>23</v>
      </c>
      <c r="J226" s="1">
        <v>0</v>
      </c>
      <c r="K226" s="1">
        <v>96.110781130800007</v>
      </c>
      <c r="L226" s="1">
        <v>16.018463521800001</v>
      </c>
      <c r="M226" s="1">
        <v>1.6018463521800002</v>
      </c>
    </row>
    <row r="227" spans="4:13">
      <c r="D227" s="1" t="s">
        <v>87</v>
      </c>
      <c r="E227" s="1" t="s">
        <v>80</v>
      </c>
      <c r="H227" s="1" t="s">
        <v>25</v>
      </c>
      <c r="I227" s="1" t="s">
        <v>23</v>
      </c>
      <c r="M227" s="1" t="b">
        <v>0</v>
      </c>
    </row>
    <row r="228" spans="4:13">
      <c r="D228" s="1" t="s">
        <v>87</v>
      </c>
      <c r="E228" s="1" t="s">
        <v>81</v>
      </c>
      <c r="H228" s="1" t="s">
        <v>25</v>
      </c>
      <c r="I228" s="1" t="s">
        <v>23</v>
      </c>
      <c r="M228" s="1" t="b">
        <v>0</v>
      </c>
    </row>
    <row r="229" spans="4:13">
      <c r="D229" s="1" t="s">
        <v>87</v>
      </c>
      <c r="E229" s="1" t="s">
        <v>82</v>
      </c>
      <c r="H229" s="1" t="s">
        <v>22</v>
      </c>
      <c r="I229" s="1" t="s">
        <v>23</v>
      </c>
      <c r="J229" s="1">
        <v>-1</v>
      </c>
      <c r="K229" s="1">
        <v>3</v>
      </c>
      <c r="L229" s="1">
        <v>1</v>
      </c>
      <c r="M229" s="1">
        <v>1.01</v>
      </c>
    </row>
    <row r="230" spans="4:13">
      <c r="D230" s="1" t="s">
        <v>88</v>
      </c>
      <c r="E230" s="1" t="s">
        <v>28</v>
      </c>
      <c r="H230" s="1" t="s">
        <v>22</v>
      </c>
      <c r="I230" s="1" t="s">
        <v>29</v>
      </c>
      <c r="J230" s="1">
        <v>34000</v>
      </c>
      <c r="K230" s="1">
        <v>4300000</v>
      </c>
      <c r="L230" s="1">
        <v>349660</v>
      </c>
    </row>
    <row r="231" spans="4:13">
      <c r="D231" s="1" t="s">
        <v>88</v>
      </c>
      <c r="E231" s="1" t="s">
        <v>30</v>
      </c>
      <c r="H231" s="1" t="s">
        <v>22</v>
      </c>
      <c r="I231" s="1" t="s">
        <v>29</v>
      </c>
      <c r="J231" s="1">
        <v>-3.94</v>
      </c>
      <c r="K231" s="1">
        <v>3.66</v>
      </c>
      <c r="L231" s="1">
        <v>1</v>
      </c>
    </row>
    <row r="232" spans="4:13">
      <c r="D232" s="1" t="s">
        <v>88</v>
      </c>
      <c r="E232" s="1" t="s">
        <v>31</v>
      </c>
      <c r="H232" s="1" t="s">
        <v>22</v>
      </c>
      <c r="I232" s="1" t="s">
        <v>29</v>
      </c>
      <c r="J232" s="1">
        <v>0</v>
      </c>
      <c r="K232" s="1">
        <v>100</v>
      </c>
      <c r="L232" s="1">
        <v>1</v>
      </c>
    </row>
    <row r="233" spans="4:13">
      <c r="D233" s="1" t="s">
        <v>88</v>
      </c>
      <c r="E233" s="1" t="s">
        <v>32</v>
      </c>
      <c r="H233" s="1" t="s">
        <v>22</v>
      </c>
      <c r="I233" s="1" t="s">
        <v>29</v>
      </c>
      <c r="J233" s="1">
        <v>-3.94</v>
      </c>
      <c r="K233" s="1">
        <v>3.66</v>
      </c>
      <c r="L233" s="1">
        <v>1</v>
      </c>
    </row>
    <row r="234" spans="4:13">
      <c r="D234" s="1" t="s">
        <v>88</v>
      </c>
      <c r="E234" s="1" t="s">
        <v>33</v>
      </c>
      <c r="H234" s="1" t="s">
        <v>25</v>
      </c>
      <c r="I234" s="1" t="s">
        <v>23</v>
      </c>
      <c r="M234" s="1" t="b">
        <v>0</v>
      </c>
    </row>
    <row r="235" spans="4:13">
      <c r="D235" s="1" t="s">
        <v>88</v>
      </c>
      <c r="E235" s="1" t="s">
        <v>34</v>
      </c>
      <c r="F235" s="1" t="s">
        <v>35</v>
      </c>
      <c r="G235" s="1" t="s">
        <v>36</v>
      </c>
      <c r="H235" s="1" t="s">
        <v>22</v>
      </c>
      <c r="I235" s="1" t="s">
        <v>23</v>
      </c>
      <c r="J235" s="1">
        <v>-459.67</v>
      </c>
      <c r="K235" s="1">
        <v>980.32999999999993</v>
      </c>
      <c r="L235" s="1">
        <v>80.329999999999984</v>
      </c>
      <c r="M235" s="1">
        <v>67.999999999999943</v>
      </c>
    </row>
    <row r="236" spans="4:13">
      <c r="D236" s="1" t="s">
        <v>88</v>
      </c>
      <c r="E236" s="1" t="s">
        <v>37</v>
      </c>
      <c r="H236" s="1" t="s">
        <v>25</v>
      </c>
      <c r="I236" s="1" t="s">
        <v>23</v>
      </c>
      <c r="M236" s="1" t="b">
        <v>0</v>
      </c>
    </row>
    <row r="237" spans="4:13">
      <c r="D237" s="1" t="s">
        <v>88</v>
      </c>
      <c r="E237" s="1" t="s">
        <v>38</v>
      </c>
      <c r="F237" s="1" t="s">
        <v>35</v>
      </c>
      <c r="G237" s="1" t="s">
        <v>36</v>
      </c>
      <c r="H237" s="1" t="s">
        <v>22</v>
      </c>
      <c r="I237" s="1" t="s">
        <v>23</v>
      </c>
      <c r="J237" s="1">
        <v>-99.670000000000016</v>
      </c>
      <c r="K237" s="1">
        <v>980.32999999999993</v>
      </c>
      <c r="L237" s="1">
        <v>80.329999999999984</v>
      </c>
      <c r="M237" s="1">
        <v>13.999999999999943</v>
      </c>
    </row>
    <row r="238" spans="4:13">
      <c r="D238" s="1" t="s">
        <v>88</v>
      </c>
      <c r="E238" s="1" t="s">
        <v>39</v>
      </c>
      <c r="H238" s="1" t="s">
        <v>25</v>
      </c>
      <c r="I238" s="1" t="s">
        <v>23</v>
      </c>
      <c r="M238" s="1" t="b">
        <v>0</v>
      </c>
    </row>
    <row r="239" spans="4:13">
      <c r="D239" s="1" t="s">
        <v>88</v>
      </c>
      <c r="E239" s="1" t="s">
        <v>40</v>
      </c>
      <c r="F239" s="1" t="s">
        <v>41</v>
      </c>
      <c r="G239" s="1" t="s">
        <v>42</v>
      </c>
      <c r="H239" s="1" t="s">
        <v>22</v>
      </c>
      <c r="I239" s="1" t="s">
        <v>23</v>
      </c>
      <c r="J239" s="1">
        <v>-900</v>
      </c>
      <c r="K239" s="1">
        <v>900</v>
      </c>
      <c r="L239" s="1">
        <v>1.8</v>
      </c>
      <c r="M239" s="1">
        <v>9</v>
      </c>
    </row>
    <row r="240" spans="4:13">
      <c r="D240" s="1" t="s">
        <v>88</v>
      </c>
      <c r="E240" s="1" t="s">
        <v>43</v>
      </c>
      <c r="H240" s="1" t="s">
        <v>25</v>
      </c>
      <c r="I240" s="1" t="s">
        <v>23</v>
      </c>
      <c r="M240" s="1" t="b">
        <v>0</v>
      </c>
    </row>
    <row r="241" spans="4:13">
      <c r="D241" s="1" t="s">
        <v>88</v>
      </c>
      <c r="E241" s="1" t="s">
        <v>44</v>
      </c>
      <c r="F241" s="1" t="s">
        <v>45</v>
      </c>
      <c r="G241" s="1" t="s">
        <v>46</v>
      </c>
      <c r="H241" s="1" t="s">
        <v>22</v>
      </c>
      <c r="I241" s="1" t="s">
        <v>23</v>
      </c>
      <c r="J241" s="1">
        <v>-85.984522757427143</v>
      </c>
      <c r="K241" s="1">
        <v>8598.4522757427148</v>
      </c>
      <c r="L241" s="1">
        <v>114.79148749423418</v>
      </c>
      <c r="M241" s="1">
        <v>128.97678413614071</v>
      </c>
    </row>
    <row r="242" spans="4:13">
      <c r="D242" s="1" t="s">
        <v>88</v>
      </c>
      <c r="E242" s="1" t="s">
        <v>47</v>
      </c>
      <c r="H242" s="1" t="s">
        <v>25</v>
      </c>
      <c r="I242" s="1" t="s">
        <v>23</v>
      </c>
      <c r="M242" s="1" t="b">
        <v>0</v>
      </c>
    </row>
    <row r="243" spans="4:13">
      <c r="D243" s="1" t="s">
        <v>88</v>
      </c>
      <c r="E243" s="1" t="s">
        <v>48</v>
      </c>
      <c r="H243" s="1" t="s">
        <v>25</v>
      </c>
      <c r="I243" s="1" t="s">
        <v>23</v>
      </c>
      <c r="M243" s="1" t="b">
        <v>0</v>
      </c>
    </row>
    <row r="244" spans="4:13">
      <c r="D244" s="1" t="s">
        <v>88</v>
      </c>
      <c r="E244" s="1" t="s">
        <v>49</v>
      </c>
      <c r="H244" s="1" t="s">
        <v>25</v>
      </c>
      <c r="I244" s="1" t="s">
        <v>23</v>
      </c>
      <c r="M244" s="1" t="b">
        <v>0</v>
      </c>
    </row>
    <row r="245" spans="4:13">
      <c r="D245" s="1" t="s">
        <v>88</v>
      </c>
      <c r="E245" s="1" t="s">
        <v>50</v>
      </c>
      <c r="H245" s="1" t="s">
        <v>25</v>
      </c>
      <c r="I245" s="1" t="s">
        <v>23</v>
      </c>
      <c r="M245" s="1" t="b">
        <v>0</v>
      </c>
    </row>
    <row r="246" spans="4:13">
      <c r="D246" s="1" t="s">
        <v>88</v>
      </c>
      <c r="E246" s="1" t="s">
        <v>51</v>
      </c>
      <c r="F246" s="1" t="s">
        <v>52</v>
      </c>
      <c r="G246" s="1" t="s">
        <v>53</v>
      </c>
      <c r="H246" s="1" t="s">
        <v>22</v>
      </c>
      <c r="I246" s="1" t="s">
        <v>23</v>
      </c>
      <c r="J246" s="1">
        <v>0</v>
      </c>
      <c r="K246" s="1">
        <v>7936641438.6555996</v>
      </c>
      <c r="L246" s="1">
        <v>7936.6414386555998</v>
      </c>
      <c r="M246" s="1">
        <v>7936.6414386555998</v>
      </c>
    </row>
    <row r="247" spans="4:13">
      <c r="D247" s="1" t="s">
        <v>88</v>
      </c>
      <c r="E247" s="1" t="s">
        <v>54</v>
      </c>
      <c r="H247" s="1" t="s">
        <v>25</v>
      </c>
      <c r="I247" s="1" t="s">
        <v>23</v>
      </c>
      <c r="M247" s="1" t="b">
        <v>0</v>
      </c>
    </row>
    <row r="248" spans="4:13">
      <c r="D248" s="1" t="s">
        <v>88</v>
      </c>
      <c r="E248" s="1" t="s">
        <v>55</v>
      </c>
      <c r="F248" s="1" t="s">
        <v>56</v>
      </c>
      <c r="G248" s="1" t="s">
        <v>57</v>
      </c>
      <c r="H248" s="1" t="s">
        <v>22</v>
      </c>
      <c r="I248" s="1" t="s">
        <v>23</v>
      </c>
      <c r="J248" s="1">
        <v>0</v>
      </c>
      <c r="K248" s="1">
        <v>9427.4529524635982</v>
      </c>
      <c r="L248" s="1">
        <v>50.713895374744951</v>
      </c>
      <c r="M248" s="1">
        <v>50.763208205573221</v>
      </c>
    </row>
    <row r="249" spans="4:13">
      <c r="D249" s="1" t="s">
        <v>88</v>
      </c>
      <c r="E249" s="1" t="s">
        <v>58</v>
      </c>
      <c r="H249" s="1" t="s">
        <v>25</v>
      </c>
      <c r="I249" s="1" t="s">
        <v>23</v>
      </c>
      <c r="M249" s="1" t="b">
        <v>0</v>
      </c>
    </row>
    <row r="250" spans="4:13">
      <c r="D250" s="1" t="s">
        <v>88</v>
      </c>
      <c r="E250" s="1" t="s">
        <v>59</v>
      </c>
      <c r="F250" s="1" t="s">
        <v>60</v>
      </c>
      <c r="G250" s="1" t="s">
        <v>61</v>
      </c>
      <c r="H250" s="1" t="s">
        <v>22</v>
      </c>
      <c r="I250" s="1" t="s">
        <v>23</v>
      </c>
      <c r="J250" s="1">
        <v>-9.5538358650799999</v>
      </c>
      <c r="K250" s="1">
        <v>9.5538358650799999</v>
      </c>
      <c r="L250" s="1">
        <v>0.23884589662700001</v>
      </c>
      <c r="M250" s="1">
        <v>0.23884589662700001</v>
      </c>
    </row>
    <row r="251" spans="4:13">
      <c r="D251" s="1" t="s">
        <v>88</v>
      </c>
      <c r="E251" s="1" t="s">
        <v>62</v>
      </c>
      <c r="H251" s="1" t="s">
        <v>63</v>
      </c>
      <c r="I251" s="1" t="s">
        <v>23</v>
      </c>
      <c r="M251" s="1">
        <v>1</v>
      </c>
    </row>
    <row r="252" spans="4:13">
      <c r="D252" s="1" t="s">
        <v>88</v>
      </c>
      <c r="E252" s="1" t="s">
        <v>64</v>
      </c>
      <c r="F252" s="1" t="s">
        <v>35</v>
      </c>
      <c r="G252" s="1" t="s">
        <v>36</v>
      </c>
      <c r="H252" s="1" t="s">
        <v>22</v>
      </c>
      <c r="I252" s="1" t="s">
        <v>65</v>
      </c>
      <c r="J252" s="1">
        <v>-459.67</v>
      </c>
      <c r="L252" s="1">
        <v>80.329999999999984</v>
      </c>
    </row>
    <row r="253" spans="4:13">
      <c r="D253" s="1" t="s">
        <v>88</v>
      </c>
      <c r="E253" s="1" t="s">
        <v>66</v>
      </c>
      <c r="F253" s="1" t="s">
        <v>35</v>
      </c>
      <c r="G253" s="1" t="s">
        <v>36</v>
      </c>
      <c r="H253" s="1" t="s">
        <v>22</v>
      </c>
      <c r="I253" s="1" t="s">
        <v>65</v>
      </c>
      <c r="J253" s="1">
        <v>-459.67</v>
      </c>
      <c r="L253" s="1">
        <v>80.329999999999984</v>
      </c>
    </row>
    <row r="254" spans="4:13">
      <c r="D254" s="1" t="s">
        <v>88</v>
      </c>
      <c r="E254" s="1" t="s">
        <v>67</v>
      </c>
      <c r="F254" s="1" t="s">
        <v>41</v>
      </c>
      <c r="G254" s="1" t="s">
        <v>42</v>
      </c>
      <c r="H254" s="1" t="s">
        <v>22</v>
      </c>
      <c r="I254" s="1" t="s">
        <v>65</v>
      </c>
      <c r="L254" s="1">
        <v>1.8</v>
      </c>
    </row>
    <row r="255" spans="4:13">
      <c r="D255" s="1" t="s">
        <v>88</v>
      </c>
      <c r="E255" s="1" t="s">
        <v>68</v>
      </c>
      <c r="F255" s="1" t="s">
        <v>45</v>
      </c>
      <c r="G255" s="1" t="s">
        <v>46</v>
      </c>
      <c r="H255" s="1" t="s">
        <v>22</v>
      </c>
      <c r="I255" s="1" t="s">
        <v>65</v>
      </c>
      <c r="L255" s="1">
        <v>4.2992261378713571E-4</v>
      </c>
    </row>
    <row r="256" spans="4:13">
      <c r="D256" s="1" t="s">
        <v>88</v>
      </c>
      <c r="E256" s="1" t="s">
        <v>69</v>
      </c>
      <c r="H256" s="1" t="s">
        <v>25</v>
      </c>
      <c r="I256" s="1" t="s">
        <v>70</v>
      </c>
    </row>
    <row r="257" spans="4:13">
      <c r="D257" s="1" t="s">
        <v>88</v>
      </c>
      <c r="E257" s="1" t="s">
        <v>71</v>
      </c>
      <c r="F257" s="1" t="s">
        <v>52</v>
      </c>
      <c r="G257" s="1" t="s">
        <v>53</v>
      </c>
      <c r="H257" s="1" t="s">
        <v>22</v>
      </c>
      <c r="I257" s="1" t="s">
        <v>65</v>
      </c>
      <c r="L257" s="1">
        <v>7936.6414386555998</v>
      </c>
    </row>
    <row r="258" spans="4:13">
      <c r="D258" s="1" t="s">
        <v>88</v>
      </c>
      <c r="E258" s="1" t="s">
        <v>72</v>
      </c>
      <c r="F258" s="1" t="s">
        <v>56</v>
      </c>
      <c r="G258" s="1" t="s">
        <v>57</v>
      </c>
      <c r="H258" s="1" t="s">
        <v>22</v>
      </c>
      <c r="I258" s="1" t="s">
        <v>65</v>
      </c>
      <c r="J258" s="1">
        <v>0</v>
      </c>
      <c r="L258" s="1">
        <v>14.503773773020921</v>
      </c>
    </row>
    <row r="259" spans="4:13">
      <c r="D259" s="1" t="s">
        <v>88</v>
      </c>
      <c r="E259" s="1" t="s">
        <v>73</v>
      </c>
      <c r="F259" s="1" t="s">
        <v>60</v>
      </c>
      <c r="G259" s="1" t="s">
        <v>61</v>
      </c>
      <c r="H259" s="1" t="s">
        <v>22</v>
      </c>
      <c r="I259" s="1" t="s">
        <v>65</v>
      </c>
      <c r="L259" s="1">
        <v>2.38845896627E-4</v>
      </c>
    </row>
    <row r="260" spans="4:13">
      <c r="D260" s="1" t="s">
        <v>88</v>
      </c>
      <c r="E260" s="1" t="s">
        <v>74</v>
      </c>
      <c r="F260" s="1" t="s">
        <v>75</v>
      </c>
      <c r="G260" s="1" t="s">
        <v>76</v>
      </c>
      <c r="H260" s="1" t="s">
        <v>22</v>
      </c>
      <c r="I260" s="1" t="s">
        <v>65</v>
      </c>
      <c r="J260" s="1">
        <v>0</v>
      </c>
      <c r="L260" s="1">
        <v>16.018463521800001</v>
      </c>
    </row>
    <row r="261" spans="4:13">
      <c r="D261" s="1" t="s">
        <v>88</v>
      </c>
      <c r="E261" s="1" t="s">
        <v>77</v>
      </c>
      <c r="H261" s="1" t="s">
        <v>22</v>
      </c>
      <c r="I261" s="1" t="s">
        <v>65</v>
      </c>
      <c r="L261" s="1">
        <v>1</v>
      </c>
    </row>
    <row r="262" spans="4:13">
      <c r="D262" s="1" t="s">
        <v>88</v>
      </c>
      <c r="E262" s="1" t="s">
        <v>78</v>
      </c>
      <c r="H262" s="1" t="s">
        <v>25</v>
      </c>
      <c r="I262" s="1" t="s">
        <v>23</v>
      </c>
      <c r="M262" s="1" t="b">
        <v>0</v>
      </c>
    </row>
    <row r="263" spans="4:13">
      <c r="D263" s="1" t="s">
        <v>88</v>
      </c>
      <c r="E263" s="1" t="s">
        <v>79</v>
      </c>
      <c r="F263" s="1" t="s">
        <v>75</v>
      </c>
      <c r="G263" s="1" t="s">
        <v>76</v>
      </c>
      <c r="H263" s="1" t="s">
        <v>22</v>
      </c>
      <c r="I263" s="1" t="s">
        <v>23</v>
      </c>
      <c r="J263" s="1">
        <v>0</v>
      </c>
      <c r="K263" s="1">
        <v>96.110781130800007</v>
      </c>
      <c r="L263" s="1">
        <v>16.018463521800001</v>
      </c>
      <c r="M263" s="1">
        <v>1.6018463521800002</v>
      </c>
    </row>
    <row r="264" spans="4:13">
      <c r="D264" s="1" t="s">
        <v>88</v>
      </c>
      <c r="E264" s="1" t="s">
        <v>80</v>
      </c>
      <c r="H264" s="1" t="s">
        <v>25</v>
      </c>
      <c r="I264" s="1" t="s">
        <v>23</v>
      </c>
      <c r="M264" s="1" t="b">
        <v>0</v>
      </c>
    </row>
    <row r="265" spans="4:13">
      <c r="D265" s="1" t="s">
        <v>88</v>
      </c>
      <c r="E265" s="1" t="s">
        <v>81</v>
      </c>
      <c r="H265" s="1" t="s">
        <v>25</v>
      </c>
      <c r="I265" s="1" t="s">
        <v>23</v>
      </c>
      <c r="M265" s="1" t="b">
        <v>0</v>
      </c>
    </row>
    <row r="266" spans="4:13">
      <c r="D266" s="1" t="s">
        <v>88</v>
      </c>
      <c r="E266" s="1" t="s">
        <v>82</v>
      </c>
      <c r="H266" s="1" t="s">
        <v>22</v>
      </c>
      <c r="I266" s="1" t="s">
        <v>23</v>
      </c>
      <c r="J266" s="1">
        <v>-1</v>
      </c>
      <c r="K266" s="1">
        <v>3</v>
      </c>
      <c r="L266" s="1">
        <v>1</v>
      </c>
      <c r="M266" s="1">
        <v>1.01</v>
      </c>
    </row>
    <row r="267" spans="4:13">
      <c r="D267" s="1" t="s">
        <v>89</v>
      </c>
      <c r="E267" s="1" t="s">
        <v>28</v>
      </c>
      <c r="H267" s="1" t="s">
        <v>22</v>
      </c>
      <c r="I267" s="1" t="s">
        <v>29</v>
      </c>
      <c r="J267" s="1">
        <v>34000</v>
      </c>
      <c r="K267" s="1">
        <v>4300000</v>
      </c>
      <c r="L267" s="1">
        <v>349660</v>
      </c>
    </row>
    <row r="268" spans="4:13">
      <c r="D268" s="1" t="s">
        <v>89</v>
      </c>
      <c r="E268" s="1" t="s">
        <v>30</v>
      </c>
      <c r="H268" s="1" t="s">
        <v>22</v>
      </c>
      <c r="I268" s="1" t="s">
        <v>29</v>
      </c>
      <c r="J268" s="1">
        <v>-3.94</v>
      </c>
      <c r="K268" s="1">
        <v>3.66</v>
      </c>
      <c r="L268" s="1">
        <v>1</v>
      </c>
    </row>
    <row r="269" spans="4:13">
      <c r="D269" s="1" t="s">
        <v>89</v>
      </c>
      <c r="E269" s="1" t="s">
        <v>31</v>
      </c>
      <c r="H269" s="1" t="s">
        <v>22</v>
      </c>
      <c r="I269" s="1" t="s">
        <v>29</v>
      </c>
      <c r="J269" s="1">
        <v>0</v>
      </c>
      <c r="K269" s="1">
        <v>100</v>
      </c>
      <c r="L269" s="1">
        <v>1</v>
      </c>
    </row>
    <row r="270" spans="4:13">
      <c r="D270" s="1" t="s">
        <v>89</v>
      </c>
      <c r="E270" s="1" t="s">
        <v>32</v>
      </c>
      <c r="H270" s="1" t="s">
        <v>22</v>
      </c>
      <c r="I270" s="1" t="s">
        <v>29</v>
      </c>
      <c r="J270" s="1">
        <v>-3.94</v>
      </c>
      <c r="K270" s="1">
        <v>3.66</v>
      </c>
      <c r="L270" s="1">
        <v>1</v>
      </c>
    </row>
    <row r="271" spans="4:13">
      <c r="D271" s="1" t="s">
        <v>89</v>
      </c>
      <c r="E271" s="1" t="s">
        <v>33</v>
      </c>
      <c r="H271" s="1" t="s">
        <v>25</v>
      </c>
      <c r="I271" s="1" t="s">
        <v>23</v>
      </c>
      <c r="M271" s="1" t="b">
        <v>0</v>
      </c>
    </row>
    <row r="272" spans="4:13">
      <c r="D272" s="1" t="s">
        <v>89</v>
      </c>
      <c r="E272" s="1" t="s">
        <v>34</v>
      </c>
      <c r="F272" s="1" t="s">
        <v>35</v>
      </c>
      <c r="G272" s="1" t="s">
        <v>36</v>
      </c>
      <c r="H272" s="1" t="s">
        <v>22</v>
      </c>
      <c r="I272" s="1" t="s">
        <v>23</v>
      </c>
      <c r="J272" s="1">
        <v>-459.67</v>
      </c>
      <c r="K272" s="1">
        <v>980.32999999999993</v>
      </c>
      <c r="L272" s="1">
        <v>80.329999999999984</v>
      </c>
      <c r="M272" s="1">
        <v>67.999999999999943</v>
      </c>
    </row>
    <row r="273" spans="4:13">
      <c r="D273" s="1" t="s">
        <v>89</v>
      </c>
      <c r="E273" s="1" t="s">
        <v>37</v>
      </c>
      <c r="H273" s="1" t="s">
        <v>25</v>
      </c>
      <c r="I273" s="1" t="s">
        <v>23</v>
      </c>
      <c r="M273" s="1" t="b">
        <v>0</v>
      </c>
    </row>
    <row r="274" spans="4:13">
      <c r="D274" s="1" t="s">
        <v>89</v>
      </c>
      <c r="E274" s="1" t="s">
        <v>38</v>
      </c>
      <c r="F274" s="1" t="s">
        <v>35</v>
      </c>
      <c r="G274" s="1" t="s">
        <v>36</v>
      </c>
      <c r="H274" s="1" t="s">
        <v>22</v>
      </c>
      <c r="I274" s="1" t="s">
        <v>23</v>
      </c>
      <c r="J274" s="1">
        <v>-99.670000000000016</v>
      </c>
      <c r="K274" s="1">
        <v>980.32999999999993</v>
      </c>
      <c r="L274" s="1">
        <v>80.329999999999984</v>
      </c>
      <c r="M274" s="1">
        <v>13.999999999999943</v>
      </c>
    </row>
    <row r="275" spans="4:13">
      <c r="D275" s="1" t="s">
        <v>89</v>
      </c>
      <c r="E275" s="1" t="s">
        <v>39</v>
      </c>
      <c r="H275" s="1" t="s">
        <v>25</v>
      </c>
      <c r="I275" s="1" t="s">
        <v>23</v>
      </c>
      <c r="M275" s="1" t="b">
        <v>0</v>
      </c>
    </row>
    <row r="276" spans="4:13">
      <c r="D276" s="1" t="s">
        <v>89</v>
      </c>
      <c r="E276" s="1" t="s">
        <v>40</v>
      </c>
      <c r="F276" s="1" t="s">
        <v>41</v>
      </c>
      <c r="G276" s="1" t="s">
        <v>42</v>
      </c>
      <c r="H276" s="1" t="s">
        <v>22</v>
      </c>
      <c r="I276" s="1" t="s">
        <v>23</v>
      </c>
      <c r="J276" s="1">
        <v>-900</v>
      </c>
      <c r="K276" s="1">
        <v>900</v>
      </c>
      <c r="L276" s="1">
        <v>1.8</v>
      </c>
      <c r="M276" s="1">
        <v>9</v>
      </c>
    </row>
    <row r="277" spans="4:13">
      <c r="D277" s="1" t="s">
        <v>89</v>
      </c>
      <c r="E277" s="1" t="s">
        <v>43</v>
      </c>
      <c r="H277" s="1" t="s">
        <v>25</v>
      </c>
      <c r="I277" s="1" t="s">
        <v>23</v>
      </c>
      <c r="M277" s="1" t="b">
        <v>0</v>
      </c>
    </row>
    <row r="278" spans="4:13">
      <c r="D278" s="1" t="s">
        <v>89</v>
      </c>
      <c r="E278" s="1" t="s">
        <v>44</v>
      </c>
      <c r="F278" s="1" t="s">
        <v>45</v>
      </c>
      <c r="G278" s="1" t="s">
        <v>46</v>
      </c>
      <c r="H278" s="1" t="s">
        <v>22</v>
      </c>
      <c r="I278" s="1" t="s">
        <v>23</v>
      </c>
      <c r="J278" s="1">
        <v>-85.984522757427143</v>
      </c>
      <c r="K278" s="1">
        <v>8598.4522757427148</v>
      </c>
      <c r="L278" s="1">
        <v>114.79148749423418</v>
      </c>
      <c r="M278" s="1">
        <v>128.97678413614071</v>
      </c>
    </row>
    <row r="279" spans="4:13">
      <c r="D279" s="1" t="s">
        <v>89</v>
      </c>
      <c r="E279" s="1" t="s">
        <v>47</v>
      </c>
      <c r="H279" s="1" t="s">
        <v>25</v>
      </c>
      <c r="I279" s="1" t="s">
        <v>23</v>
      </c>
      <c r="M279" s="1" t="b">
        <v>0</v>
      </c>
    </row>
    <row r="280" spans="4:13">
      <c r="D280" s="1" t="s">
        <v>89</v>
      </c>
      <c r="E280" s="1" t="s">
        <v>48</v>
      </c>
      <c r="H280" s="1" t="s">
        <v>25</v>
      </c>
      <c r="I280" s="1" t="s">
        <v>23</v>
      </c>
      <c r="M280" s="1" t="b">
        <v>0</v>
      </c>
    </row>
    <row r="281" spans="4:13">
      <c r="D281" s="1" t="s">
        <v>89</v>
      </c>
      <c r="E281" s="1" t="s">
        <v>49</v>
      </c>
      <c r="H281" s="1" t="s">
        <v>25</v>
      </c>
      <c r="I281" s="1" t="s">
        <v>23</v>
      </c>
      <c r="M281" s="1" t="b">
        <v>0</v>
      </c>
    </row>
    <row r="282" spans="4:13">
      <c r="D282" s="1" t="s">
        <v>89</v>
      </c>
      <c r="E282" s="1" t="s">
        <v>50</v>
      </c>
      <c r="H282" s="1" t="s">
        <v>25</v>
      </c>
      <c r="I282" s="1" t="s">
        <v>23</v>
      </c>
      <c r="M282" s="1" t="b">
        <v>0</v>
      </c>
    </row>
    <row r="283" spans="4:13">
      <c r="D283" s="1" t="s">
        <v>89</v>
      </c>
      <c r="E283" s="1" t="s">
        <v>51</v>
      </c>
      <c r="F283" s="1" t="s">
        <v>52</v>
      </c>
      <c r="G283" s="1" t="s">
        <v>53</v>
      </c>
      <c r="H283" s="1" t="s">
        <v>22</v>
      </c>
      <c r="I283" s="1" t="s">
        <v>23</v>
      </c>
      <c r="J283" s="1">
        <v>0</v>
      </c>
      <c r="K283" s="1">
        <v>7936641438.6555996</v>
      </c>
      <c r="L283" s="1">
        <v>7936.6414386555998</v>
      </c>
      <c r="M283" s="1">
        <v>7936.6414386555998</v>
      </c>
    </row>
    <row r="284" spans="4:13">
      <c r="D284" s="1" t="s">
        <v>89</v>
      </c>
      <c r="E284" s="1" t="s">
        <v>54</v>
      </c>
      <c r="H284" s="1" t="s">
        <v>25</v>
      </c>
      <c r="I284" s="1" t="s">
        <v>23</v>
      </c>
      <c r="M284" s="1" t="b">
        <v>0</v>
      </c>
    </row>
    <row r="285" spans="4:13">
      <c r="D285" s="1" t="s">
        <v>89</v>
      </c>
      <c r="E285" s="1" t="s">
        <v>55</v>
      </c>
      <c r="F285" s="1" t="s">
        <v>56</v>
      </c>
      <c r="G285" s="1" t="s">
        <v>57</v>
      </c>
      <c r="H285" s="1" t="s">
        <v>22</v>
      </c>
      <c r="I285" s="1" t="s">
        <v>23</v>
      </c>
      <c r="J285" s="1">
        <v>0</v>
      </c>
      <c r="K285" s="1">
        <v>9427.4529524635982</v>
      </c>
      <c r="L285" s="1">
        <v>50.713895374744951</v>
      </c>
      <c r="M285" s="1">
        <v>50.763208205573221</v>
      </c>
    </row>
    <row r="286" spans="4:13">
      <c r="D286" s="1" t="s">
        <v>89</v>
      </c>
      <c r="E286" s="1" t="s">
        <v>58</v>
      </c>
      <c r="H286" s="1" t="s">
        <v>25</v>
      </c>
      <c r="I286" s="1" t="s">
        <v>23</v>
      </c>
      <c r="M286" s="1" t="b">
        <v>0</v>
      </c>
    </row>
    <row r="287" spans="4:13">
      <c r="D287" s="1" t="s">
        <v>89</v>
      </c>
      <c r="E287" s="1" t="s">
        <v>59</v>
      </c>
      <c r="F287" s="1" t="s">
        <v>60</v>
      </c>
      <c r="G287" s="1" t="s">
        <v>61</v>
      </c>
      <c r="H287" s="1" t="s">
        <v>22</v>
      </c>
      <c r="I287" s="1" t="s">
        <v>23</v>
      </c>
      <c r="J287" s="1">
        <v>-9.5538358650799999</v>
      </c>
      <c r="K287" s="1">
        <v>9.5538358650799999</v>
      </c>
      <c r="L287" s="1">
        <v>0.23884589662700001</v>
      </c>
      <c r="M287" s="1">
        <v>0.23884589662700001</v>
      </c>
    </row>
    <row r="288" spans="4:13">
      <c r="D288" s="1" t="s">
        <v>89</v>
      </c>
      <c r="E288" s="1" t="s">
        <v>62</v>
      </c>
      <c r="H288" s="1" t="s">
        <v>63</v>
      </c>
      <c r="I288" s="1" t="s">
        <v>23</v>
      </c>
      <c r="M288" s="1">
        <v>1</v>
      </c>
    </row>
    <row r="289" spans="4:13">
      <c r="D289" s="1" t="s">
        <v>89</v>
      </c>
      <c r="E289" s="1" t="s">
        <v>64</v>
      </c>
      <c r="F289" s="1" t="s">
        <v>35</v>
      </c>
      <c r="G289" s="1" t="s">
        <v>36</v>
      </c>
      <c r="H289" s="1" t="s">
        <v>22</v>
      </c>
      <c r="I289" s="1" t="s">
        <v>65</v>
      </c>
      <c r="J289" s="1">
        <v>-459.67</v>
      </c>
      <c r="L289" s="1">
        <v>80.329999999999984</v>
      </c>
    </row>
    <row r="290" spans="4:13">
      <c r="D290" s="1" t="s">
        <v>89</v>
      </c>
      <c r="E290" s="1" t="s">
        <v>66</v>
      </c>
      <c r="F290" s="1" t="s">
        <v>35</v>
      </c>
      <c r="G290" s="1" t="s">
        <v>36</v>
      </c>
      <c r="H290" s="1" t="s">
        <v>22</v>
      </c>
      <c r="I290" s="1" t="s">
        <v>65</v>
      </c>
      <c r="J290" s="1">
        <v>-459.67</v>
      </c>
      <c r="L290" s="1">
        <v>80.329999999999984</v>
      </c>
    </row>
    <row r="291" spans="4:13">
      <c r="D291" s="1" t="s">
        <v>89</v>
      </c>
      <c r="E291" s="1" t="s">
        <v>67</v>
      </c>
      <c r="F291" s="1" t="s">
        <v>41</v>
      </c>
      <c r="G291" s="1" t="s">
        <v>42</v>
      </c>
      <c r="H291" s="1" t="s">
        <v>22</v>
      </c>
      <c r="I291" s="1" t="s">
        <v>65</v>
      </c>
      <c r="L291" s="1">
        <v>1.8</v>
      </c>
    </row>
    <row r="292" spans="4:13">
      <c r="D292" s="1" t="s">
        <v>89</v>
      </c>
      <c r="E292" s="1" t="s">
        <v>68</v>
      </c>
      <c r="F292" s="1" t="s">
        <v>45</v>
      </c>
      <c r="G292" s="1" t="s">
        <v>46</v>
      </c>
      <c r="H292" s="1" t="s">
        <v>22</v>
      </c>
      <c r="I292" s="1" t="s">
        <v>65</v>
      </c>
      <c r="L292" s="1">
        <v>4.2992261378713571E-4</v>
      </c>
    </row>
    <row r="293" spans="4:13">
      <c r="D293" s="1" t="s">
        <v>89</v>
      </c>
      <c r="E293" s="1" t="s">
        <v>69</v>
      </c>
      <c r="H293" s="1" t="s">
        <v>25</v>
      </c>
      <c r="I293" s="1" t="s">
        <v>70</v>
      </c>
    </row>
    <row r="294" spans="4:13">
      <c r="D294" s="1" t="s">
        <v>89</v>
      </c>
      <c r="E294" s="1" t="s">
        <v>71</v>
      </c>
      <c r="F294" s="1" t="s">
        <v>52</v>
      </c>
      <c r="G294" s="1" t="s">
        <v>53</v>
      </c>
      <c r="H294" s="1" t="s">
        <v>22</v>
      </c>
      <c r="I294" s="1" t="s">
        <v>65</v>
      </c>
      <c r="L294" s="1">
        <v>7936.6414386555998</v>
      </c>
    </row>
    <row r="295" spans="4:13">
      <c r="D295" s="1" t="s">
        <v>89</v>
      </c>
      <c r="E295" s="1" t="s">
        <v>72</v>
      </c>
      <c r="F295" s="1" t="s">
        <v>56</v>
      </c>
      <c r="G295" s="1" t="s">
        <v>57</v>
      </c>
      <c r="H295" s="1" t="s">
        <v>22</v>
      </c>
      <c r="I295" s="1" t="s">
        <v>65</v>
      </c>
      <c r="J295" s="1">
        <v>0</v>
      </c>
      <c r="L295" s="1">
        <v>14.503773773020921</v>
      </c>
    </row>
    <row r="296" spans="4:13">
      <c r="D296" s="1" t="s">
        <v>89</v>
      </c>
      <c r="E296" s="1" t="s">
        <v>73</v>
      </c>
      <c r="F296" s="1" t="s">
        <v>60</v>
      </c>
      <c r="G296" s="1" t="s">
        <v>61</v>
      </c>
      <c r="H296" s="1" t="s">
        <v>22</v>
      </c>
      <c r="I296" s="1" t="s">
        <v>65</v>
      </c>
      <c r="L296" s="1">
        <v>2.38845896627E-4</v>
      </c>
    </row>
    <row r="297" spans="4:13">
      <c r="D297" s="1" t="s">
        <v>89</v>
      </c>
      <c r="E297" s="1" t="s">
        <v>74</v>
      </c>
      <c r="F297" s="1" t="s">
        <v>75</v>
      </c>
      <c r="G297" s="1" t="s">
        <v>76</v>
      </c>
      <c r="H297" s="1" t="s">
        <v>22</v>
      </c>
      <c r="I297" s="1" t="s">
        <v>65</v>
      </c>
      <c r="J297" s="1">
        <v>0</v>
      </c>
      <c r="L297" s="1">
        <v>16.018463521800001</v>
      </c>
    </row>
    <row r="298" spans="4:13">
      <c r="D298" s="1" t="s">
        <v>89</v>
      </c>
      <c r="E298" s="1" t="s">
        <v>77</v>
      </c>
      <c r="H298" s="1" t="s">
        <v>22</v>
      </c>
      <c r="I298" s="1" t="s">
        <v>65</v>
      </c>
      <c r="L298" s="1">
        <v>1</v>
      </c>
    </row>
    <row r="299" spans="4:13">
      <c r="D299" s="1" t="s">
        <v>89</v>
      </c>
      <c r="E299" s="1" t="s">
        <v>78</v>
      </c>
      <c r="H299" s="1" t="s">
        <v>25</v>
      </c>
      <c r="I299" s="1" t="s">
        <v>23</v>
      </c>
      <c r="M299" s="1" t="b">
        <v>0</v>
      </c>
    </row>
    <row r="300" spans="4:13">
      <c r="D300" s="1" t="s">
        <v>89</v>
      </c>
      <c r="E300" s="1" t="s">
        <v>79</v>
      </c>
      <c r="F300" s="1" t="s">
        <v>75</v>
      </c>
      <c r="G300" s="1" t="s">
        <v>76</v>
      </c>
      <c r="H300" s="1" t="s">
        <v>22</v>
      </c>
      <c r="I300" s="1" t="s">
        <v>23</v>
      </c>
      <c r="J300" s="1">
        <v>0</v>
      </c>
      <c r="K300" s="1">
        <v>96.110781130800007</v>
      </c>
      <c r="L300" s="1">
        <v>16.018463521800001</v>
      </c>
      <c r="M300" s="1">
        <v>1.6018463521800002</v>
      </c>
    </row>
    <row r="301" spans="4:13">
      <c r="D301" s="1" t="s">
        <v>89</v>
      </c>
      <c r="E301" s="1" t="s">
        <v>80</v>
      </c>
      <c r="H301" s="1" t="s">
        <v>25</v>
      </c>
      <c r="I301" s="1" t="s">
        <v>23</v>
      </c>
      <c r="M301" s="1" t="b">
        <v>0</v>
      </c>
    </row>
    <row r="302" spans="4:13">
      <c r="D302" s="1" t="s">
        <v>89</v>
      </c>
      <c r="E302" s="1" t="s">
        <v>81</v>
      </c>
      <c r="H302" s="1" t="s">
        <v>25</v>
      </c>
      <c r="I302" s="1" t="s">
        <v>23</v>
      </c>
      <c r="M302" s="1" t="b">
        <v>0</v>
      </c>
    </row>
    <row r="303" spans="4:13">
      <c r="D303" s="1" t="s">
        <v>89</v>
      </c>
      <c r="E303" s="1" t="s">
        <v>82</v>
      </c>
      <c r="H303" s="1" t="s">
        <v>22</v>
      </c>
      <c r="I303" s="1" t="s">
        <v>23</v>
      </c>
      <c r="J303" s="1">
        <v>-1</v>
      </c>
      <c r="K303" s="1">
        <v>3</v>
      </c>
      <c r="L303" s="1">
        <v>1</v>
      </c>
      <c r="M303" s="1">
        <v>1.01</v>
      </c>
    </row>
    <row r="304" spans="4:13">
      <c r="D304" s="1" t="s">
        <v>90</v>
      </c>
      <c r="E304" s="1" t="s">
        <v>28</v>
      </c>
      <c r="H304" s="1" t="s">
        <v>22</v>
      </c>
      <c r="I304" s="1" t="s">
        <v>29</v>
      </c>
      <c r="J304" s="1">
        <v>34000</v>
      </c>
      <c r="K304" s="1">
        <v>4300000</v>
      </c>
      <c r="L304" s="1">
        <v>349660</v>
      </c>
    </row>
    <row r="305" spans="4:13">
      <c r="D305" s="1" t="s">
        <v>90</v>
      </c>
      <c r="E305" s="1" t="s">
        <v>30</v>
      </c>
      <c r="H305" s="1" t="s">
        <v>22</v>
      </c>
      <c r="I305" s="1" t="s">
        <v>29</v>
      </c>
      <c r="J305" s="1">
        <v>-3.94</v>
      </c>
      <c r="K305" s="1">
        <v>3.66</v>
      </c>
      <c r="L305" s="1">
        <v>1</v>
      </c>
    </row>
    <row r="306" spans="4:13">
      <c r="D306" s="1" t="s">
        <v>90</v>
      </c>
      <c r="E306" s="1" t="s">
        <v>31</v>
      </c>
      <c r="H306" s="1" t="s">
        <v>22</v>
      </c>
      <c r="I306" s="1" t="s">
        <v>29</v>
      </c>
      <c r="J306" s="1">
        <v>0</v>
      </c>
      <c r="K306" s="1">
        <v>100</v>
      </c>
      <c r="L306" s="1">
        <v>1</v>
      </c>
    </row>
    <row r="307" spans="4:13">
      <c r="D307" s="1" t="s">
        <v>90</v>
      </c>
      <c r="E307" s="1" t="s">
        <v>32</v>
      </c>
      <c r="H307" s="1" t="s">
        <v>22</v>
      </c>
      <c r="I307" s="1" t="s">
        <v>29</v>
      </c>
      <c r="J307" s="1">
        <v>-3.94</v>
      </c>
      <c r="K307" s="1">
        <v>3.66</v>
      </c>
      <c r="L307" s="1">
        <v>1</v>
      </c>
    </row>
    <row r="308" spans="4:13">
      <c r="D308" s="1" t="s">
        <v>90</v>
      </c>
      <c r="E308" s="1" t="s">
        <v>33</v>
      </c>
      <c r="H308" s="1" t="s">
        <v>25</v>
      </c>
      <c r="I308" s="1" t="s">
        <v>23</v>
      </c>
      <c r="M308" s="1" t="b">
        <v>0</v>
      </c>
    </row>
    <row r="309" spans="4:13">
      <c r="D309" s="1" t="s">
        <v>90</v>
      </c>
      <c r="E309" s="1" t="s">
        <v>34</v>
      </c>
      <c r="F309" s="1" t="s">
        <v>35</v>
      </c>
      <c r="G309" s="1" t="s">
        <v>36</v>
      </c>
      <c r="H309" s="1" t="s">
        <v>22</v>
      </c>
      <c r="I309" s="1" t="s">
        <v>23</v>
      </c>
      <c r="J309" s="1">
        <v>-459.67</v>
      </c>
      <c r="K309" s="1">
        <v>980.32999999999993</v>
      </c>
      <c r="L309" s="1">
        <v>80.329999999999984</v>
      </c>
      <c r="M309" s="1">
        <v>67.999999999999943</v>
      </c>
    </row>
    <row r="310" spans="4:13">
      <c r="D310" s="1" t="s">
        <v>90</v>
      </c>
      <c r="E310" s="1" t="s">
        <v>37</v>
      </c>
      <c r="H310" s="1" t="s">
        <v>25</v>
      </c>
      <c r="I310" s="1" t="s">
        <v>23</v>
      </c>
      <c r="M310" s="1" t="b">
        <v>0</v>
      </c>
    </row>
    <row r="311" spans="4:13">
      <c r="D311" s="1" t="s">
        <v>90</v>
      </c>
      <c r="E311" s="1" t="s">
        <v>38</v>
      </c>
      <c r="F311" s="1" t="s">
        <v>35</v>
      </c>
      <c r="G311" s="1" t="s">
        <v>36</v>
      </c>
      <c r="H311" s="1" t="s">
        <v>22</v>
      </c>
      <c r="I311" s="1" t="s">
        <v>23</v>
      </c>
      <c r="J311" s="1">
        <v>-99.670000000000016</v>
      </c>
      <c r="K311" s="1">
        <v>980.32999999999993</v>
      </c>
      <c r="L311" s="1">
        <v>80.329999999999984</v>
      </c>
      <c r="M311" s="1">
        <v>13.999999999999943</v>
      </c>
    </row>
    <row r="312" spans="4:13">
      <c r="D312" s="1" t="s">
        <v>90</v>
      </c>
      <c r="E312" s="1" t="s">
        <v>39</v>
      </c>
      <c r="H312" s="1" t="s">
        <v>25</v>
      </c>
      <c r="I312" s="1" t="s">
        <v>23</v>
      </c>
      <c r="M312" s="1" t="b">
        <v>0</v>
      </c>
    </row>
    <row r="313" spans="4:13">
      <c r="D313" s="1" t="s">
        <v>90</v>
      </c>
      <c r="E313" s="1" t="s">
        <v>40</v>
      </c>
      <c r="F313" s="1" t="s">
        <v>41</v>
      </c>
      <c r="G313" s="1" t="s">
        <v>42</v>
      </c>
      <c r="H313" s="1" t="s">
        <v>22</v>
      </c>
      <c r="I313" s="1" t="s">
        <v>23</v>
      </c>
      <c r="J313" s="1">
        <v>-900</v>
      </c>
      <c r="K313" s="1">
        <v>900</v>
      </c>
      <c r="L313" s="1">
        <v>1.8</v>
      </c>
      <c r="M313" s="1">
        <v>9</v>
      </c>
    </row>
    <row r="314" spans="4:13">
      <c r="D314" s="1" t="s">
        <v>90</v>
      </c>
      <c r="E314" s="1" t="s">
        <v>43</v>
      </c>
      <c r="H314" s="1" t="s">
        <v>25</v>
      </c>
      <c r="I314" s="1" t="s">
        <v>23</v>
      </c>
      <c r="M314" s="1" t="b">
        <v>0</v>
      </c>
    </row>
    <row r="315" spans="4:13">
      <c r="D315" s="1" t="s">
        <v>90</v>
      </c>
      <c r="E315" s="1" t="s">
        <v>44</v>
      </c>
      <c r="F315" s="1" t="s">
        <v>45</v>
      </c>
      <c r="G315" s="1" t="s">
        <v>46</v>
      </c>
      <c r="H315" s="1" t="s">
        <v>22</v>
      </c>
      <c r="I315" s="1" t="s">
        <v>23</v>
      </c>
      <c r="J315" s="1">
        <v>-85.984522757427143</v>
      </c>
      <c r="K315" s="1">
        <v>8598.4522757427148</v>
      </c>
      <c r="L315" s="1">
        <v>114.79148749423418</v>
      </c>
      <c r="M315" s="1">
        <v>128.97678413614071</v>
      </c>
    </row>
    <row r="316" spans="4:13">
      <c r="D316" s="1" t="s">
        <v>90</v>
      </c>
      <c r="E316" s="1" t="s">
        <v>47</v>
      </c>
      <c r="H316" s="1" t="s">
        <v>25</v>
      </c>
      <c r="I316" s="1" t="s">
        <v>23</v>
      </c>
      <c r="M316" s="1" t="b">
        <v>0</v>
      </c>
    </row>
    <row r="317" spans="4:13">
      <c r="D317" s="1" t="s">
        <v>90</v>
      </c>
      <c r="E317" s="1" t="s">
        <v>48</v>
      </c>
      <c r="H317" s="1" t="s">
        <v>25</v>
      </c>
      <c r="I317" s="1" t="s">
        <v>23</v>
      </c>
      <c r="M317" s="1" t="b">
        <v>0</v>
      </c>
    </row>
    <row r="318" spans="4:13">
      <c r="D318" s="1" t="s">
        <v>90</v>
      </c>
      <c r="E318" s="1" t="s">
        <v>49</v>
      </c>
      <c r="H318" s="1" t="s">
        <v>25</v>
      </c>
      <c r="I318" s="1" t="s">
        <v>23</v>
      </c>
      <c r="M318" s="1" t="b">
        <v>0</v>
      </c>
    </row>
    <row r="319" spans="4:13">
      <c r="D319" s="1" t="s">
        <v>90</v>
      </c>
      <c r="E319" s="1" t="s">
        <v>50</v>
      </c>
      <c r="H319" s="1" t="s">
        <v>25</v>
      </c>
      <c r="I319" s="1" t="s">
        <v>23</v>
      </c>
      <c r="M319" s="1" t="b">
        <v>0</v>
      </c>
    </row>
    <row r="320" spans="4:13">
      <c r="D320" s="1" t="s">
        <v>90</v>
      </c>
      <c r="E320" s="1" t="s">
        <v>51</v>
      </c>
      <c r="F320" s="1" t="s">
        <v>52</v>
      </c>
      <c r="G320" s="1" t="s">
        <v>53</v>
      </c>
      <c r="H320" s="1" t="s">
        <v>22</v>
      </c>
      <c r="I320" s="1" t="s">
        <v>23</v>
      </c>
      <c r="J320" s="1">
        <v>0</v>
      </c>
      <c r="K320" s="1">
        <v>7936641438.6555996</v>
      </c>
      <c r="L320" s="1">
        <v>7936.6414386555998</v>
      </c>
      <c r="M320" s="1">
        <v>7936.6414386555998</v>
      </c>
    </row>
    <row r="321" spans="4:13">
      <c r="D321" s="1" t="s">
        <v>90</v>
      </c>
      <c r="E321" s="1" t="s">
        <v>54</v>
      </c>
      <c r="H321" s="1" t="s">
        <v>25</v>
      </c>
      <c r="I321" s="1" t="s">
        <v>23</v>
      </c>
      <c r="M321" s="1" t="b">
        <v>0</v>
      </c>
    </row>
    <row r="322" spans="4:13">
      <c r="D322" s="1" t="s">
        <v>90</v>
      </c>
      <c r="E322" s="1" t="s">
        <v>55</v>
      </c>
      <c r="F322" s="1" t="s">
        <v>56</v>
      </c>
      <c r="G322" s="1" t="s">
        <v>57</v>
      </c>
      <c r="H322" s="1" t="s">
        <v>22</v>
      </c>
      <c r="I322" s="1" t="s">
        <v>23</v>
      </c>
      <c r="J322" s="1">
        <v>0</v>
      </c>
      <c r="K322" s="1">
        <v>9427.4529524635982</v>
      </c>
      <c r="L322" s="1">
        <v>50.713895374744951</v>
      </c>
      <c r="M322" s="1">
        <v>50.763208205573221</v>
      </c>
    </row>
    <row r="323" spans="4:13">
      <c r="D323" s="1" t="s">
        <v>90</v>
      </c>
      <c r="E323" s="1" t="s">
        <v>58</v>
      </c>
      <c r="H323" s="1" t="s">
        <v>25</v>
      </c>
      <c r="I323" s="1" t="s">
        <v>23</v>
      </c>
      <c r="M323" s="1" t="b">
        <v>0</v>
      </c>
    </row>
    <row r="324" spans="4:13">
      <c r="D324" s="1" t="s">
        <v>90</v>
      </c>
      <c r="E324" s="1" t="s">
        <v>59</v>
      </c>
      <c r="F324" s="1" t="s">
        <v>60</v>
      </c>
      <c r="G324" s="1" t="s">
        <v>61</v>
      </c>
      <c r="H324" s="1" t="s">
        <v>22</v>
      </c>
      <c r="I324" s="1" t="s">
        <v>23</v>
      </c>
      <c r="J324" s="1">
        <v>-9.5538358650799999</v>
      </c>
      <c r="K324" s="1">
        <v>9.5538358650799999</v>
      </c>
      <c r="L324" s="1">
        <v>0.23884589662700001</v>
      </c>
      <c r="M324" s="1">
        <v>0.23884589662700001</v>
      </c>
    </row>
    <row r="325" spans="4:13">
      <c r="D325" s="1" t="s">
        <v>90</v>
      </c>
      <c r="E325" s="1" t="s">
        <v>62</v>
      </c>
      <c r="H325" s="1" t="s">
        <v>63</v>
      </c>
      <c r="I325" s="1" t="s">
        <v>23</v>
      </c>
      <c r="M325" s="1">
        <v>1</v>
      </c>
    </row>
    <row r="326" spans="4:13">
      <c r="D326" s="1" t="s">
        <v>90</v>
      </c>
      <c r="E326" s="1" t="s">
        <v>64</v>
      </c>
      <c r="F326" s="1" t="s">
        <v>35</v>
      </c>
      <c r="G326" s="1" t="s">
        <v>36</v>
      </c>
      <c r="H326" s="1" t="s">
        <v>22</v>
      </c>
      <c r="I326" s="1" t="s">
        <v>65</v>
      </c>
      <c r="J326" s="1">
        <v>-459.67</v>
      </c>
      <c r="L326" s="1">
        <v>80.329999999999984</v>
      </c>
    </row>
    <row r="327" spans="4:13">
      <c r="D327" s="1" t="s">
        <v>90</v>
      </c>
      <c r="E327" s="1" t="s">
        <v>66</v>
      </c>
      <c r="F327" s="1" t="s">
        <v>35</v>
      </c>
      <c r="G327" s="1" t="s">
        <v>36</v>
      </c>
      <c r="H327" s="1" t="s">
        <v>22</v>
      </c>
      <c r="I327" s="1" t="s">
        <v>65</v>
      </c>
      <c r="J327" s="1">
        <v>-459.67</v>
      </c>
      <c r="L327" s="1">
        <v>80.329999999999984</v>
      </c>
    </row>
    <row r="328" spans="4:13">
      <c r="D328" s="1" t="s">
        <v>90</v>
      </c>
      <c r="E328" s="1" t="s">
        <v>67</v>
      </c>
      <c r="F328" s="1" t="s">
        <v>41</v>
      </c>
      <c r="G328" s="1" t="s">
        <v>42</v>
      </c>
      <c r="H328" s="1" t="s">
        <v>22</v>
      </c>
      <c r="I328" s="1" t="s">
        <v>65</v>
      </c>
      <c r="L328" s="1">
        <v>1.8</v>
      </c>
    </row>
    <row r="329" spans="4:13">
      <c r="D329" s="1" t="s">
        <v>90</v>
      </c>
      <c r="E329" s="1" t="s">
        <v>68</v>
      </c>
      <c r="F329" s="1" t="s">
        <v>45</v>
      </c>
      <c r="G329" s="1" t="s">
        <v>46</v>
      </c>
      <c r="H329" s="1" t="s">
        <v>22</v>
      </c>
      <c r="I329" s="1" t="s">
        <v>65</v>
      </c>
      <c r="L329" s="1">
        <v>4.2992261378713571E-4</v>
      </c>
    </row>
    <row r="330" spans="4:13">
      <c r="D330" s="1" t="s">
        <v>90</v>
      </c>
      <c r="E330" s="1" t="s">
        <v>69</v>
      </c>
      <c r="H330" s="1" t="s">
        <v>25</v>
      </c>
      <c r="I330" s="1" t="s">
        <v>70</v>
      </c>
    </row>
    <row r="331" spans="4:13">
      <c r="D331" s="1" t="s">
        <v>90</v>
      </c>
      <c r="E331" s="1" t="s">
        <v>71</v>
      </c>
      <c r="F331" s="1" t="s">
        <v>52</v>
      </c>
      <c r="G331" s="1" t="s">
        <v>53</v>
      </c>
      <c r="H331" s="1" t="s">
        <v>22</v>
      </c>
      <c r="I331" s="1" t="s">
        <v>65</v>
      </c>
      <c r="L331" s="1">
        <v>7936.6414386555998</v>
      </c>
    </row>
    <row r="332" spans="4:13">
      <c r="D332" s="1" t="s">
        <v>90</v>
      </c>
      <c r="E332" s="1" t="s">
        <v>72</v>
      </c>
      <c r="F332" s="1" t="s">
        <v>56</v>
      </c>
      <c r="G332" s="1" t="s">
        <v>57</v>
      </c>
      <c r="H332" s="1" t="s">
        <v>22</v>
      </c>
      <c r="I332" s="1" t="s">
        <v>65</v>
      </c>
      <c r="J332" s="1">
        <v>0</v>
      </c>
      <c r="L332" s="1">
        <v>14.503773773020921</v>
      </c>
    </row>
    <row r="333" spans="4:13">
      <c r="D333" s="1" t="s">
        <v>90</v>
      </c>
      <c r="E333" s="1" t="s">
        <v>73</v>
      </c>
      <c r="F333" s="1" t="s">
        <v>60</v>
      </c>
      <c r="G333" s="1" t="s">
        <v>61</v>
      </c>
      <c r="H333" s="1" t="s">
        <v>22</v>
      </c>
      <c r="I333" s="1" t="s">
        <v>65</v>
      </c>
      <c r="L333" s="1">
        <v>2.38845896627E-4</v>
      </c>
    </row>
    <row r="334" spans="4:13">
      <c r="D334" s="1" t="s">
        <v>90</v>
      </c>
      <c r="E334" s="1" t="s">
        <v>74</v>
      </c>
      <c r="F334" s="1" t="s">
        <v>75</v>
      </c>
      <c r="G334" s="1" t="s">
        <v>76</v>
      </c>
      <c r="H334" s="1" t="s">
        <v>22</v>
      </c>
      <c r="I334" s="1" t="s">
        <v>65</v>
      </c>
      <c r="J334" s="1">
        <v>0</v>
      </c>
      <c r="L334" s="1">
        <v>16.018463521800001</v>
      </c>
    </row>
    <row r="335" spans="4:13">
      <c r="D335" s="1" t="s">
        <v>90</v>
      </c>
      <c r="E335" s="1" t="s">
        <v>77</v>
      </c>
      <c r="H335" s="1" t="s">
        <v>22</v>
      </c>
      <c r="I335" s="1" t="s">
        <v>65</v>
      </c>
      <c r="L335" s="1">
        <v>1</v>
      </c>
    </row>
    <row r="336" spans="4:13">
      <c r="D336" s="1" t="s">
        <v>90</v>
      </c>
      <c r="E336" s="1" t="s">
        <v>78</v>
      </c>
      <c r="H336" s="1" t="s">
        <v>25</v>
      </c>
      <c r="I336" s="1" t="s">
        <v>23</v>
      </c>
      <c r="M336" s="1" t="b">
        <v>0</v>
      </c>
    </row>
    <row r="337" spans="4:13">
      <c r="D337" s="1" t="s">
        <v>90</v>
      </c>
      <c r="E337" s="1" t="s">
        <v>79</v>
      </c>
      <c r="F337" s="1" t="s">
        <v>75</v>
      </c>
      <c r="G337" s="1" t="s">
        <v>76</v>
      </c>
      <c r="H337" s="1" t="s">
        <v>22</v>
      </c>
      <c r="I337" s="1" t="s">
        <v>23</v>
      </c>
      <c r="J337" s="1">
        <v>0</v>
      </c>
      <c r="K337" s="1">
        <v>96.110781130800007</v>
      </c>
      <c r="L337" s="1">
        <v>16.018463521800001</v>
      </c>
      <c r="M337" s="1">
        <v>1.6018463521800002</v>
      </c>
    </row>
    <row r="338" spans="4:13">
      <c r="D338" s="1" t="s">
        <v>90</v>
      </c>
      <c r="E338" s="1" t="s">
        <v>80</v>
      </c>
      <c r="H338" s="1" t="s">
        <v>25</v>
      </c>
      <c r="I338" s="1" t="s">
        <v>23</v>
      </c>
      <c r="M338" s="1" t="b">
        <v>0</v>
      </c>
    </row>
    <row r="339" spans="4:13">
      <c r="D339" s="1" t="s">
        <v>90</v>
      </c>
      <c r="E339" s="1" t="s">
        <v>81</v>
      </c>
      <c r="H339" s="1" t="s">
        <v>25</v>
      </c>
      <c r="I339" s="1" t="s">
        <v>23</v>
      </c>
      <c r="M339" s="1" t="b">
        <v>0</v>
      </c>
    </row>
    <row r="340" spans="4:13">
      <c r="D340" s="1" t="s">
        <v>90</v>
      </c>
      <c r="E340" s="1" t="s">
        <v>82</v>
      </c>
      <c r="H340" s="1" t="s">
        <v>22</v>
      </c>
      <c r="I340" s="1" t="s">
        <v>23</v>
      </c>
      <c r="J340" s="1">
        <v>-1</v>
      </c>
      <c r="K340" s="1">
        <v>3</v>
      </c>
      <c r="L340" s="1">
        <v>1</v>
      </c>
      <c r="M340" s="1">
        <v>1.01</v>
      </c>
    </row>
    <row r="341" spans="4:13">
      <c r="D341" s="1" t="s">
        <v>91</v>
      </c>
      <c r="H341" s="1" t="s">
        <v>22</v>
      </c>
      <c r="I341" s="1" t="s">
        <v>23</v>
      </c>
      <c r="L341" s="1">
        <v>1</v>
      </c>
      <c r="M341" s="1">
        <v>0.99</v>
      </c>
    </row>
    <row r="342" spans="4:13">
      <c r="D342" s="1" t="s">
        <v>92</v>
      </c>
      <c r="E342" s="1" t="s">
        <v>28</v>
      </c>
      <c r="H342" s="1" t="s">
        <v>22</v>
      </c>
      <c r="I342" s="1" t="s">
        <v>29</v>
      </c>
      <c r="J342" s="1">
        <v>34000</v>
      </c>
      <c r="K342" s="1">
        <v>4300000</v>
      </c>
      <c r="L342" s="1">
        <v>349660</v>
      </c>
    </row>
    <row r="343" spans="4:13">
      <c r="D343" s="1" t="s">
        <v>92</v>
      </c>
      <c r="E343" s="1" t="s">
        <v>30</v>
      </c>
      <c r="H343" s="1" t="s">
        <v>22</v>
      </c>
      <c r="I343" s="1" t="s">
        <v>29</v>
      </c>
      <c r="J343" s="1">
        <v>-3.94</v>
      </c>
      <c r="K343" s="1">
        <v>3.66</v>
      </c>
      <c r="L343" s="1">
        <v>1</v>
      </c>
    </row>
    <row r="344" spans="4:13">
      <c r="D344" s="1" t="s">
        <v>92</v>
      </c>
      <c r="E344" s="1" t="s">
        <v>31</v>
      </c>
      <c r="H344" s="1" t="s">
        <v>22</v>
      </c>
      <c r="I344" s="1" t="s">
        <v>29</v>
      </c>
      <c r="J344" s="1">
        <v>0</v>
      </c>
      <c r="K344" s="1">
        <v>100</v>
      </c>
      <c r="L344" s="1">
        <v>1</v>
      </c>
    </row>
    <row r="345" spans="4:13">
      <c r="D345" s="1" t="s">
        <v>92</v>
      </c>
      <c r="E345" s="1" t="s">
        <v>32</v>
      </c>
      <c r="H345" s="1" t="s">
        <v>22</v>
      </c>
      <c r="I345" s="1" t="s">
        <v>29</v>
      </c>
      <c r="J345" s="1">
        <v>-3.94</v>
      </c>
      <c r="K345" s="1">
        <v>3.66</v>
      </c>
      <c r="L345" s="1">
        <v>1</v>
      </c>
    </row>
    <row r="346" spans="4:13">
      <c r="D346" s="1" t="s">
        <v>92</v>
      </c>
      <c r="E346" s="1" t="s">
        <v>33</v>
      </c>
      <c r="H346" s="1" t="s">
        <v>25</v>
      </c>
      <c r="I346" s="1" t="s">
        <v>23</v>
      </c>
      <c r="M346" s="1" t="b">
        <v>0</v>
      </c>
    </row>
    <row r="347" spans="4:13">
      <c r="D347" s="1" t="s">
        <v>92</v>
      </c>
      <c r="E347" s="1" t="s">
        <v>34</v>
      </c>
      <c r="F347" s="1" t="s">
        <v>35</v>
      </c>
      <c r="G347" s="1" t="s">
        <v>36</v>
      </c>
      <c r="H347" s="1" t="s">
        <v>22</v>
      </c>
      <c r="I347" s="1" t="s">
        <v>23</v>
      </c>
      <c r="J347" s="1">
        <v>-459.67</v>
      </c>
      <c r="K347" s="1">
        <v>980.32999999999993</v>
      </c>
      <c r="L347" s="1">
        <v>80.329999999999984</v>
      </c>
      <c r="M347" s="1">
        <v>67.999999999999943</v>
      </c>
    </row>
    <row r="348" spans="4:13">
      <c r="D348" s="1" t="s">
        <v>92</v>
      </c>
      <c r="E348" s="1" t="s">
        <v>37</v>
      </c>
      <c r="H348" s="1" t="s">
        <v>25</v>
      </c>
      <c r="I348" s="1" t="s">
        <v>23</v>
      </c>
      <c r="M348" s="1" t="b">
        <v>0</v>
      </c>
    </row>
    <row r="349" spans="4:13">
      <c r="D349" s="1" t="s">
        <v>92</v>
      </c>
      <c r="E349" s="1" t="s">
        <v>38</v>
      </c>
      <c r="F349" s="1" t="s">
        <v>35</v>
      </c>
      <c r="G349" s="1" t="s">
        <v>36</v>
      </c>
      <c r="H349" s="1" t="s">
        <v>22</v>
      </c>
      <c r="I349" s="1" t="s">
        <v>23</v>
      </c>
      <c r="J349" s="1">
        <v>-99.670000000000016</v>
      </c>
      <c r="K349" s="1">
        <v>980.32999999999993</v>
      </c>
      <c r="L349" s="1">
        <v>80.329999999999984</v>
      </c>
      <c r="M349" s="1">
        <v>13.999999999999943</v>
      </c>
    </row>
    <row r="350" spans="4:13">
      <c r="D350" s="1" t="s">
        <v>92</v>
      </c>
      <c r="E350" s="1" t="s">
        <v>39</v>
      </c>
      <c r="H350" s="1" t="s">
        <v>25</v>
      </c>
      <c r="I350" s="1" t="s">
        <v>23</v>
      </c>
      <c r="M350" s="1" t="b">
        <v>0</v>
      </c>
    </row>
    <row r="351" spans="4:13">
      <c r="D351" s="1" t="s">
        <v>92</v>
      </c>
      <c r="E351" s="1" t="s">
        <v>40</v>
      </c>
      <c r="F351" s="1" t="s">
        <v>41</v>
      </c>
      <c r="G351" s="1" t="s">
        <v>42</v>
      </c>
      <c r="H351" s="1" t="s">
        <v>22</v>
      </c>
      <c r="I351" s="1" t="s">
        <v>23</v>
      </c>
      <c r="J351" s="1">
        <v>-900</v>
      </c>
      <c r="K351" s="1">
        <v>900</v>
      </c>
      <c r="L351" s="1">
        <v>1.8</v>
      </c>
      <c r="M351" s="1">
        <v>9</v>
      </c>
    </row>
    <row r="352" spans="4:13">
      <c r="D352" s="1" t="s">
        <v>92</v>
      </c>
      <c r="E352" s="1" t="s">
        <v>43</v>
      </c>
      <c r="H352" s="1" t="s">
        <v>25</v>
      </c>
      <c r="I352" s="1" t="s">
        <v>23</v>
      </c>
      <c r="M352" s="1" t="b">
        <v>0</v>
      </c>
    </row>
    <row r="353" spans="4:13">
      <c r="D353" s="1" t="s">
        <v>92</v>
      </c>
      <c r="E353" s="1" t="s">
        <v>44</v>
      </c>
      <c r="F353" s="1" t="s">
        <v>45</v>
      </c>
      <c r="G353" s="1" t="s">
        <v>46</v>
      </c>
      <c r="H353" s="1" t="s">
        <v>22</v>
      </c>
      <c r="I353" s="1" t="s">
        <v>23</v>
      </c>
      <c r="J353" s="1">
        <v>-85.984522757427143</v>
      </c>
      <c r="K353" s="1">
        <v>8598.4522757427148</v>
      </c>
      <c r="L353" s="1">
        <v>114.79148749423418</v>
      </c>
      <c r="M353" s="1">
        <v>128.97678413614071</v>
      </c>
    </row>
    <row r="354" spans="4:13">
      <c r="D354" s="1" t="s">
        <v>92</v>
      </c>
      <c r="E354" s="1" t="s">
        <v>47</v>
      </c>
      <c r="H354" s="1" t="s">
        <v>25</v>
      </c>
      <c r="I354" s="1" t="s">
        <v>23</v>
      </c>
      <c r="M354" s="1" t="b">
        <v>0</v>
      </c>
    </row>
    <row r="355" spans="4:13">
      <c r="D355" s="1" t="s">
        <v>92</v>
      </c>
      <c r="E355" s="1" t="s">
        <v>48</v>
      </c>
      <c r="H355" s="1" t="s">
        <v>25</v>
      </c>
      <c r="I355" s="1" t="s">
        <v>23</v>
      </c>
      <c r="M355" s="1" t="b">
        <v>0</v>
      </c>
    </row>
    <row r="356" spans="4:13">
      <c r="D356" s="1" t="s">
        <v>92</v>
      </c>
      <c r="E356" s="1" t="s">
        <v>49</v>
      </c>
      <c r="H356" s="1" t="s">
        <v>25</v>
      </c>
      <c r="I356" s="1" t="s">
        <v>23</v>
      </c>
      <c r="M356" s="1" t="b">
        <v>0</v>
      </c>
    </row>
    <row r="357" spans="4:13">
      <c r="D357" s="1" t="s">
        <v>92</v>
      </c>
      <c r="E357" s="1" t="s">
        <v>50</v>
      </c>
      <c r="H357" s="1" t="s">
        <v>25</v>
      </c>
      <c r="I357" s="1" t="s">
        <v>23</v>
      </c>
      <c r="M357" s="1" t="b">
        <v>0</v>
      </c>
    </row>
    <row r="358" spans="4:13">
      <c r="D358" s="1" t="s">
        <v>92</v>
      </c>
      <c r="E358" s="1" t="s">
        <v>51</v>
      </c>
      <c r="F358" s="1" t="s">
        <v>52</v>
      </c>
      <c r="G358" s="1" t="s">
        <v>53</v>
      </c>
      <c r="H358" s="1" t="s">
        <v>22</v>
      </c>
      <c r="I358" s="1" t="s">
        <v>23</v>
      </c>
      <c r="J358" s="1">
        <v>0</v>
      </c>
      <c r="K358" s="1">
        <v>7936641438.6555996</v>
      </c>
      <c r="L358" s="1">
        <v>7936.6414386555998</v>
      </c>
      <c r="M358" s="1">
        <v>7936.6414386555998</v>
      </c>
    </row>
    <row r="359" spans="4:13">
      <c r="D359" s="1" t="s">
        <v>92</v>
      </c>
      <c r="E359" s="1" t="s">
        <v>54</v>
      </c>
      <c r="H359" s="1" t="s">
        <v>25</v>
      </c>
      <c r="I359" s="1" t="s">
        <v>23</v>
      </c>
      <c r="M359" s="1" t="b">
        <v>0</v>
      </c>
    </row>
    <row r="360" spans="4:13">
      <c r="D360" s="1" t="s">
        <v>92</v>
      </c>
      <c r="E360" s="1" t="s">
        <v>55</v>
      </c>
      <c r="F360" s="1" t="s">
        <v>56</v>
      </c>
      <c r="G360" s="1" t="s">
        <v>57</v>
      </c>
      <c r="H360" s="1" t="s">
        <v>22</v>
      </c>
      <c r="I360" s="1" t="s">
        <v>23</v>
      </c>
      <c r="J360" s="1">
        <v>0</v>
      </c>
      <c r="K360" s="1">
        <v>9427.4529524635982</v>
      </c>
      <c r="L360" s="1">
        <v>50.713895374744951</v>
      </c>
      <c r="M360" s="1">
        <v>50.763208205573221</v>
      </c>
    </row>
    <row r="361" spans="4:13">
      <c r="D361" s="1" t="s">
        <v>92</v>
      </c>
      <c r="E361" s="1" t="s">
        <v>58</v>
      </c>
      <c r="H361" s="1" t="s">
        <v>25</v>
      </c>
      <c r="I361" s="1" t="s">
        <v>23</v>
      </c>
      <c r="M361" s="1" t="b">
        <v>0</v>
      </c>
    </row>
    <row r="362" spans="4:13">
      <c r="D362" s="1" t="s">
        <v>92</v>
      </c>
      <c r="E362" s="1" t="s">
        <v>59</v>
      </c>
      <c r="F362" s="1" t="s">
        <v>60</v>
      </c>
      <c r="G362" s="1" t="s">
        <v>61</v>
      </c>
      <c r="H362" s="1" t="s">
        <v>22</v>
      </c>
      <c r="I362" s="1" t="s">
        <v>23</v>
      </c>
      <c r="J362" s="1">
        <v>-9.5538358650799999</v>
      </c>
      <c r="K362" s="1">
        <v>9.5538358650799999</v>
      </c>
      <c r="L362" s="1">
        <v>0.23884589662700001</v>
      </c>
      <c r="M362" s="1">
        <v>0.23884589662700001</v>
      </c>
    </row>
    <row r="363" spans="4:13">
      <c r="D363" s="1" t="s">
        <v>92</v>
      </c>
      <c r="E363" s="1" t="s">
        <v>62</v>
      </c>
      <c r="H363" s="1" t="s">
        <v>63</v>
      </c>
      <c r="I363" s="1" t="s">
        <v>23</v>
      </c>
      <c r="M363" s="1">
        <v>1</v>
      </c>
    </row>
    <row r="364" spans="4:13">
      <c r="D364" s="1" t="s">
        <v>92</v>
      </c>
      <c r="E364" s="1" t="s">
        <v>64</v>
      </c>
      <c r="F364" s="1" t="s">
        <v>35</v>
      </c>
      <c r="G364" s="1" t="s">
        <v>36</v>
      </c>
      <c r="H364" s="1" t="s">
        <v>22</v>
      </c>
      <c r="I364" s="1" t="s">
        <v>65</v>
      </c>
      <c r="J364" s="1">
        <v>-459.67</v>
      </c>
      <c r="L364" s="1">
        <v>80.329999999999984</v>
      </c>
    </row>
    <row r="365" spans="4:13">
      <c r="D365" s="1" t="s">
        <v>92</v>
      </c>
      <c r="E365" s="1" t="s">
        <v>66</v>
      </c>
      <c r="F365" s="1" t="s">
        <v>35</v>
      </c>
      <c r="G365" s="1" t="s">
        <v>36</v>
      </c>
      <c r="H365" s="1" t="s">
        <v>22</v>
      </c>
      <c r="I365" s="1" t="s">
        <v>65</v>
      </c>
      <c r="J365" s="1">
        <v>-459.67</v>
      </c>
      <c r="L365" s="1">
        <v>80.329999999999984</v>
      </c>
    </row>
    <row r="366" spans="4:13">
      <c r="D366" s="1" t="s">
        <v>92</v>
      </c>
      <c r="E366" s="1" t="s">
        <v>67</v>
      </c>
      <c r="F366" s="1" t="s">
        <v>41</v>
      </c>
      <c r="G366" s="1" t="s">
        <v>42</v>
      </c>
      <c r="H366" s="1" t="s">
        <v>22</v>
      </c>
      <c r="I366" s="1" t="s">
        <v>65</v>
      </c>
      <c r="L366" s="1">
        <v>1.8</v>
      </c>
    </row>
    <row r="367" spans="4:13">
      <c r="D367" s="1" t="s">
        <v>92</v>
      </c>
      <c r="E367" s="1" t="s">
        <v>68</v>
      </c>
      <c r="F367" s="1" t="s">
        <v>45</v>
      </c>
      <c r="G367" s="1" t="s">
        <v>46</v>
      </c>
      <c r="H367" s="1" t="s">
        <v>22</v>
      </c>
      <c r="I367" s="1" t="s">
        <v>65</v>
      </c>
      <c r="L367" s="1">
        <v>4.2992261378713571E-4</v>
      </c>
    </row>
    <row r="368" spans="4:13">
      <c r="D368" s="1" t="s">
        <v>92</v>
      </c>
      <c r="E368" s="1" t="s">
        <v>69</v>
      </c>
      <c r="H368" s="1" t="s">
        <v>25</v>
      </c>
      <c r="I368" s="1" t="s">
        <v>70</v>
      </c>
    </row>
    <row r="369" spans="4:13">
      <c r="D369" s="1" t="s">
        <v>92</v>
      </c>
      <c r="E369" s="1" t="s">
        <v>71</v>
      </c>
      <c r="F369" s="1" t="s">
        <v>52</v>
      </c>
      <c r="G369" s="1" t="s">
        <v>53</v>
      </c>
      <c r="H369" s="1" t="s">
        <v>22</v>
      </c>
      <c r="I369" s="1" t="s">
        <v>65</v>
      </c>
      <c r="L369" s="1">
        <v>7936.6414386555998</v>
      </c>
    </row>
    <row r="370" spans="4:13">
      <c r="D370" s="1" t="s">
        <v>92</v>
      </c>
      <c r="E370" s="1" t="s">
        <v>72</v>
      </c>
      <c r="F370" s="1" t="s">
        <v>56</v>
      </c>
      <c r="G370" s="1" t="s">
        <v>57</v>
      </c>
      <c r="H370" s="1" t="s">
        <v>22</v>
      </c>
      <c r="I370" s="1" t="s">
        <v>65</v>
      </c>
      <c r="J370" s="1">
        <v>0</v>
      </c>
      <c r="L370" s="1">
        <v>14.503773773020921</v>
      </c>
    </row>
    <row r="371" spans="4:13">
      <c r="D371" s="1" t="s">
        <v>92</v>
      </c>
      <c r="E371" s="1" t="s">
        <v>73</v>
      </c>
      <c r="F371" s="1" t="s">
        <v>60</v>
      </c>
      <c r="G371" s="1" t="s">
        <v>61</v>
      </c>
      <c r="H371" s="1" t="s">
        <v>22</v>
      </c>
      <c r="I371" s="1" t="s">
        <v>65</v>
      </c>
      <c r="L371" s="1">
        <v>2.38845896627E-4</v>
      </c>
    </row>
    <row r="372" spans="4:13">
      <c r="D372" s="1" t="s">
        <v>92</v>
      </c>
      <c r="E372" s="1" t="s">
        <v>74</v>
      </c>
      <c r="F372" s="1" t="s">
        <v>75</v>
      </c>
      <c r="G372" s="1" t="s">
        <v>76</v>
      </c>
      <c r="H372" s="1" t="s">
        <v>22</v>
      </c>
      <c r="I372" s="1" t="s">
        <v>65</v>
      </c>
      <c r="J372" s="1">
        <v>0</v>
      </c>
      <c r="L372" s="1">
        <v>16.018463521800001</v>
      </c>
    </row>
    <row r="373" spans="4:13">
      <c r="D373" s="1" t="s">
        <v>92</v>
      </c>
      <c r="E373" s="1" t="s">
        <v>77</v>
      </c>
      <c r="H373" s="1" t="s">
        <v>22</v>
      </c>
      <c r="I373" s="1" t="s">
        <v>65</v>
      </c>
      <c r="L373" s="1">
        <v>1</v>
      </c>
    </row>
    <row r="374" spans="4:13">
      <c r="D374" s="1" t="s">
        <v>92</v>
      </c>
      <c r="E374" s="1" t="s">
        <v>78</v>
      </c>
      <c r="H374" s="1" t="s">
        <v>25</v>
      </c>
      <c r="I374" s="1" t="s">
        <v>23</v>
      </c>
      <c r="M374" s="1" t="b">
        <v>0</v>
      </c>
    </row>
    <row r="375" spans="4:13">
      <c r="D375" s="1" t="s">
        <v>92</v>
      </c>
      <c r="E375" s="1" t="s">
        <v>79</v>
      </c>
      <c r="F375" s="1" t="s">
        <v>75</v>
      </c>
      <c r="G375" s="1" t="s">
        <v>76</v>
      </c>
      <c r="H375" s="1" t="s">
        <v>22</v>
      </c>
      <c r="I375" s="1" t="s">
        <v>23</v>
      </c>
      <c r="J375" s="1">
        <v>0</v>
      </c>
      <c r="K375" s="1">
        <v>96.110781130800007</v>
      </c>
      <c r="L375" s="1">
        <v>16.018463521800001</v>
      </c>
      <c r="M375" s="1">
        <v>1.6018463521800002</v>
      </c>
    </row>
    <row r="376" spans="4:13">
      <c r="D376" s="1" t="s">
        <v>92</v>
      </c>
      <c r="E376" s="1" t="s">
        <v>80</v>
      </c>
      <c r="H376" s="1" t="s">
        <v>25</v>
      </c>
      <c r="I376" s="1" t="s">
        <v>23</v>
      </c>
      <c r="M376" s="1" t="b">
        <v>0</v>
      </c>
    </row>
    <row r="377" spans="4:13">
      <c r="D377" s="1" t="s">
        <v>92</v>
      </c>
      <c r="E377" s="1" t="s">
        <v>81</v>
      </c>
      <c r="H377" s="1" t="s">
        <v>25</v>
      </c>
      <c r="I377" s="1" t="s">
        <v>23</v>
      </c>
      <c r="M377" s="1" t="b">
        <v>0</v>
      </c>
    </row>
    <row r="378" spans="4:13">
      <c r="D378" s="1" t="s">
        <v>92</v>
      </c>
      <c r="E378" s="1" t="s">
        <v>82</v>
      </c>
      <c r="H378" s="1" t="s">
        <v>22</v>
      </c>
      <c r="I378" s="1" t="s">
        <v>23</v>
      </c>
      <c r="J378" s="1">
        <v>-1</v>
      </c>
      <c r="K378" s="1">
        <v>3</v>
      </c>
      <c r="L378" s="1">
        <v>1</v>
      </c>
      <c r="M378" s="1">
        <v>1.01</v>
      </c>
    </row>
    <row r="379" spans="4:13">
      <c r="D379" s="1" t="s">
        <v>93</v>
      </c>
      <c r="F379" s="1" t="s">
        <v>41</v>
      </c>
      <c r="G379" s="1" t="s">
        <v>42</v>
      </c>
      <c r="H379" s="1" t="s">
        <v>22</v>
      </c>
      <c r="I379" s="1" t="s">
        <v>23</v>
      </c>
      <c r="L379" s="1">
        <v>1.8</v>
      </c>
      <c r="M379" s="1">
        <v>10</v>
      </c>
    </row>
    <row r="380" spans="4:13">
      <c r="D380" s="1" t="s">
        <v>94</v>
      </c>
      <c r="E380" s="1" t="s">
        <v>95</v>
      </c>
      <c r="H380" s="1" t="s">
        <v>63</v>
      </c>
      <c r="I380" s="1" t="s">
        <v>23</v>
      </c>
      <c r="M380" s="1">
        <v>-1</v>
      </c>
    </row>
    <row r="381" spans="4:13">
      <c r="D381" s="1" t="s">
        <v>94</v>
      </c>
      <c r="E381" s="1" t="s">
        <v>96</v>
      </c>
      <c r="H381" s="1" t="s">
        <v>22</v>
      </c>
      <c r="I381" s="1" t="s">
        <v>23</v>
      </c>
      <c r="L381" s="1">
        <v>1</v>
      </c>
      <c r="M381" s="1">
        <v>-0.1</v>
      </c>
    </row>
    <row r="382" spans="4:13">
      <c r="D382" s="1" t="s">
        <v>94</v>
      </c>
      <c r="E382" s="1" t="s">
        <v>47</v>
      </c>
      <c r="H382" s="1" t="s">
        <v>25</v>
      </c>
      <c r="I382" s="1" t="s">
        <v>23</v>
      </c>
      <c r="M382" s="1" t="b">
        <v>0</v>
      </c>
    </row>
    <row r="383" spans="4:13">
      <c r="D383" s="1" t="s">
        <v>97</v>
      </c>
      <c r="E383" s="1" t="s">
        <v>28</v>
      </c>
      <c r="H383" s="1" t="s">
        <v>22</v>
      </c>
      <c r="I383" s="1" t="s">
        <v>29</v>
      </c>
      <c r="J383" s="1">
        <v>34000</v>
      </c>
      <c r="K383" s="1">
        <v>4300000</v>
      </c>
      <c r="L383" s="1">
        <v>349660</v>
      </c>
    </row>
    <row r="384" spans="4:13">
      <c r="D384" s="1" t="s">
        <v>97</v>
      </c>
      <c r="E384" s="1" t="s">
        <v>30</v>
      </c>
      <c r="H384" s="1" t="s">
        <v>22</v>
      </c>
      <c r="I384" s="1" t="s">
        <v>29</v>
      </c>
      <c r="J384" s="1">
        <v>-3.94</v>
      </c>
      <c r="K384" s="1">
        <v>3.66</v>
      </c>
      <c r="L384" s="1">
        <v>1</v>
      </c>
    </row>
    <row r="385" spans="4:13">
      <c r="D385" s="1" t="s">
        <v>97</v>
      </c>
      <c r="E385" s="1" t="s">
        <v>31</v>
      </c>
      <c r="H385" s="1" t="s">
        <v>22</v>
      </c>
      <c r="I385" s="1" t="s">
        <v>29</v>
      </c>
      <c r="J385" s="1">
        <v>0</v>
      </c>
      <c r="K385" s="1">
        <v>100</v>
      </c>
      <c r="L385" s="1">
        <v>1</v>
      </c>
    </row>
    <row r="386" spans="4:13">
      <c r="D386" s="1" t="s">
        <v>97</v>
      </c>
      <c r="E386" s="1" t="s">
        <v>32</v>
      </c>
      <c r="H386" s="1" t="s">
        <v>22</v>
      </c>
      <c r="I386" s="1" t="s">
        <v>29</v>
      </c>
      <c r="J386" s="1">
        <v>-3.94</v>
      </c>
      <c r="K386" s="1">
        <v>3.66</v>
      </c>
      <c r="L386" s="1">
        <v>1</v>
      </c>
    </row>
    <row r="387" spans="4:13">
      <c r="D387" s="1" t="s">
        <v>97</v>
      </c>
      <c r="E387" s="1" t="s">
        <v>33</v>
      </c>
      <c r="H387" s="1" t="s">
        <v>25</v>
      </c>
      <c r="I387" s="1" t="s">
        <v>23</v>
      </c>
      <c r="M387" s="1" t="b">
        <v>0</v>
      </c>
    </row>
    <row r="388" spans="4:13">
      <c r="D388" s="1" t="s">
        <v>97</v>
      </c>
      <c r="E388" s="1" t="s">
        <v>34</v>
      </c>
      <c r="F388" s="1" t="s">
        <v>35</v>
      </c>
      <c r="G388" s="1" t="s">
        <v>36</v>
      </c>
      <c r="H388" s="1" t="s">
        <v>22</v>
      </c>
      <c r="I388" s="1" t="s">
        <v>23</v>
      </c>
      <c r="J388" s="1">
        <v>-459.67</v>
      </c>
      <c r="K388" s="1">
        <v>980.32999999999993</v>
      </c>
      <c r="L388" s="1">
        <v>80.329999999999984</v>
      </c>
      <c r="M388" s="1">
        <v>67.999999999999943</v>
      </c>
    </row>
    <row r="389" spans="4:13">
      <c r="D389" s="1" t="s">
        <v>97</v>
      </c>
      <c r="E389" s="1" t="s">
        <v>37</v>
      </c>
      <c r="H389" s="1" t="s">
        <v>25</v>
      </c>
      <c r="I389" s="1" t="s">
        <v>23</v>
      </c>
      <c r="M389" s="1" t="b">
        <v>0</v>
      </c>
    </row>
    <row r="390" spans="4:13">
      <c r="D390" s="1" t="s">
        <v>97</v>
      </c>
      <c r="E390" s="1" t="s">
        <v>38</v>
      </c>
      <c r="F390" s="1" t="s">
        <v>35</v>
      </c>
      <c r="G390" s="1" t="s">
        <v>36</v>
      </c>
      <c r="H390" s="1" t="s">
        <v>22</v>
      </c>
      <c r="I390" s="1" t="s">
        <v>23</v>
      </c>
      <c r="J390" s="1">
        <v>-99.670000000000016</v>
      </c>
      <c r="K390" s="1">
        <v>980.32999999999993</v>
      </c>
      <c r="L390" s="1">
        <v>80.329999999999984</v>
      </c>
      <c r="M390" s="1">
        <v>13.999999999999943</v>
      </c>
    </row>
    <row r="391" spans="4:13">
      <c r="D391" s="1" t="s">
        <v>97</v>
      </c>
      <c r="E391" s="1" t="s">
        <v>39</v>
      </c>
      <c r="H391" s="1" t="s">
        <v>25</v>
      </c>
      <c r="I391" s="1" t="s">
        <v>23</v>
      </c>
      <c r="M391" s="1" t="b">
        <v>1</v>
      </c>
    </row>
    <row r="392" spans="4:13">
      <c r="D392" s="1" t="s">
        <v>97</v>
      </c>
      <c r="E392" s="1" t="s">
        <v>40</v>
      </c>
      <c r="F392" s="1" t="s">
        <v>41</v>
      </c>
      <c r="G392" s="1" t="s">
        <v>42</v>
      </c>
      <c r="H392" s="1" t="s">
        <v>22</v>
      </c>
      <c r="I392" s="1" t="s">
        <v>23</v>
      </c>
      <c r="J392" s="1">
        <v>-900</v>
      </c>
      <c r="K392" s="1">
        <v>900</v>
      </c>
      <c r="L392" s="1">
        <v>1.8</v>
      </c>
      <c r="M392" s="1">
        <v>0.5</v>
      </c>
    </row>
    <row r="393" spans="4:13">
      <c r="D393" s="1" t="s">
        <v>97</v>
      </c>
      <c r="E393" s="1" t="s">
        <v>43</v>
      </c>
      <c r="H393" s="1" t="s">
        <v>25</v>
      </c>
      <c r="I393" s="1" t="s">
        <v>23</v>
      </c>
      <c r="M393" s="1" t="b">
        <v>0</v>
      </c>
    </row>
    <row r="394" spans="4:13">
      <c r="D394" s="1" t="s">
        <v>97</v>
      </c>
      <c r="E394" s="1" t="s">
        <v>44</v>
      </c>
      <c r="F394" s="1" t="s">
        <v>45</v>
      </c>
      <c r="G394" s="1" t="s">
        <v>46</v>
      </c>
      <c r="H394" s="1" t="s">
        <v>22</v>
      </c>
      <c r="I394" s="1" t="s">
        <v>23</v>
      </c>
      <c r="J394" s="1">
        <v>-85.984522757427143</v>
      </c>
      <c r="K394" s="1">
        <v>8598.4522757427148</v>
      </c>
      <c r="L394" s="1">
        <v>114.79148749423418</v>
      </c>
      <c r="M394" s="1">
        <v>128.97678413614071</v>
      </c>
    </row>
    <row r="395" spans="4:13">
      <c r="D395" s="1" t="s">
        <v>97</v>
      </c>
      <c r="E395" s="1" t="s">
        <v>47</v>
      </c>
      <c r="H395" s="1" t="s">
        <v>25</v>
      </c>
      <c r="I395" s="1" t="s">
        <v>23</v>
      </c>
      <c r="M395" s="1" t="b">
        <v>0</v>
      </c>
    </row>
    <row r="396" spans="4:13">
      <c r="D396" s="1" t="s">
        <v>97</v>
      </c>
      <c r="E396" s="1" t="s">
        <v>48</v>
      </c>
      <c r="H396" s="1" t="s">
        <v>25</v>
      </c>
      <c r="I396" s="1" t="s">
        <v>23</v>
      </c>
      <c r="M396" s="1" t="b">
        <v>0</v>
      </c>
    </row>
    <row r="397" spans="4:13">
      <c r="D397" s="1" t="s">
        <v>97</v>
      </c>
      <c r="E397" s="1" t="s">
        <v>49</v>
      </c>
      <c r="H397" s="1" t="s">
        <v>25</v>
      </c>
      <c r="I397" s="1" t="s">
        <v>23</v>
      </c>
      <c r="M397" s="1" t="b">
        <v>0</v>
      </c>
    </row>
    <row r="398" spans="4:13">
      <c r="D398" s="1" t="s">
        <v>97</v>
      </c>
      <c r="E398" s="1" t="s">
        <v>50</v>
      </c>
      <c r="H398" s="1" t="s">
        <v>25</v>
      </c>
      <c r="I398" s="1" t="s">
        <v>23</v>
      </c>
      <c r="M398" s="1" t="b">
        <v>0</v>
      </c>
    </row>
    <row r="399" spans="4:13">
      <c r="D399" s="1" t="s">
        <v>97</v>
      </c>
      <c r="E399" s="1" t="s">
        <v>51</v>
      </c>
      <c r="F399" s="1" t="s">
        <v>52</v>
      </c>
      <c r="G399" s="1" t="s">
        <v>53</v>
      </c>
      <c r="H399" s="1" t="s">
        <v>22</v>
      </c>
      <c r="I399" s="1" t="s">
        <v>23</v>
      </c>
      <c r="J399" s="1">
        <v>0</v>
      </c>
      <c r="K399" s="1">
        <v>7936641438.6555996</v>
      </c>
      <c r="L399" s="1">
        <v>7936.6414386555998</v>
      </c>
      <c r="M399" s="1">
        <v>7936.6414386555998</v>
      </c>
    </row>
    <row r="400" spans="4:13">
      <c r="D400" s="1" t="s">
        <v>97</v>
      </c>
      <c r="E400" s="1" t="s">
        <v>54</v>
      </c>
      <c r="H400" s="1" t="s">
        <v>25</v>
      </c>
      <c r="I400" s="1" t="s">
        <v>23</v>
      </c>
      <c r="M400" s="1" t="b">
        <v>0</v>
      </c>
    </row>
    <row r="401" spans="4:13">
      <c r="D401" s="1" t="s">
        <v>97</v>
      </c>
      <c r="E401" s="1" t="s">
        <v>55</v>
      </c>
      <c r="F401" s="1" t="s">
        <v>56</v>
      </c>
      <c r="G401" s="1" t="s">
        <v>57</v>
      </c>
      <c r="H401" s="1" t="s">
        <v>22</v>
      </c>
      <c r="I401" s="1" t="s">
        <v>23</v>
      </c>
      <c r="J401" s="1">
        <v>0</v>
      </c>
      <c r="K401" s="1">
        <v>9427.4529524635982</v>
      </c>
      <c r="L401" s="1">
        <v>50.713895374744951</v>
      </c>
      <c r="M401" s="1">
        <v>50.763208205573221</v>
      </c>
    </row>
    <row r="402" spans="4:13">
      <c r="D402" s="1" t="s">
        <v>97</v>
      </c>
      <c r="E402" s="1" t="s">
        <v>58</v>
      </c>
      <c r="H402" s="1" t="s">
        <v>25</v>
      </c>
      <c r="I402" s="1" t="s">
        <v>23</v>
      </c>
      <c r="M402" s="1" t="b">
        <v>0</v>
      </c>
    </row>
    <row r="403" spans="4:13">
      <c r="D403" s="1" t="s">
        <v>97</v>
      </c>
      <c r="E403" s="1" t="s">
        <v>59</v>
      </c>
      <c r="F403" s="1" t="s">
        <v>60</v>
      </c>
      <c r="G403" s="1" t="s">
        <v>61</v>
      </c>
      <c r="H403" s="1" t="s">
        <v>22</v>
      </c>
      <c r="I403" s="1" t="s">
        <v>23</v>
      </c>
      <c r="J403" s="1">
        <v>-9.5538358650799999</v>
      </c>
      <c r="K403" s="1">
        <v>9.5538358650799999</v>
      </c>
      <c r="L403" s="1">
        <v>0.23884589662700001</v>
      </c>
      <c r="M403" s="1">
        <v>0.23884589662700001</v>
      </c>
    </row>
    <row r="404" spans="4:13">
      <c r="D404" s="1" t="s">
        <v>97</v>
      </c>
      <c r="E404" s="1" t="s">
        <v>62</v>
      </c>
      <c r="H404" s="1" t="s">
        <v>63</v>
      </c>
      <c r="I404" s="1" t="s">
        <v>23</v>
      </c>
      <c r="M404" s="1">
        <v>1</v>
      </c>
    </row>
    <row r="405" spans="4:13">
      <c r="D405" s="1" t="s">
        <v>97</v>
      </c>
      <c r="E405" s="1" t="s">
        <v>64</v>
      </c>
      <c r="F405" s="1" t="s">
        <v>35</v>
      </c>
      <c r="G405" s="1" t="s">
        <v>36</v>
      </c>
      <c r="H405" s="1" t="s">
        <v>22</v>
      </c>
      <c r="I405" s="1" t="s">
        <v>65</v>
      </c>
      <c r="J405" s="1">
        <v>-459.67</v>
      </c>
      <c r="L405" s="1">
        <v>80.329999999999984</v>
      </c>
    </row>
    <row r="406" spans="4:13">
      <c r="D406" s="1" t="s">
        <v>97</v>
      </c>
      <c r="E406" s="1" t="s">
        <v>66</v>
      </c>
      <c r="F406" s="1" t="s">
        <v>35</v>
      </c>
      <c r="G406" s="1" t="s">
        <v>36</v>
      </c>
      <c r="H406" s="1" t="s">
        <v>22</v>
      </c>
      <c r="I406" s="1" t="s">
        <v>65</v>
      </c>
      <c r="J406" s="1">
        <v>-459.67</v>
      </c>
      <c r="L406" s="1">
        <v>80.329999999999984</v>
      </c>
    </row>
    <row r="407" spans="4:13">
      <c r="D407" s="1" t="s">
        <v>97</v>
      </c>
      <c r="E407" s="1" t="s">
        <v>67</v>
      </c>
      <c r="F407" s="1" t="s">
        <v>41</v>
      </c>
      <c r="G407" s="1" t="s">
        <v>42</v>
      </c>
      <c r="H407" s="1" t="s">
        <v>22</v>
      </c>
      <c r="I407" s="1" t="s">
        <v>65</v>
      </c>
      <c r="L407" s="1">
        <v>1.8</v>
      </c>
    </row>
    <row r="408" spans="4:13">
      <c r="D408" s="1" t="s">
        <v>97</v>
      </c>
      <c r="E408" s="1" t="s">
        <v>68</v>
      </c>
      <c r="F408" s="1" t="s">
        <v>45</v>
      </c>
      <c r="G408" s="1" t="s">
        <v>46</v>
      </c>
      <c r="H408" s="1" t="s">
        <v>22</v>
      </c>
      <c r="I408" s="1" t="s">
        <v>65</v>
      </c>
      <c r="L408" s="1">
        <v>4.2992261378713571E-4</v>
      </c>
    </row>
    <row r="409" spans="4:13">
      <c r="D409" s="1" t="s">
        <v>97</v>
      </c>
      <c r="E409" s="1" t="s">
        <v>69</v>
      </c>
      <c r="H409" s="1" t="s">
        <v>25</v>
      </c>
      <c r="I409" s="1" t="s">
        <v>70</v>
      </c>
    </row>
    <row r="410" spans="4:13">
      <c r="D410" s="1" t="s">
        <v>97</v>
      </c>
      <c r="E410" s="1" t="s">
        <v>71</v>
      </c>
      <c r="F410" s="1" t="s">
        <v>52</v>
      </c>
      <c r="G410" s="1" t="s">
        <v>53</v>
      </c>
      <c r="H410" s="1" t="s">
        <v>22</v>
      </c>
      <c r="I410" s="1" t="s">
        <v>65</v>
      </c>
      <c r="L410" s="1">
        <v>7936.6414386555998</v>
      </c>
    </row>
    <row r="411" spans="4:13">
      <c r="D411" s="1" t="s">
        <v>97</v>
      </c>
      <c r="E411" s="1" t="s">
        <v>72</v>
      </c>
      <c r="F411" s="1" t="s">
        <v>56</v>
      </c>
      <c r="G411" s="1" t="s">
        <v>57</v>
      </c>
      <c r="H411" s="1" t="s">
        <v>22</v>
      </c>
      <c r="I411" s="1" t="s">
        <v>65</v>
      </c>
      <c r="J411" s="1">
        <v>0</v>
      </c>
      <c r="L411" s="1">
        <v>14.503773773020921</v>
      </c>
    </row>
    <row r="412" spans="4:13">
      <c r="D412" s="1" t="s">
        <v>97</v>
      </c>
      <c r="E412" s="1" t="s">
        <v>73</v>
      </c>
      <c r="F412" s="1" t="s">
        <v>60</v>
      </c>
      <c r="G412" s="1" t="s">
        <v>61</v>
      </c>
      <c r="H412" s="1" t="s">
        <v>22</v>
      </c>
      <c r="I412" s="1" t="s">
        <v>65</v>
      </c>
      <c r="L412" s="1">
        <v>2.38845896627E-4</v>
      </c>
    </row>
    <row r="413" spans="4:13">
      <c r="D413" s="1" t="s">
        <v>97</v>
      </c>
      <c r="E413" s="1" t="s">
        <v>74</v>
      </c>
      <c r="F413" s="1" t="s">
        <v>75</v>
      </c>
      <c r="G413" s="1" t="s">
        <v>76</v>
      </c>
      <c r="H413" s="1" t="s">
        <v>22</v>
      </c>
      <c r="I413" s="1" t="s">
        <v>65</v>
      </c>
      <c r="J413" s="1">
        <v>0</v>
      </c>
      <c r="L413" s="1">
        <v>16.018463521800001</v>
      </c>
    </row>
    <row r="414" spans="4:13">
      <c r="D414" s="1" t="s">
        <v>97</v>
      </c>
      <c r="E414" s="1" t="s">
        <v>77</v>
      </c>
      <c r="H414" s="1" t="s">
        <v>22</v>
      </c>
      <c r="I414" s="1" t="s">
        <v>65</v>
      </c>
      <c r="L414" s="1">
        <v>1</v>
      </c>
    </row>
    <row r="415" spans="4:13">
      <c r="D415" s="1" t="s">
        <v>97</v>
      </c>
      <c r="E415" s="1" t="s">
        <v>78</v>
      </c>
      <c r="H415" s="1" t="s">
        <v>25</v>
      </c>
      <c r="I415" s="1" t="s">
        <v>23</v>
      </c>
      <c r="M415" s="1" t="b">
        <v>0</v>
      </c>
    </row>
    <row r="416" spans="4:13">
      <c r="D416" s="1" t="s">
        <v>97</v>
      </c>
      <c r="E416" s="1" t="s">
        <v>79</v>
      </c>
      <c r="F416" s="1" t="s">
        <v>75</v>
      </c>
      <c r="G416" s="1" t="s">
        <v>76</v>
      </c>
      <c r="H416" s="1" t="s">
        <v>22</v>
      </c>
      <c r="I416" s="1" t="s">
        <v>23</v>
      </c>
      <c r="J416" s="1">
        <v>0</v>
      </c>
      <c r="K416" s="1">
        <v>96.110781130800007</v>
      </c>
      <c r="L416" s="1">
        <v>16.018463521800001</v>
      </c>
      <c r="M416" s="1">
        <v>1.6018463521800002</v>
      </c>
    </row>
    <row r="417" spans="4:13">
      <c r="D417" s="1" t="s">
        <v>97</v>
      </c>
      <c r="E417" s="1" t="s">
        <v>80</v>
      </c>
      <c r="H417" s="1" t="s">
        <v>25</v>
      </c>
      <c r="I417" s="1" t="s">
        <v>23</v>
      </c>
      <c r="M417" s="1" t="b">
        <v>0</v>
      </c>
    </row>
    <row r="418" spans="4:13">
      <c r="D418" s="1" t="s">
        <v>97</v>
      </c>
      <c r="E418" s="1" t="s">
        <v>81</v>
      </c>
      <c r="H418" s="1" t="s">
        <v>25</v>
      </c>
      <c r="I418" s="1" t="s">
        <v>23</v>
      </c>
      <c r="M418" s="1" t="b">
        <v>0</v>
      </c>
    </row>
    <row r="419" spans="4:13">
      <c r="D419" s="1" t="s">
        <v>97</v>
      </c>
      <c r="E419" s="1" t="s">
        <v>82</v>
      </c>
      <c r="H419" s="1" t="s">
        <v>22</v>
      </c>
      <c r="I419" s="1" t="s">
        <v>23</v>
      </c>
      <c r="J419" s="1">
        <v>-1</v>
      </c>
      <c r="K419" s="1">
        <v>3</v>
      </c>
      <c r="L419" s="1">
        <v>1</v>
      </c>
      <c r="M419" s="1">
        <v>1.01</v>
      </c>
    </row>
    <row r="420" spans="4:13">
      <c r="D420" s="1" t="s">
        <v>98</v>
      </c>
      <c r="E420" s="1" t="s">
        <v>99</v>
      </c>
      <c r="H420" s="1" t="s">
        <v>25</v>
      </c>
      <c r="I420" s="1" t="s">
        <v>23</v>
      </c>
      <c r="M420" s="1" t="b">
        <v>0</v>
      </c>
    </row>
    <row r="421" spans="4:13">
      <c r="D421" s="1" t="s">
        <v>98</v>
      </c>
      <c r="E421" s="1" t="s">
        <v>100</v>
      </c>
      <c r="H421" s="1" t="s">
        <v>22</v>
      </c>
      <c r="I421" s="1" t="s">
        <v>23</v>
      </c>
      <c r="L421" s="1">
        <v>1</v>
      </c>
      <c r="M421" s="1">
        <v>1000</v>
      </c>
    </row>
    <row r="422" spans="4:13">
      <c r="D422" s="1" t="s">
        <v>98</v>
      </c>
      <c r="E422" s="1" t="s">
        <v>101</v>
      </c>
      <c r="H422" s="1" t="s">
        <v>22</v>
      </c>
      <c r="I422" s="1" t="s">
        <v>23</v>
      </c>
      <c r="L422" s="1">
        <v>1</v>
      </c>
      <c r="M422" s="1">
        <v>0</v>
      </c>
    </row>
    <row r="423" spans="4:13">
      <c r="D423" s="1" t="s">
        <v>98</v>
      </c>
      <c r="E423" s="1" t="s">
        <v>102</v>
      </c>
      <c r="H423" s="1" t="s">
        <v>22</v>
      </c>
      <c r="I423" s="1" t="s">
        <v>23</v>
      </c>
      <c r="L423" s="1">
        <v>1</v>
      </c>
      <c r="M423" s="1">
        <v>1.4</v>
      </c>
    </row>
    <row r="424" spans="4:13">
      <c r="D424" s="1" t="s">
        <v>98</v>
      </c>
      <c r="E424" s="1" t="s">
        <v>103</v>
      </c>
      <c r="H424" s="1" t="s">
        <v>22</v>
      </c>
      <c r="I424" s="1" t="s">
        <v>29</v>
      </c>
      <c r="J424" s="1">
        <v>0</v>
      </c>
      <c r="K424" s="1">
        <v>1000</v>
      </c>
      <c r="L424" s="1">
        <v>500</v>
      </c>
    </row>
    <row r="425" spans="4:13">
      <c r="D425" s="1" t="s">
        <v>104</v>
      </c>
      <c r="E425" s="1" t="s">
        <v>105</v>
      </c>
      <c r="H425" s="1" t="s">
        <v>22</v>
      </c>
      <c r="I425" s="1" t="s">
        <v>29</v>
      </c>
      <c r="J425" s="1">
        <v>0</v>
      </c>
      <c r="K425" s="1">
        <v>10000</v>
      </c>
      <c r="L425" s="1">
        <v>5000</v>
      </c>
    </row>
    <row r="426" spans="4:13">
      <c r="D426" s="1" t="s">
        <v>104</v>
      </c>
      <c r="E426" s="1" t="s">
        <v>106</v>
      </c>
      <c r="H426" s="1" t="s">
        <v>25</v>
      </c>
      <c r="I426" s="1" t="s">
        <v>23</v>
      </c>
      <c r="M426" s="1" t="b">
        <v>0</v>
      </c>
    </row>
    <row r="427" spans="4:13">
      <c r="D427" s="1" t="s">
        <v>104</v>
      </c>
      <c r="E427" s="1" t="s">
        <v>107</v>
      </c>
      <c r="H427" s="1" t="s">
        <v>22</v>
      </c>
      <c r="I427" s="1" t="s">
        <v>23</v>
      </c>
      <c r="L427" s="1">
        <v>1</v>
      </c>
      <c r="M427" s="1">
        <v>20</v>
      </c>
    </row>
    <row r="428" spans="4:13">
      <c r="D428" s="1" t="s">
        <v>104</v>
      </c>
      <c r="E428" s="1" t="s">
        <v>108</v>
      </c>
      <c r="F428" s="1" t="s">
        <v>35</v>
      </c>
      <c r="G428" s="1" t="s">
        <v>36</v>
      </c>
      <c r="H428" s="1" t="s">
        <v>22</v>
      </c>
      <c r="I428" s="1" t="s">
        <v>23</v>
      </c>
      <c r="J428" s="1">
        <v>-459.67</v>
      </c>
      <c r="L428" s="1">
        <v>80.329999999999984</v>
      </c>
      <c r="M428" s="1">
        <v>49.999999999999943</v>
      </c>
    </row>
    <row r="429" spans="4:13">
      <c r="D429" s="1" t="s">
        <v>104</v>
      </c>
      <c r="E429" s="1" t="s">
        <v>109</v>
      </c>
      <c r="H429" s="1" t="s">
        <v>22</v>
      </c>
      <c r="I429" s="1" t="s">
        <v>23</v>
      </c>
      <c r="L429" s="1">
        <v>1</v>
      </c>
      <c r="M429" s="1">
        <v>1</v>
      </c>
    </row>
    <row r="430" spans="4:13">
      <c r="D430" s="1" t="s">
        <v>104</v>
      </c>
      <c r="E430" s="1" t="s">
        <v>110</v>
      </c>
      <c r="H430" s="1" t="s">
        <v>25</v>
      </c>
      <c r="I430" s="1" t="s">
        <v>23</v>
      </c>
      <c r="M430" s="1" t="b">
        <v>1</v>
      </c>
    </row>
    <row r="431" spans="4:13">
      <c r="D431" s="1" t="s">
        <v>104</v>
      </c>
      <c r="E431" s="1" t="s">
        <v>111</v>
      </c>
      <c r="F431" s="1" t="s">
        <v>56</v>
      </c>
      <c r="G431" s="1" t="s">
        <v>57</v>
      </c>
      <c r="H431" s="1" t="s">
        <v>22</v>
      </c>
      <c r="I431" s="1" t="s">
        <v>23</v>
      </c>
      <c r="L431" s="1">
        <v>1.4503773773020921E-4</v>
      </c>
      <c r="M431" s="1">
        <v>7.2518868865104604E-3</v>
      </c>
    </row>
    <row r="432" spans="4:13">
      <c r="D432" s="1" t="s">
        <v>104</v>
      </c>
      <c r="E432" s="1" t="s">
        <v>112</v>
      </c>
      <c r="F432" s="1" t="s">
        <v>56</v>
      </c>
      <c r="G432" s="1" t="s">
        <v>57</v>
      </c>
      <c r="H432" s="1" t="s">
        <v>22</v>
      </c>
      <c r="I432" s="1" t="s">
        <v>29</v>
      </c>
      <c r="J432" s="1">
        <v>4.9312830828271128</v>
      </c>
      <c r="K432" s="1">
        <v>623.66227223989961</v>
      </c>
      <c r="L432" s="1">
        <v>50.713895374744951</v>
      </c>
    </row>
    <row r="433" spans="4:13">
      <c r="D433" s="1" t="s">
        <v>104</v>
      </c>
      <c r="E433" s="1" t="s">
        <v>62</v>
      </c>
      <c r="H433" s="1" t="s">
        <v>63</v>
      </c>
      <c r="I433" s="1" t="s">
        <v>23</v>
      </c>
      <c r="M433" s="1">
        <v>1</v>
      </c>
    </row>
    <row r="434" spans="4:13">
      <c r="D434" s="1" t="s">
        <v>104</v>
      </c>
      <c r="E434" s="1" t="s">
        <v>113</v>
      </c>
      <c r="H434" s="1" t="s">
        <v>22</v>
      </c>
      <c r="I434" s="1" t="s">
        <v>65</v>
      </c>
      <c r="L434" s="1">
        <v>1</v>
      </c>
    </row>
    <row r="435" spans="4:13">
      <c r="D435" s="1" t="s">
        <v>104</v>
      </c>
      <c r="E435" s="1" t="s">
        <v>114</v>
      </c>
      <c r="H435" s="1" t="s">
        <v>22</v>
      </c>
      <c r="I435" s="1" t="s">
        <v>70</v>
      </c>
      <c r="L435" s="1">
        <v>1</v>
      </c>
    </row>
    <row r="436" spans="4:13">
      <c r="D436" s="1" t="s">
        <v>104</v>
      </c>
      <c r="E436" s="1" t="s">
        <v>115</v>
      </c>
      <c r="F436" s="1" t="s">
        <v>56</v>
      </c>
      <c r="G436" s="1" t="s">
        <v>57</v>
      </c>
      <c r="H436" s="1" t="s">
        <v>22</v>
      </c>
      <c r="I436" s="1" t="s">
        <v>65</v>
      </c>
      <c r="L436" s="1">
        <v>1.4503773773020921E-4</v>
      </c>
    </row>
    <row r="437" spans="4:13">
      <c r="D437" s="1" t="s">
        <v>104</v>
      </c>
      <c r="E437" s="1" t="s">
        <v>116</v>
      </c>
      <c r="H437" s="1" t="s">
        <v>25</v>
      </c>
      <c r="I437" s="1" t="s">
        <v>65</v>
      </c>
    </row>
    <row r="438" spans="4:13">
      <c r="D438" s="1" t="s">
        <v>104</v>
      </c>
      <c r="E438" s="1" t="s">
        <v>69</v>
      </c>
      <c r="H438" s="1" t="s">
        <v>25</v>
      </c>
      <c r="I438" s="1" t="s">
        <v>70</v>
      </c>
    </row>
    <row r="439" spans="4:13">
      <c r="D439" s="1" t="s">
        <v>104</v>
      </c>
      <c r="E439" s="1" t="s">
        <v>71</v>
      </c>
      <c r="F439" s="1" t="s">
        <v>52</v>
      </c>
      <c r="G439" s="1" t="s">
        <v>53</v>
      </c>
      <c r="H439" s="1" t="s">
        <v>22</v>
      </c>
      <c r="I439" s="1" t="s">
        <v>65</v>
      </c>
      <c r="L439" s="1">
        <v>7936.6414386555998</v>
      </c>
    </row>
    <row r="440" spans="4:13">
      <c r="D440" s="1" t="s">
        <v>104</v>
      </c>
      <c r="E440" s="1" t="s">
        <v>117</v>
      </c>
      <c r="F440" s="1" t="s">
        <v>118</v>
      </c>
      <c r="G440" s="1" t="s">
        <v>119</v>
      </c>
      <c r="H440" s="1" t="s">
        <v>22</v>
      </c>
      <c r="I440" s="1" t="s">
        <v>120</v>
      </c>
      <c r="J440" s="1">
        <v>0</v>
      </c>
      <c r="L440" s="1">
        <v>2.20462262185</v>
      </c>
    </row>
    <row r="441" spans="4:13">
      <c r="D441" s="1" t="s">
        <v>104</v>
      </c>
      <c r="E441" s="1" t="s">
        <v>121</v>
      </c>
      <c r="H441" s="1" t="s">
        <v>22</v>
      </c>
      <c r="I441" s="1" t="s">
        <v>120</v>
      </c>
      <c r="L441" s="1">
        <v>1</v>
      </c>
    </row>
    <row r="442" spans="4:13">
      <c r="D442" s="1" t="s">
        <v>104</v>
      </c>
      <c r="E442" s="1" t="s">
        <v>122</v>
      </c>
      <c r="F442" s="1" t="s">
        <v>56</v>
      </c>
      <c r="G442" s="1" t="s">
        <v>57</v>
      </c>
      <c r="H442" s="1" t="s">
        <v>22</v>
      </c>
      <c r="I442" s="1" t="s">
        <v>65</v>
      </c>
      <c r="L442" s="1">
        <v>1.4503773773020921E-4</v>
      </c>
    </row>
    <row r="443" spans="4:13">
      <c r="D443" s="1" t="s">
        <v>104</v>
      </c>
      <c r="E443" s="1" t="s">
        <v>123</v>
      </c>
      <c r="F443" s="1" t="s">
        <v>124</v>
      </c>
      <c r="G443" s="1" t="s">
        <v>125</v>
      </c>
      <c r="H443" s="1" t="s">
        <v>22</v>
      </c>
      <c r="I443" s="1" t="s">
        <v>120</v>
      </c>
      <c r="L443" s="1">
        <v>35.314666699999997</v>
      </c>
    </row>
    <row r="444" spans="4:13">
      <c r="D444" s="1" t="s">
        <v>104</v>
      </c>
      <c r="E444" s="1" t="s">
        <v>126</v>
      </c>
      <c r="H444" s="1" t="s">
        <v>22</v>
      </c>
      <c r="I444" s="1" t="s">
        <v>65</v>
      </c>
      <c r="L444" s="1">
        <v>1</v>
      </c>
    </row>
    <row r="445" spans="4:13">
      <c r="D445" s="1" t="s">
        <v>104</v>
      </c>
      <c r="E445" s="1" t="s">
        <v>127</v>
      </c>
      <c r="H445" s="1" t="s">
        <v>25</v>
      </c>
      <c r="I445" s="1" t="s">
        <v>23</v>
      </c>
      <c r="M445" s="1" t="b">
        <v>1</v>
      </c>
    </row>
    <row r="446" spans="4:13">
      <c r="D446" s="1" t="s">
        <v>104</v>
      </c>
      <c r="E446" s="1" t="s">
        <v>128</v>
      </c>
      <c r="H446" s="1" t="s">
        <v>25</v>
      </c>
      <c r="I446" s="1" t="s">
        <v>23</v>
      </c>
      <c r="M446" s="1" t="b">
        <v>0</v>
      </c>
    </row>
    <row r="447" spans="4:13">
      <c r="D447" s="1" t="s">
        <v>129</v>
      </c>
      <c r="E447" s="1" t="s">
        <v>28</v>
      </c>
      <c r="H447" s="1" t="s">
        <v>22</v>
      </c>
      <c r="I447" s="1" t="s">
        <v>29</v>
      </c>
      <c r="J447" s="1">
        <v>34000</v>
      </c>
      <c r="K447" s="1">
        <v>4300000</v>
      </c>
      <c r="L447" s="1">
        <v>349660</v>
      </c>
    </row>
    <row r="448" spans="4:13">
      <c r="D448" s="1" t="s">
        <v>129</v>
      </c>
      <c r="E448" s="1" t="s">
        <v>30</v>
      </c>
      <c r="H448" s="1" t="s">
        <v>22</v>
      </c>
      <c r="I448" s="1" t="s">
        <v>29</v>
      </c>
      <c r="J448" s="1">
        <v>-3.94</v>
      </c>
      <c r="K448" s="1">
        <v>3.66</v>
      </c>
      <c r="L448" s="1">
        <v>1</v>
      </c>
    </row>
    <row r="449" spans="4:13">
      <c r="D449" s="1" t="s">
        <v>129</v>
      </c>
      <c r="E449" s="1" t="s">
        <v>31</v>
      </c>
      <c r="H449" s="1" t="s">
        <v>22</v>
      </c>
      <c r="I449" s="1" t="s">
        <v>29</v>
      </c>
      <c r="J449" s="1">
        <v>0</v>
      </c>
      <c r="K449" s="1">
        <v>100</v>
      </c>
      <c r="L449" s="1">
        <v>1</v>
      </c>
    </row>
    <row r="450" spans="4:13">
      <c r="D450" s="1" t="s">
        <v>129</v>
      </c>
      <c r="E450" s="1" t="s">
        <v>32</v>
      </c>
      <c r="H450" s="1" t="s">
        <v>22</v>
      </c>
      <c r="I450" s="1" t="s">
        <v>29</v>
      </c>
      <c r="J450" s="1">
        <v>-3.94</v>
      </c>
      <c r="K450" s="1">
        <v>3.66</v>
      </c>
      <c r="L450" s="1">
        <v>1</v>
      </c>
    </row>
    <row r="451" spans="4:13">
      <c r="D451" s="1" t="s">
        <v>129</v>
      </c>
      <c r="E451" s="1" t="s">
        <v>33</v>
      </c>
      <c r="H451" s="1" t="s">
        <v>25</v>
      </c>
      <c r="I451" s="1" t="s">
        <v>23</v>
      </c>
      <c r="M451" s="1" t="b">
        <v>0</v>
      </c>
    </row>
    <row r="452" spans="4:13">
      <c r="D452" s="1" t="s">
        <v>129</v>
      </c>
      <c r="E452" s="1" t="s">
        <v>34</v>
      </c>
      <c r="F452" s="1" t="s">
        <v>35</v>
      </c>
      <c r="G452" s="1" t="s">
        <v>36</v>
      </c>
      <c r="H452" s="1" t="s">
        <v>22</v>
      </c>
      <c r="I452" s="1" t="s">
        <v>23</v>
      </c>
      <c r="J452" s="1">
        <v>-459.67</v>
      </c>
      <c r="K452" s="1">
        <v>980.32999999999993</v>
      </c>
      <c r="L452" s="1">
        <v>80.329999999999984</v>
      </c>
      <c r="M452" s="1">
        <v>67.999999999999943</v>
      </c>
    </row>
    <row r="453" spans="4:13">
      <c r="D453" s="1" t="s">
        <v>129</v>
      </c>
      <c r="E453" s="1" t="s">
        <v>37</v>
      </c>
      <c r="H453" s="1" t="s">
        <v>25</v>
      </c>
      <c r="I453" s="1" t="s">
        <v>23</v>
      </c>
      <c r="M453" s="1" t="b">
        <v>0</v>
      </c>
    </row>
    <row r="454" spans="4:13">
      <c r="D454" s="1" t="s">
        <v>129</v>
      </c>
      <c r="E454" s="1" t="s">
        <v>38</v>
      </c>
      <c r="F454" s="1" t="s">
        <v>35</v>
      </c>
      <c r="G454" s="1" t="s">
        <v>36</v>
      </c>
      <c r="H454" s="1" t="s">
        <v>22</v>
      </c>
      <c r="I454" s="1" t="s">
        <v>23</v>
      </c>
      <c r="J454" s="1">
        <v>-99.670000000000016</v>
      </c>
      <c r="K454" s="1">
        <v>980.32999999999993</v>
      </c>
      <c r="L454" s="1">
        <v>80.329999999999984</v>
      </c>
      <c r="M454" s="1">
        <v>13.999999999999943</v>
      </c>
    </row>
    <row r="455" spans="4:13">
      <c r="D455" s="1" t="s">
        <v>129</v>
      </c>
      <c r="E455" s="1" t="s">
        <v>39</v>
      </c>
      <c r="H455" s="1" t="s">
        <v>25</v>
      </c>
      <c r="I455" s="1" t="s">
        <v>23</v>
      </c>
      <c r="M455" s="1" t="b">
        <v>0</v>
      </c>
    </row>
    <row r="456" spans="4:13">
      <c r="D456" s="1" t="s">
        <v>129</v>
      </c>
      <c r="E456" s="1" t="s">
        <v>40</v>
      </c>
      <c r="F456" s="1" t="s">
        <v>41</v>
      </c>
      <c r="G456" s="1" t="s">
        <v>42</v>
      </c>
      <c r="H456" s="1" t="s">
        <v>22</v>
      </c>
      <c r="I456" s="1" t="s">
        <v>23</v>
      </c>
      <c r="J456" s="1">
        <v>-900</v>
      </c>
      <c r="K456" s="1">
        <v>900</v>
      </c>
      <c r="L456" s="1">
        <v>1.8</v>
      </c>
      <c r="M456" s="1">
        <v>9</v>
      </c>
    </row>
    <row r="457" spans="4:13">
      <c r="D457" s="1" t="s">
        <v>129</v>
      </c>
      <c r="E457" s="1" t="s">
        <v>43</v>
      </c>
      <c r="H457" s="1" t="s">
        <v>25</v>
      </c>
      <c r="I457" s="1" t="s">
        <v>23</v>
      </c>
      <c r="M457" s="1" t="b">
        <v>0</v>
      </c>
    </row>
    <row r="458" spans="4:13">
      <c r="D458" s="1" t="s">
        <v>129</v>
      </c>
      <c r="E458" s="1" t="s">
        <v>44</v>
      </c>
      <c r="F458" s="1" t="s">
        <v>45</v>
      </c>
      <c r="G458" s="1" t="s">
        <v>46</v>
      </c>
      <c r="H458" s="1" t="s">
        <v>22</v>
      </c>
      <c r="I458" s="1" t="s">
        <v>23</v>
      </c>
      <c r="J458" s="1">
        <v>-85.984522757427143</v>
      </c>
      <c r="K458" s="1">
        <v>8598.4522757427148</v>
      </c>
      <c r="L458" s="1">
        <v>114.79148749423418</v>
      </c>
      <c r="M458" s="1">
        <v>128.97678413614071</v>
      </c>
    </row>
    <row r="459" spans="4:13">
      <c r="D459" s="1" t="s">
        <v>129</v>
      </c>
      <c r="E459" s="1" t="s">
        <v>47</v>
      </c>
      <c r="H459" s="1" t="s">
        <v>25</v>
      </c>
      <c r="I459" s="1" t="s">
        <v>23</v>
      </c>
      <c r="M459" s="1" t="b">
        <v>0</v>
      </c>
    </row>
    <row r="460" spans="4:13">
      <c r="D460" s="1" t="s">
        <v>129</v>
      </c>
      <c r="E460" s="1" t="s">
        <v>48</v>
      </c>
      <c r="H460" s="1" t="s">
        <v>25</v>
      </c>
      <c r="I460" s="1" t="s">
        <v>23</v>
      </c>
      <c r="M460" s="1" t="b">
        <v>0</v>
      </c>
    </row>
    <row r="461" spans="4:13">
      <c r="D461" s="1" t="s">
        <v>129</v>
      </c>
      <c r="E461" s="1" t="s">
        <v>49</v>
      </c>
      <c r="H461" s="1" t="s">
        <v>25</v>
      </c>
      <c r="I461" s="1" t="s">
        <v>23</v>
      </c>
      <c r="M461" s="1" t="b">
        <v>0</v>
      </c>
    </row>
    <row r="462" spans="4:13">
      <c r="D462" s="1" t="s">
        <v>129</v>
      </c>
      <c r="E462" s="1" t="s">
        <v>50</v>
      </c>
      <c r="H462" s="1" t="s">
        <v>25</v>
      </c>
      <c r="I462" s="1" t="s">
        <v>23</v>
      </c>
      <c r="M462" s="1" t="b">
        <v>0</v>
      </c>
    </row>
    <row r="463" spans="4:13">
      <c r="D463" s="1" t="s">
        <v>129</v>
      </c>
      <c r="E463" s="1" t="s">
        <v>51</v>
      </c>
      <c r="F463" s="1" t="s">
        <v>52</v>
      </c>
      <c r="G463" s="1" t="s">
        <v>53</v>
      </c>
      <c r="H463" s="1" t="s">
        <v>22</v>
      </c>
      <c r="I463" s="1" t="s">
        <v>23</v>
      </c>
      <c r="J463" s="1">
        <v>0</v>
      </c>
      <c r="K463" s="1">
        <v>7936641438.6555996</v>
      </c>
      <c r="L463" s="1">
        <v>7936.6414386555998</v>
      </c>
      <c r="M463" s="1">
        <v>7936.6414386555998</v>
      </c>
    </row>
    <row r="464" spans="4:13">
      <c r="D464" s="1" t="s">
        <v>129</v>
      </c>
      <c r="E464" s="1" t="s">
        <v>54</v>
      </c>
      <c r="H464" s="1" t="s">
        <v>25</v>
      </c>
      <c r="I464" s="1" t="s">
        <v>23</v>
      </c>
      <c r="M464" s="1" t="b">
        <v>0</v>
      </c>
    </row>
    <row r="465" spans="4:13">
      <c r="D465" s="1" t="s">
        <v>129</v>
      </c>
      <c r="E465" s="1" t="s">
        <v>55</v>
      </c>
      <c r="F465" s="1" t="s">
        <v>56</v>
      </c>
      <c r="G465" s="1" t="s">
        <v>57</v>
      </c>
      <c r="H465" s="1" t="s">
        <v>22</v>
      </c>
      <c r="I465" s="1" t="s">
        <v>23</v>
      </c>
      <c r="J465" s="1">
        <v>0</v>
      </c>
      <c r="K465" s="1">
        <v>9427.4529524635982</v>
      </c>
      <c r="L465" s="1">
        <v>50.713895374744951</v>
      </c>
      <c r="M465" s="1">
        <v>50.763208205573221</v>
      </c>
    </row>
    <row r="466" spans="4:13">
      <c r="D466" s="1" t="s">
        <v>129</v>
      </c>
      <c r="E466" s="1" t="s">
        <v>58</v>
      </c>
      <c r="H466" s="1" t="s">
        <v>25</v>
      </c>
      <c r="I466" s="1" t="s">
        <v>23</v>
      </c>
      <c r="M466" s="1" t="b">
        <v>0</v>
      </c>
    </row>
    <row r="467" spans="4:13">
      <c r="D467" s="1" t="s">
        <v>129</v>
      </c>
      <c r="E467" s="1" t="s">
        <v>59</v>
      </c>
      <c r="F467" s="1" t="s">
        <v>60</v>
      </c>
      <c r="G467" s="1" t="s">
        <v>61</v>
      </c>
      <c r="H467" s="1" t="s">
        <v>22</v>
      </c>
      <c r="I467" s="1" t="s">
        <v>23</v>
      </c>
      <c r="J467" s="1">
        <v>-9.5538358650799999</v>
      </c>
      <c r="K467" s="1">
        <v>9.5538358650799999</v>
      </c>
      <c r="L467" s="1">
        <v>0.23884589662700001</v>
      </c>
      <c r="M467" s="1">
        <v>0.23884589662700001</v>
      </c>
    </row>
    <row r="468" spans="4:13">
      <c r="D468" s="1" t="s">
        <v>129</v>
      </c>
      <c r="E468" s="1" t="s">
        <v>62</v>
      </c>
      <c r="H468" s="1" t="s">
        <v>63</v>
      </c>
      <c r="I468" s="1" t="s">
        <v>23</v>
      </c>
      <c r="M468" s="1">
        <v>1</v>
      </c>
    </row>
    <row r="469" spans="4:13">
      <c r="D469" s="1" t="s">
        <v>129</v>
      </c>
      <c r="E469" s="1" t="s">
        <v>64</v>
      </c>
      <c r="F469" s="1" t="s">
        <v>35</v>
      </c>
      <c r="G469" s="1" t="s">
        <v>36</v>
      </c>
      <c r="H469" s="1" t="s">
        <v>22</v>
      </c>
      <c r="I469" s="1" t="s">
        <v>65</v>
      </c>
      <c r="J469" s="1">
        <v>-459.67</v>
      </c>
      <c r="L469" s="1">
        <v>80.329999999999984</v>
      </c>
    </row>
    <row r="470" spans="4:13">
      <c r="D470" s="1" t="s">
        <v>129</v>
      </c>
      <c r="E470" s="1" t="s">
        <v>66</v>
      </c>
      <c r="F470" s="1" t="s">
        <v>35</v>
      </c>
      <c r="G470" s="1" t="s">
        <v>36</v>
      </c>
      <c r="H470" s="1" t="s">
        <v>22</v>
      </c>
      <c r="I470" s="1" t="s">
        <v>65</v>
      </c>
      <c r="J470" s="1">
        <v>-459.67</v>
      </c>
      <c r="L470" s="1">
        <v>80.329999999999984</v>
      </c>
    </row>
    <row r="471" spans="4:13">
      <c r="D471" s="1" t="s">
        <v>129</v>
      </c>
      <c r="E471" s="1" t="s">
        <v>67</v>
      </c>
      <c r="F471" s="1" t="s">
        <v>41</v>
      </c>
      <c r="G471" s="1" t="s">
        <v>42</v>
      </c>
      <c r="H471" s="1" t="s">
        <v>22</v>
      </c>
      <c r="I471" s="1" t="s">
        <v>65</v>
      </c>
      <c r="L471" s="1">
        <v>1.8</v>
      </c>
    </row>
    <row r="472" spans="4:13">
      <c r="D472" s="1" t="s">
        <v>129</v>
      </c>
      <c r="E472" s="1" t="s">
        <v>68</v>
      </c>
      <c r="F472" s="1" t="s">
        <v>45</v>
      </c>
      <c r="G472" s="1" t="s">
        <v>46</v>
      </c>
      <c r="H472" s="1" t="s">
        <v>22</v>
      </c>
      <c r="I472" s="1" t="s">
        <v>65</v>
      </c>
      <c r="L472" s="1">
        <v>4.2992261378713571E-4</v>
      </c>
    </row>
    <row r="473" spans="4:13">
      <c r="D473" s="1" t="s">
        <v>129</v>
      </c>
      <c r="E473" s="1" t="s">
        <v>69</v>
      </c>
      <c r="H473" s="1" t="s">
        <v>25</v>
      </c>
      <c r="I473" s="1" t="s">
        <v>70</v>
      </c>
    </row>
    <row r="474" spans="4:13">
      <c r="D474" s="1" t="s">
        <v>129</v>
      </c>
      <c r="E474" s="1" t="s">
        <v>71</v>
      </c>
      <c r="F474" s="1" t="s">
        <v>52</v>
      </c>
      <c r="G474" s="1" t="s">
        <v>53</v>
      </c>
      <c r="H474" s="1" t="s">
        <v>22</v>
      </c>
      <c r="I474" s="1" t="s">
        <v>65</v>
      </c>
      <c r="L474" s="1">
        <v>7936.6414386555998</v>
      </c>
    </row>
    <row r="475" spans="4:13">
      <c r="D475" s="1" t="s">
        <v>129</v>
      </c>
      <c r="E475" s="1" t="s">
        <v>72</v>
      </c>
      <c r="F475" s="1" t="s">
        <v>56</v>
      </c>
      <c r="G475" s="1" t="s">
        <v>57</v>
      </c>
      <c r="H475" s="1" t="s">
        <v>22</v>
      </c>
      <c r="I475" s="1" t="s">
        <v>65</v>
      </c>
      <c r="J475" s="1">
        <v>0</v>
      </c>
      <c r="L475" s="1">
        <v>14.503773773020921</v>
      </c>
    </row>
    <row r="476" spans="4:13">
      <c r="D476" s="1" t="s">
        <v>129</v>
      </c>
      <c r="E476" s="1" t="s">
        <v>73</v>
      </c>
      <c r="F476" s="1" t="s">
        <v>60</v>
      </c>
      <c r="G476" s="1" t="s">
        <v>61</v>
      </c>
      <c r="H476" s="1" t="s">
        <v>22</v>
      </c>
      <c r="I476" s="1" t="s">
        <v>65</v>
      </c>
      <c r="L476" s="1">
        <v>2.38845896627E-4</v>
      </c>
    </row>
    <row r="477" spans="4:13">
      <c r="D477" s="1" t="s">
        <v>129</v>
      </c>
      <c r="E477" s="1" t="s">
        <v>74</v>
      </c>
      <c r="F477" s="1" t="s">
        <v>75</v>
      </c>
      <c r="G477" s="1" t="s">
        <v>76</v>
      </c>
      <c r="H477" s="1" t="s">
        <v>22</v>
      </c>
      <c r="I477" s="1" t="s">
        <v>65</v>
      </c>
      <c r="J477" s="1">
        <v>0</v>
      </c>
      <c r="L477" s="1">
        <v>16.018463521800001</v>
      </c>
    </row>
    <row r="478" spans="4:13">
      <c r="D478" s="1" t="s">
        <v>129</v>
      </c>
      <c r="E478" s="1" t="s">
        <v>77</v>
      </c>
      <c r="H478" s="1" t="s">
        <v>22</v>
      </c>
      <c r="I478" s="1" t="s">
        <v>65</v>
      </c>
      <c r="L478" s="1">
        <v>1</v>
      </c>
    </row>
    <row r="479" spans="4:13">
      <c r="D479" s="1" t="s">
        <v>129</v>
      </c>
      <c r="E479" s="1" t="s">
        <v>78</v>
      </c>
      <c r="H479" s="1" t="s">
        <v>25</v>
      </c>
      <c r="I479" s="1" t="s">
        <v>23</v>
      </c>
      <c r="M479" s="1" t="b">
        <v>0</v>
      </c>
    </row>
    <row r="480" spans="4:13">
      <c r="D480" s="1" t="s">
        <v>129</v>
      </c>
      <c r="E480" s="1" t="s">
        <v>79</v>
      </c>
      <c r="F480" s="1" t="s">
        <v>75</v>
      </c>
      <c r="G480" s="1" t="s">
        <v>76</v>
      </c>
      <c r="H480" s="1" t="s">
        <v>22</v>
      </c>
      <c r="I480" s="1" t="s">
        <v>23</v>
      </c>
      <c r="J480" s="1">
        <v>0</v>
      </c>
      <c r="K480" s="1">
        <v>96.110781130800007</v>
      </c>
      <c r="L480" s="1">
        <v>16.018463521800001</v>
      </c>
      <c r="M480" s="1">
        <v>1.6018463521800002</v>
      </c>
    </row>
    <row r="481" spans="4:13">
      <c r="D481" s="1" t="s">
        <v>129</v>
      </c>
      <c r="E481" s="1" t="s">
        <v>80</v>
      </c>
      <c r="H481" s="1" t="s">
        <v>25</v>
      </c>
      <c r="I481" s="1" t="s">
        <v>23</v>
      </c>
      <c r="M481" s="1" t="b">
        <v>0</v>
      </c>
    </row>
    <row r="482" spans="4:13">
      <c r="D482" s="1" t="s">
        <v>129</v>
      </c>
      <c r="E482" s="1" t="s">
        <v>81</v>
      </c>
      <c r="H482" s="1" t="s">
        <v>25</v>
      </c>
      <c r="I482" s="1" t="s">
        <v>23</v>
      </c>
      <c r="M482" s="1" t="b">
        <v>0</v>
      </c>
    </row>
    <row r="483" spans="4:13">
      <c r="D483" s="1" t="s">
        <v>129</v>
      </c>
      <c r="E483" s="1" t="s">
        <v>82</v>
      </c>
      <c r="H483" s="1" t="s">
        <v>22</v>
      </c>
      <c r="I483" s="1" t="s">
        <v>23</v>
      </c>
      <c r="J483" s="1">
        <v>-1</v>
      </c>
      <c r="K483" s="1">
        <v>3</v>
      </c>
      <c r="L483" s="1">
        <v>1</v>
      </c>
      <c r="M483" s="1">
        <v>1.01</v>
      </c>
    </row>
    <row r="484" spans="4:13">
      <c r="D484" s="1" t="s">
        <v>130</v>
      </c>
      <c r="E484" s="1" t="s">
        <v>28</v>
      </c>
      <c r="H484" s="1" t="s">
        <v>22</v>
      </c>
      <c r="I484" s="1" t="s">
        <v>29</v>
      </c>
      <c r="J484" s="1">
        <v>34000</v>
      </c>
      <c r="K484" s="1">
        <v>4300000</v>
      </c>
      <c r="L484" s="1">
        <v>349660</v>
      </c>
    </row>
    <row r="485" spans="4:13">
      <c r="D485" s="1" t="s">
        <v>130</v>
      </c>
      <c r="E485" s="1" t="s">
        <v>30</v>
      </c>
      <c r="H485" s="1" t="s">
        <v>22</v>
      </c>
      <c r="I485" s="1" t="s">
        <v>29</v>
      </c>
      <c r="J485" s="1">
        <v>-3.94</v>
      </c>
      <c r="K485" s="1">
        <v>3.66</v>
      </c>
      <c r="L485" s="1">
        <v>1</v>
      </c>
    </row>
    <row r="486" spans="4:13">
      <c r="D486" s="1" t="s">
        <v>130</v>
      </c>
      <c r="E486" s="1" t="s">
        <v>31</v>
      </c>
      <c r="H486" s="1" t="s">
        <v>22</v>
      </c>
      <c r="I486" s="1" t="s">
        <v>29</v>
      </c>
      <c r="J486" s="1">
        <v>0</v>
      </c>
      <c r="K486" s="1">
        <v>100</v>
      </c>
      <c r="L486" s="1">
        <v>1</v>
      </c>
    </row>
    <row r="487" spans="4:13">
      <c r="D487" s="1" t="s">
        <v>130</v>
      </c>
      <c r="E487" s="1" t="s">
        <v>32</v>
      </c>
      <c r="H487" s="1" t="s">
        <v>22</v>
      </c>
      <c r="I487" s="1" t="s">
        <v>29</v>
      </c>
      <c r="J487" s="1">
        <v>-3.94</v>
      </c>
      <c r="K487" s="1">
        <v>3.66</v>
      </c>
      <c r="L487" s="1">
        <v>1</v>
      </c>
    </row>
    <row r="488" spans="4:13">
      <c r="D488" s="1" t="s">
        <v>130</v>
      </c>
      <c r="E488" s="1" t="s">
        <v>33</v>
      </c>
      <c r="H488" s="1" t="s">
        <v>25</v>
      </c>
      <c r="I488" s="1" t="s">
        <v>23</v>
      </c>
      <c r="M488" s="1" t="b">
        <v>0</v>
      </c>
    </row>
    <row r="489" spans="4:13">
      <c r="D489" s="1" t="s">
        <v>130</v>
      </c>
      <c r="E489" s="1" t="s">
        <v>34</v>
      </c>
      <c r="F489" s="1" t="s">
        <v>35</v>
      </c>
      <c r="G489" s="1" t="s">
        <v>36</v>
      </c>
      <c r="H489" s="1" t="s">
        <v>22</v>
      </c>
      <c r="I489" s="1" t="s">
        <v>23</v>
      </c>
      <c r="J489" s="1">
        <v>-459.67</v>
      </c>
      <c r="K489" s="1">
        <v>980.32999999999993</v>
      </c>
      <c r="L489" s="1">
        <v>80.329999999999984</v>
      </c>
      <c r="M489" s="1">
        <v>67.999999999999943</v>
      </c>
    </row>
    <row r="490" spans="4:13">
      <c r="D490" s="1" t="s">
        <v>130</v>
      </c>
      <c r="E490" s="1" t="s">
        <v>37</v>
      </c>
      <c r="H490" s="1" t="s">
        <v>25</v>
      </c>
      <c r="I490" s="1" t="s">
        <v>23</v>
      </c>
      <c r="M490" s="1" t="b">
        <v>0</v>
      </c>
    </row>
    <row r="491" spans="4:13">
      <c r="D491" s="1" t="s">
        <v>130</v>
      </c>
      <c r="E491" s="1" t="s">
        <v>38</v>
      </c>
      <c r="F491" s="1" t="s">
        <v>35</v>
      </c>
      <c r="G491" s="1" t="s">
        <v>36</v>
      </c>
      <c r="H491" s="1" t="s">
        <v>22</v>
      </c>
      <c r="I491" s="1" t="s">
        <v>23</v>
      </c>
      <c r="J491" s="1">
        <v>-99.670000000000016</v>
      </c>
      <c r="K491" s="1">
        <v>980.32999999999993</v>
      </c>
      <c r="L491" s="1">
        <v>80.329999999999984</v>
      </c>
      <c r="M491" s="1">
        <v>13.999999999999943</v>
      </c>
    </row>
    <row r="492" spans="4:13">
      <c r="D492" s="1" t="s">
        <v>130</v>
      </c>
      <c r="E492" s="1" t="s">
        <v>39</v>
      </c>
      <c r="H492" s="1" t="s">
        <v>25</v>
      </c>
      <c r="I492" s="1" t="s">
        <v>23</v>
      </c>
      <c r="M492" s="1" t="b">
        <v>0</v>
      </c>
    </row>
    <row r="493" spans="4:13">
      <c r="D493" s="1" t="s">
        <v>130</v>
      </c>
      <c r="E493" s="1" t="s">
        <v>40</v>
      </c>
      <c r="F493" s="1" t="s">
        <v>41</v>
      </c>
      <c r="G493" s="1" t="s">
        <v>42</v>
      </c>
      <c r="H493" s="1" t="s">
        <v>22</v>
      </c>
      <c r="I493" s="1" t="s">
        <v>23</v>
      </c>
      <c r="J493" s="1">
        <v>-900</v>
      </c>
      <c r="K493" s="1">
        <v>900</v>
      </c>
      <c r="L493" s="1">
        <v>1.8</v>
      </c>
      <c r="M493" s="1">
        <v>9</v>
      </c>
    </row>
    <row r="494" spans="4:13">
      <c r="D494" s="1" t="s">
        <v>130</v>
      </c>
      <c r="E494" s="1" t="s">
        <v>43</v>
      </c>
      <c r="H494" s="1" t="s">
        <v>25</v>
      </c>
      <c r="I494" s="1" t="s">
        <v>23</v>
      </c>
      <c r="M494" s="1" t="b">
        <v>0</v>
      </c>
    </row>
    <row r="495" spans="4:13">
      <c r="D495" s="1" t="s">
        <v>130</v>
      </c>
      <c r="E495" s="1" t="s">
        <v>44</v>
      </c>
      <c r="F495" s="1" t="s">
        <v>45</v>
      </c>
      <c r="G495" s="1" t="s">
        <v>46</v>
      </c>
      <c r="H495" s="1" t="s">
        <v>22</v>
      </c>
      <c r="I495" s="1" t="s">
        <v>23</v>
      </c>
      <c r="J495" s="1">
        <v>-85.984522757427143</v>
      </c>
      <c r="K495" s="1">
        <v>8598.4522757427148</v>
      </c>
      <c r="L495" s="1">
        <v>114.79148749423418</v>
      </c>
      <c r="M495" s="1">
        <v>128.97678413614071</v>
      </c>
    </row>
    <row r="496" spans="4:13">
      <c r="D496" s="1" t="s">
        <v>130</v>
      </c>
      <c r="E496" s="1" t="s">
        <v>47</v>
      </c>
      <c r="H496" s="1" t="s">
        <v>25</v>
      </c>
      <c r="I496" s="1" t="s">
        <v>23</v>
      </c>
      <c r="M496" s="1" t="b">
        <v>0</v>
      </c>
    </row>
    <row r="497" spans="4:13">
      <c r="D497" s="1" t="s">
        <v>130</v>
      </c>
      <c r="E497" s="1" t="s">
        <v>48</v>
      </c>
      <c r="H497" s="1" t="s">
        <v>25</v>
      </c>
      <c r="I497" s="1" t="s">
        <v>23</v>
      </c>
      <c r="M497" s="1" t="b">
        <v>0</v>
      </c>
    </row>
    <row r="498" spans="4:13">
      <c r="D498" s="1" t="s">
        <v>130</v>
      </c>
      <c r="E498" s="1" t="s">
        <v>49</v>
      </c>
      <c r="H498" s="1" t="s">
        <v>25</v>
      </c>
      <c r="I498" s="1" t="s">
        <v>23</v>
      </c>
      <c r="M498" s="1" t="b">
        <v>0</v>
      </c>
    </row>
    <row r="499" spans="4:13">
      <c r="D499" s="1" t="s">
        <v>130</v>
      </c>
      <c r="E499" s="1" t="s">
        <v>50</v>
      </c>
      <c r="H499" s="1" t="s">
        <v>25</v>
      </c>
      <c r="I499" s="1" t="s">
        <v>23</v>
      </c>
      <c r="M499" s="1" t="b">
        <v>0</v>
      </c>
    </row>
    <row r="500" spans="4:13">
      <c r="D500" s="1" t="s">
        <v>130</v>
      </c>
      <c r="E500" s="1" t="s">
        <v>51</v>
      </c>
      <c r="F500" s="1" t="s">
        <v>52</v>
      </c>
      <c r="G500" s="1" t="s">
        <v>53</v>
      </c>
      <c r="H500" s="1" t="s">
        <v>22</v>
      </c>
      <c r="I500" s="1" t="s">
        <v>23</v>
      </c>
      <c r="J500" s="1">
        <v>0</v>
      </c>
      <c r="K500" s="1">
        <v>7936641438.6555996</v>
      </c>
      <c r="L500" s="1">
        <v>7936.6414386555998</v>
      </c>
      <c r="M500" s="1">
        <v>7936.6414386555998</v>
      </c>
    </row>
    <row r="501" spans="4:13">
      <c r="D501" s="1" t="s">
        <v>130</v>
      </c>
      <c r="E501" s="1" t="s">
        <v>54</v>
      </c>
      <c r="H501" s="1" t="s">
        <v>25</v>
      </c>
      <c r="I501" s="1" t="s">
        <v>23</v>
      </c>
      <c r="M501" s="1" t="b">
        <v>0</v>
      </c>
    </row>
    <row r="502" spans="4:13">
      <c r="D502" s="1" t="s">
        <v>130</v>
      </c>
      <c r="E502" s="1" t="s">
        <v>55</v>
      </c>
      <c r="F502" s="1" t="s">
        <v>56</v>
      </c>
      <c r="G502" s="1" t="s">
        <v>57</v>
      </c>
      <c r="H502" s="1" t="s">
        <v>22</v>
      </c>
      <c r="I502" s="1" t="s">
        <v>23</v>
      </c>
      <c r="J502" s="1">
        <v>0</v>
      </c>
      <c r="K502" s="1">
        <v>9427.4529524635982</v>
      </c>
      <c r="L502" s="1">
        <v>50.713895374744951</v>
      </c>
      <c r="M502" s="1">
        <v>50.763208205573221</v>
      </c>
    </row>
    <row r="503" spans="4:13">
      <c r="D503" s="1" t="s">
        <v>130</v>
      </c>
      <c r="E503" s="1" t="s">
        <v>58</v>
      </c>
      <c r="H503" s="1" t="s">
        <v>25</v>
      </c>
      <c r="I503" s="1" t="s">
        <v>23</v>
      </c>
      <c r="M503" s="1" t="b">
        <v>0</v>
      </c>
    </row>
    <row r="504" spans="4:13">
      <c r="D504" s="1" t="s">
        <v>130</v>
      </c>
      <c r="E504" s="1" t="s">
        <v>59</v>
      </c>
      <c r="F504" s="1" t="s">
        <v>60</v>
      </c>
      <c r="G504" s="1" t="s">
        <v>61</v>
      </c>
      <c r="H504" s="1" t="s">
        <v>22</v>
      </c>
      <c r="I504" s="1" t="s">
        <v>23</v>
      </c>
      <c r="J504" s="1">
        <v>-9.5538358650799999</v>
      </c>
      <c r="K504" s="1">
        <v>9.5538358650799999</v>
      </c>
      <c r="L504" s="1">
        <v>0.23884589662700001</v>
      </c>
      <c r="M504" s="1">
        <v>0.23884589662700001</v>
      </c>
    </row>
    <row r="505" spans="4:13">
      <c r="D505" s="1" t="s">
        <v>130</v>
      </c>
      <c r="E505" s="1" t="s">
        <v>62</v>
      </c>
      <c r="H505" s="1" t="s">
        <v>63</v>
      </c>
      <c r="I505" s="1" t="s">
        <v>23</v>
      </c>
      <c r="M505" s="1">
        <v>1</v>
      </c>
    </row>
    <row r="506" spans="4:13">
      <c r="D506" s="1" t="s">
        <v>130</v>
      </c>
      <c r="E506" s="1" t="s">
        <v>64</v>
      </c>
      <c r="F506" s="1" t="s">
        <v>35</v>
      </c>
      <c r="G506" s="1" t="s">
        <v>36</v>
      </c>
      <c r="H506" s="1" t="s">
        <v>22</v>
      </c>
      <c r="I506" s="1" t="s">
        <v>65</v>
      </c>
      <c r="J506" s="1">
        <v>-459.67</v>
      </c>
      <c r="L506" s="1">
        <v>80.329999999999984</v>
      </c>
    </row>
    <row r="507" spans="4:13">
      <c r="D507" s="1" t="s">
        <v>130</v>
      </c>
      <c r="E507" s="1" t="s">
        <v>66</v>
      </c>
      <c r="F507" s="1" t="s">
        <v>35</v>
      </c>
      <c r="G507" s="1" t="s">
        <v>36</v>
      </c>
      <c r="H507" s="1" t="s">
        <v>22</v>
      </c>
      <c r="I507" s="1" t="s">
        <v>65</v>
      </c>
      <c r="J507" s="1">
        <v>-459.67</v>
      </c>
      <c r="L507" s="1">
        <v>80.329999999999984</v>
      </c>
    </row>
    <row r="508" spans="4:13">
      <c r="D508" s="1" t="s">
        <v>130</v>
      </c>
      <c r="E508" s="1" t="s">
        <v>67</v>
      </c>
      <c r="F508" s="1" t="s">
        <v>41</v>
      </c>
      <c r="G508" s="1" t="s">
        <v>42</v>
      </c>
      <c r="H508" s="1" t="s">
        <v>22</v>
      </c>
      <c r="I508" s="1" t="s">
        <v>65</v>
      </c>
      <c r="L508" s="1">
        <v>1.8</v>
      </c>
    </row>
    <row r="509" spans="4:13">
      <c r="D509" s="1" t="s">
        <v>130</v>
      </c>
      <c r="E509" s="1" t="s">
        <v>68</v>
      </c>
      <c r="F509" s="1" t="s">
        <v>45</v>
      </c>
      <c r="G509" s="1" t="s">
        <v>46</v>
      </c>
      <c r="H509" s="1" t="s">
        <v>22</v>
      </c>
      <c r="I509" s="1" t="s">
        <v>65</v>
      </c>
      <c r="L509" s="1">
        <v>4.2992261378713571E-4</v>
      </c>
    </row>
    <row r="510" spans="4:13">
      <c r="D510" s="1" t="s">
        <v>130</v>
      </c>
      <c r="E510" s="1" t="s">
        <v>69</v>
      </c>
      <c r="H510" s="1" t="s">
        <v>25</v>
      </c>
      <c r="I510" s="1" t="s">
        <v>70</v>
      </c>
    </row>
    <row r="511" spans="4:13">
      <c r="D511" s="1" t="s">
        <v>130</v>
      </c>
      <c r="E511" s="1" t="s">
        <v>71</v>
      </c>
      <c r="F511" s="1" t="s">
        <v>52</v>
      </c>
      <c r="G511" s="1" t="s">
        <v>53</v>
      </c>
      <c r="H511" s="1" t="s">
        <v>22</v>
      </c>
      <c r="I511" s="1" t="s">
        <v>65</v>
      </c>
      <c r="L511" s="1">
        <v>7936.6414386555998</v>
      </c>
    </row>
    <row r="512" spans="4:13">
      <c r="D512" s="1" t="s">
        <v>130</v>
      </c>
      <c r="E512" s="1" t="s">
        <v>72</v>
      </c>
      <c r="F512" s="1" t="s">
        <v>56</v>
      </c>
      <c r="G512" s="1" t="s">
        <v>57</v>
      </c>
      <c r="H512" s="1" t="s">
        <v>22</v>
      </c>
      <c r="I512" s="1" t="s">
        <v>65</v>
      </c>
      <c r="J512" s="1">
        <v>0</v>
      </c>
      <c r="L512" s="1">
        <v>14.503773773020921</v>
      </c>
    </row>
    <row r="513" spans="4:13">
      <c r="D513" s="1" t="s">
        <v>130</v>
      </c>
      <c r="E513" s="1" t="s">
        <v>73</v>
      </c>
      <c r="F513" s="1" t="s">
        <v>60</v>
      </c>
      <c r="G513" s="1" t="s">
        <v>61</v>
      </c>
      <c r="H513" s="1" t="s">
        <v>22</v>
      </c>
      <c r="I513" s="1" t="s">
        <v>65</v>
      </c>
      <c r="L513" s="1">
        <v>2.38845896627E-4</v>
      </c>
    </row>
    <row r="514" spans="4:13">
      <c r="D514" s="1" t="s">
        <v>130</v>
      </c>
      <c r="E514" s="1" t="s">
        <v>74</v>
      </c>
      <c r="F514" s="1" t="s">
        <v>75</v>
      </c>
      <c r="G514" s="1" t="s">
        <v>76</v>
      </c>
      <c r="H514" s="1" t="s">
        <v>22</v>
      </c>
      <c r="I514" s="1" t="s">
        <v>65</v>
      </c>
      <c r="J514" s="1">
        <v>0</v>
      </c>
      <c r="L514" s="1">
        <v>16.018463521800001</v>
      </c>
    </row>
    <row r="515" spans="4:13">
      <c r="D515" s="1" t="s">
        <v>130</v>
      </c>
      <c r="E515" s="1" t="s">
        <v>77</v>
      </c>
      <c r="H515" s="1" t="s">
        <v>22</v>
      </c>
      <c r="I515" s="1" t="s">
        <v>65</v>
      </c>
      <c r="L515" s="1">
        <v>1</v>
      </c>
    </row>
    <row r="516" spans="4:13">
      <c r="D516" s="1" t="s">
        <v>130</v>
      </c>
      <c r="E516" s="1" t="s">
        <v>78</v>
      </c>
      <c r="H516" s="1" t="s">
        <v>25</v>
      </c>
      <c r="I516" s="1" t="s">
        <v>23</v>
      </c>
      <c r="M516" s="1" t="b">
        <v>0</v>
      </c>
    </row>
    <row r="517" spans="4:13">
      <c r="D517" s="1" t="s">
        <v>130</v>
      </c>
      <c r="E517" s="1" t="s">
        <v>79</v>
      </c>
      <c r="F517" s="1" t="s">
        <v>75</v>
      </c>
      <c r="G517" s="1" t="s">
        <v>76</v>
      </c>
      <c r="H517" s="1" t="s">
        <v>22</v>
      </c>
      <c r="I517" s="1" t="s">
        <v>23</v>
      </c>
      <c r="J517" s="1">
        <v>0</v>
      </c>
      <c r="K517" s="1">
        <v>96.110781130800007</v>
      </c>
      <c r="L517" s="1">
        <v>16.018463521800001</v>
      </c>
      <c r="M517" s="1">
        <v>1.6018463521800002</v>
      </c>
    </row>
    <row r="518" spans="4:13">
      <c r="D518" s="1" t="s">
        <v>130</v>
      </c>
      <c r="E518" s="1" t="s">
        <v>80</v>
      </c>
      <c r="H518" s="1" t="s">
        <v>25</v>
      </c>
      <c r="I518" s="1" t="s">
        <v>23</v>
      </c>
      <c r="M518" s="1" t="b">
        <v>0</v>
      </c>
    </row>
    <row r="519" spans="4:13">
      <c r="D519" s="1" t="s">
        <v>130</v>
      </c>
      <c r="E519" s="1" t="s">
        <v>81</v>
      </c>
      <c r="H519" s="1" t="s">
        <v>25</v>
      </c>
      <c r="I519" s="1" t="s">
        <v>23</v>
      </c>
      <c r="M519" s="1" t="b">
        <v>0</v>
      </c>
    </row>
    <row r="520" spans="4:13">
      <c r="D520" s="1" t="s">
        <v>130</v>
      </c>
      <c r="E520" s="1" t="s">
        <v>82</v>
      </c>
      <c r="H520" s="1" t="s">
        <v>22</v>
      </c>
      <c r="I520" s="1" t="s">
        <v>23</v>
      </c>
      <c r="J520" s="1">
        <v>-1</v>
      </c>
      <c r="K520" s="1">
        <v>3</v>
      </c>
      <c r="L520" s="1">
        <v>1</v>
      </c>
      <c r="M520" s="1">
        <v>1.01</v>
      </c>
    </row>
    <row r="521" spans="4:13">
      <c r="D521" s="1" t="s">
        <v>131</v>
      </c>
      <c r="H521" s="1" t="s">
        <v>22</v>
      </c>
      <c r="I521" s="1" t="s">
        <v>23</v>
      </c>
      <c r="L521" s="1">
        <v>1</v>
      </c>
      <c r="M521" s="1">
        <v>1</v>
      </c>
    </row>
    <row r="522" spans="4:13">
      <c r="D522" s="1" t="s">
        <v>132</v>
      </c>
      <c r="E522" s="1" t="s">
        <v>105</v>
      </c>
      <c r="H522" s="1" t="s">
        <v>22</v>
      </c>
      <c r="I522" s="1" t="s">
        <v>29</v>
      </c>
      <c r="J522" s="1">
        <v>0</v>
      </c>
      <c r="K522" s="1">
        <v>10000</v>
      </c>
      <c r="L522" s="1">
        <v>5000</v>
      </c>
    </row>
    <row r="523" spans="4:13">
      <c r="D523" s="1" t="s">
        <v>132</v>
      </c>
      <c r="E523" s="1" t="s">
        <v>106</v>
      </c>
      <c r="H523" s="1" t="s">
        <v>25</v>
      </c>
      <c r="I523" s="1" t="s">
        <v>23</v>
      </c>
      <c r="M523" s="1" t="b">
        <v>0</v>
      </c>
    </row>
    <row r="524" spans="4:13">
      <c r="D524" s="1" t="s">
        <v>132</v>
      </c>
      <c r="E524" s="1" t="s">
        <v>107</v>
      </c>
      <c r="H524" s="1" t="s">
        <v>22</v>
      </c>
      <c r="I524" s="1" t="s">
        <v>23</v>
      </c>
      <c r="L524" s="1">
        <v>1</v>
      </c>
      <c r="M524" s="1">
        <v>20</v>
      </c>
    </row>
    <row r="525" spans="4:13">
      <c r="D525" s="1" t="s">
        <v>132</v>
      </c>
      <c r="E525" s="1" t="s">
        <v>109</v>
      </c>
      <c r="H525" s="1" t="s">
        <v>22</v>
      </c>
      <c r="I525" s="1" t="s">
        <v>23</v>
      </c>
      <c r="L525" s="1">
        <v>1</v>
      </c>
      <c r="M525" s="1">
        <v>1</v>
      </c>
    </row>
    <row r="526" spans="4:13">
      <c r="D526" s="1" t="s">
        <v>132</v>
      </c>
      <c r="E526" s="1" t="s">
        <v>110</v>
      </c>
      <c r="H526" s="1" t="s">
        <v>25</v>
      </c>
      <c r="I526" s="1" t="s">
        <v>23</v>
      </c>
      <c r="M526" s="1" t="b">
        <v>1</v>
      </c>
    </row>
    <row r="527" spans="4:13">
      <c r="D527" s="1" t="s">
        <v>132</v>
      </c>
      <c r="E527" s="1" t="s">
        <v>111</v>
      </c>
      <c r="F527" s="1" t="s">
        <v>56</v>
      </c>
      <c r="G527" s="1" t="s">
        <v>57</v>
      </c>
      <c r="H527" s="1" t="s">
        <v>22</v>
      </c>
      <c r="I527" s="1" t="s">
        <v>23</v>
      </c>
      <c r="L527" s="1">
        <v>1.4503773773020921E-4</v>
      </c>
      <c r="M527" s="1">
        <v>7.2518868865104604E-3</v>
      </c>
    </row>
    <row r="528" spans="4:13">
      <c r="D528" s="1" t="s">
        <v>132</v>
      </c>
      <c r="E528" s="1" t="s">
        <v>47</v>
      </c>
      <c r="H528" s="1" t="s">
        <v>25</v>
      </c>
      <c r="I528" s="1" t="s">
        <v>23</v>
      </c>
      <c r="M528" s="1" t="b">
        <v>0</v>
      </c>
    </row>
    <row r="529" spans="4:13">
      <c r="D529" s="1" t="s">
        <v>132</v>
      </c>
      <c r="E529" s="1" t="s">
        <v>112</v>
      </c>
      <c r="F529" s="1" t="s">
        <v>56</v>
      </c>
      <c r="G529" s="1" t="s">
        <v>57</v>
      </c>
      <c r="H529" s="1" t="s">
        <v>22</v>
      </c>
      <c r="I529" s="1" t="s">
        <v>29</v>
      </c>
      <c r="J529" s="1">
        <v>4.9312830828271128</v>
      </c>
      <c r="K529" s="1">
        <v>623.66227223989961</v>
      </c>
      <c r="L529" s="1">
        <v>50.713895374744951</v>
      </c>
    </row>
    <row r="530" spans="4:13">
      <c r="D530" s="1" t="s">
        <v>132</v>
      </c>
      <c r="E530" s="1" t="s">
        <v>133</v>
      </c>
      <c r="H530" s="1" t="s">
        <v>22</v>
      </c>
      <c r="I530" s="1" t="s">
        <v>23</v>
      </c>
      <c r="L530" s="1">
        <v>1</v>
      </c>
      <c r="M530" s="1">
        <v>1E-3</v>
      </c>
    </row>
    <row r="531" spans="4:13">
      <c r="D531" s="1" t="s">
        <v>132</v>
      </c>
      <c r="E531" s="1" t="s">
        <v>134</v>
      </c>
      <c r="H531" s="1" t="s">
        <v>22</v>
      </c>
      <c r="I531" s="1" t="s">
        <v>23</v>
      </c>
      <c r="L531" s="1">
        <v>1</v>
      </c>
      <c r="M531" s="1">
        <v>9.9999999999999995E-7</v>
      </c>
    </row>
    <row r="532" spans="4:13">
      <c r="D532" s="1" t="s">
        <v>132</v>
      </c>
      <c r="E532" s="1" t="s">
        <v>135</v>
      </c>
      <c r="H532" s="1" t="s">
        <v>22</v>
      </c>
      <c r="I532" s="1" t="s">
        <v>23</v>
      </c>
      <c r="L532" s="1">
        <v>1</v>
      </c>
      <c r="M532" s="1">
        <v>9.9999999999999998E-13</v>
      </c>
    </row>
    <row r="533" spans="4:13">
      <c r="D533" s="1" t="s">
        <v>132</v>
      </c>
      <c r="E533" s="1" t="s">
        <v>62</v>
      </c>
      <c r="H533" s="1" t="s">
        <v>63</v>
      </c>
      <c r="I533" s="1" t="s">
        <v>23</v>
      </c>
      <c r="M533" s="1">
        <v>1</v>
      </c>
    </row>
    <row r="534" spans="4:13">
      <c r="D534" s="1" t="s">
        <v>132</v>
      </c>
      <c r="E534" s="1" t="s">
        <v>113</v>
      </c>
      <c r="H534" s="1" t="s">
        <v>22</v>
      </c>
      <c r="I534" s="1" t="s">
        <v>65</v>
      </c>
      <c r="L534" s="1">
        <v>1</v>
      </c>
    </row>
    <row r="535" spans="4:13">
      <c r="D535" s="1" t="s">
        <v>132</v>
      </c>
      <c r="E535" s="1" t="s">
        <v>114</v>
      </c>
      <c r="H535" s="1" t="s">
        <v>22</v>
      </c>
      <c r="I535" s="1" t="s">
        <v>70</v>
      </c>
      <c r="L535" s="1">
        <v>1</v>
      </c>
    </row>
    <row r="536" spans="4:13">
      <c r="D536" s="1" t="s">
        <v>132</v>
      </c>
      <c r="E536" s="1" t="s">
        <v>115</v>
      </c>
      <c r="F536" s="1" t="s">
        <v>56</v>
      </c>
      <c r="G536" s="1" t="s">
        <v>57</v>
      </c>
      <c r="H536" s="1" t="s">
        <v>22</v>
      </c>
      <c r="I536" s="1" t="s">
        <v>65</v>
      </c>
      <c r="L536" s="1">
        <v>1.4503773773020921E-4</v>
      </c>
    </row>
    <row r="537" spans="4:13">
      <c r="D537" s="1" t="s">
        <v>132</v>
      </c>
      <c r="E537" s="1" t="s">
        <v>116</v>
      </c>
      <c r="H537" s="1" t="s">
        <v>25</v>
      </c>
      <c r="I537" s="1" t="s">
        <v>65</v>
      </c>
    </row>
    <row r="538" spans="4:13">
      <c r="D538" s="1" t="s">
        <v>132</v>
      </c>
      <c r="E538" s="1" t="s">
        <v>69</v>
      </c>
      <c r="H538" s="1" t="s">
        <v>25</v>
      </c>
      <c r="I538" s="1" t="s">
        <v>70</v>
      </c>
    </row>
    <row r="539" spans="4:13">
      <c r="D539" s="1" t="s">
        <v>132</v>
      </c>
      <c r="E539" s="1" t="s">
        <v>71</v>
      </c>
      <c r="F539" s="1" t="s">
        <v>52</v>
      </c>
      <c r="G539" s="1" t="s">
        <v>53</v>
      </c>
      <c r="H539" s="1" t="s">
        <v>22</v>
      </c>
      <c r="I539" s="1" t="s">
        <v>65</v>
      </c>
      <c r="L539" s="1">
        <v>7936.6414386555998</v>
      </c>
    </row>
    <row r="540" spans="4:13">
      <c r="D540" s="1" t="s">
        <v>132</v>
      </c>
      <c r="E540" s="1" t="s">
        <v>117</v>
      </c>
      <c r="F540" s="1" t="s">
        <v>118</v>
      </c>
      <c r="G540" s="1" t="s">
        <v>119</v>
      </c>
      <c r="H540" s="1" t="s">
        <v>22</v>
      </c>
      <c r="I540" s="1" t="s">
        <v>120</v>
      </c>
      <c r="J540" s="1">
        <v>0</v>
      </c>
      <c r="L540" s="1">
        <v>2.20462262185</v>
      </c>
    </row>
    <row r="541" spans="4:13">
      <c r="D541" s="1" t="s">
        <v>132</v>
      </c>
      <c r="E541" s="1" t="s">
        <v>121</v>
      </c>
      <c r="H541" s="1" t="s">
        <v>22</v>
      </c>
      <c r="I541" s="1" t="s">
        <v>120</v>
      </c>
      <c r="L541" s="1">
        <v>1</v>
      </c>
    </row>
    <row r="542" spans="4:13">
      <c r="D542" s="1" t="s">
        <v>132</v>
      </c>
      <c r="E542" s="1" t="s">
        <v>122</v>
      </c>
      <c r="F542" s="1" t="s">
        <v>56</v>
      </c>
      <c r="G542" s="1" t="s">
        <v>57</v>
      </c>
      <c r="H542" s="1" t="s">
        <v>22</v>
      </c>
      <c r="I542" s="1" t="s">
        <v>65</v>
      </c>
      <c r="L542" s="1">
        <v>1.4503773773020921E-4</v>
      </c>
    </row>
    <row r="543" spans="4:13">
      <c r="D543" s="1" t="s">
        <v>132</v>
      </c>
      <c r="E543" s="1" t="s">
        <v>123</v>
      </c>
      <c r="F543" s="1" t="s">
        <v>124</v>
      </c>
      <c r="G543" s="1" t="s">
        <v>125</v>
      </c>
      <c r="H543" s="1" t="s">
        <v>22</v>
      </c>
      <c r="I543" s="1" t="s">
        <v>120</v>
      </c>
      <c r="L543" s="1">
        <v>35.314666699999997</v>
      </c>
    </row>
    <row r="544" spans="4:13">
      <c r="D544" s="1" t="s">
        <v>132</v>
      </c>
      <c r="E544" s="1" t="s">
        <v>126</v>
      </c>
      <c r="H544" s="1" t="s">
        <v>22</v>
      </c>
      <c r="I544" s="1" t="s">
        <v>65</v>
      </c>
      <c r="L544" s="1">
        <v>1</v>
      </c>
    </row>
    <row r="545" spans="4:13">
      <c r="D545" s="1" t="s">
        <v>132</v>
      </c>
      <c r="E545" s="1" t="s">
        <v>127</v>
      </c>
      <c r="H545" s="1" t="s">
        <v>25</v>
      </c>
      <c r="I545" s="1" t="s">
        <v>23</v>
      </c>
      <c r="M545" s="1" t="b">
        <v>1</v>
      </c>
    </row>
    <row r="546" spans="4:13">
      <c r="D546" s="1" t="s">
        <v>136</v>
      </c>
      <c r="E546" s="1" t="s">
        <v>28</v>
      </c>
      <c r="H546" s="1" t="s">
        <v>22</v>
      </c>
      <c r="I546" s="1" t="s">
        <v>29</v>
      </c>
      <c r="J546" s="1">
        <v>34000</v>
      </c>
      <c r="K546" s="1">
        <v>4300000</v>
      </c>
      <c r="L546" s="1">
        <v>349660</v>
      </c>
    </row>
    <row r="547" spans="4:13">
      <c r="D547" s="1" t="s">
        <v>136</v>
      </c>
      <c r="E547" s="1" t="s">
        <v>30</v>
      </c>
      <c r="H547" s="1" t="s">
        <v>22</v>
      </c>
      <c r="I547" s="1" t="s">
        <v>29</v>
      </c>
      <c r="J547" s="1">
        <v>-3.94</v>
      </c>
      <c r="K547" s="1">
        <v>3.66</v>
      </c>
      <c r="L547" s="1">
        <v>1</v>
      </c>
    </row>
    <row r="548" spans="4:13">
      <c r="D548" s="1" t="s">
        <v>136</v>
      </c>
      <c r="E548" s="1" t="s">
        <v>31</v>
      </c>
      <c r="H548" s="1" t="s">
        <v>22</v>
      </c>
      <c r="I548" s="1" t="s">
        <v>29</v>
      </c>
      <c r="J548" s="1">
        <v>0</v>
      </c>
      <c r="K548" s="1">
        <v>100</v>
      </c>
      <c r="L548" s="1">
        <v>1</v>
      </c>
    </row>
    <row r="549" spans="4:13">
      <c r="D549" s="1" t="s">
        <v>136</v>
      </c>
      <c r="E549" s="1" t="s">
        <v>32</v>
      </c>
      <c r="H549" s="1" t="s">
        <v>22</v>
      </c>
      <c r="I549" s="1" t="s">
        <v>29</v>
      </c>
      <c r="J549" s="1">
        <v>-3.94</v>
      </c>
      <c r="K549" s="1">
        <v>3.66</v>
      </c>
      <c r="L549" s="1">
        <v>1</v>
      </c>
    </row>
    <row r="550" spans="4:13">
      <c r="D550" s="1" t="s">
        <v>136</v>
      </c>
      <c r="E550" s="1" t="s">
        <v>33</v>
      </c>
      <c r="H550" s="1" t="s">
        <v>25</v>
      </c>
      <c r="I550" s="1" t="s">
        <v>23</v>
      </c>
      <c r="M550" s="1" t="b">
        <v>0</v>
      </c>
    </row>
    <row r="551" spans="4:13">
      <c r="D551" s="1" t="s">
        <v>136</v>
      </c>
      <c r="E551" s="1" t="s">
        <v>34</v>
      </c>
      <c r="F551" s="1" t="s">
        <v>35</v>
      </c>
      <c r="G551" s="1" t="s">
        <v>36</v>
      </c>
      <c r="H551" s="1" t="s">
        <v>22</v>
      </c>
      <c r="I551" s="1" t="s">
        <v>23</v>
      </c>
      <c r="J551" s="1">
        <v>-459.67</v>
      </c>
      <c r="K551" s="1">
        <v>980.32999999999993</v>
      </c>
      <c r="L551" s="1">
        <v>80.329999999999984</v>
      </c>
      <c r="M551" s="1">
        <v>67.999999999999943</v>
      </c>
    </row>
    <row r="552" spans="4:13">
      <c r="D552" s="1" t="s">
        <v>136</v>
      </c>
      <c r="E552" s="1" t="s">
        <v>37</v>
      </c>
      <c r="H552" s="1" t="s">
        <v>25</v>
      </c>
      <c r="I552" s="1" t="s">
        <v>23</v>
      </c>
      <c r="M552" s="1" t="b">
        <v>0</v>
      </c>
    </row>
    <row r="553" spans="4:13">
      <c r="D553" s="1" t="s">
        <v>136</v>
      </c>
      <c r="E553" s="1" t="s">
        <v>38</v>
      </c>
      <c r="F553" s="1" t="s">
        <v>35</v>
      </c>
      <c r="G553" s="1" t="s">
        <v>36</v>
      </c>
      <c r="H553" s="1" t="s">
        <v>22</v>
      </c>
      <c r="I553" s="1" t="s">
        <v>23</v>
      </c>
      <c r="J553" s="1">
        <v>-99.670000000000016</v>
      </c>
      <c r="K553" s="1">
        <v>980.32999999999993</v>
      </c>
      <c r="L553" s="1">
        <v>80.329999999999984</v>
      </c>
      <c r="M553" s="1">
        <v>13.999999999999943</v>
      </c>
    </row>
    <row r="554" spans="4:13">
      <c r="D554" s="1" t="s">
        <v>136</v>
      </c>
      <c r="E554" s="1" t="s">
        <v>39</v>
      </c>
      <c r="H554" s="1" t="s">
        <v>25</v>
      </c>
      <c r="I554" s="1" t="s">
        <v>23</v>
      </c>
      <c r="M554" s="1" t="b">
        <v>0</v>
      </c>
    </row>
    <row r="555" spans="4:13">
      <c r="D555" s="1" t="s">
        <v>136</v>
      </c>
      <c r="E555" s="1" t="s">
        <v>40</v>
      </c>
      <c r="F555" s="1" t="s">
        <v>41</v>
      </c>
      <c r="G555" s="1" t="s">
        <v>42</v>
      </c>
      <c r="H555" s="1" t="s">
        <v>22</v>
      </c>
      <c r="I555" s="1" t="s">
        <v>23</v>
      </c>
      <c r="J555" s="1">
        <v>-900</v>
      </c>
      <c r="K555" s="1">
        <v>900</v>
      </c>
      <c r="L555" s="1">
        <v>1.8</v>
      </c>
      <c r="M555" s="1">
        <v>9</v>
      </c>
    </row>
    <row r="556" spans="4:13">
      <c r="D556" s="1" t="s">
        <v>136</v>
      </c>
      <c r="E556" s="1" t="s">
        <v>43</v>
      </c>
      <c r="H556" s="1" t="s">
        <v>25</v>
      </c>
      <c r="I556" s="1" t="s">
        <v>23</v>
      </c>
      <c r="M556" s="1" t="b">
        <v>0</v>
      </c>
    </row>
    <row r="557" spans="4:13">
      <c r="D557" s="1" t="s">
        <v>136</v>
      </c>
      <c r="E557" s="1" t="s">
        <v>44</v>
      </c>
      <c r="F557" s="1" t="s">
        <v>45</v>
      </c>
      <c r="G557" s="1" t="s">
        <v>46</v>
      </c>
      <c r="H557" s="1" t="s">
        <v>22</v>
      </c>
      <c r="I557" s="1" t="s">
        <v>23</v>
      </c>
      <c r="J557" s="1">
        <v>-85.984522757427143</v>
      </c>
      <c r="K557" s="1">
        <v>8598.4522757427148</v>
      </c>
      <c r="L557" s="1">
        <v>114.79148749423418</v>
      </c>
      <c r="M557" s="1">
        <v>128.97678413614071</v>
      </c>
    </row>
    <row r="558" spans="4:13">
      <c r="D558" s="1" t="s">
        <v>136</v>
      </c>
      <c r="E558" s="1" t="s">
        <v>47</v>
      </c>
      <c r="H558" s="1" t="s">
        <v>25</v>
      </c>
      <c r="I558" s="1" t="s">
        <v>23</v>
      </c>
      <c r="M558" s="1" t="b">
        <v>0</v>
      </c>
    </row>
    <row r="559" spans="4:13">
      <c r="D559" s="1" t="s">
        <v>136</v>
      </c>
      <c r="E559" s="1" t="s">
        <v>48</v>
      </c>
      <c r="H559" s="1" t="s">
        <v>25</v>
      </c>
      <c r="I559" s="1" t="s">
        <v>23</v>
      </c>
      <c r="M559" s="1" t="b">
        <v>0</v>
      </c>
    </row>
    <row r="560" spans="4:13">
      <c r="D560" s="1" t="s">
        <v>136</v>
      </c>
      <c r="E560" s="1" t="s">
        <v>49</v>
      </c>
      <c r="H560" s="1" t="s">
        <v>25</v>
      </c>
      <c r="I560" s="1" t="s">
        <v>23</v>
      </c>
      <c r="M560" s="1" t="b">
        <v>0</v>
      </c>
    </row>
    <row r="561" spans="4:13">
      <c r="D561" s="1" t="s">
        <v>136</v>
      </c>
      <c r="E561" s="1" t="s">
        <v>50</v>
      </c>
      <c r="H561" s="1" t="s">
        <v>25</v>
      </c>
      <c r="I561" s="1" t="s">
        <v>23</v>
      </c>
      <c r="M561" s="1" t="b">
        <v>0</v>
      </c>
    </row>
    <row r="562" spans="4:13">
      <c r="D562" s="1" t="s">
        <v>136</v>
      </c>
      <c r="E562" s="1" t="s">
        <v>51</v>
      </c>
      <c r="F562" s="1" t="s">
        <v>52</v>
      </c>
      <c r="G562" s="1" t="s">
        <v>53</v>
      </c>
      <c r="H562" s="1" t="s">
        <v>22</v>
      </c>
      <c r="I562" s="1" t="s">
        <v>23</v>
      </c>
      <c r="J562" s="1">
        <v>0</v>
      </c>
      <c r="K562" s="1">
        <v>7936641438.6555996</v>
      </c>
      <c r="L562" s="1">
        <v>7936.6414386555998</v>
      </c>
      <c r="M562" s="1">
        <v>7936.6414386555998</v>
      </c>
    </row>
    <row r="563" spans="4:13">
      <c r="D563" s="1" t="s">
        <v>136</v>
      </c>
      <c r="E563" s="1" t="s">
        <v>54</v>
      </c>
      <c r="H563" s="1" t="s">
        <v>25</v>
      </c>
      <c r="I563" s="1" t="s">
        <v>23</v>
      </c>
      <c r="M563" s="1" t="b">
        <v>0</v>
      </c>
    </row>
    <row r="564" spans="4:13">
      <c r="D564" s="1" t="s">
        <v>136</v>
      </c>
      <c r="E564" s="1" t="s">
        <v>55</v>
      </c>
      <c r="F564" s="1" t="s">
        <v>56</v>
      </c>
      <c r="G564" s="1" t="s">
        <v>57</v>
      </c>
      <c r="H564" s="1" t="s">
        <v>22</v>
      </c>
      <c r="I564" s="1" t="s">
        <v>23</v>
      </c>
      <c r="J564" s="1">
        <v>0</v>
      </c>
      <c r="K564" s="1">
        <v>9427.4529524635982</v>
      </c>
      <c r="L564" s="1">
        <v>50.713895374744951</v>
      </c>
      <c r="M564" s="1">
        <v>50.763208205573221</v>
      </c>
    </row>
    <row r="565" spans="4:13">
      <c r="D565" s="1" t="s">
        <v>136</v>
      </c>
      <c r="E565" s="1" t="s">
        <v>58</v>
      </c>
      <c r="H565" s="1" t="s">
        <v>25</v>
      </c>
      <c r="I565" s="1" t="s">
        <v>23</v>
      </c>
      <c r="M565" s="1" t="b">
        <v>0</v>
      </c>
    </row>
    <row r="566" spans="4:13">
      <c r="D566" s="1" t="s">
        <v>136</v>
      </c>
      <c r="E566" s="1" t="s">
        <v>59</v>
      </c>
      <c r="F566" s="1" t="s">
        <v>60</v>
      </c>
      <c r="G566" s="1" t="s">
        <v>61</v>
      </c>
      <c r="H566" s="1" t="s">
        <v>22</v>
      </c>
      <c r="I566" s="1" t="s">
        <v>23</v>
      </c>
      <c r="J566" s="1">
        <v>-9.5538358650799999</v>
      </c>
      <c r="K566" s="1">
        <v>9.5538358650799999</v>
      </c>
      <c r="L566" s="1">
        <v>0.23884589662700001</v>
      </c>
      <c r="M566" s="1">
        <v>0.23884589662700001</v>
      </c>
    </row>
    <row r="567" spans="4:13">
      <c r="D567" s="1" t="s">
        <v>136</v>
      </c>
      <c r="E567" s="1" t="s">
        <v>62</v>
      </c>
      <c r="H567" s="1" t="s">
        <v>63</v>
      </c>
      <c r="I567" s="1" t="s">
        <v>23</v>
      </c>
      <c r="M567" s="1">
        <v>1</v>
      </c>
    </row>
    <row r="568" spans="4:13">
      <c r="D568" s="1" t="s">
        <v>136</v>
      </c>
      <c r="E568" s="1" t="s">
        <v>64</v>
      </c>
      <c r="F568" s="1" t="s">
        <v>35</v>
      </c>
      <c r="G568" s="1" t="s">
        <v>36</v>
      </c>
      <c r="H568" s="1" t="s">
        <v>22</v>
      </c>
      <c r="I568" s="1" t="s">
        <v>65</v>
      </c>
      <c r="J568" s="1">
        <v>-459.67</v>
      </c>
      <c r="L568" s="1">
        <v>80.329999999999984</v>
      </c>
    </row>
    <row r="569" spans="4:13">
      <c r="D569" s="1" t="s">
        <v>136</v>
      </c>
      <c r="E569" s="1" t="s">
        <v>66</v>
      </c>
      <c r="F569" s="1" t="s">
        <v>35</v>
      </c>
      <c r="G569" s="1" t="s">
        <v>36</v>
      </c>
      <c r="H569" s="1" t="s">
        <v>22</v>
      </c>
      <c r="I569" s="1" t="s">
        <v>65</v>
      </c>
      <c r="J569" s="1">
        <v>-459.67</v>
      </c>
      <c r="L569" s="1">
        <v>80.329999999999984</v>
      </c>
    </row>
    <row r="570" spans="4:13">
      <c r="D570" s="1" t="s">
        <v>136</v>
      </c>
      <c r="E570" s="1" t="s">
        <v>67</v>
      </c>
      <c r="F570" s="1" t="s">
        <v>41</v>
      </c>
      <c r="G570" s="1" t="s">
        <v>42</v>
      </c>
      <c r="H570" s="1" t="s">
        <v>22</v>
      </c>
      <c r="I570" s="1" t="s">
        <v>65</v>
      </c>
      <c r="L570" s="1">
        <v>1.8</v>
      </c>
    </row>
    <row r="571" spans="4:13">
      <c r="D571" s="1" t="s">
        <v>136</v>
      </c>
      <c r="E571" s="1" t="s">
        <v>68</v>
      </c>
      <c r="F571" s="1" t="s">
        <v>45</v>
      </c>
      <c r="G571" s="1" t="s">
        <v>46</v>
      </c>
      <c r="H571" s="1" t="s">
        <v>22</v>
      </c>
      <c r="I571" s="1" t="s">
        <v>65</v>
      </c>
      <c r="L571" s="1">
        <v>4.2992261378713571E-4</v>
      </c>
    </row>
    <row r="572" spans="4:13">
      <c r="D572" s="1" t="s">
        <v>136</v>
      </c>
      <c r="E572" s="1" t="s">
        <v>69</v>
      </c>
      <c r="H572" s="1" t="s">
        <v>25</v>
      </c>
      <c r="I572" s="1" t="s">
        <v>70</v>
      </c>
    </row>
    <row r="573" spans="4:13">
      <c r="D573" s="1" t="s">
        <v>136</v>
      </c>
      <c r="E573" s="1" t="s">
        <v>71</v>
      </c>
      <c r="F573" s="1" t="s">
        <v>52</v>
      </c>
      <c r="G573" s="1" t="s">
        <v>53</v>
      </c>
      <c r="H573" s="1" t="s">
        <v>22</v>
      </c>
      <c r="I573" s="1" t="s">
        <v>65</v>
      </c>
      <c r="L573" s="1">
        <v>7936.6414386555998</v>
      </c>
    </row>
    <row r="574" spans="4:13">
      <c r="D574" s="1" t="s">
        <v>136</v>
      </c>
      <c r="E574" s="1" t="s">
        <v>72</v>
      </c>
      <c r="F574" s="1" t="s">
        <v>56</v>
      </c>
      <c r="G574" s="1" t="s">
        <v>57</v>
      </c>
      <c r="H574" s="1" t="s">
        <v>22</v>
      </c>
      <c r="I574" s="1" t="s">
        <v>65</v>
      </c>
      <c r="J574" s="1">
        <v>0</v>
      </c>
      <c r="L574" s="1">
        <v>14.503773773020921</v>
      </c>
    </row>
    <row r="575" spans="4:13">
      <c r="D575" s="1" t="s">
        <v>136</v>
      </c>
      <c r="E575" s="1" t="s">
        <v>73</v>
      </c>
      <c r="F575" s="1" t="s">
        <v>60</v>
      </c>
      <c r="G575" s="1" t="s">
        <v>61</v>
      </c>
      <c r="H575" s="1" t="s">
        <v>22</v>
      </c>
      <c r="I575" s="1" t="s">
        <v>65</v>
      </c>
      <c r="L575" s="1">
        <v>2.38845896627E-4</v>
      </c>
    </row>
    <row r="576" spans="4:13">
      <c r="D576" s="1" t="s">
        <v>136</v>
      </c>
      <c r="E576" s="1" t="s">
        <v>74</v>
      </c>
      <c r="F576" s="1" t="s">
        <v>75</v>
      </c>
      <c r="G576" s="1" t="s">
        <v>76</v>
      </c>
      <c r="H576" s="1" t="s">
        <v>22</v>
      </c>
      <c r="I576" s="1" t="s">
        <v>65</v>
      </c>
      <c r="J576" s="1">
        <v>0</v>
      </c>
      <c r="L576" s="1">
        <v>16.018463521800001</v>
      </c>
    </row>
    <row r="577" spans="4:13">
      <c r="D577" s="1" t="s">
        <v>136</v>
      </c>
      <c r="E577" s="1" t="s">
        <v>77</v>
      </c>
      <c r="H577" s="1" t="s">
        <v>22</v>
      </c>
      <c r="I577" s="1" t="s">
        <v>65</v>
      </c>
      <c r="L577" s="1">
        <v>1</v>
      </c>
    </row>
    <row r="578" spans="4:13">
      <c r="D578" s="1" t="s">
        <v>136</v>
      </c>
      <c r="E578" s="1" t="s">
        <v>78</v>
      </c>
      <c r="H578" s="1" t="s">
        <v>25</v>
      </c>
      <c r="I578" s="1" t="s">
        <v>23</v>
      </c>
      <c r="M578" s="1" t="b">
        <v>0</v>
      </c>
    </row>
    <row r="579" spans="4:13">
      <c r="D579" s="1" t="s">
        <v>136</v>
      </c>
      <c r="E579" s="1" t="s">
        <v>79</v>
      </c>
      <c r="F579" s="1" t="s">
        <v>75</v>
      </c>
      <c r="G579" s="1" t="s">
        <v>76</v>
      </c>
      <c r="H579" s="1" t="s">
        <v>22</v>
      </c>
      <c r="I579" s="1" t="s">
        <v>23</v>
      </c>
      <c r="J579" s="1">
        <v>0</v>
      </c>
      <c r="K579" s="1">
        <v>96.110781130800007</v>
      </c>
      <c r="L579" s="1">
        <v>16.018463521800001</v>
      </c>
      <c r="M579" s="1">
        <v>1.6018463521800002</v>
      </c>
    </row>
    <row r="580" spans="4:13">
      <c r="D580" s="1" t="s">
        <v>136</v>
      </c>
      <c r="E580" s="1" t="s">
        <v>80</v>
      </c>
      <c r="H580" s="1" t="s">
        <v>25</v>
      </c>
      <c r="I580" s="1" t="s">
        <v>23</v>
      </c>
      <c r="M580" s="1" t="b">
        <v>0</v>
      </c>
    </row>
    <row r="581" spans="4:13">
      <c r="D581" s="1" t="s">
        <v>136</v>
      </c>
      <c r="E581" s="1" t="s">
        <v>81</v>
      </c>
      <c r="H581" s="1" t="s">
        <v>25</v>
      </c>
      <c r="I581" s="1" t="s">
        <v>23</v>
      </c>
      <c r="M581" s="1" t="b">
        <v>0</v>
      </c>
    </row>
    <row r="582" spans="4:13">
      <c r="D582" s="1" t="s">
        <v>136</v>
      </c>
      <c r="E582" s="1" t="s">
        <v>82</v>
      </c>
      <c r="H582" s="1" t="s">
        <v>22</v>
      </c>
      <c r="I582" s="1" t="s">
        <v>23</v>
      </c>
      <c r="J582" s="1">
        <v>-1</v>
      </c>
      <c r="K582" s="1">
        <v>3</v>
      </c>
      <c r="L582" s="1">
        <v>1</v>
      </c>
      <c r="M582" s="1">
        <v>1.01</v>
      </c>
    </row>
    <row r="583" spans="4:13">
      <c r="D583" s="1" t="s">
        <v>137</v>
      </c>
      <c r="E583" s="1" t="s">
        <v>28</v>
      </c>
      <c r="H583" s="1" t="s">
        <v>22</v>
      </c>
      <c r="I583" s="1" t="s">
        <v>29</v>
      </c>
      <c r="J583" s="1">
        <v>34000</v>
      </c>
      <c r="K583" s="1">
        <v>4300000</v>
      </c>
      <c r="L583" s="1">
        <v>349660</v>
      </c>
    </row>
    <row r="584" spans="4:13">
      <c r="D584" s="1" t="s">
        <v>137</v>
      </c>
      <c r="E584" s="1" t="s">
        <v>30</v>
      </c>
      <c r="H584" s="1" t="s">
        <v>22</v>
      </c>
      <c r="I584" s="1" t="s">
        <v>29</v>
      </c>
      <c r="J584" s="1">
        <v>-3.94</v>
      </c>
      <c r="K584" s="1">
        <v>3.66</v>
      </c>
      <c r="L584" s="1">
        <v>1</v>
      </c>
    </row>
    <row r="585" spans="4:13">
      <c r="D585" s="1" t="s">
        <v>137</v>
      </c>
      <c r="E585" s="1" t="s">
        <v>31</v>
      </c>
      <c r="H585" s="1" t="s">
        <v>22</v>
      </c>
      <c r="I585" s="1" t="s">
        <v>29</v>
      </c>
      <c r="J585" s="1">
        <v>0</v>
      </c>
      <c r="K585" s="1">
        <v>100</v>
      </c>
      <c r="L585" s="1">
        <v>1</v>
      </c>
    </row>
    <row r="586" spans="4:13">
      <c r="D586" s="1" t="s">
        <v>137</v>
      </c>
      <c r="E586" s="1" t="s">
        <v>32</v>
      </c>
      <c r="H586" s="1" t="s">
        <v>22</v>
      </c>
      <c r="I586" s="1" t="s">
        <v>29</v>
      </c>
      <c r="J586" s="1">
        <v>-3.94</v>
      </c>
      <c r="K586" s="1">
        <v>3.66</v>
      </c>
      <c r="L586" s="1">
        <v>1</v>
      </c>
    </row>
    <row r="587" spans="4:13">
      <c r="D587" s="1" t="s">
        <v>137</v>
      </c>
      <c r="E587" s="1" t="s">
        <v>33</v>
      </c>
      <c r="H587" s="1" t="s">
        <v>25</v>
      </c>
      <c r="I587" s="1" t="s">
        <v>23</v>
      </c>
      <c r="M587" s="1" t="b">
        <v>0</v>
      </c>
    </row>
    <row r="588" spans="4:13">
      <c r="D588" s="1" t="s">
        <v>137</v>
      </c>
      <c r="E588" s="1" t="s">
        <v>34</v>
      </c>
      <c r="F588" s="1" t="s">
        <v>35</v>
      </c>
      <c r="G588" s="1" t="s">
        <v>36</v>
      </c>
      <c r="H588" s="1" t="s">
        <v>22</v>
      </c>
      <c r="I588" s="1" t="s">
        <v>23</v>
      </c>
      <c r="J588" s="1">
        <v>-459.67</v>
      </c>
      <c r="K588" s="1">
        <v>980.32999999999993</v>
      </c>
      <c r="L588" s="1">
        <v>80.329999999999984</v>
      </c>
      <c r="M588" s="1">
        <v>67.999999999999943</v>
      </c>
    </row>
    <row r="589" spans="4:13">
      <c r="D589" s="1" t="s">
        <v>137</v>
      </c>
      <c r="E589" s="1" t="s">
        <v>37</v>
      </c>
      <c r="H589" s="1" t="s">
        <v>25</v>
      </c>
      <c r="I589" s="1" t="s">
        <v>23</v>
      </c>
      <c r="M589" s="1" t="b">
        <v>0</v>
      </c>
    </row>
    <row r="590" spans="4:13">
      <c r="D590" s="1" t="s">
        <v>137</v>
      </c>
      <c r="E590" s="1" t="s">
        <v>38</v>
      </c>
      <c r="F590" s="1" t="s">
        <v>35</v>
      </c>
      <c r="G590" s="1" t="s">
        <v>36</v>
      </c>
      <c r="H590" s="1" t="s">
        <v>22</v>
      </c>
      <c r="I590" s="1" t="s">
        <v>23</v>
      </c>
      <c r="J590" s="1">
        <v>-99.670000000000016</v>
      </c>
      <c r="K590" s="1">
        <v>980.32999999999993</v>
      </c>
      <c r="L590" s="1">
        <v>80.329999999999984</v>
      </c>
      <c r="M590" s="1">
        <v>13.999999999999943</v>
      </c>
    </row>
    <row r="591" spans="4:13">
      <c r="D591" s="1" t="s">
        <v>137</v>
      </c>
      <c r="E591" s="1" t="s">
        <v>39</v>
      </c>
      <c r="H591" s="1" t="s">
        <v>25</v>
      </c>
      <c r="I591" s="1" t="s">
        <v>23</v>
      </c>
      <c r="M591" s="1" t="b">
        <v>0</v>
      </c>
    </row>
    <row r="592" spans="4:13">
      <c r="D592" s="1" t="s">
        <v>137</v>
      </c>
      <c r="E592" s="1" t="s">
        <v>40</v>
      </c>
      <c r="F592" s="1" t="s">
        <v>41</v>
      </c>
      <c r="G592" s="1" t="s">
        <v>42</v>
      </c>
      <c r="H592" s="1" t="s">
        <v>22</v>
      </c>
      <c r="I592" s="1" t="s">
        <v>23</v>
      </c>
      <c r="J592" s="1">
        <v>-900</v>
      </c>
      <c r="K592" s="1">
        <v>900</v>
      </c>
      <c r="L592" s="1">
        <v>1.8</v>
      </c>
      <c r="M592" s="1">
        <v>9</v>
      </c>
    </row>
    <row r="593" spans="4:13">
      <c r="D593" s="1" t="s">
        <v>137</v>
      </c>
      <c r="E593" s="1" t="s">
        <v>43</v>
      </c>
      <c r="H593" s="1" t="s">
        <v>25</v>
      </c>
      <c r="I593" s="1" t="s">
        <v>23</v>
      </c>
      <c r="M593" s="1" t="b">
        <v>0</v>
      </c>
    </row>
    <row r="594" spans="4:13">
      <c r="D594" s="1" t="s">
        <v>137</v>
      </c>
      <c r="E594" s="1" t="s">
        <v>44</v>
      </c>
      <c r="F594" s="1" t="s">
        <v>45</v>
      </c>
      <c r="G594" s="1" t="s">
        <v>46</v>
      </c>
      <c r="H594" s="1" t="s">
        <v>22</v>
      </c>
      <c r="I594" s="1" t="s">
        <v>23</v>
      </c>
      <c r="J594" s="1">
        <v>-85.984522757427143</v>
      </c>
      <c r="K594" s="1">
        <v>8598.4522757427148</v>
      </c>
      <c r="L594" s="1">
        <v>114.79148749423418</v>
      </c>
      <c r="M594" s="1">
        <v>128.97678413614071</v>
      </c>
    </row>
    <row r="595" spans="4:13">
      <c r="D595" s="1" t="s">
        <v>137</v>
      </c>
      <c r="E595" s="1" t="s">
        <v>47</v>
      </c>
      <c r="H595" s="1" t="s">
        <v>25</v>
      </c>
      <c r="I595" s="1" t="s">
        <v>23</v>
      </c>
      <c r="M595" s="1" t="b">
        <v>0</v>
      </c>
    </row>
    <row r="596" spans="4:13">
      <c r="D596" s="1" t="s">
        <v>137</v>
      </c>
      <c r="E596" s="1" t="s">
        <v>48</v>
      </c>
      <c r="H596" s="1" t="s">
        <v>25</v>
      </c>
      <c r="I596" s="1" t="s">
        <v>23</v>
      </c>
      <c r="M596" s="1" t="b">
        <v>0</v>
      </c>
    </row>
    <row r="597" spans="4:13">
      <c r="D597" s="1" t="s">
        <v>137</v>
      </c>
      <c r="E597" s="1" t="s">
        <v>49</v>
      </c>
      <c r="H597" s="1" t="s">
        <v>25</v>
      </c>
      <c r="I597" s="1" t="s">
        <v>23</v>
      </c>
      <c r="M597" s="1" t="b">
        <v>0</v>
      </c>
    </row>
    <row r="598" spans="4:13">
      <c r="D598" s="1" t="s">
        <v>137</v>
      </c>
      <c r="E598" s="1" t="s">
        <v>50</v>
      </c>
      <c r="H598" s="1" t="s">
        <v>25</v>
      </c>
      <c r="I598" s="1" t="s">
        <v>23</v>
      </c>
      <c r="M598" s="1" t="b">
        <v>0</v>
      </c>
    </row>
    <row r="599" spans="4:13">
      <c r="D599" s="1" t="s">
        <v>137</v>
      </c>
      <c r="E599" s="1" t="s">
        <v>51</v>
      </c>
      <c r="F599" s="1" t="s">
        <v>52</v>
      </c>
      <c r="G599" s="1" t="s">
        <v>53</v>
      </c>
      <c r="H599" s="1" t="s">
        <v>22</v>
      </c>
      <c r="I599" s="1" t="s">
        <v>23</v>
      </c>
      <c r="J599" s="1">
        <v>0</v>
      </c>
      <c r="K599" s="1">
        <v>7936641438.6555996</v>
      </c>
      <c r="L599" s="1">
        <v>7936.6414386555998</v>
      </c>
      <c r="M599" s="1">
        <v>7936.6414386555998</v>
      </c>
    </row>
    <row r="600" spans="4:13">
      <c r="D600" s="1" t="s">
        <v>137</v>
      </c>
      <c r="E600" s="1" t="s">
        <v>54</v>
      </c>
      <c r="H600" s="1" t="s">
        <v>25</v>
      </c>
      <c r="I600" s="1" t="s">
        <v>23</v>
      </c>
      <c r="M600" s="1" t="b">
        <v>0</v>
      </c>
    </row>
    <row r="601" spans="4:13">
      <c r="D601" s="1" t="s">
        <v>137</v>
      </c>
      <c r="E601" s="1" t="s">
        <v>55</v>
      </c>
      <c r="F601" s="1" t="s">
        <v>56</v>
      </c>
      <c r="G601" s="1" t="s">
        <v>57</v>
      </c>
      <c r="H601" s="1" t="s">
        <v>22</v>
      </c>
      <c r="I601" s="1" t="s">
        <v>23</v>
      </c>
      <c r="J601" s="1">
        <v>0</v>
      </c>
      <c r="K601" s="1">
        <v>9427.4529524635982</v>
      </c>
      <c r="L601" s="1">
        <v>50.713895374744951</v>
      </c>
      <c r="M601" s="1">
        <v>50.763208205573221</v>
      </c>
    </row>
    <row r="602" spans="4:13">
      <c r="D602" s="1" t="s">
        <v>137</v>
      </c>
      <c r="E602" s="1" t="s">
        <v>58</v>
      </c>
      <c r="H602" s="1" t="s">
        <v>25</v>
      </c>
      <c r="I602" s="1" t="s">
        <v>23</v>
      </c>
      <c r="M602" s="1" t="b">
        <v>0</v>
      </c>
    </row>
    <row r="603" spans="4:13">
      <c r="D603" s="1" t="s">
        <v>137</v>
      </c>
      <c r="E603" s="1" t="s">
        <v>59</v>
      </c>
      <c r="F603" s="1" t="s">
        <v>60</v>
      </c>
      <c r="G603" s="1" t="s">
        <v>61</v>
      </c>
      <c r="H603" s="1" t="s">
        <v>22</v>
      </c>
      <c r="I603" s="1" t="s">
        <v>23</v>
      </c>
      <c r="J603" s="1">
        <v>-9.5538358650799999</v>
      </c>
      <c r="K603" s="1">
        <v>9.5538358650799999</v>
      </c>
      <c r="L603" s="1">
        <v>0.23884589662700001</v>
      </c>
      <c r="M603" s="1">
        <v>0.23884589662700001</v>
      </c>
    </row>
    <row r="604" spans="4:13">
      <c r="D604" s="1" t="s">
        <v>137</v>
      </c>
      <c r="E604" s="1" t="s">
        <v>62</v>
      </c>
      <c r="H604" s="1" t="s">
        <v>63</v>
      </c>
      <c r="I604" s="1" t="s">
        <v>23</v>
      </c>
      <c r="M604" s="1">
        <v>1</v>
      </c>
    </row>
    <row r="605" spans="4:13">
      <c r="D605" s="1" t="s">
        <v>137</v>
      </c>
      <c r="E605" s="1" t="s">
        <v>64</v>
      </c>
      <c r="F605" s="1" t="s">
        <v>35</v>
      </c>
      <c r="G605" s="1" t="s">
        <v>36</v>
      </c>
      <c r="H605" s="1" t="s">
        <v>22</v>
      </c>
      <c r="I605" s="1" t="s">
        <v>65</v>
      </c>
      <c r="J605" s="1">
        <v>-459.67</v>
      </c>
      <c r="L605" s="1">
        <v>80.329999999999984</v>
      </c>
    </row>
    <row r="606" spans="4:13">
      <c r="D606" s="1" t="s">
        <v>137</v>
      </c>
      <c r="E606" s="1" t="s">
        <v>66</v>
      </c>
      <c r="F606" s="1" t="s">
        <v>35</v>
      </c>
      <c r="G606" s="1" t="s">
        <v>36</v>
      </c>
      <c r="H606" s="1" t="s">
        <v>22</v>
      </c>
      <c r="I606" s="1" t="s">
        <v>65</v>
      </c>
      <c r="J606" s="1">
        <v>-459.67</v>
      </c>
      <c r="L606" s="1">
        <v>80.329999999999984</v>
      </c>
    </row>
    <row r="607" spans="4:13">
      <c r="D607" s="1" t="s">
        <v>137</v>
      </c>
      <c r="E607" s="1" t="s">
        <v>67</v>
      </c>
      <c r="F607" s="1" t="s">
        <v>41</v>
      </c>
      <c r="G607" s="1" t="s">
        <v>42</v>
      </c>
      <c r="H607" s="1" t="s">
        <v>22</v>
      </c>
      <c r="I607" s="1" t="s">
        <v>65</v>
      </c>
      <c r="L607" s="1">
        <v>1.8</v>
      </c>
    </row>
    <row r="608" spans="4:13">
      <c r="D608" s="1" t="s">
        <v>137</v>
      </c>
      <c r="E608" s="1" t="s">
        <v>68</v>
      </c>
      <c r="F608" s="1" t="s">
        <v>45</v>
      </c>
      <c r="G608" s="1" t="s">
        <v>46</v>
      </c>
      <c r="H608" s="1" t="s">
        <v>22</v>
      </c>
      <c r="I608" s="1" t="s">
        <v>65</v>
      </c>
      <c r="L608" s="1">
        <v>4.2992261378713571E-4</v>
      </c>
    </row>
    <row r="609" spans="4:13">
      <c r="D609" s="1" t="s">
        <v>137</v>
      </c>
      <c r="E609" s="1" t="s">
        <v>69</v>
      </c>
      <c r="H609" s="1" t="s">
        <v>25</v>
      </c>
      <c r="I609" s="1" t="s">
        <v>70</v>
      </c>
    </row>
    <row r="610" spans="4:13">
      <c r="D610" s="1" t="s">
        <v>137</v>
      </c>
      <c r="E610" s="1" t="s">
        <v>71</v>
      </c>
      <c r="F610" s="1" t="s">
        <v>52</v>
      </c>
      <c r="G610" s="1" t="s">
        <v>53</v>
      </c>
      <c r="H610" s="1" t="s">
        <v>22</v>
      </c>
      <c r="I610" s="1" t="s">
        <v>65</v>
      </c>
      <c r="L610" s="1">
        <v>7936.6414386555998</v>
      </c>
    </row>
    <row r="611" spans="4:13">
      <c r="D611" s="1" t="s">
        <v>137</v>
      </c>
      <c r="E611" s="1" t="s">
        <v>72</v>
      </c>
      <c r="F611" s="1" t="s">
        <v>56</v>
      </c>
      <c r="G611" s="1" t="s">
        <v>57</v>
      </c>
      <c r="H611" s="1" t="s">
        <v>22</v>
      </c>
      <c r="I611" s="1" t="s">
        <v>65</v>
      </c>
      <c r="J611" s="1">
        <v>0</v>
      </c>
      <c r="L611" s="1">
        <v>14.503773773020921</v>
      </c>
    </row>
    <row r="612" spans="4:13">
      <c r="D612" s="1" t="s">
        <v>137</v>
      </c>
      <c r="E612" s="1" t="s">
        <v>73</v>
      </c>
      <c r="F612" s="1" t="s">
        <v>60</v>
      </c>
      <c r="G612" s="1" t="s">
        <v>61</v>
      </c>
      <c r="H612" s="1" t="s">
        <v>22</v>
      </c>
      <c r="I612" s="1" t="s">
        <v>65</v>
      </c>
      <c r="L612" s="1">
        <v>2.38845896627E-4</v>
      </c>
    </row>
    <row r="613" spans="4:13">
      <c r="D613" s="1" t="s">
        <v>137</v>
      </c>
      <c r="E613" s="1" t="s">
        <v>74</v>
      </c>
      <c r="F613" s="1" t="s">
        <v>75</v>
      </c>
      <c r="G613" s="1" t="s">
        <v>76</v>
      </c>
      <c r="H613" s="1" t="s">
        <v>22</v>
      </c>
      <c r="I613" s="1" t="s">
        <v>65</v>
      </c>
      <c r="J613" s="1">
        <v>0</v>
      </c>
      <c r="L613" s="1">
        <v>16.018463521800001</v>
      </c>
    </row>
    <row r="614" spans="4:13">
      <c r="D614" s="1" t="s">
        <v>137</v>
      </c>
      <c r="E614" s="1" t="s">
        <v>77</v>
      </c>
      <c r="H614" s="1" t="s">
        <v>22</v>
      </c>
      <c r="I614" s="1" t="s">
        <v>65</v>
      </c>
      <c r="L614" s="1">
        <v>1</v>
      </c>
    </row>
    <row r="615" spans="4:13">
      <c r="D615" s="1" t="s">
        <v>137</v>
      </c>
      <c r="E615" s="1" t="s">
        <v>78</v>
      </c>
      <c r="H615" s="1" t="s">
        <v>25</v>
      </c>
      <c r="I615" s="1" t="s">
        <v>23</v>
      </c>
      <c r="M615" s="1" t="b">
        <v>0</v>
      </c>
    </row>
    <row r="616" spans="4:13">
      <c r="D616" s="1" t="s">
        <v>137</v>
      </c>
      <c r="E616" s="1" t="s">
        <v>79</v>
      </c>
      <c r="F616" s="1" t="s">
        <v>75</v>
      </c>
      <c r="G616" s="1" t="s">
        <v>76</v>
      </c>
      <c r="H616" s="1" t="s">
        <v>22</v>
      </c>
      <c r="I616" s="1" t="s">
        <v>23</v>
      </c>
      <c r="J616" s="1">
        <v>0</v>
      </c>
      <c r="K616" s="1">
        <v>96.110781130800007</v>
      </c>
      <c r="L616" s="1">
        <v>16.018463521800001</v>
      </c>
      <c r="M616" s="1">
        <v>1.6018463521800002</v>
      </c>
    </row>
    <row r="617" spans="4:13">
      <c r="D617" s="1" t="s">
        <v>137</v>
      </c>
      <c r="E617" s="1" t="s">
        <v>80</v>
      </c>
      <c r="H617" s="1" t="s">
        <v>25</v>
      </c>
      <c r="I617" s="1" t="s">
        <v>23</v>
      </c>
      <c r="M617" s="1" t="b">
        <v>0</v>
      </c>
    </row>
    <row r="618" spans="4:13">
      <c r="D618" s="1" t="s">
        <v>137</v>
      </c>
      <c r="E618" s="1" t="s">
        <v>81</v>
      </c>
      <c r="H618" s="1" t="s">
        <v>25</v>
      </c>
      <c r="I618" s="1" t="s">
        <v>23</v>
      </c>
      <c r="M618" s="1" t="b">
        <v>0</v>
      </c>
    </row>
    <row r="619" spans="4:13">
      <c r="D619" s="1" t="s">
        <v>137</v>
      </c>
      <c r="E619" s="1" t="s">
        <v>82</v>
      </c>
      <c r="H619" s="1" t="s">
        <v>22</v>
      </c>
      <c r="I619" s="1" t="s">
        <v>23</v>
      </c>
      <c r="J619" s="1">
        <v>-1</v>
      </c>
      <c r="K619" s="1">
        <v>3</v>
      </c>
      <c r="L619" s="1">
        <v>1</v>
      </c>
      <c r="M619" s="1">
        <v>1.01</v>
      </c>
    </row>
    <row r="620" spans="4:13">
      <c r="D620" s="1" t="s">
        <v>138</v>
      </c>
      <c r="E620" s="1" t="s">
        <v>28</v>
      </c>
      <c r="H620" s="1" t="s">
        <v>22</v>
      </c>
      <c r="I620" s="1" t="s">
        <v>29</v>
      </c>
      <c r="J620" s="1">
        <v>34000</v>
      </c>
      <c r="K620" s="1">
        <v>4300000</v>
      </c>
      <c r="L620" s="1">
        <v>349660</v>
      </c>
    </row>
    <row r="621" spans="4:13">
      <c r="D621" s="1" t="s">
        <v>138</v>
      </c>
      <c r="E621" s="1" t="s">
        <v>30</v>
      </c>
      <c r="H621" s="1" t="s">
        <v>22</v>
      </c>
      <c r="I621" s="1" t="s">
        <v>29</v>
      </c>
      <c r="J621" s="1">
        <v>-3.94</v>
      </c>
      <c r="K621" s="1">
        <v>3.66</v>
      </c>
      <c r="L621" s="1">
        <v>1</v>
      </c>
    </row>
    <row r="622" spans="4:13">
      <c r="D622" s="1" t="s">
        <v>138</v>
      </c>
      <c r="E622" s="1" t="s">
        <v>31</v>
      </c>
      <c r="H622" s="1" t="s">
        <v>22</v>
      </c>
      <c r="I622" s="1" t="s">
        <v>29</v>
      </c>
      <c r="J622" s="1">
        <v>0</v>
      </c>
      <c r="K622" s="1">
        <v>100</v>
      </c>
      <c r="L622" s="1">
        <v>1</v>
      </c>
    </row>
    <row r="623" spans="4:13">
      <c r="D623" s="1" t="s">
        <v>138</v>
      </c>
      <c r="E623" s="1" t="s">
        <v>32</v>
      </c>
      <c r="H623" s="1" t="s">
        <v>22</v>
      </c>
      <c r="I623" s="1" t="s">
        <v>29</v>
      </c>
      <c r="J623" s="1">
        <v>-3.94</v>
      </c>
      <c r="K623" s="1">
        <v>3.66</v>
      </c>
      <c r="L623" s="1">
        <v>1</v>
      </c>
    </row>
    <row r="624" spans="4:13">
      <c r="D624" s="1" t="s">
        <v>138</v>
      </c>
      <c r="E624" s="1" t="s">
        <v>33</v>
      </c>
      <c r="H624" s="1" t="s">
        <v>25</v>
      </c>
      <c r="I624" s="1" t="s">
        <v>23</v>
      </c>
      <c r="M624" s="1" t="b">
        <v>0</v>
      </c>
    </row>
    <row r="625" spans="4:13">
      <c r="D625" s="1" t="s">
        <v>138</v>
      </c>
      <c r="E625" s="1" t="s">
        <v>34</v>
      </c>
      <c r="F625" s="1" t="s">
        <v>35</v>
      </c>
      <c r="G625" s="1" t="s">
        <v>36</v>
      </c>
      <c r="H625" s="1" t="s">
        <v>22</v>
      </c>
      <c r="I625" s="1" t="s">
        <v>23</v>
      </c>
      <c r="J625" s="1">
        <v>-459.67</v>
      </c>
      <c r="K625" s="1">
        <v>980.32999999999993</v>
      </c>
      <c r="L625" s="1">
        <v>80.329999999999984</v>
      </c>
      <c r="M625" s="1">
        <v>67.999999999999943</v>
      </c>
    </row>
    <row r="626" spans="4:13">
      <c r="D626" s="1" t="s">
        <v>138</v>
      </c>
      <c r="E626" s="1" t="s">
        <v>37</v>
      </c>
      <c r="H626" s="1" t="s">
        <v>25</v>
      </c>
      <c r="I626" s="1" t="s">
        <v>23</v>
      </c>
      <c r="M626" s="1" t="b">
        <v>0</v>
      </c>
    </row>
    <row r="627" spans="4:13">
      <c r="D627" s="1" t="s">
        <v>138</v>
      </c>
      <c r="E627" s="1" t="s">
        <v>38</v>
      </c>
      <c r="F627" s="1" t="s">
        <v>35</v>
      </c>
      <c r="G627" s="1" t="s">
        <v>36</v>
      </c>
      <c r="H627" s="1" t="s">
        <v>22</v>
      </c>
      <c r="I627" s="1" t="s">
        <v>23</v>
      </c>
      <c r="J627" s="1">
        <v>-99.670000000000016</v>
      </c>
      <c r="K627" s="1">
        <v>980.32999999999993</v>
      </c>
      <c r="L627" s="1">
        <v>80.329999999999984</v>
      </c>
      <c r="M627" s="1">
        <v>13.999999999999943</v>
      </c>
    </row>
    <row r="628" spans="4:13">
      <c r="D628" s="1" t="s">
        <v>138</v>
      </c>
      <c r="E628" s="1" t="s">
        <v>39</v>
      </c>
      <c r="H628" s="1" t="s">
        <v>25</v>
      </c>
      <c r="I628" s="1" t="s">
        <v>23</v>
      </c>
      <c r="M628" s="1" t="b">
        <v>0</v>
      </c>
    </row>
    <row r="629" spans="4:13">
      <c r="D629" s="1" t="s">
        <v>138</v>
      </c>
      <c r="E629" s="1" t="s">
        <v>40</v>
      </c>
      <c r="F629" s="1" t="s">
        <v>41</v>
      </c>
      <c r="G629" s="1" t="s">
        <v>42</v>
      </c>
      <c r="H629" s="1" t="s">
        <v>22</v>
      </c>
      <c r="I629" s="1" t="s">
        <v>23</v>
      </c>
      <c r="J629" s="1">
        <v>-900</v>
      </c>
      <c r="K629" s="1">
        <v>900</v>
      </c>
      <c r="L629" s="1">
        <v>1.8</v>
      </c>
      <c r="M629" s="1">
        <v>9</v>
      </c>
    </row>
    <row r="630" spans="4:13">
      <c r="D630" s="1" t="s">
        <v>138</v>
      </c>
      <c r="E630" s="1" t="s">
        <v>43</v>
      </c>
      <c r="H630" s="1" t="s">
        <v>25</v>
      </c>
      <c r="I630" s="1" t="s">
        <v>23</v>
      </c>
      <c r="M630" s="1" t="b">
        <v>0</v>
      </c>
    </row>
    <row r="631" spans="4:13">
      <c r="D631" s="1" t="s">
        <v>138</v>
      </c>
      <c r="E631" s="1" t="s">
        <v>44</v>
      </c>
      <c r="F631" s="1" t="s">
        <v>45</v>
      </c>
      <c r="G631" s="1" t="s">
        <v>46</v>
      </c>
      <c r="H631" s="1" t="s">
        <v>22</v>
      </c>
      <c r="I631" s="1" t="s">
        <v>23</v>
      </c>
      <c r="J631" s="1">
        <v>-85.984522757427143</v>
      </c>
      <c r="K631" s="1">
        <v>8598.4522757427148</v>
      </c>
      <c r="L631" s="1">
        <v>114.79148749423418</v>
      </c>
      <c r="M631" s="1">
        <v>128.97678413614071</v>
      </c>
    </row>
    <row r="632" spans="4:13">
      <c r="D632" s="1" t="s">
        <v>138</v>
      </c>
      <c r="E632" s="1" t="s">
        <v>47</v>
      </c>
      <c r="H632" s="1" t="s">
        <v>25</v>
      </c>
      <c r="I632" s="1" t="s">
        <v>23</v>
      </c>
      <c r="M632" s="1" t="b">
        <v>0</v>
      </c>
    </row>
    <row r="633" spans="4:13">
      <c r="D633" s="1" t="s">
        <v>138</v>
      </c>
      <c r="E633" s="1" t="s">
        <v>48</v>
      </c>
      <c r="H633" s="1" t="s">
        <v>25</v>
      </c>
      <c r="I633" s="1" t="s">
        <v>23</v>
      </c>
      <c r="M633" s="1" t="b">
        <v>0</v>
      </c>
    </row>
    <row r="634" spans="4:13">
      <c r="D634" s="1" t="s">
        <v>138</v>
      </c>
      <c r="E634" s="1" t="s">
        <v>49</v>
      </c>
      <c r="H634" s="1" t="s">
        <v>25</v>
      </c>
      <c r="I634" s="1" t="s">
        <v>23</v>
      </c>
      <c r="M634" s="1" t="b">
        <v>0</v>
      </c>
    </row>
    <row r="635" spans="4:13">
      <c r="D635" s="1" t="s">
        <v>138</v>
      </c>
      <c r="E635" s="1" t="s">
        <v>50</v>
      </c>
      <c r="H635" s="1" t="s">
        <v>25</v>
      </c>
      <c r="I635" s="1" t="s">
        <v>23</v>
      </c>
      <c r="M635" s="1" t="b">
        <v>0</v>
      </c>
    </row>
    <row r="636" spans="4:13">
      <c r="D636" s="1" t="s">
        <v>138</v>
      </c>
      <c r="E636" s="1" t="s">
        <v>51</v>
      </c>
      <c r="F636" s="1" t="s">
        <v>52</v>
      </c>
      <c r="G636" s="1" t="s">
        <v>53</v>
      </c>
      <c r="H636" s="1" t="s">
        <v>22</v>
      </c>
      <c r="I636" s="1" t="s">
        <v>23</v>
      </c>
      <c r="J636" s="1">
        <v>0</v>
      </c>
      <c r="K636" s="1">
        <v>7936641438.6555996</v>
      </c>
      <c r="L636" s="1">
        <v>7936.6414386555998</v>
      </c>
      <c r="M636" s="1">
        <v>7936.6414386555998</v>
      </c>
    </row>
    <row r="637" spans="4:13">
      <c r="D637" s="1" t="s">
        <v>138</v>
      </c>
      <c r="E637" s="1" t="s">
        <v>54</v>
      </c>
      <c r="H637" s="1" t="s">
        <v>25</v>
      </c>
      <c r="I637" s="1" t="s">
        <v>23</v>
      </c>
      <c r="M637" s="1" t="b">
        <v>0</v>
      </c>
    </row>
    <row r="638" spans="4:13">
      <c r="D638" s="1" t="s">
        <v>138</v>
      </c>
      <c r="E638" s="1" t="s">
        <v>55</v>
      </c>
      <c r="F638" s="1" t="s">
        <v>56</v>
      </c>
      <c r="G638" s="1" t="s">
        <v>57</v>
      </c>
      <c r="H638" s="1" t="s">
        <v>22</v>
      </c>
      <c r="I638" s="1" t="s">
        <v>23</v>
      </c>
      <c r="J638" s="1">
        <v>0</v>
      </c>
      <c r="K638" s="1">
        <v>9427.4529524635982</v>
      </c>
      <c r="L638" s="1">
        <v>50.713895374744951</v>
      </c>
      <c r="M638" s="1">
        <v>50.763208205573221</v>
      </c>
    </row>
    <row r="639" spans="4:13">
      <c r="D639" s="1" t="s">
        <v>138</v>
      </c>
      <c r="E639" s="1" t="s">
        <v>58</v>
      </c>
      <c r="H639" s="1" t="s">
        <v>25</v>
      </c>
      <c r="I639" s="1" t="s">
        <v>23</v>
      </c>
      <c r="M639" s="1" t="b">
        <v>0</v>
      </c>
    </row>
    <row r="640" spans="4:13">
      <c r="D640" s="1" t="s">
        <v>138</v>
      </c>
      <c r="E640" s="1" t="s">
        <v>59</v>
      </c>
      <c r="F640" s="1" t="s">
        <v>60</v>
      </c>
      <c r="G640" s="1" t="s">
        <v>61</v>
      </c>
      <c r="H640" s="1" t="s">
        <v>22</v>
      </c>
      <c r="I640" s="1" t="s">
        <v>23</v>
      </c>
      <c r="J640" s="1">
        <v>-9.5538358650799999</v>
      </c>
      <c r="K640" s="1">
        <v>9.5538358650799999</v>
      </c>
      <c r="L640" s="1">
        <v>0.23884589662700001</v>
      </c>
      <c r="M640" s="1">
        <v>0.23884589662700001</v>
      </c>
    </row>
    <row r="641" spans="4:13">
      <c r="D641" s="1" t="s">
        <v>138</v>
      </c>
      <c r="E641" s="1" t="s">
        <v>62</v>
      </c>
      <c r="H641" s="1" t="s">
        <v>63</v>
      </c>
      <c r="I641" s="1" t="s">
        <v>23</v>
      </c>
      <c r="M641" s="1">
        <v>1</v>
      </c>
    </row>
    <row r="642" spans="4:13">
      <c r="D642" s="1" t="s">
        <v>138</v>
      </c>
      <c r="E642" s="1" t="s">
        <v>64</v>
      </c>
      <c r="F642" s="1" t="s">
        <v>35</v>
      </c>
      <c r="G642" s="1" t="s">
        <v>36</v>
      </c>
      <c r="H642" s="1" t="s">
        <v>22</v>
      </c>
      <c r="I642" s="1" t="s">
        <v>65</v>
      </c>
      <c r="J642" s="1">
        <v>-459.67</v>
      </c>
      <c r="L642" s="1">
        <v>80.329999999999984</v>
      </c>
    </row>
    <row r="643" spans="4:13">
      <c r="D643" s="1" t="s">
        <v>138</v>
      </c>
      <c r="E643" s="1" t="s">
        <v>66</v>
      </c>
      <c r="F643" s="1" t="s">
        <v>35</v>
      </c>
      <c r="G643" s="1" t="s">
        <v>36</v>
      </c>
      <c r="H643" s="1" t="s">
        <v>22</v>
      </c>
      <c r="I643" s="1" t="s">
        <v>65</v>
      </c>
      <c r="J643" s="1">
        <v>-459.67</v>
      </c>
      <c r="L643" s="1">
        <v>80.329999999999984</v>
      </c>
    </row>
    <row r="644" spans="4:13">
      <c r="D644" s="1" t="s">
        <v>138</v>
      </c>
      <c r="E644" s="1" t="s">
        <v>67</v>
      </c>
      <c r="F644" s="1" t="s">
        <v>41</v>
      </c>
      <c r="G644" s="1" t="s">
        <v>42</v>
      </c>
      <c r="H644" s="1" t="s">
        <v>22</v>
      </c>
      <c r="I644" s="1" t="s">
        <v>65</v>
      </c>
      <c r="L644" s="1">
        <v>1.8</v>
      </c>
    </row>
    <row r="645" spans="4:13">
      <c r="D645" s="1" t="s">
        <v>138</v>
      </c>
      <c r="E645" s="1" t="s">
        <v>68</v>
      </c>
      <c r="F645" s="1" t="s">
        <v>45</v>
      </c>
      <c r="G645" s="1" t="s">
        <v>46</v>
      </c>
      <c r="H645" s="1" t="s">
        <v>22</v>
      </c>
      <c r="I645" s="1" t="s">
        <v>65</v>
      </c>
      <c r="L645" s="1">
        <v>4.2992261378713571E-4</v>
      </c>
    </row>
    <row r="646" spans="4:13">
      <c r="D646" s="1" t="s">
        <v>138</v>
      </c>
      <c r="E646" s="1" t="s">
        <v>69</v>
      </c>
      <c r="H646" s="1" t="s">
        <v>25</v>
      </c>
      <c r="I646" s="1" t="s">
        <v>70</v>
      </c>
    </row>
    <row r="647" spans="4:13">
      <c r="D647" s="1" t="s">
        <v>138</v>
      </c>
      <c r="E647" s="1" t="s">
        <v>71</v>
      </c>
      <c r="F647" s="1" t="s">
        <v>52</v>
      </c>
      <c r="G647" s="1" t="s">
        <v>53</v>
      </c>
      <c r="H647" s="1" t="s">
        <v>22</v>
      </c>
      <c r="I647" s="1" t="s">
        <v>65</v>
      </c>
      <c r="L647" s="1">
        <v>7936.6414386555998</v>
      </c>
    </row>
    <row r="648" spans="4:13">
      <c r="D648" s="1" t="s">
        <v>138</v>
      </c>
      <c r="E648" s="1" t="s">
        <v>72</v>
      </c>
      <c r="F648" s="1" t="s">
        <v>56</v>
      </c>
      <c r="G648" s="1" t="s">
        <v>57</v>
      </c>
      <c r="H648" s="1" t="s">
        <v>22</v>
      </c>
      <c r="I648" s="1" t="s">
        <v>65</v>
      </c>
      <c r="J648" s="1">
        <v>0</v>
      </c>
      <c r="L648" s="1">
        <v>14.503773773020921</v>
      </c>
    </row>
    <row r="649" spans="4:13">
      <c r="D649" s="1" t="s">
        <v>138</v>
      </c>
      <c r="E649" s="1" t="s">
        <v>73</v>
      </c>
      <c r="F649" s="1" t="s">
        <v>60</v>
      </c>
      <c r="G649" s="1" t="s">
        <v>61</v>
      </c>
      <c r="H649" s="1" t="s">
        <v>22</v>
      </c>
      <c r="I649" s="1" t="s">
        <v>65</v>
      </c>
      <c r="L649" s="1">
        <v>2.38845896627E-4</v>
      </c>
    </row>
    <row r="650" spans="4:13">
      <c r="D650" s="1" t="s">
        <v>138</v>
      </c>
      <c r="E650" s="1" t="s">
        <v>74</v>
      </c>
      <c r="F650" s="1" t="s">
        <v>75</v>
      </c>
      <c r="G650" s="1" t="s">
        <v>76</v>
      </c>
      <c r="H650" s="1" t="s">
        <v>22</v>
      </c>
      <c r="I650" s="1" t="s">
        <v>65</v>
      </c>
      <c r="J650" s="1">
        <v>0</v>
      </c>
      <c r="L650" s="1">
        <v>16.018463521800001</v>
      </c>
    </row>
    <row r="651" spans="4:13">
      <c r="D651" s="1" t="s">
        <v>138</v>
      </c>
      <c r="E651" s="1" t="s">
        <v>77</v>
      </c>
      <c r="H651" s="1" t="s">
        <v>22</v>
      </c>
      <c r="I651" s="1" t="s">
        <v>65</v>
      </c>
      <c r="L651" s="1">
        <v>1</v>
      </c>
    </row>
    <row r="652" spans="4:13">
      <c r="D652" s="1" t="s">
        <v>138</v>
      </c>
      <c r="E652" s="1" t="s">
        <v>78</v>
      </c>
      <c r="H652" s="1" t="s">
        <v>25</v>
      </c>
      <c r="I652" s="1" t="s">
        <v>23</v>
      </c>
      <c r="M652" s="1" t="b">
        <v>0</v>
      </c>
    </row>
    <row r="653" spans="4:13">
      <c r="D653" s="1" t="s">
        <v>138</v>
      </c>
      <c r="E653" s="1" t="s">
        <v>79</v>
      </c>
      <c r="F653" s="1" t="s">
        <v>75</v>
      </c>
      <c r="G653" s="1" t="s">
        <v>76</v>
      </c>
      <c r="H653" s="1" t="s">
        <v>22</v>
      </c>
      <c r="I653" s="1" t="s">
        <v>23</v>
      </c>
      <c r="J653" s="1">
        <v>0</v>
      </c>
      <c r="K653" s="1">
        <v>96.110781130800007</v>
      </c>
      <c r="L653" s="1">
        <v>16.018463521800001</v>
      </c>
      <c r="M653" s="1">
        <v>1.6018463521800002</v>
      </c>
    </row>
    <row r="654" spans="4:13">
      <c r="D654" s="1" t="s">
        <v>138</v>
      </c>
      <c r="E654" s="1" t="s">
        <v>80</v>
      </c>
      <c r="H654" s="1" t="s">
        <v>25</v>
      </c>
      <c r="I654" s="1" t="s">
        <v>23</v>
      </c>
      <c r="M654" s="1" t="b">
        <v>0</v>
      </c>
    </row>
    <row r="655" spans="4:13">
      <c r="D655" s="1" t="s">
        <v>138</v>
      </c>
      <c r="E655" s="1" t="s">
        <v>81</v>
      </c>
      <c r="H655" s="1" t="s">
        <v>25</v>
      </c>
      <c r="I655" s="1" t="s">
        <v>23</v>
      </c>
      <c r="M655" s="1" t="b">
        <v>0</v>
      </c>
    </row>
    <row r="656" spans="4:13">
      <c r="D656" s="1" t="s">
        <v>138</v>
      </c>
      <c r="E656" s="1" t="s">
        <v>82</v>
      </c>
      <c r="H656" s="1" t="s">
        <v>22</v>
      </c>
      <c r="I656" s="1" t="s">
        <v>23</v>
      </c>
      <c r="J656" s="1">
        <v>-1</v>
      </c>
      <c r="K656" s="1">
        <v>3</v>
      </c>
      <c r="L656" s="1">
        <v>1</v>
      </c>
      <c r="M656" s="1">
        <v>1.01</v>
      </c>
    </row>
    <row r="657" spans="2:18">
      <c r="D657" s="1" t="s">
        <v>139</v>
      </c>
      <c r="E657" s="1" t="s">
        <v>99</v>
      </c>
      <c r="H657" s="1" t="s">
        <v>25</v>
      </c>
      <c r="I657" s="1" t="s">
        <v>23</v>
      </c>
      <c r="M657" s="1" t="b">
        <v>0</v>
      </c>
    </row>
    <row r="658" spans="2:18">
      <c r="D658" s="1" t="s">
        <v>139</v>
      </c>
      <c r="E658" s="1" t="s">
        <v>100</v>
      </c>
      <c r="H658" s="1" t="s">
        <v>22</v>
      </c>
      <c r="I658" s="1" t="s">
        <v>23</v>
      </c>
      <c r="L658" s="1">
        <v>1</v>
      </c>
      <c r="M658" s="1">
        <v>100</v>
      </c>
    </row>
    <row r="659" spans="2:18">
      <c r="D659" s="1" t="s">
        <v>139</v>
      </c>
      <c r="E659" s="1" t="s">
        <v>101</v>
      </c>
      <c r="H659" s="1" t="s">
        <v>22</v>
      </c>
      <c r="I659" s="1" t="s">
        <v>23</v>
      </c>
      <c r="L659" s="1">
        <v>1</v>
      </c>
      <c r="M659" s="1">
        <v>0</v>
      </c>
    </row>
    <row r="660" spans="2:18">
      <c r="D660" s="1" t="s">
        <v>139</v>
      </c>
      <c r="E660" s="1" t="s">
        <v>102</v>
      </c>
      <c r="H660" s="1" t="s">
        <v>22</v>
      </c>
      <c r="I660" s="1" t="s">
        <v>23</v>
      </c>
      <c r="L660" s="1">
        <v>1</v>
      </c>
      <c r="M660" s="1">
        <v>20</v>
      </c>
    </row>
    <row r="661" spans="2:18">
      <c r="D661" s="1" t="s">
        <v>139</v>
      </c>
      <c r="E661" s="1" t="s">
        <v>103</v>
      </c>
      <c r="H661" s="1" t="s">
        <v>22</v>
      </c>
      <c r="I661" s="1" t="s">
        <v>29</v>
      </c>
      <c r="J661" s="1">
        <v>0</v>
      </c>
      <c r="K661" s="1">
        <v>100</v>
      </c>
      <c r="L661" s="1">
        <v>50</v>
      </c>
    </row>
    <row r="662" spans="2:18">
      <c r="D662" s="1" t="s">
        <v>140</v>
      </c>
      <c r="H662" s="1" t="s">
        <v>22</v>
      </c>
      <c r="I662" s="1" t="s">
        <v>23</v>
      </c>
      <c r="L662" s="1">
        <v>1</v>
      </c>
      <c r="M662" s="1">
        <v>0.55000000000000004</v>
      </c>
    </row>
    <row r="663" spans="2:18">
      <c r="B663" s="3" t="s">
        <v>1705</v>
      </c>
      <c r="D663" s="1" t="s">
        <v>141</v>
      </c>
      <c r="E663" s="1" t="s">
        <v>142</v>
      </c>
      <c r="F663" s="1" t="s">
        <v>143</v>
      </c>
      <c r="G663" s="1" t="s">
        <v>144</v>
      </c>
      <c r="H663" s="1" t="s">
        <v>22</v>
      </c>
      <c r="I663" s="1" t="s">
        <v>23</v>
      </c>
      <c r="L663" s="1">
        <v>5.6782633429906824</v>
      </c>
      <c r="M663" s="1">
        <v>2.5000000000000001E-4</v>
      </c>
      <c r="O663" s="1">
        <v>2.4984358709159E-4</v>
      </c>
      <c r="P663" s="1">
        <v>2.4984358709159E-4</v>
      </c>
      <c r="Q663" s="1">
        <v>2.4984358709159E-4</v>
      </c>
      <c r="R663" s="1">
        <v>2.4984358709159E-4</v>
      </c>
    </row>
    <row r="664" spans="2:18">
      <c r="B664" s="3" t="s">
        <v>1705</v>
      </c>
      <c r="D664" s="1" t="s">
        <v>141</v>
      </c>
      <c r="E664" s="1" t="s">
        <v>145</v>
      </c>
      <c r="F664" s="1" t="s">
        <v>143</v>
      </c>
      <c r="G664" s="1" t="s">
        <v>144</v>
      </c>
      <c r="H664" s="1" t="s">
        <v>22</v>
      </c>
      <c r="I664" s="1" t="s">
        <v>23</v>
      </c>
      <c r="L664" s="1">
        <v>5.6782633429906824</v>
      </c>
      <c r="M664" s="1">
        <v>9.9999999999999978E-5</v>
      </c>
      <c r="O664" s="1">
        <v>1.0220874017383228E-4</v>
      </c>
      <c r="P664" s="1">
        <v>1.0220874017383228E-4</v>
      </c>
      <c r="Q664" s="1">
        <v>1.0220874017383228E-4</v>
      </c>
      <c r="R664" s="1">
        <v>1.0220874017383228E-4</v>
      </c>
    </row>
    <row r="665" spans="2:18">
      <c r="B665" s="3" t="s">
        <v>1705</v>
      </c>
      <c r="D665" s="1" t="s">
        <v>141</v>
      </c>
      <c r="E665" s="1" t="s">
        <v>146</v>
      </c>
      <c r="F665" s="1" t="s">
        <v>147</v>
      </c>
      <c r="G665" s="1" t="s">
        <v>148</v>
      </c>
      <c r="H665" s="1" t="s">
        <v>22</v>
      </c>
      <c r="I665" s="1" t="s">
        <v>23</v>
      </c>
      <c r="L665" s="1">
        <v>3.4121416351331</v>
      </c>
      <c r="M665" s="1">
        <v>10799836.354944</v>
      </c>
      <c r="P665" s="1">
        <f>O2680*0.75</f>
        <v>0</v>
      </c>
      <c r="Q665" s="1">
        <f>O2680*0.5</f>
        <v>0</v>
      </c>
      <c r="R665" s="1">
        <f>O2680*0.25</f>
        <v>0</v>
      </c>
    </row>
    <row r="666" spans="2:18">
      <c r="D666" s="1" t="s">
        <v>141</v>
      </c>
      <c r="E666" s="1" t="s">
        <v>149</v>
      </c>
      <c r="H666" s="1" t="s">
        <v>150</v>
      </c>
      <c r="I666" s="1" t="s">
        <v>23</v>
      </c>
      <c r="M666" s="1" t="s">
        <v>151</v>
      </c>
    </row>
    <row r="667" spans="2:18">
      <c r="D667" s="1" t="s">
        <v>141</v>
      </c>
      <c r="E667" s="1" t="s">
        <v>152</v>
      </c>
      <c r="H667" s="1" t="s">
        <v>150</v>
      </c>
      <c r="I667" s="1" t="s">
        <v>23</v>
      </c>
      <c r="M667" s="1" t="s">
        <v>153</v>
      </c>
    </row>
    <row r="668" spans="2:18">
      <c r="D668" s="1" t="s">
        <v>141</v>
      </c>
      <c r="E668" s="1" t="s">
        <v>154</v>
      </c>
      <c r="H668" s="1" t="s">
        <v>150</v>
      </c>
      <c r="I668" s="1" t="s">
        <v>23</v>
      </c>
      <c r="M668" s="1" t="s">
        <v>155</v>
      </c>
    </row>
    <row r="669" spans="2:18">
      <c r="D669" s="1" t="s">
        <v>141</v>
      </c>
      <c r="E669" s="1" t="s">
        <v>156</v>
      </c>
      <c r="H669" s="1" t="s">
        <v>150</v>
      </c>
      <c r="I669" s="1" t="s">
        <v>23</v>
      </c>
      <c r="M669" s="1" t="s">
        <v>157</v>
      </c>
    </row>
    <row r="670" spans="2:18">
      <c r="B670" s="3" t="s">
        <v>1705</v>
      </c>
      <c r="D670" s="1" t="s">
        <v>151</v>
      </c>
      <c r="E670" s="1" t="s">
        <v>33</v>
      </c>
      <c r="H670" s="1" t="s">
        <v>25</v>
      </c>
      <c r="I670" s="1" t="s">
        <v>23</v>
      </c>
      <c r="M670" s="1" t="b">
        <v>1</v>
      </c>
      <c r="O670" s="1" t="b">
        <v>1</v>
      </c>
      <c r="P670" s="1" t="b">
        <v>0</v>
      </c>
      <c r="Q670" s="1" t="b">
        <v>0</v>
      </c>
      <c r="R670" s="1" t="b">
        <v>0</v>
      </c>
    </row>
    <row r="671" spans="2:18">
      <c r="D671" s="1" t="s">
        <v>151</v>
      </c>
      <c r="E671" s="1" t="s">
        <v>158</v>
      </c>
      <c r="H671" s="1" t="s">
        <v>22</v>
      </c>
      <c r="I671" s="1" t="s">
        <v>29</v>
      </c>
      <c r="J671" s="1">
        <v>238.14</v>
      </c>
      <c r="K671" s="1">
        <v>398.15</v>
      </c>
      <c r="L671" s="1">
        <v>300</v>
      </c>
    </row>
    <row r="672" spans="2:18">
      <c r="B672" s="3" t="s">
        <v>1705</v>
      </c>
      <c r="D672" s="1" t="s">
        <v>151</v>
      </c>
      <c r="E672" s="1" t="s">
        <v>34</v>
      </c>
      <c r="F672" s="1" t="s">
        <v>35</v>
      </c>
      <c r="G672" s="1" t="s">
        <v>36</v>
      </c>
      <c r="H672" s="1" t="s">
        <v>22</v>
      </c>
      <c r="I672" s="1" t="s">
        <v>23</v>
      </c>
      <c r="J672" s="1">
        <v>-99.670000000000016</v>
      </c>
      <c r="K672" s="1">
        <v>980.32999999999993</v>
      </c>
      <c r="L672" s="1">
        <v>80.329999999999984</v>
      </c>
      <c r="M672" s="1">
        <v>94.299999999997965</v>
      </c>
      <c r="O672" s="1">
        <v>94.999999999999943</v>
      </c>
    </row>
    <row r="673" spans="4:13">
      <c r="D673" s="1" t="s">
        <v>151</v>
      </c>
      <c r="E673" s="1" t="s">
        <v>159</v>
      </c>
      <c r="H673" s="1" t="s">
        <v>25</v>
      </c>
      <c r="I673" s="1" t="s">
        <v>23</v>
      </c>
      <c r="M673" s="1" t="b">
        <v>0</v>
      </c>
    </row>
    <row r="674" spans="4:13">
      <c r="D674" s="1" t="s">
        <v>151</v>
      </c>
      <c r="E674" s="1" t="s">
        <v>160</v>
      </c>
      <c r="F674" s="1" t="s">
        <v>161</v>
      </c>
      <c r="G674" s="1" t="s">
        <v>162</v>
      </c>
      <c r="H674" s="1" t="s">
        <v>22</v>
      </c>
      <c r="I674" s="1" t="s">
        <v>23</v>
      </c>
      <c r="J674" s="1">
        <v>0</v>
      </c>
      <c r="K674" s="1">
        <v>9510193342.230648</v>
      </c>
      <c r="L674" s="1">
        <v>15850.322237051079</v>
      </c>
      <c r="M674" s="1">
        <v>1585.032223705108</v>
      </c>
    </row>
    <row r="675" spans="4:13">
      <c r="D675" s="1" t="s">
        <v>151</v>
      </c>
      <c r="E675" s="1" t="s">
        <v>163</v>
      </c>
      <c r="H675" s="1" t="s">
        <v>22</v>
      </c>
      <c r="I675" s="1" t="s">
        <v>23</v>
      </c>
      <c r="J675" s="1">
        <v>0</v>
      </c>
      <c r="K675" s="1">
        <v>1</v>
      </c>
      <c r="L675" s="1">
        <v>0.1</v>
      </c>
      <c r="M675" s="1">
        <v>0.2</v>
      </c>
    </row>
    <row r="676" spans="4:13">
      <c r="D676" s="1" t="s">
        <v>151</v>
      </c>
      <c r="E676" s="1" t="s">
        <v>164</v>
      </c>
      <c r="F676" s="1" t="s">
        <v>35</v>
      </c>
      <c r="G676" s="1" t="s">
        <v>36</v>
      </c>
      <c r="H676" s="1" t="s">
        <v>22</v>
      </c>
      <c r="I676" s="1" t="s">
        <v>29</v>
      </c>
      <c r="J676" s="1">
        <v>-31.018000000000029</v>
      </c>
      <c r="K676" s="1">
        <v>256.99999999999994</v>
      </c>
      <c r="L676" s="1">
        <v>80.329999999999984</v>
      </c>
    </row>
    <row r="677" spans="4:13">
      <c r="D677" s="1" t="s">
        <v>151</v>
      </c>
      <c r="E677" s="1" t="s">
        <v>43</v>
      </c>
      <c r="H677" s="1" t="s">
        <v>25</v>
      </c>
      <c r="I677" s="1" t="s">
        <v>23</v>
      </c>
      <c r="M677" s="1" t="b">
        <v>0</v>
      </c>
    </row>
    <row r="678" spans="4:13">
      <c r="D678" s="1" t="s">
        <v>151</v>
      </c>
      <c r="E678" s="1" t="s">
        <v>44</v>
      </c>
      <c r="F678" s="1" t="s">
        <v>45</v>
      </c>
      <c r="G678" s="1" t="s">
        <v>46</v>
      </c>
      <c r="H678" s="1" t="s">
        <v>22</v>
      </c>
      <c r="I678" s="1" t="s">
        <v>23</v>
      </c>
      <c r="J678" s="1">
        <v>-85.984522757427143</v>
      </c>
      <c r="K678" s="1">
        <v>859.84522757427146</v>
      </c>
      <c r="L678" s="1">
        <v>429.92261378713573</v>
      </c>
      <c r="M678" s="1">
        <v>128.97678413614071</v>
      </c>
    </row>
    <row r="679" spans="4:13">
      <c r="D679" s="1" t="s">
        <v>151</v>
      </c>
      <c r="E679" s="1" t="s">
        <v>47</v>
      </c>
      <c r="H679" s="1" t="s">
        <v>25</v>
      </c>
      <c r="I679" s="1" t="s">
        <v>23</v>
      </c>
      <c r="M679" s="1" t="b">
        <v>0</v>
      </c>
    </row>
    <row r="680" spans="4:13">
      <c r="D680" s="1" t="s">
        <v>151</v>
      </c>
      <c r="E680" s="1" t="s">
        <v>54</v>
      </c>
      <c r="H680" s="1" t="s">
        <v>25</v>
      </c>
      <c r="I680" s="1" t="s">
        <v>23</v>
      </c>
      <c r="M680" s="1" t="b">
        <v>1</v>
      </c>
    </row>
    <row r="681" spans="4:13">
      <c r="D681" s="1" t="s">
        <v>151</v>
      </c>
      <c r="E681" s="1" t="s">
        <v>165</v>
      </c>
      <c r="H681" s="1" t="s">
        <v>22</v>
      </c>
      <c r="I681" s="1" t="s">
        <v>29</v>
      </c>
      <c r="J681" s="1">
        <v>1000</v>
      </c>
      <c r="K681" s="1">
        <v>10000000</v>
      </c>
      <c r="L681" s="1">
        <v>100000</v>
      </c>
    </row>
    <row r="682" spans="4:13">
      <c r="D682" s="1" t="s">
        <v>151</v>
      </c>
      <c r="E682" s="1" t="s">
        <v>55</v>
      </c>
      <c r="F682" s="1" t="s">
        <v>56</v>
      </c>
      <c r="G682" s="1" t="s">
        <v>57</v>
      </c>
      <c r="H682" s="1" t="s">
        <v>22</v>
      </c>
      <c r="I682" s="1" t="s">
        <v>23</v>
      </c>
      <c r="J682" s="1">
        <v>0</v>
      </c>
      <c r="K682" s="1">
        <v>942.74529524635989</v>
      </c>
      <c r="L682" s="1">
        <v>14.503773773020921</v>
      </c>
      <c r="M682" s="1">
        <v>14.503773773020921</v>
      </c>
    </row>
    <row r="683" spans="4:13">
      <c r="D683" s="1" t="s">
        <v>151</v>
      </c>
      <c r="E683" s="1" t="s">
        <v>58</v>
      </c>
      <c r="H683" s="1" t="s">
        <v>25</v>
      </c>
      <c r="I683" s="1" t="s">
        <v>23</v>
      </c>
      <c r="M683" s="1" t="b">
        <v>0</v>
      </c>
    </row>
    <row r="684" spans="4:13">
      <c r="D684" s="1" t="s">
        <v>151</v>
      </c>
      <c r="E684" s="1" t="s">
        <v>59</v>
      </c>
      <c r="F684" s="1" t="s">
        <v>60</v>
      </c>
      <c r="G684" s="1" t="s">
        <v>61</v>
      </c>
      <c r="H684" s="1" t="s">
        <v>22</v>
      </c>
      <c r="I684" s="1" t="s">
        <v>23</v>
      </c>
      <c r="J684" s="1">
        <v>-0.95538358650800004</v>
      </c>
      <c r="K684" s="1">
        <v>9.5538358650799999</v>
      </c>
      <c r="L684" s="1">
        <v>0.23884589662700001</v>
      </c>
      <c r="M684" s="1">
        <v>0.23884589662700001</v>
      </c>
    </row>
    <row r="685" spans="4:13">
      <c r="D685" s="1" t="s">
        <v>151</v>
      </c>
      <c r="E685" s="1" t="s">
        <v>64</v>
      </c>
      <c r="F685" s="1" t="s">
        <v>35</v>
      </c>
      <c r="G685" s="1" t="s">
        <v>36</v>
      </c>
      <c r="H685" s="1" t="s">
        <v>22</v>
      </c>
      <c r="I685" s="1" t="s">
        <v>65</v>
      </c>
      <c r="J685" s="1">
        <v>-459.67</v>
      </c>
      <c r="L685" s="1">
        <v>80.329999999999984</v>
      </c>
    </row>
    <row r="686" spans="4:13">
      <c r="D686" s="1" t="s">
        <v>151</v>
      </c>
      <c r="E686" s="1" t="s">
        <v>166</v>
      </c>
      <c r="F686" s="1" t="s">
        <v>161</v>
      </c>
      <c r="G686" s="1" t="s">
        <v>162</v>
      </c>
      <c r="H686" s="1" t="s">
        <v>22</v>
      </c>
      <c r="I686" s="1" t="s">
        <v>65</v>
      </c>
      <c r="L686" s="1">
        <v>15850.322237051079</v>
      </c>
    </row>
    <row r="687" spans="4:13">
      <c r="D687" s="1" t="s">
        <v>151</v>
      </c>
      <c r="E687" s="1" t="s">
        <v>68</v>
      </c>
      <c r="F687" s="1" t="s">
        <v>45</v>
      </c>
      <c r="G687" s="1" t="s">
        <v>46</v>
      </c>
      <c r="H687" s="1" t="s">
        <v>22</v>
      </c>
      <c r="I687" s="1" t="s">
        <v>65</v>
      </c>
      <c r="L687" s="1">
        <v>4.2992261378713571E-4</v>
      </c>
    </row>
    <row r="688" spans="4:13">
      <c r="D688" s="1" t="s">
        <v>151</v>
      </c>
      <c r="E688" s="1" t="s">
        <v>69</v>
      </c>
      <c r="H688" s="1" t="s">
        <v>25</v>
      </c>
      <c r="I688" s="1" t="s">
        <v>70</v>
      </c>
    </row>
    <row r="689" spans="2:18">
      <c r="D689" s="1" t="s">
        <v>151</v>
      </c>
      <c r="E689" s="1" t="s">
        <v>72</v>
      </c>
      <c r="F689" s="1" t="s">
        <v>56</v>
      </c>
      <c r="G689" s="1" t="s">
        <v>57</v>
      </c>
      <c r="H689" s="1" t="s">
        <v>22</v>
      </c>
      <c r="I689" s="1" t="s">
        <v>65</v>
      </c>
      <c r="J689" s="1">
        <v>0</v>
      </c>
      <c r="L689" s="1">
        <v>14.503773773020921</v>
      </c>
    </row>
    <row r="690" spans="2:18">
      <c r="D690" s="1" t="s">
        <v>151</v>
      </c>
      <c r="E690" s="1" t="s">
        <v>73</v>
      </c>
      <c r="F690" s="1" t="s">
        <v>60</v>
      </c>
      <c r="G690" s="1" t="s">
        <v>61</v>
      </c>
      <c r="H690" s="1" t="s">
        <v>22</v>
      </c>
      <c r="I690" s="1" t="s">
        <v>65</v>
      </c>
      <c r="L690" s="1">
        <v>2.38845896627E-4</v>
      </c>
    </row>
    <row r="691" spans="2:18">
      <c r="D691" s="1" t="s">
        <v>151</v>
      </c>
      <c r="E691" s="1" t="s">
        <v>74</v>
      </c>
      <c r="F691" s="1" t="s">
        <v>75</v>
      </c>
      <c r="G691" s="1" t="s">
        <v>76</v>
      </c>
      <c r="H691" s="1" t="s">
        <v>22</v>
      </c>
      <c r="I691" s="1" t="s">
        <v>65</v>
      </c>
      <c r="J691" s="1">
        <v>0</v>
      </c>
      <c r="L691" s="1">
        <v>16.018463521800001</v>
      </c>
    </row>
    <row r="692" spans="2:18">
      <c r="D692" s="1" t="s">
        <v>151</v>
      </c>
      <c r="E692" s="1" t="s">
        <v>78</v>
      </c>
      <c r="H692" s="1" t="s">
        <v>25</v>
      </c>
      <c r="I692" s="1" t="s">
        <v>23</v>
      </c>
      <c r="M692" s="1" t="b">
        <v>0</v>
      </c>
    </row>
    <row r="693" spans="2:18">
      <c r="D693" s="1" t="s">
        <v>151</v>
      </c>
      <c r="E693" s="1" t="s">
        <v>79</v>
      </c>
      <c r="F693" s="1" t="s">
        <v>75</v>
      </c>
      <c r="G693" s="1" t="s">
        <v>76</v>
      </c>
      <c r="H693" s="1" t="s">
        <v>22</v>
      </c>
      <c r="I693" s="1" t="s">
        <v>23</v>
      </c>
      <c r="J693" s="1">
        <v>0</v>
      </c>
      <c r="K693" s="1">
        <v>0.96110781130800005</v>
      </c>
      <c r="L693" s="1">
        <v>16.018463521800001</v>
      </c>
      <c r="M693" s="1">
        <v>1.6018463521800002</v>
      </c>
    </row>
    <row r="694" spans="2:18">
      <c r="B694" s="3" t="s">
        <v>1705</v>
      </c>
      <c r="D694" s="1" t="s">
        <v>153</v>
      </c>
      <c r="E694" s="1" t="s">
        <v>33</v>
      </c>
      <c r="H694" s="1" t="s">
        <v>25</v>
      </c>
      <c r="I694" s="1" t="s">
        <v>23</v>
      </c>
      <c r="M694" s="1" t="b">
        <v>1</v>
      </c>
      <c r="O694" s="1" t="b">
        <v>1</v>
      </c>
      <c r="P694" s="1" t="b">
        <v>1</v>
      </c>
      <c r="Q694" s="1" t="b">
        <v>1</v>
      </c>
      <c r="R694" s="1" t="b">
        <v>1</v>
      </c>
    </row>
    <row r="695" spans="2:18">
      <c r="D695" s="1" t="s">
        <v>153</v>
      </c>
      <c r="E695" s="1" t="s">
        <v>158</v>
      </c>
      <c r="H695" s="1" t="s">
        <v>22</v>
      </c>
      <c r="I695" s="1" t="s">
        <v>29</v>
      </c>
      <c r="J695" s="1">
        <v>238.14</v>
      </c>
      <c r="K695" s="1">
        <v>398.15</v>
      </c>
      <c r="L695" s="1">
        <v>300</v>
      </c>
    </row>
    <row r="696" spans="2:18">
      <c r="B696" s="3" t="s">
        <v>1705</v>
      </c>
      <c r="D696" s="1" t="s">
        <v>153</v>
      </c>
      <c r="E696" s="1" t="s">
        <v>34</v>
      </c>
      <c r="F696" s="1" t="s">
        <v>35</v>
      </c>
      <c r="G696" s="1" t="s">
        <v>36</v>
      </c>
      <c r="H696" s="1" t="s">
        <v>22</v>
      </c>
      <c r="I696" s="1" t="s">
        <v>23</v>
      </c>
      <c r="J696" s="1">
        <v>-99.670000000000016</v>
      </c>
      <c r="K696" s="1">
        <v>980.32999999999993</v>
      </c>
      <c r="L696" s="1">
        <v>80.329999999999984</v>
      </c>
      <c r="M696" s="1">
        <v>44.000000000006025</v>
      </c>
      <c r="O696" s="1">
        <v>44.599999999999966</v>
      </c>
      <c r="P696" s="1">
        <v>44.599999999999966</v>
      </c>
      <c r="Q696" s="1">
        <v>44.599999999999966</v>
      </c>
      <c r="R696" s="1">
        <v>44.599999999999966</v>
      </c>
    </row>
    <row r="697" spans="2:18">
      <c r="D697" s="1" t="s">
        <v>153</v>
      </c>
      <c r="E697" s="1" t="s">
        <v>159</v>
      </c>
      <c r="H697" s="1" t="s">
        <v>25</v>
      </c>
      <c r="I697" s="1" t="s">
        <v>23</v>
      </c>
      <c r="M697" s="1" t="b">
        <v>0</v>
      </c>
    </row>
    <row r="698" spans="2:18">
      <c r="D698" s="1" t="s">
        <v>153</v>
      </c>
      <c r="E698" s="1" t="s">
        <v>160</v>
      </c>
      <c r="F698" s="1" t="s">
        <v>161</v>
      </c>
      <c r="G698" s="1" t="s">
        <v>162</v>
      </c>
      <c r="H698" s="1" t="s">
        <v>22</v>
      </c>
      <c r="I698" s="1" t="s">
        <v>23</v>
      </c>
      <c r="J698" s="1">
        <v>0</v>
      </c>
      <c r="K698" s="1">
        <v>9510193342.230648</v>
      </c>
      <c r="L698" s="1">
        <v>15850.322237051079</v>
      </c>
      <c r="M698" s="1">
        <v>1585.032223705108</v>
      </c>
    </row>
    <row r="699" spans="2:18">
      <c r="D699" s="1" t="s">
        <v>153</v>
      </c>
      <c r="E699" s="1" t="s">
        <v>163</v>
      </c>
      <c r="H699" s="1" t="s">
        <v>22</v>
      </c>
      <c r="I699" s="1" t="s">
        <v>23</v>
      </c>
      <c r="J699" s="1">
        <v>0</v>
      </c>
      <c r="K699" s="1">
        <v>1</v>
      </c>
      <c r="L699" s="1">
        <v>0.1</v>
      </c>
      <c r="M699" s="1">
        <v>0.2</v>
      </c>
    </row>
    <row r="700" spans="2:18">
      <c r="D700" s="1" t="s">
        <v>153</v>
      </c>
      <c r="E700" s="1" t="s">
        <v>164</v>
      </c>
      <c r="F700" s="1" t="s">
        <v>35</v>
      </c>
      <c r="G700" s="1" t="s">
        <v>36</v>
      </c>
      <c r="H700" s="1" t="s">
        <v>22</v>
      </c>
      <c r="I700" s="1" t="s">
        <v>29</v>
      </c>
      <c r="J700" s="1">
        <v>-31.018000000000029</v>
      </c>
      <c r="K700" s="1">
        <v>256.99999999999994</v>
      </c>
      <c r="L700" s="1">
        <v>80.329999999999984</v>
      </c>
    </row>
    <row r="701" spans="2:18">
      <c r="D701" s="1" t="s">
        <v>153</v>
      </c>
      <c r="E701" s="1" t="s">
        <v>43</v>
      </c>
      <c r="H701" s="1" t="s">
        <v>25</v>
      </c>
      <c r="I701" s="1" t="s">
        <v>23</v>
      </c>
      <c r="M701" s="1" t="b">
        <v>0</v>
      </c>
    </row>
    <row r="702" spans="2:18">
      <c r="D702" s="1" t="s">
        <v>153</v>
      </c>
      <c r="E702" s="1" t="s">
        <v>44</v>
      </c>
      <c r="F702" s="1" t="s">
        <v>45</v>
      </c>
      <c r="G702" s="1" t="s">
        <v>46</v>
      </c>
      <c r="H702" s="1" t="s">
        <v>22</v>
      </c>
      <c r="I702" s="1" t="s">
        <v>23</v>
      </c>
      <c r="J702" s="1">
        <v>-85.984522757427143</v>
      </c>
      <c r="K702" s="1">
        <v>859.84522757427146</v>
      </c>
      <c r="L702" s="1">
        <v>429.92261378713573</v>
      </c>
      <c r="M702" s="1">
        <v>128.97678413614071</v>
      </c>
    </row>
    <row r="703" spans="2:18">
      <c r="D703" s="1" t="s">
        <v>153</v>
      </c>
      <c r="E703" s="1" t="s">
        <v>47</v>
      </c>
      <c r="H703" s="1" t="s">
        <v>25</v>
      </c>
      <c r="I703" s="1" t="s">
        <v>23</v>
      </c>
      <c r="M703" s="1" t="b">
        <v>0</v>
      </c>
    </row>
    <row r="704" spans="2:18">
      <c r="D704" s="1" t="s">
        <v>153</v>
      </c>
      <c r="E704" s="1" t="s">
        <v>54</v>
      </c>
      <c r="H704" s="1" t="s">
        <v>25</v>
      </c>
      <c r="I704" s="1" t="s">
        <v>23</v>
      </c>
      <c r="M704" s="1" t="b">
        <v>1</v>
      </c>
    </row>
    <row r="705" spans="2:18">
      <c r="D705" s="1" t="s">
        <v>153</v>
      </c>
      <c r="E705" s="1" t="s">
        <v>165</v>
      </c>
      <c r="H705" s="1" t="s">
        <v>22</v>
      </c>
      <c r="I705" s="1" t="s">
        <v>29</v>
      </c>
      <c r="J705" s="1">
        <v>1000</v>
      </c>
      <c r="K705" s="1">
        <v>10000000</v>
      </c>
      <c r="L705" s="1">
        <v>100000</v>
      </c>
    </row>
    <row r="706" spans="2:18">
      <c r="D706" s="1" t="s">
        <v>153</v>
      </c>
      <c r="E706" s="1" t="s">
        <v>55</v>
      </c>
      <c r="F706" s="1" t="s">
        <v>56</v>
      </c>
      <c r="G706" s="1" t="s">
        <v>57</v>
      </c>
      <c r="H706" s="1" t="s">
        <v>22</v>
      </c>
      <c r="I706" s="1" t="s">
        <v>23</v>
      </c>
      <c r="J706" s="1">
        <v>0</v>
      </c>
      <c r="K706" s="1">
        <v>942.74529524635989</v>
      </c>
      <c r="L706" s="1">
        <v>14.503773773020921</v>
      </c>
      <c r="M706" s="1">
        <v>14.503773773020921</v>
      </c>
    </row>
    <row r="707" spans="2:18">
      <c r="D707" s="1" t="s">
        <v>153</v>
      </c>
      <c r="E707" s="1" t="s">
        <v>58</v>
      </c>
      <c r="H707" s="1" t="s">
        <v>25</v>
      </c>
      <c r="I707" s="1" t="s">
        <v>23</v>
      </c>
      <c r="M707" s="1" t="b">
        <v>0</v>
      </c>
    </row>
    <row r="708" spans="2:18">
      <c r="D708" s="1" t="s">
        <v>153</v>
      </c>
      <c r="E708" s="1" t="s">
        <v>59</v>
      </c>
      <c r="F708" s="1" t="s">
        <v>60</v>
      </c>
      <c r="G708" s="1" t="s">
        <v>61</v>
      </c>
      <c r="H708" s="1" t="s">
        <v>22</v>
      </c>
      <c r="I708" s="1" t="s">
        <v>23</v>
      </c>
      <c r="J708" s="1">
        <v>-0.95538358650800004</v>
      </c>
      <c r="K708" s="1">
        <v>9.5538358650799999</v>
      </c>
      <c r="L708" s="1">
        <v>0.23884589662700001</v>
      </c>
      <c r="M708" s="1">
        <v>0.23884589662700001</v>
      </c>
    </row>
    <row r="709" spans="2:18">
      <c r="D709" s="1" t="s">
        <v>153</v>
      </c>
      <c r="E709" s="1" t="s">
        <v>64</v>
      </c>
      <c r="F709" s="1" t="s">
        <v>35</v>
      </c>
      <c r="G709" s="1" t="s">
        <v>36</v>
      </c>
      <c r="H709" s="1" t="s">
        <v>22</v>
      </c>
      <c r="I709" s="1" t="s">
        <v>65</v>
      </c>
      <c r="J709" s="1">
        <v>-459.67</v>
      </c>
      <c r="L709" s="1">
        <v>80.329999999999984</v>
      </c>
    </row>
    <row r="710" spans="2:18">
      <c r="D710" s="1" t="s">
        <v>153</v>
      </c>
      <c r="E710" s="1" t="s">
        <v>166</v>
      </c>
      <c r="F710" s="1" t="s">
        <v>161</v>
      </c>
      <c r="G710" s="1" t="s">
        <v>162</v>
      </c>
      <c r="H710" s="1" t="s">
        <v>22</v>
      </c>
      <c r="I710" s="1" t="s">
        <v>65</v>
      </c>
      <c r="L710" s="1">
        <v>15850.322237051079</v>
      </c>
    </row>
    <row r="711" spans="2:18">
      <c r="D711" s="1" t="s">
        <v>153</v>
      </c>
      <c r="E711" s="1" t="s">
        <v>68</v>
      </c>
      <c r="F711" s="1" t="s">
        <v>45</v>
      </c>
      <c r="G711" s="1" t="s">
        <v>46</v>
      </c>
      <c r="H711" s="1" t="s">
        <v>22</v>
      </c>
      <c r="I711" s="1" t="s">
        <v>65</v>
      </c>
      <c r="L711" s="1">
        <v>4.2992261378713571E-4</v>
      </c>
    </row>
    <row r="712" spans="2:18">
      <c r="D712" s="1" t="s">
        <v>153</v>
      </c>
      <c r="E712" s="1" t="s">
        <v>69</v>
      </c>
      <c r="H712" s="1" t="s">
        <v>25</v>
      </c>
      <c r="I712" s="1" t="s">
        <v>70</v>
      </c>
    </row>
    <row r="713" spans="2:18">
      <c r="D713" s="1" t="s">
        <v>153</v>
      </c>
      <c r="E713" s="1" t="s">
        <v>72</v>
      </c>
      <c r="F713" s="1" t="s">
        <v>56</v>
      </c>
      <c r="G713" s="1" t="s">
        <v>57</v>
      </c>
      <c r="H713" s="1" t="s">
        <v>22</v>
      </c>
      <c r="I713" s="1" t="s">
        <v>65</v>
      </c>
      <c r="J713" s="1">
        <v>0</v>
      </c>
      <c r="L713" s="1">
        <v>14.503773773020921</v>
      </c>
    </row>
    <row r="714" spans="2:18">
      <c r="D714" s="1" t="s">
        <v>153</v>
      </c>
      <c r="E714" s="1" t="s">
        <v>73</v>
      </c>
      <c r="F714" s="1" t="s">
        <v>60</v>
      </c>
      <c r="G714" s="1" t="s">
        <v>61</v>
      </c>
      <c r="H714" s="1" t="s">
        <v>22</v>
      </c>
      <c r="I714" s="1" t="s">
        <v>65</v>
      </c>
      <c r="L714" s="1">
        <v>2.38845896627E-4</v>
      </c>
    </row>
    <row r="715" spans="2:18">
      <c r="D715" s="1" t="s">
        <v>153</v>
      </c>
      <c r="E715" s="1" t="s">
        <v>74</v>
      </c>
      <c r="F715" s="1" t="s">
        <v>75</v>
      </c>
      <c r="G715" s="1" t="s">
        <v>76</v>
      </c>
      <c r="H715" s="1" t="s">
        <v>22</v>
      </c>
      <c r="I715" s="1" t="s">
        <v>65</v>
      </c>
      <c r="J715" s="1">
        <v>0</v>
      </c>
      <c r="L715" s="1">
        <v>16.018463521800001</v>
      </c>
    </row>
    <row r="716" spans="2:18">
      <c r="D716" s="1" t="s">
        <v>153</v>
      </c>
      <c r="E716" s="1" t="s">
        <v>78</v>
      </c>
      <c r="H716" s="1" t="s">
        <v>25</v>
      </c>
      <c r="I716" s="1" t="s">
        <v>23</v>
      </c>
      <c r="M716" s="1" t="b">
        <v>0</v>
      </c>
    </row>
    <row r="717" spans="2:18">
      <c r="D717" s="1" t="s">
        <v>153</v>
      </c>
      <c r="E717" s="1" t="s">
        <v>79</v>
      </c>
      <c r="F717" s="1" t="s">
        <v>75</v>
      </c>
      <c r="G717" s="1" t="s">
        <v>76</v>
      </c>
      <c r="H717" s="1" t="s">
        <v>22</v>
      </c>
      <c r="I717" s="1" t="s">
        <v>23</v>
      </c>
      <c r="J717" s="1">
        <v>0</v>
      </c>
      <c r="K717" s="1">
        <v>0.96110781130800005</v>
      </c>
      <c r="L717" s="1">
        <v>16.018463521800001</v>
      </c>
      <c r="M717" s="1">
        <v>1.6018463521800002</v>
      </c>
    </row>
    <row r="718" spans="2:18">
      <c r="B718" s="3" t="s">
        <v>1705</v>
      </c>
      <c r="D718" s="1" t="s">
        <v>155</v>
      </c>
      <c r="E718" s="1" t="s">
        <v>33</v>
      </c>
      <c r="H718" s="1" t="s">
        <v>25</v>
      </c>
      <c r="I718" s="1" t="s">
        <v>23</v>
      </c>
      <c r="M718" s="1" t="b">
        <v>1</v>
      </c>
      <c r="O718" s="1" t="b">
        <v>1</v>
      </c>
      <c r="P718" s="1" t="b">
        <v>1</v>
      </c>
      <c r="Q718" s="1" t="b">
        <v>1</v>
      </c>
      <c r="R718" s="1" t="b">
        <v>1</v>
      </c>
    </row>
    <row r="719" spans="2:18">
      <c r="D719" s="1" t="s">
        <v>155</v>
      </c>
      <c r="E719" s="1" t="s">
        <v>158</v>
      </c>
      <c r="H719" s="1" t="s">
        <v>22</v>
      </c>
      <c r="I719" s="1" t="s">
        <v>29</v>
      </c>
      <c r="J719" s="1">
        <v>238.14</v>
      </c>
      <c r="K719" s="1">
        <v>398.15</v>
      </c>
      <c r="L719" s="1">
        <v>300</v>
      </c>
    </row>
    <row r="720" spans="2:18">
      <c r="B720" s="3" t="s">
        <v>1705</v>
      </c>
      <c r="D720" s="1" t="s">
        <v>155</v>
      </c>
      <c r="E720" s="1" t="s">
        <v>34</v>
      </c>
      <c r="F720" s="1" t="s">
        <v>35</v>
      </c>
      <c r="G720" s="1" t="s">
        <v>36</v>
      </c>
      <c r="H720" s="1" t="s">
        <v>22</v>
      </c>
      <c r="I720" s="1" t="s">
        <v>23</v>
      </c>
      <c r="J720" s="1">
        <v>-99.670000000000016</v>
      </c>
      <c r="K720" s="1">
        <v>980.32999999999993</v>
      </c>
      <c r="L720" s="1">
        <v>80.329999999999984</v>
      </c>
      <c r="M720" s="1">
        <v>84.999999999991985</v>
      </c>
      <c r="O720" s="1">
        <v>85.999999999999943</v>
      </c>
      <c r="P720" s="1">
        <v>76.099999999999966</v>
      </c>
      <c r="Q720" s="1">
        <v>66.199999999999989</v>
      </c>
      <c r="R720" s="1">
        <v>66.199999999999989</v>
      </c>
    </row>
    <row r="721" spans="2:18">
      <c r="B721" s="3" t="s">
        <v>1705</v>
      </c>
      <c r="D721" s="1" t="s">
        <v>155</v>
      </c>
      <c r="E721" s="1" t="s">
        <v>159</v>
      </c>
      <c r="H721" s="1" t="s">
        <v>25</v>
      </c>
      <c r="I721" s="1" t="s">
        <v>23</v>
      </c>
      <c r="M721" s="1" t="b">
        <v>0</v>
      </c>
      <c r="O721" s="1" t="b">
        <v>0</v>
      </c>
      <c r="P721" s="1" t="b">
        <v>1</v>
      </c>
      <c r="Q721" s="1" t="b">
        <v>1</v>
      </c>
      <c r="R721" s="1" t="b">
        <v>1</v>
      </c>
    </row>
    <row r="722" spans="2:18">
      <c r="D722" s="1" t="s">
        <v>155</v>
      </c>
      <c r="E722" s="1" t="s">
        <v>167</v>
      </c>
      <c r="H722" s="1" t="s">
        <v>22</v>
      </c>
      <c r="I722" s="1" t="s">
        <v>29</v>
      </c>
      <c r="J722" s="1">
        <v>9.9999999999999995E-8</v>
      </c>
      <c r="K722" s="1">
        <v>100</v>
      </c>
      <c r="L722" s="1">
        <v>0.2</v>
      </c>
    </row>
    <row r="723" spans="2:18">
      <c r="B723" s="3" t="s">
        <v>1705</v>
      </c>
      <c r="D723" s="1" t="s">
        <v>155</v>
      </c>
      <c r="E723" s="1" t="s">
        <v>160</v>
      </c>
      <c r="F723" s="1" t="s">
        <v>161</v>
      </c>
      <c r="G723" s="1" t="s">
        <v>162</v>
      </c>
      <c r="H723" s="1" t="s">
        <v>22</v>
      </c>
      <c r="I723" s="1" t="s">
        <v>23</v>
      </c>
      <c r="J723" s="1">
        <v>0</v>
      </c>
      <c r="K723" s="1">
        <v>9510193342.230648</v>
      </c>
      <c r="L723" s="1">
        <v>15850.322237051079</v>
      </c>
      <c r="M723" s="1">
        <v>1756.3001068311719</v>
      </c>
      <c r="O723" s="1">
        <v>158.5032223705108</v>
      </c>
      <c r="P723" s="1">
        <f>O734</f>
        <v>0</v>
      </c>
      <c r="Q723" s="1">
        <f>O734</f>
        <v>0</v>
      </c>
      <c r="R723" s="1">
        <f>O734</f>
        <v>0</v>
      </c>
    </row>
    <row r="724" spans="2:18">
      <c r="D724" s="1" t="s">
        <v>155</v>
      </c>
      <c r="E724" s="1" t="s">
        <v>163</v>
      </c>
      <c r="H724" s="1" t="s">
        <v>22</v>
      </c>
      <c r="I724" s="1" t="s">
        <v>23</v>
      </c>
      <c r="J724" s="1">
        <v>0</v>
      </c>
      <c r="K724" s="1">
        <v>1</v>
      </c>
      <c r="L724" s="1">
        <v>0.1</v>
      </c>
      <c r="M724" s="1">
        <v>0.2</v>
      </c>
    </row>
    <row r="725" spans="2:18">
      <c r="D725" s="1" t="s">
        <v>155</v>
      </c>
      <c r="E725" s="1" t="s">
        <v>164</v>
      </c>
      <c r="F725" s="1" t="s">
        <v>35</v>
      </c>
      <c r="G725" s="1" t="s">
        <v>36</v>
      </c>
      <c r="H725" s="1" t="s">
        <v>22</v>
      </c>
      <c r="I725" s="1" t="s">
        <v>29</v>
      </c>
      <c r="J725" s="1">
        <v>-31.018000000000029</v>
      </c>
      <c r="K725" s="1">
        <v>256.99999999999994</v>
      </c>
      <c r="L725" s="1">
        <v>80.329999999999984</v>
      </c>
    </row>
    <row r="726" spans="2:18">
      <c r="D726" s="1" t="s">
        <v>155</v>
      </c>
      <c r="E726" s="1" t="s">
        <v>43</v>
      </c>
      <c r="H726" s="1" t="s">
        <v>25</v>
      </c>
      <c r="I726" s="1" t="s">
        <v>23</v>
      </c>
      <c r="M726" s="1" t="b">
        <v>0</v>
      </c>
    </row>
    <row r="727" spans="2:18">
      <c r="D727" s="1" t="s">
        <v>155</v>
      </c>
      <c r="E727" s="1" t="s">
        <v>44</v>
      </c>
      <c r="F727" s="1" t="s">
        <v>45</v>
      </c>
      <c r="G727" s="1" t="s">
        <v>46</v>
      </c>
      <c r="H727" s="1" t="s">
        <v>22</v>
      </c>
      <c r="I727" s="1" t="s">
        <v>23</v>
      </c>
      <c r="J727" s="1">
        <v>-85.984522757427143</v>
      </c>
      <c r="K727" s="1">
        <v>859.84522757427146</v>
      </c>
      <c r="L727" s="1">
        <v>429.92261378713573</v>
      </c>
      <c r="M727" s="1">
        <v>128.97678413614071</v>
      </c>
    </row>
    <row r="728" spans="2:18">
      <c r="D728" s="1" t="s">
        <v>155</v>
      </c>
      <c r="E728" s="1" t="s">
        <v>47</v>
      </c>
      <c r="H728" s="1" t="s">
        <v>25</v>
      </c>
      <c r="I728" s="1" t="s">
        <v>23</v>
      </c>
      <c r="M728" s="1" t="b">
        <v>0</v>
      </c>
    </row>
    <row r="729" spans="2:18">
      <c r="D729" s="1" t="s">
        <v>155</v>
      </c>
      <c r="E729" s="1" t="s">
        <v>54</v>
      </c>
      <c r="H729" s="1" t="s">
        <v>25</v>
      </c>
      <c r="I729" s="1" t="s">
        <v>23</v>
      </c>
      <c r="M729" s="1" t="b">
        <v>0</v>
      </c>
    </row>
    <row r="730" spans="2:18">
      <c r="D730" s="1" t="s">
        <v>155</v>
      </c>
      <c r="E730" s="1" t="s">
        <v>55</v>
      </c>
      <c r="F730" s="1" t="s">
        <v>56</v>
      </c>
      <c r="G730" s="1" t="s">
        <v>57</v>
      </c>
      <c r="H730" s="1" t="s">
        <v>22</v>
      </c>
      <c r="I730" s="1" t="s">
        <v>23</v>
      </c>
      <c r="J730" s="1">
        <v>0</v>
      </c>
      <c r="K730" s="1">
        <v>942.74529524635989</v>
      </c>
      <c r="L730" s="1">
        <v>14.503773773020921</v>
      </c>
      <c r="M730" s="1">
        <v>39.999998299180966</v>
      </c>
    </row>
    <row r="731" spans="2:18">
      <c r="D731" s="1" t="s">
        <v>155</v>
      </c>
      <c r="E731" s="1" t="s">
        <v>58</v>
      </c>
      <c r="H731" s="1" t="s">
        <v>25</v>
      </c>
      <c r="I731" s="1" t="s">
        <v>23</v>
      </c>
      <c r="M731" s="1" t="b">
        <v>0</v>
      </c>
    </row>
    <row r="732" spans="2:18">
      <c r="D732" s="1" t="s">
        <v>155</v>
      </c>
      <c r="E732" s="1" t="s">
        <v>59</v>
      </c>
      <c r="F732" s="1" t="s">
        <v>60</v>
      </c>
      <c r="G732" s="1" t="s">
        <v>61</v>
      </c>
      <c r="H732" s="1" t="s">
        <v>22</v>
      </c>
      <c r="I732" s="1" t="s">
        <v>23</v>
      </c>
      <c r="J732" s="1">
        <v>-0.95538358650800004</v>
      </c>
      <c r="K732" s="1">
        <v>9.5538358650799999</v>
      </c>
      <c r="L732" s="1">
        <v>0.23884589662700001</v>
      </c>
      <c r="M732" s="1">
        <v>0.23884589662700001</v>
      </c>
    </row>
    <row r="733" spans="2:18">
      <c r="D733" s="1" t="s">
        <v>155</v>
      </c>
      <c r="E733" s="1" t="s">
        <v>64</v>
      </c>
      <c r="F733" s="1" t="s">
        <v>35</v>
      </c>
      <c r="G733" s="1" t="s">
        <v>36</v>
      </c>
      <c r="H733" s="1" t="s">
        <v>22</v>
      </c>
      <c r="I733" s="1" t="s">
        <v>65</v>
      </c>
      <c r="J733" s="1">
        <v>-459.67</v>
      </c>
      <c r="L733" s="1">
        <v>80.329999999999984</v>
      </c>
    </row>
    <row r="734" spans="2:18">
      <c r="B734" s="3" t="s">
        <v>1706</v>
      </c>
      <c r="D734" s="1" t="s">
        <v>155</v>
      </c>
      <c r="E734" s="1" t="s">
        <v>166</v>
      </c>
      <c r="F734" s="1" t="s">
        <v>161</v>
      </c>
      <c r="G734" s="1" t="s">
        <v>162</v>
      </c>
      <c r="H734" s="1" t="s">
        <v>22</v>
      </c>
      <c r="I734" s="1" t="s">
        <v>65</v>
      </c>
      <c r="L734" s="1">
        <v>15850.322237051079</v>
      </c>
    </row>
    <row r="735" spans="2:18">
      <c r="D735" s="1" t="s">
        <v>155</v>
      </c>
      <c r="E735" s="1" t="s">
        <v>68</v>
      </c>
      <c r="F735" s="1" t="s">
        <v>45</v>
      </c>
      <c r="G735" s="1" t="s">
        <v>46</v>
      </c>
      <c r="H735" s="1" t="s">
        <v>22</v>
      </c>
      <c r="I735" s="1" t="s">
        <v>65</v>
      </c>
      <c r="L735" s="1">
        <v>4.2992261378713571E-4</v>
      </c>
    </row>
    <row r="736" spans="2:18">
      <c r="D736" s="1" t="s">
        <v>155</v>
      </c>
      <c r="E736" s="1" t="s">
        <v>69</v>
      </c>
      <c r="H736" s="1" t="s">
        <v>25</v>
      </c>
      <c r="I736" s="1" t="s">
        <v>70</v>
      </c>
    </row>
    <row r="737" spans="2:18">
      <c r="D737" s="1" t="s">
        <v>155</v>
      </c>
      <c r="E737" s="1" t="s">
        <v>72</v>
      </c>
      <c r="F737" s="1" t="s">
        <v>56</v>
      </c>
      <c r="G737" s="1" t="s">
        <v>57</v>
      </c>
      <c r="H737" s="1" t="s">
        <v>22</v>
      </c>
      <c r="I737" s="1" t="s">
        <v>65</v>
      </c>
      <c r="J737" s="1">
        <v>0</v>
      </c>
      <c r="L737" s="1">
        <v>14.503773773020921</v>
      </c>
    </row>
    <row r="738" spans="2:18">
      <c r="D738" s="1" t="s">
        <v>155</v>
      </c>
      <c r="E738" s="1" t="s">
        <v>73</v>
      </c>
      <c r="F738" s="1" t="s">
        <v>60</v>
      </c>
      <c r="G738" s="1" t="s">
        <v>61</v>
      </c>
      <c r="H738" s="1" t="s">
        <v>22</v>
      </c>
      <c r="I738" s="1" t="s">
        <v>65</v>
      </c>
      <c r="L738" s="1">
        <v>2.38845896627E-4</v>
      </c>
    </row>
    <row r="739" spans="2:18">
      <c r="D739" s="1" t="s">
        <v>155</v>
      </c>
      <c r="E739" s="1" t="s">
        <v>74</v>
      </c>
      <c r="F739" s="1" t="s">
        <v>75</v>
      </c>
      <c r="G739" s="1" t="s">
        <v>76</v>
      </c>
      <c r="H739" s="1" t="s">
        <v>22</v>
      </c>
      <c r="I739" s="1" t="s">
        <v>65</v>
      </c>
      <c r="J739" s="1">
        <v>0</v>
      </c>
      <c r="L739" s="1">
        <v>16.018463521800001</v>
      </c>
    </row>
    <row r="740" spans="2:18">
      <c r="D740" s="1" t="s">
        <v>155</v>
      </c>
      <c r="E740" s="1" t="s">
        <v>78</v>
      </c>
      <c r="H740" s="1" t="s">
        <v>25</v>
      </c>
      <c r="I740" s="1" t="s">
        <v>23</v>
      </c>
      <c r="M740" s="1" t="b">
        <v>0</v>
      </c>
    </row>
    <row r="741" spans="2:18">
      <c r="D741" s="1" t="s">
        <v>155</v>
      </c>
      <c r="E741" s="1" t="s">
        <v>79</v>
      </c>
      <c r="F741" s="1" t="s">
        <v>75</v>
      </c>
      <c r="G741" s="1" t="s">
        <v>76</v>
      </c>
      <c r="H741" s="1" t="s">
        <v>22</v>
      </c>
      <c r="I741" s="1" t="s">
        <v>23</v>
      </c>
      <c r="J741" s="1">
        <v>0</v>
      </c>
      <c r="K741" s="1">
        <v>0.96110781130800005</v>
      </c>
      <c r="L741" s="1">
        <v>16.018463521800001</v>
      </c>
      <c r="M741" s="1">
        <v>1.6018463521800003E-2</v>
      </c>
    </row>
    <row r="742" spans="2:18">
      <c r="B742" s="3" t="s">
        <v>1705</v>
      </c>
      <c r="D742" s="1" t="s">
        <v>157</v>
      </c>
      <c r="E742" s="1" t="s">
        <v>33</v>
      </c>
      <c r="H742" s="1" t="s">
        <v>25</v>
      </c>
      <c r="I742" s="1" t="s">
        <v>23</v>
      </c>
      <c r="M742" s="1" t="b">
        <v>1</v>
      </c>
      <c r="O742" s="1" t="b">
        <v>1</v>
      </c>
      <c r="P742" s="1" t="b">
        <v>0</v>
      </c>
      <c r="Q742" s="1" t="b">
        <v>0</v>
      </c>
      <c r="R742" s="1" t="b">
        <v>0</v>
      </c>
    </row>
    <row r="743" spans="2:18">
      <c r="D743" s="1" t="s">
        <v>157</v>
      </c>
      <c r="E743" s="1" t="s">
        <v>158</v>
      </c>
      <c r="H743" s="1" t="s">
        <v>22</v>
      </c>
      <c r="I743" s="1" t="s">
        <v>29</v>
      </c>
      <c r="J743" s="1">
        <v>238.14</v>
      </c>
      <c r="K743" s="1">
        <v>398.15</v>
      </c>
      <c r="L743" s="1">
        <v>300</v>
      </c>
    </row>
    <row r="744" spans="2:18">
      <c r="B744" s="3" t="s">
        <v>1705</v>
      </c>
      <c r="D744" s="1" t="s">
        <v>157</v>
      </c>
      <c r="E744" s="1" t="s">
        <v>34</v>
      </c>
      <c r="F744" s="1" t="s">
        <v>35</v>
      </c>
      <c r="G744" s="1" t="s">
        <v>36</v>
      </c>
      <c r="H744" s="1" t="s">
        <v>22</v>
      </c>
      <c r="I744" s="1" t="s">
        <v>23</v>
      </c>
      <c r="J744" s="1">
        <v>-99.670000000000016</v>
      </c>
      <c r="K744" s="1">
        <v>980.32999999999993</v>
      </c>
      <c r="L744" s="1">
        <v>80.329999999999984</v>
      </c>
      <c r="M744" s="1">
        <v>53.999999999995964</v>
      </c>
      <c r="O744" s="1">
        <v>53.599999999999966</v>
      </c>
    </row>
    <row r="745" spans="2:18">
      <c r="B745" s="3" t="s">
        <v>1705</v>
      </c>
      <c r="D745" s="1" t="s">
        <v>157</v>
      </c>
      <c r="E745" s="1" t="s">
        <v>159</v>
      </c>
      <c r="H745" s="1" t="s">
        <v>25</v>
      </c>
      <c r="I745" s="1" t="s">
        <v>23</v>
      </c>
      <c r="M745" s="1" t="b">
        <v>0</v>
      </c>
      <c r="O745" s="1" t="b">
        <v>0</v>
      </c>
      <c r="P745" s="1" t="b">
        <v>1</v>
      </c>
      <c r="Q745" s="1" t="b">
        <v>1</v>
      </c>
      <c r="R745" s="1" t="b">
        <v>1</v>
      </c>
    </row>
    <row r="746" spans="2:18">
      <c r="D746" s="1" t="s">
        <v>157</v>
      </c>
      <c r="E746" s="1" t="s">
        <v>167</v>
      </c>
      <c r="H746" s="1" t="s">
        <v>22</v>
      </c>
      <c r="I746" s="1" t="s">
        <v>29</v>
      </c>
      <c r="J746" s="1">
        <v>9.9999999999999995E-8</v>
      </c>
      <c r="K746" s="1">
        <v>100</v>
      </c>
      <c r="L746" s="1">
        <v>0.2</v>
      </c>
    </row>
    <row r="747" spans="2:18">
      <c r="B747" s="3" t="s">
        <v>1705</v>
      </c>
      <c r="D747" s="1" t="s">
        <v>157</v>
      </c>
      <c r="E747" s="1" t="s">
        <v>160</v>
      </c>
      <c r="F747" s="1" t="s">
        <v>161</v>
      </c>
      <c r="G747" s="1" t="s">
        <v>162</v>
      </c>
      <c r="H747" s="1" t="s">
        <v>22</v>
      </c>
      <c r="I747" s="1" t="s">
        <v>23</v>
      </c>
      <c r="J747" s="1">
        <v>0</v>
      </c>
      <c r="K747" s="1">
        <v>9510193342.230648</v>
      </c>
      <c r="L747" s="1">
        <v>15850.322237051079</v>
      </c>
      <c r="M747" s="1">
        <v>1438.0607923259079</v>
      </c>
      <c r="O747" s="1">
        <v>158.5032223705108</v>
      </c>
      <c r="P747" s="1">
        <f>O758</f>
        <v>0</v>
      </c>
      <c r="Q747" s="1">
        <f>O758</f>
        <v>0</v>
      </c>
      <c r="R747" s="1">
        <f>O758</f>
        <v>0</v>
      </c>
    </row>
    <row r="748" spans="2:18">
      <c r="D748" s="1" t="s">
        <v>157</v>
      </c>
      <c r="E748" s="1" t="s">
        <v>163</v>
      </c>
      <c r="H748" s="1" t="s">
        <v>22</v>
      </c>
      <c r="I748" s="1" t="s">
        <v>23</v>
      </c>
      <c r="J748" s="1">
        <v>0</v>
      </c>
      <c r="K748" s="1">
        <v>1</v>
      </c>
      <c r="L748" s="1">
        <v>0.1</v>
      </c>
      <c r="M748" s="1">
        <v>0.2</v>
      </c>
    </row>
    <row r="749" spans="2:18">
      <c r="D749" s="1" t="s">
        <v>157</v>
      </c>
      <c r="E749" s="1" t="s">
        <v>164</v>
      </c>
      <c r="F749" s="1" t="s">
        <v>35</v>
      </c>
      <c r="G749" s="1" t="s">
        <v>36</v>
      </c>
      <c r="H749" s="1" t="s">
        <v>22</v>
      </c>
      <c r="I749" s="1" t="s">
        <v>29</v>
      </c>
      <c r="J749" s="1">
        <v>-31.018000000000029</v>
      </c>
      <c r="K749" s="1">
        <v>256.99999999999994</v>
      </c>
      <c r="L749" s="1">
        <v>80.329999999999984</v>
      </c>
    </row>
    <row r="750" spans="2:18">
      <c r="D750" s="1" t="s">
        <v>157</v>
      </c>
      <c r="E750" s="1" t="s">
        <v>43</v>
      </c>
      <c r="H750" s="1" t="s">
        <v>25</v>
      </c>
      <c r="I750" s="1" t="s">
        <v>23</v>
      </c>
      <c r="M750" s="1" t="b">
        <v>0</v>
      </c>
    </row>
    <row r="751" spans="2:18">
      <c r="D751" s="1" t="s">
        <v>157</v>
      </c>
      <c r="E751" s="1" t="s">
        <v>44</v>
      </c>
      <c r="F751" s="1" t="s">
        <v>45</v>
      </c>
      <c r="G751" s="1" t="s">
        <v>46</v>
      </c>
      <c r="H751" s="1" t="s">
        <v>22</v>
      </c>
      <c r="I751" s="1" t="s">
        <v>23</v>
      </c>
      <c r="J751" s="1">
        <v>-85.984522757427143</v>
      </c>
      <c r="K751" s="1">
        <v>859.84522757427146</v>
      </c>
      <c r="L751" s="1">
        <v>429.92261378713573</v>
      </c>
      <c r="M751" s="1">
        <v>128.97678413614071</v>
      </c>
    </row>
    <row r="752" spans="2:18">
      <c r="D752" s="1" t="s">
        <v>157</v>
      </c>
      <c r="E752" s="1" t="s">
        <v>47</v>
      </c>
      <c r="H752" s="1" t="s">
        <v>25</v>
      </c>
      <c r="I752" s="1" t="s">
        <v>23</v>
      </c>
      <c r="M752" s="1" t="b">
        <v>0</v>
      </c>
    </row>
    <row r="753" spans="2:13">
      <c r="D753" s="1" t="s">
        <v>157</v>
      </c>
      <c r="E753" s="1" t="s">
        <v>54</v>
      </c>
      <c r="H753" s="1" t="s">
        <v>25</v>
      </c>
      <c r="I753" s="1" t="s">
        <v>23</v>
      </c>
      <c r="M753" s="1" t="b">
        <v>0</v>
      </c>
    </row>
    <row r="754" spans="2:13">
      <c r="D754" s="1" t="s">
        <v>157</v>
      </c>
      <c r="E754" s="1" t="s">
        <v>55</v>
      </c>
      <c r="F754" s="1" t="s">
        <v>56</v>
      </c>
      <c r="G754" s="1" t="s">
        <v>57</v>
      </c>
      <c r="H754" s="1" t="s">
        <v>22</v>
      </c>
      <c r="I754" s="1" t="s">
        <v>23</v>
      </c>
      <c r="J754" s="1">
        <v>0</v>
      </c>
      <c r="K754" s="1">
        <v>942.74529524635989</v>
      </c>
      <c r="L754" s="1">
        <v>14.503773773020921</v>
      </c>
      <c r="M754" s="1">
        <v>39.999998299180966</v>
      </c>
    </row>
    <row r="755" spans="2:13">
      <c r="D755" s="1" t="s">
        <v>157</v>
      </c>
      <c r="E755" s="1" t="s">
        <v>58</v>
      </c>
      <c r="H755" s="1" t="s">
        <v>25</v>
      </c>
      <c r="I755" s="1" t="s">
        <v>23</v>
      </c>
      <c r="M755" s="1" t="b">
        <v>0</v>
      </c>
    </row>
    <row r="756" spans="2:13">
      <c r="D756" s="1" t="s">
        <v>157</v>
      </c>
      <c r="E756" s="1" t="s">
        <v>59</v>
      </c>
      <c r="F756" s="1" t="s">
        <v>60</v>
      </c>
      <c r="G756" s="1" t="s">
        <v>61</v>
      </c>
      <c r="H756" s="1" t="s">
        <v>22</v>
      </c>
      <c r="I756" s="1" t="s">
        <v>23</v>
      </c>
      <c r="J756" s="1">
        <v>-0.95538358650800004</v>
      </c>
      <c r="K756" s="1">
        <v>9.5538358650799999</v>
      </c>
      <c r="L756" s="1">
        <v>0.23884589662700001</v>
      </c>
      <c r="M756" s="1">
        <v>0.23884589662700001</v>
      </c>
    </row>
    <row r="757" spans="2:13">
      <c r="D757" s="1" t="s">
        <v>157</v>
      </c>
      <c r="E757" s="1" t="s">
        <v>64</v>
      </c>
      <c r="F757" s="1" t="s">
        <v>35</v>
      </c>
      <c r="G757" s="1" t="s">
        <v>36</v>
      </c>
      <c r="H757" s="1" t="s">
        <v>22</v>
      </c>
      <c r="I757" s="1" t="s">
        <v>65</v>
      </c>
      <c r="J757" s="1">
        <v>-459.67</v>
      </c>
      <c r="L757" s="1">
        <v>80.329999999999984</v>
      </c>
    </row>
    <row r="758" spans="2:13">
      <c r="B758" s="3" t="s">
        <v>1706</v>
      </c>
      <c r="D758" s="1" t="s">
        <v>157</v>
      </c>
      <c r="E758" s="1" t="s">
        <v>166</v>
      </c>
      <c r="F758" s="1" t="s">
        <v>161</v>
      </c>
      <c r="G758" s="1" t="s">
        <v>162</v>
      </c>
      <c r="H758" s="1" t="s">
        <v>22</v>
      </c>
      <c r="I758" s="1" t="s">
        <v>65</v>
      </c>
      <c r="L758" s="1">
        <v>15850.322237051079</v>
      </c>
    </row>
    <row r="759" spans="2:13">
      <c r="D759" s="1" t="s">
        <v>157</v>
      </c>
      <c r="E759" s="1" t="s">
        <v>68</v>
      </c>
      <c r="F759" s="1" t="s">
        <v>45</v>
      </c>
      <c r="G759" s="1" t="s">
        <v>46</v>
      </c>
      <c r="H759" s="1" t="s">
        <v>22</v>
      </c>
      <c r="I759" s="1" t="s">
        <v>65</v>
      </c>
      <c r="L759" s="1">
        <v>4.2992261378713571E-4</v>
      </c>
    </row>
    <row r="760" spans="2:13">
      <c r="D760" s="1" t="s">
        <v>157</v>
      </c>
      <c r="E760" s="1" t="s">
        <v>69</v>
      </c>
      <c r="H760" s="1" t="s">
        <v>25</v>
      </c>
      <c r="I760" s="1" t="s">
        <v>70</v>
      </c>
    </row>
    <row r="761" spans="2:13">
      <c r="D761" s="1" t="s">
        <v>157</v>
      </c>
      <c r="E761" s="1" t="s">
        <v>72</v>
      </c>
      <c r="F761" s="1" t="s">
        <v>56</v>
      </c>
      <c r="G761" s="1" t="s">
        <v>57</v>
      </c>
      <c r="H761" s="1" t="s">
        <v>22</v>
      </c>
      <c r="I761" s="1" t="s">
        <v>65</v>
      </c>
      <c r="J761" s="1">
        <v>0</v>
      </c>
      <c r="L761" s="1">
        <v>14.503773773020921</v>
      </c>
    </row>
    <row r="762" spans="2:13">
      <c r="D762" s="1" t="s">
        <v>157</v>
      </c>
      <c r="E762" s="1" t="s">
        <v>73</v>
      </c>
      <c r="F762" s="1" t="s">
        <v>60</v>
      </c>
      <c r="G762" s="1" t="s">
        <v>61</v>
      </c>
      <c r="H762" s="1" t="s">
        <v>22</v>
      </c>
      <c r="I762" s="1" t="s">
        <v>65</v>
      </c>
      <c r="L762" s="1">
        <v>2.38845896627E-4</v>
      </c>
    </row>
    <row r="763" spans="2:13">
      <c r="D763" s="1" t="s">
        <v>157</v>
      </c>
      <c r="E763" s="1" t="s">
        <v>74</v>
      </c>
      <c r="F763" s="1" t="s">
        <v>75</v>
      </c>
      <c r="G763" s="1" t="s">
        <v>76</v>
      </c>
      <c r="H763" s="1" t="s">
        <v>22</v>
      </c>
      <c r="I763" s="1" t="s">
        <v>65</v>
      </c>
      <c r="J763" s="1">
        <v>0</v>
      </c>
      <c r="L763" s="1">
        <v>16.018463521800001</v>
      </c>
    </row>
    <row r="764" spans="2:13">
      <c r="D764" s="1" t="s">
        <v>157</v>
      </c>
      <c r="E764" s="1" t="s">
        <v>78</v>
      </c>
      <c r="H764" s="1" t="s">
        <v>25</v>
      </c>
      <c r="I764" s="1" t="s">
        <v>23</v>
      </c>
      <c r="M764" s="1" t="b">
        <v>0</v>
      </c>
    </row>
    <row r="765" spans="2:13">
      <c r="D765" s="1" t="s">
        <v>157</v>
      </c>
      <c r="E765" s="1" t="s">
        <v>79</v>
      </c>
      <c r="F765" s="1" t="s">
        <v>75</v>
      </c>
      <c r="G765" s="1" t="s">
        <v>76</v>
      </c>
      <c r="H765" s="1" t="s">
        <v>22</v>
      </c>
      <c r="I765" s="1" t="s">
        <v>23</v>
      </c>
      <c r="J765" s="1">
        <v>0</v>
      </c>
      <c r="K765" s="1">
        <v>0.96110781130800005</v>
      </c>
      <c r="L765" s="1">
        <v>16.018463521800001</v>
      </c>
      <c r="M765" s="1">
        <v>1.6018463521800003E-2</v>
      </c>
    </row>
    <row r="766" spans="2:13">
      <c r="D766" s="1" t="s">
        <v>168</v>
      </c>
      <c r="E766" s="1" t="s">
        <v>169</v>
      </c>
      <c r="H766" s="1" t="s">
        <v>25</v>
      </c>
      <c r="I766" s="1" t="s">
        <v>23</v>
      </c>
      <c r="M766" s="1" t="b">
        <v>1</v>
      </c>
    </row>
    <row r="767" spans="2:13">
      <c r="D767" s="1" t="s">
        <v>170</v>
      </c>
      <c r="E767" s="1" t="s">
        <v>171</v>
      </c>
      <c r="H767" s="1" t="s">
        <v>22</v>
      </c>
      <c r="I767" s="1" t="s">
        <v>23</v>
      </c>
      <c r="L767" s="1">
        <v>1</v>
      </c>
      <c r="M767" s="1">
        <v>3.0558000000000001</v>
      </c>
    </row>
    <row r="768" spans="2:13">
      <c r="D768" s="1" t="s">
        <v>170</v>
      </c>
      <c r="E768" s="1" t="s">
        <v>172</v>
      </c>
      <c r="H768" s="1" t="s">
        <v>22</v>
      </c>
      <c r="I768" s="1" t="s">
        <v>29</v>
      </c>
      <c r="J768" s="1">
        <v>0</v>
      </c>
      <c r="K768" s="1">
        <v>10000</v>
      </c>
      <c r="L768" s="1">
        <v>5000</v>
      </c>
    </row>
    <row r="769" spans="4:13">
      <c r="D769" s="1" t="s">
        <v>170</v>
      </c>
      <c r="E769" s="1" t="s">
        <v>173</v>
      </c>
      <c r="H769" s="1" t="s">
        <v>22</v>
      </c>
      <c r="I769" s="1" t="s">
        <v>29</v>
      </c>
      <c r="J769" s="1">
        <v>9.9999999999999995E-7</v>
      </c>
      <c r="K769" s="1">
        <v>0.01</v>
      </c>
      <c r="L769" s="1">
        <v>5.0004999999999997E-3</v>
      </c>
    </row>
    <row r="770" spans="4:13">
      <c r="D770" s="1" t="s">
        <v>170</v>
      </c>
      <c r="E770" s="1" t="s">
        <v>174</v>
      </c>
      <c r="H770" s="1" t="s">
        <v>25</v>
      </c>
      <c r="I770" s="1" t="s">
        <v>23</v>
      </c>
      <c r="M770" s="1" t="b">
        <v>1</v>
      </c>
    </row>
    <row r="771" spans="4:13">
      <c r="D771" s="1" t="s">
        <v>170</v>
      </c>
      <c r="E771" s="1" t="s">
        <v>175</v>
      </c>
      <c r="F771" s="1" t="s">
        <v>176</v>
      </c>
      <c r="G771" s="1" t="s">
        <v>177</v>
      </c>
      <c r="H771" s="1" t="s">
        <v>22</v>
      </c>
      <c r="I771" s="1" t="s">
        <v>23</v>
      </c>
      <c r="L771" s="1">
        <v>39.370078740157467</v>
      </c>
      <c r="M771" s="1">
        <v>6.0649999999999977</v>
      </c>
    </row>
    <row r="772" spans="4:13">
      <c r="D772" s="1" t="s">
        <v>170</v>
      </c>
      <c r="E772" s="1" t="s">
        <v>178</v>
      </c>
      <c r="H772" s="1" t="s">
        <v>25</v>
      </c>
      <c r="I772" s="1" t="s">
        <v>23</v>
      </c>
      <c r="M772" s="1" t="b">
        <v>0</v>
      </c>
    </row>
    <row r="773" spans="4:13">
      <c r="D773" s="1" t="s">
        <v>170</v>
      </c>
      <c r="E773" s="1" t="s">
        <v>111</v>
      </c>
      <c r="F773" s="1" t="s">
        <v>56</v>
      </c>
      <c r="G773" s="1" t="s">
        <v>57</v>
      </c>
      <c r="H773" s="1" t="s">
        <v>22</v>
      </c>
      <c r="I773" s="1" t="s">
        <v>23</v>
      </c>
      <c r="L773" s="1">
        <v>1.4503773773020921E-4</v>
      </c>
      <c r="M773" s="1">
        <v>7.2518868865104604E-3</v>
      </c>
    </row>
    <row r="774" spans="4:13">
      <c r="D774" s="1" t="s">
        <v>170</v>
      </c>
      <c r="E774" s="1" t="s">
        <v>179</v>
      </c>
      <c r="H774" s="1" t="s">
        <v>22</v>
      </c>
      <c r="I774" s="1" t="s">
        <v>23</v>
      </c>
      <c r="L774" s="1">
        <v>1</v>
      </c>
      <c r="M774" s="1">
        <v>10000</v>
      </c>
    </row>
    <row r="775" spans="4:13">
      <c r="D775" s="1" t="s">
        <v>170</v>
      </c>
      <c r="E775" s="1" t="s">
        <v>180</v>
      </c>
      <c r="H775" s="1" t="s">
        <v>181</v>
      </c>
      <c r="I775" s="1" t="s">
        <v>23</v>
      </c>
      <c r="J775" s="1">
        <v>1</v>
      </c>
      <c r="K775" s="1">
        <v>3</v>
      </c>
      <c r="M775" s="1" t="s">
        <v>182</v>
      </c>
    </row>
    <row r="776" spans="4:13">
      <c r="D776" s="1" t="s">
        <v>170</v>
      </c>
      <c r="E776" s="1" t="s">
        <v>47</v>
      </c>
      <c r="H776" s="1" t="s">
        <v>25</v>
      </c>
      <c r="I776" s="1" t="s">
        <v>23</v>
      </c>
      <c r="M776" s="1" t="b">
        <v>0</v>
      </c>
    </row>
    <row r="777" spans="4:13">
      <c r="D777" s="1" t="s">
        <v>170</v>
      </c>
      <c r="E777" s="1" t="s">
        <v>183</v>
      </c>
      <c r="H777" s="1" t="s">
        <v>25</v>
      </c>
      <c r="I777" s="1" t="s">
        <v>23</v>
      </c>
      <c r="M777" s="1" t="b">
        <v>1</v>
      </c>
    </row>
    <row r="778" spans="4:13">
      <c r="D778" s="1" t="s">
        <v>170</v>
      </c>
      <c r="E778" s="1" t="s">
        <v>112</v>
      </c>
      <c r="F778" s="1" t="s">
        <v>56</v>
      </c>
      <c r="G778" s="1" t="s">
        <v>57</v>
      </c>
      <c r="H778" s="1" t="s">
        <v>22</v>
      </c>
      <c r="I778" s="1" t="s">
        <v>29</v>
      </c>
      <c r="J778" s="1">
        <v>4.9312830828271128</v>
      </c>
      <c r="K778" s="1">
        <v>623.66227223989961</v>
      </c>
      <c r="L778" s="1">
        <v>50.713895374744951</v>
      </c>
    </row>
    <row r="779" spans="4:13">
      <c r="D779" s="1" t="s">
        <v>170</v>
      </c>
      <c r="E779" s="1" t="s">
        <v>62</v>
      </c>
      <c r="H779" s="1" t="s">
        <v>63</v>
      </c>
      <c r="I779" s="1" t="s">
        <v>23</v>
      </c>
      <c r="M779" s="1">
        <v>1</v>
      </c>
    </row>
    <row r="780" spans="4:13">
      <c r="D780" s="1" t="s">
        <v>170</v>
      </c>
      <c r="E780" s="1" t="s">
        <v>184</v>
      </c>
      <c r="H780" s="1" t="s">
        <v>22</v>
      </c>
      <c r="I780" s="1" t="s">
        <v>120</v>
      </c>
      <c r="L780" s="1">
        <v>1</v>
      </c>
    </row>
    <row r="781" spans="4:13">
      <c r="D781" s="1" t="s">
        <v>170</v>
      </c>
      <c r="E781" s="1" t="s">
        <v>185</v>
      </c>
      <c r="F781" s="1" t="s">
        <v>176</v>
      </c>
      <c r="G781" s="1" t="s">
        <v>177</v>
      </c>
      <c r="H781" s="1" t="s">
        <v>22</v>
      </c>
      <c r="I781" s="1" t="s">
        <v>65</v>
      </c>
      <c r="L781" s="1">
        <v>39.370078740157467</v>
      </c>
    </row>
    <row r="782" spans="4:13">
      <c r="D782" s="1" t="s">
        <v>170</v>
      </c>
      <c r="E782" s="1" t="s">
        <v>115</v>
      </c>
      <c r="F782" s="1" t="s">
        <v>56</v>
      </c>
      <c r="G782" s="1" t="s">
        <v>57</v>
      </c>
      <c r="H782" s="1" t="s">
        <v>22</v>
      </c>
      <c r="I782" s="1" t="s">
        <v>65</v>
      </c>
      <c r="L782" s="1">
        <v>1.4503773773020921E-4</v>
      </c>
    </row>
    <row r="783" spans="4:13">
      <c r="D783" s="1" t="s">
        <v>170</v>
      </c>
      <c r="E783" s="1" t="s">
        <v>69</v>
      </c>
      <c r="H783" s="1" t="s">
        <v>25</v>
      </c>
      <c r="I783" s="1" t="s">
        <v>70</v>
      </c>
    </row>
    <row r="784" spans="4:13">
      <c r="D784" s="1" t="s">
        <v>170</v>
      </c>
      <c r="E784" s="1" t="s">
        <v>186</v>
      </c>
      <c r="H784" s="1" t="s">
        <v>22</v>
      </c>
      <c r="I784" s="1" t="s">
        <v>65</v>
      </c>
      <c r="L784" s="1">
        <v>1</v>
      </c>
    </row>
    <row r="785" spans="4:13">
      <c r="D785" s="1" t="s">
        <v>170</v>
      </c>
      <c r="E785" s="1" t="s">
        <v>71</v>
      </c>
      <c r="F785" s="1" t="s">
        <v>52</v>
      </c>
      <c r="G785" s="1" t="s">
        <v>53</v>
      </c>
      <c r="H785" s="1" t="s">
        <v>22</v>
      </c>
      <c r="I785" s="1" t="s">
        <v>65</v>
      </c>
      <c r="L785" s="1">
        <v>7936.6414386555998</v>
      </c>
    </row>
    <row r="786" spans="4:13">
      <c r="D786" s="1" t="s">
        <v>170</v>
      </c>
      <c r="E786" s="1" t="s">
        <v>117</v>
      </c>
      <c r="F786" s="1" t="s">
        <v>118</v>
      </c>
      <c r="G786" s="1" t="s">
        <v>119</v>
      </c>
      <c r="H786" s="1" t="s">
        <v>22</v>
      </c>
      <c r="I786" s="1" t="s">
        <v>120</v>
      </c>
      <c r="J786" s="1">
        <v>0</v>
      </c>
      <c r="L786" s="1">
        <v>2.20462262185</v>
      </c>
    </row>
    <row r="787" spans="4:13">
      <c r="D787" s="1" t="s">
        <v>170</v>
      </c>
      <c r="E787" s="1" t="s">
        <v>123</v>
      </c>
      <c r="F787" s="1" t="s">
        <v>124</v>
      </c>
      <c r="G787" s="1" t="s">
        <v>125</v>
      </c>
      <c r="H787" s="1" t="s">
        <v>22</v>
      </c>
      <c r="I787" s="1" t="s">
        <v>120</v>
      </c>
      <c r="L787" s="1">
        <v>35.314666699999997</v>
      </c>
    </row>
    <row r="788" spans="4:13">
      <c r="D788" s="1" t="s">
        <v>170</v>
      </c>
      <c r="E788" s="1" t="s">
        <v>126</v>
      </c>
      <c r="H788" s="1" t="s">
        <v>22</v>
      </c>
      <c r="I788" s="1" t="s">
        <v>65</v>
      </c>
      <c r="L788" s="1">
        <v>1</v>
      </c>
    </row>
    <row r="789" spans="4:13">
      <c r="D789" s="1" t="s">
        <v>187</v>
      </c>
      <c r="E789" s="1" t="s">
        <v>28</v>
      </c>
      <c r="H789" s="1" t="s">
        <v>22</v>
      </c>
      <c r="I789" s="1" t="s">
        <v>29</v>
      </c>
      <c r="J789" s="1">
        <v>34000</v>
      </c>
      <c r="K789" s="1">
        <v>4300000</v>
      </c>
      <c r="L789" s="1">
        <v>349660</v>
      </c>
    </row>
    <row r="790" spans="4:13">
      <c r="D790" s="1" t="s">
        <v>187</v>
      </c>
      <c r="E790" s="1" t="s">
        <v>30</v>
      </c>
      <c r="H790" s="1" t="s">
        <v>22</v>
      </c>
      <c r="I790" s="1" t="s">
        <v>29</v>
      </c>
      <c r="J790" s="1">
        <v>-3.94</v>
      </c>
      <c r="K790" s="1">
        <v>3.66</v>
      </c>
      <c r="L790" s="1">
        <v>1</v>
      </c>
    </row>
    <row r="791" spans="4:13">
      <c r="D791" s="1" t="s">
        <v>187</v>
      </c>
      <c r="E791" s="1" t="s">
        <v>31</v>
      </c>
      <c r="H791" s="1" t="s">
        <v>22</v>
      </c>
      <c r="I791" s="1" t="s">
        <v>29</v>
      </c>
      <c r="J791" s="1">
        <v>0</v>
      </c>
      <c r="K791" s="1">
        <v>100</v>
      </c>
      <c r="L791" s="1">
        <v>1</v>
      </c>
    </row>
    <row r="792" spans="4:13">
      <c r="D792" s="1" t="s">
        <v>187</v>
      </c>
      <c r="E792" s="1" t="s">
        <v>32</v>
      </c>
      <c r="H792" s="1" t="s">
        <v>22</v>
      </c>
      <c r="I792" s="1" t="s">
        <v>29</v>
      </c>
      <c r="J792" s="1">
        <v>-3.94</v>
      </c>
      <c r="K792" s="1">
        <v>3.66</v>
      </c>
      <c r="L792" s="1">
        <v>1</v>
      </c>
    </row>
    <row r="793" spans="4:13">
      <c r="D793" s="1" t="s">
        <v>187</v>
      </c>
      <c r="E793" s="1" t="s">
        <v>33</v>
      </c>
      <c r="H793" s="1" t="s">
        <v>25</v>
      </c>
      <c r="I793" s="1" t="s">
        <v>23</v>
      </c>
      <c r="M793" s="1" t="b">
        <v>0</v>
      </c>
    </row>
    <row r="794" spans="4:13">
      <c r="D794" s="1" t="s">
        <v>187</v>
      </c>
      <c r="E794" s="1" t="s">
        <v>34</v>
      </c>
      <c r="F794" s="1" t="s">
        <v>35</v>
      </c>
      <c r="G794" s="1" t="s">
        <v>36</v>
      </c>
      <c r="H794" s="1" t="s">
        <v>22</v>
      </c>
      <c r="I794" s="1" t="s">
        <v>23</v>
      </c>
      <c r="J794" s="1">
        <v>-459.67</v>
      </c>
      <c r="K794" s="1">
        <v>980.32999999999993</v>
      </c>
      <c r="L794" s="1">
        <v>80.329999999999984</v>
      </c>
      <c r="M794" s="1">
        <v>67.999999999999943</v>
      </c>
    </row>
    <row r="795" spans="4:13">
      <c r="D795" s="1" t="s">
        <v>187</v>
      </c>
      <c r="E795" s="1" t="s">
        <v>37</v>
      </c>
      <c r="H795" s="1" t="s">
        <v>25</v>
      </c>
      <c r="I795" s="1" t="s">
        <v>23</v>
      </c>
      <c r="M795" s="1" t="b">
        <v>0</v>
      </c>
    </row>
    <row r="796" spans="4:13">
      <c r="D796" s="1" t="s">
        <v>187</v>
      </c>
      <c r="E796" s="1" t="s">
        <v>38</v>
      </c>
      <c r="F796" s="1" t="s">
        <v>35</v>
      </c>
      <c r="G796" s="1" t="s">
        <v>36</v>
      </c>
      <c r="H796" s="1" t="s">
        <v>22</v>
      </c>
      <c r="I796" s="1" t="s">
        <v>23</v>
      </c>
      <c r="J796" s="1">
        <v>-99.670000000000016</v>
      </c>
      <c r="K796" s="1">
        <v>980.32999999999993</v>
      </c>
      <c r="L796" s="1">
        <v>80.329999999999984</v>
      </c>
      <c r="M796" s="1">
        <v>13.999999999999943</v>
      </c>
    </row>
    <row r="797" spans="4:13">
      <c r="D797" s="1" t="s">
        <v>187</v>
      </c>
      <c r="E797" s="1" t="s">
        <v>39</v>
      </c>
      <c r="H797" s="1" t="s">
        <v>25</v>
      </c>
      <c r="I797" s="1" t="s">
        <v>23</v>
      </c>
      <c r="M797" s="1" t="b">
        <v>0</v>
      </c>
    </row>
    <row r="798" spans="4:13">
      <c r="D798" s="1" t="s">
        <v>187</v>
      </c>
      <c r="E798" s="1" t="s">
        <v>40</v>
      </c>
      <c r="F798" s="1" t="s">
        <v>41</v>
      </c>
      <c r="G798" s="1" t="s">
        <v>42</v>
      </c>
      <c r="H798" s="1" t="s">
        <v>22</v>
      </c>
      <c r="I798" s="1" t="s">
        <v>23</v>
      </c>
      <c r="J798" s="1">
        <v>-900</v>
      </c>
      <c r="K798" s="1">
        <v>900</v>
      </c>
      <c r="L798" s="1">
        <v>1.8</v>
      </c>
      <c r="M798" s="1">
        <v>9</v>
      </c>
    </row>
    <row r="799" spans="4:13">
      <c r="D799" s="1" t="s">
        <v>187</v>
      </c>
      <c r="E799" s="1" t="s">
        <v>43</v>
      </c>
      <c r="H799" s="1" t="s">
        <v>25</v>
      </c>
      <c r="I799" s="1" t="s">
        <v>23</v>
      </c>
      <c r="M799" s="1" t="b">
        <v>0</v>
      </c>
    </row>
    <row r="800" spans="4:13">
      <c r="D800" s="1" t="s">
        <v>187</v>
      </c>
      <c r="E800" s="1" t="s">
        <v>44</v>
      </c>
      <c r="F800" s="1" t="s">
        <v>45</v>
      </c>
      <c r="G800" s="1" t="s">
        <v>46</v>
      </c>
      <c r="H800" s="1" t="s">
        <v>22</v>
      </c>
      <c r="I800" s="1" t="s">
        <v>23</v>
      </c>
      <c r="J800" s="1">
        <v>-85.984522757427143</v>
      </c>
      <c r="K800" s="1">
        <v>8598.4522757427148</v>
      </c>
      <c r="L800" s="1">
        <v>114.79148749423418</v>
      </c>
      <c r="M800" s="1">
        <v>128.97678413614071</v>
      </c>
    </row>
    <row r="801" spans="4:13">
      <c r="D801" s="1" t="s">
        <v>187</v>
      </c>
      <c r="E801" s="1" t="s">
        <v>47</v>
      </c>
      <c r="H801" s="1" t="s">
        <v>25</v>
      </c>
      <c r="I801" s="1" t="s">
        <v>23</v>
      </c>
      <c r="M801" s="1" t="b">
        <v>0</v>
      </c>
    </row>
    <row r="802" spans="4:13">
      <c r="D802" s="1" t="s">
        <v>187</v>
      </c>
      <c r="E802" s="1" t="s">
        <v>48</v>
      </c>
      <c r="H802" s="1" t="s">
        <v>25</v>
      </c>
      <c r="I802" s="1" t="s">
        <v>23</v>
      </c>
      <c r="M802" s="1" t="b">
        <v>0</v>
      </c>
    </row>
    <row r="803" spans="4:13">
      <c r="D803" s="1" t="s">
        <v>187</v>
      </c>
      <c r="E803" s="1" t="s">
        <v>49</v>
      </c>
      <c r="H803" s="1" t="s">
        <v>25</v>
      </c>
      <c r="I803" s="1" t="s">
        <v>23</v>
      </c>
      <c r="M803" s="1" t="b">
        <v>0</v>
      </c>
    </row>
    <row r="804" spans="4:13">
      <c r="D804" s="1" t="s">
        <v>187</v>
      </c>
      <c r="E804" s="1" t="s">
        <v>50</v>
      </c>
      <c r="H804" s="1" t="s">
        <v>25</v>
      </c>
      <c r="I804" s="1" t="s">
        <v>23</v>
      </c>
      <c r="M804" s="1" t="b">
        <v>0</v>
      </c>
    </row>
    <row r="805" spans="4:13">
      <c r="D805" s="1" t="s">
        <v>187</v>
      </c>
      <c r="E805" s="1" t="s">
        <v>51</v>
      </c>
      <c r="F805" s="1" t="s">
        <v>52</v>
      </c>
      <c r="G805" s="1" t="s">
        <v>53</v>
      </c>
      <c r="H805" s="1" t="s">
        <v>22</v>
      </c>
      <c r="I805" s="1" t="s">
        <v>23</v>
      </c>
      <c r="J805" s="1">
        <v>0</v>
      </c>
      <c r="K805" s="1">
        <v>7936641438.6555996</v>
      </c>
      <c r="L805" s="1">
        <v>7936.6414386555998</v>
      </c>
      <c r="M805" s="1">
        <v>7936.6414386555998</v>
      </c>
    </row>
    <row r="806" spans="4:13">
      <c r="D806" s="1" t="s">
        <v>187</v>
      </c>
      <c r="E806" s="1" t="s">
        <v>54</v>
      </c>
      <c r="H806" s="1" t="s">
        <v>25</v>
      </c>
      <c r="I806" s="1" t="s">
        <v>23</v>
      </c>
      <c r="M806" s="1" t="b">
        <v>0</v>
      </c>
    </row>
    <row r="807" spans="4:13">
      <c r="D807" s="1" t="s">
        <v>187</v>
      </c>
      <c r="E807" s="1" t="s">
        <v>55</v>
      </c>
      <c r="F807" s="1" t="s">
        <v>56</v>
      </c>
      <c r="G807" s="1" t="s">
        <v>57</v>
      </c>
      <c r="H807" s="1" t="s">
        <v>22</v>
      </c>
      <c r="I807" s="1" t="s">
        <v>23</v>
      </c>
      <c r="J807" s="1">
        <v>0</v>
      </c>
      <c r="K807" s="1">
        <v>9427.4529524635982</v>
      </c>
      <c r="L807" s="1">
        <v>50.713895374744951</v>
      </c>
      <c r="M807" s="1">
        <v>50.763208205573221</v>
      </c>
    </row>
    <row r="808" spans="4:13">
      <c r="D808" s="1" t="s">
        <v>187</v>
      </c>
      <c r="E808" s="1" t="s">
        <v>58</v>
      </c>
      <c r="H808" s="1" t="s">
        <v>25</v>
      </c>
      <c r="I808" s="1" t="s">
        <v>23</v>
      </c>
      <c r="M808" s="1" t="b">
        <v>0</v>
      </c>
    </row>
    <row r="809" spans="4:13">
      <c r="D809" s="1" t="s">
        <v>187</v>
      </c>
      <c r="E809" s="1" t="s">
        <v>59</v>
      </c>
      <c r="F809" s="1" t="s">
        <v>60</v>
      </c>
      <c r="G809" s="1" t="s">
        <v>61</v>
      </c>
      <c r="H809" s="1" t="s">
        <v>22</v>
      </c>
      <c r="I809" s="1" t="s">
        <v>23</v>
      </c>
      <c r="J809" s="1">
        <v>-9.5538358650799999</v>
      </c>
      <c r="K809" s="1">
        <v>9.5538358650799999</v>
      </c>
      <c r="L809" s="1">
        <v>0.23884589662700001</v>
      </c>
      <c r="M809" s="1">
        <v>0.23884589662700001</v>
      </c>
    </row>
    <row r="810" spans="4:13">
      <c r="D810" s="1" t="s">
        <v>187</v>
      </c>
      <c r="E810" s="1" t="s">
        <v>62</v>
      </c>
      <c r="H810" s="1" t="s">
        <v>63</v>
      </c>
      <c r="I810" s="1" t="s">
        <v>23</v>
      </c>
      <c r="M810" s="1">
        <v>1</v>
      </c>
    </row>
    <row r="811" spans="4:13">
      <c r="D811" s="1" t="s">
        <v>187</v>
      </c>
      <c r="E811" s="1" t="s">
        <v>64</v>
      </c>
      <c r="F811" s="1" t="s">
        <v>35</v>
      </c>
      <c r="G811" s="1" t="s">
        <v>36</v>
      </c>
      <c r="H811" s="1" t="s">
        <v>22</v>
      </c>
      <c r="I811" s="1" t="s">
        <v>65</v>
      </c>
      <c r="J811" s="1">
        <v>-459.67</v>
      </c>
      <c r="L811" s="1">
        <v>80.329999999999984</v>
      </c>
    </row>
    <row r="812" spans="4:13">
      <c r="D812" s="1" t="s">
        <v>187</v>
      </c>
      <c r="E812" s="1" t="s">
        <v>66</v>
      </c>
      <c r="F812" s="1" t="s">
        <v>35</v>
      </c>
      <c r="G812" s="1" t="s">
        <v>36</v>
      </c>
      <c r="H812" s="1" t="s">
        <v>22</v>
      </c>
      <c r="I812" s="1" t="s">
        <v>65</v>
      </c>
      <c r="J812" s="1">
        <v>-459.67</v>
      </c>
      <c r="L812" s="1">
        <v>80.329999999999984</v>
      </c>
    </row>
    <row r="813" spans="4:13">
      <c r="D813" s="1" t="s">
        <v>187</v>
      </c>
      <c r="E813" s="1" t="s">
        <v>67</v>
      </c>
      <c r="F813" s="1" t="s">
        <v>41</v>
      </c>
      <c r="G813" s="1" t="s">
        <v>42</v>
      </c>
      <c r="H813" s="1" t="s">
        <v>22</v>
      </c>
      <c r="I813" s="1" t="s">
        <v>65</v>
      </c>
      <c r="L813" s="1">
        <v>1.8</v>
      </c>
    </row>
    <row r="814" spans="4:13">
      <c r="D814" s="1" t="s">
        <v>187</v>
      </c>
      <c r="E814" s="1" t="s">
        <v>68</v>
      </c>
      <c r="F814" s="1" t="s">
        <v>45</v>
      </c>
      <c r="G814" s="1" t="s">
        <v>46</v>
      </c>
      <c r="H814" s="1" t="s">
        <v>22</v>
      </c>
      <c r="I814" s="1" t="s">
        <v>65</v>
      </c>
      <c r="L814" s="1">
        <v>4.2992261378713571E-4</v>
      </c>
    </row>
    <row r="815" spans="4:13">
      <c r="D815" s="1" t="s">
        <v>187</v>
      </c>
      <c r="E815" s="1" t="s">
        <v>69</v>
      </c>
      <c r="H815" s="1" t="s">
        <v>25</v>
      </c>
      <c r="I815" s="1" t="s">
        <v>70</v>
      </c>
    </row>
    <row r="816" spans="4:13">
      <c r="D816" s="1" t="s">
        <v>187</v>
      </c>
      <c r="E816" s="1" t="s">
        <v>71</v>
      </c>
      <c r="F816" s="1" t="s">
        <v>52</v>
      </c>
      <c r="G816" s="1" t="s">
        <v>53</v>
      </c>
      <c r="H816" s="1" t="s">
        <v>22</v>
      </c>
      <c r="I816" s="1" t="s">
        <v>65</v>
      </c>
      <c r="L816" s="1">
        <v>7936.6414386555998</v>
      </c>
    </row>
    <row r="817" spans="4:13">
      <c r="D817" s="1" t="s">
        <v>187</v>
      </c>
      <c r="E817" s="1" t="s">
        <v>72</v>
      </c>
      <c r="F817" s="1" t="s">
        <v>56</v>
      </c>
      <c r="G817" s="1" t="s">
        <v>57</v>
      </c>
      <c r="H817" s="1" t="s">
        <v>22</v>
      </c>
      <c r="I817" s="1" t="s">
        <v>65</v>
      </c>
      <c r="J817" s="1">
        <v>0</v>
      </c>
      <c r="L817" s="1">
        <v>14.503773773020921</v>
      </c>
    </row>
    <row r="818" spans="4:13">
      <c r="D818" s="1" t="s">
        <v>187</v>
      </c>
      <c r="E818" s="1" t="s">
        <v>73</v>
      </c>
      <c r="F818" s="1" t="s">
        <v>60</v>
      </c>
      <c r="G818" s="1" t="s">
        <v>61</v>
      </c>
      <c r="H818" s="1" t="s">
        <v>22</v>
      </c>
      <c r="I818" s="1" t="s">
        <v>65</v>
      </c>
      <c r="L818" s="1">
        <v>2.38845896627E-4</v>
      </c>
    </row>
    <row r="819" spans="4:13">
      <c r="D819" s="1" t="s">
        <v>187</v>
      </c>
      <c r="E819" s="1" t="s">
        <v>74</v>
      </c>
      <c r="F819" s="1" t="s">
        <v>75</v>
      </c>
      <c r="G819" s="1" t="s">
        <v>76</v>
      </c>
      <c r="H819" s="1" t="s">
        <v>22</v>
      </c>
      <c r="I819" s="1" t="s">
        <v>65</v>
      </c>
      <c r="J819" s="1">
        <v>0</v>
      </c>
      <c r="L819" s="1">
        <v>16.018463521800001</v>
      </c>
    </row>
    <row r="820" spans="4:13">
      <c r="D820" s="1" t="s">
        <v>187</v>
      </c>
      <c r="E820" s="1" t="s">
        <v>77</v>
      </c>
      <c r="H820" s="1" t="s">
        <v>22</v>
      </c>
      <c r="I820" s="1" t="s">
        <v>65</v>
      </c>
      <c r="L820" s="1">
        <v>1</v>
      </c>
    </row>
    <row r="821" spans="4:13">
      <c r="D821" s="1" t="s">
        <v>187</v>
      </c>
      <c r="E821" s="1" t="s">
        <v>78</v>
      </c>
      <c r="H821" s="1" t="s">
        <v>25</v>
      </c>
      <c r="I821" s="1" t="s">
        <v>23</v>
      </c>
      <c r="M821" s="1" t="b">
        <v>0</v>
      </c>
    </row>
    <row r="822" spans="4:13">
      <c r="D822" s="1" t="s">
        <v>187</v>
      </c>
      <c r="E822" s="1" t="s">
        <v>79</v>
      </c>
      <c r="F822" s="1" t="s">
        <v>75</v>
      </c>
      <c r="G822" s="1" t="s">
        <v>76</v>
      </c>
      <c r="H822" s="1" t="s">
        <v>22</v>
      </c>
      <c r="I822" s="1" t="s">
        <v>23</v>
      </c>
      <c r="J822" s="1">
        <v>0</v>
      </c>
      <c r="K822" s="1">
        <v>96.110781130800007</v>
      </c>
      <c r="L822" s="1">
        <v>16.018463521800001</v>
      </c>
      <c r="M822" s="1">
        <v>1.6018463521800002</v>
      </c>
    </row>
    <row r="823" spans="4:13">
      <c r="D823" s="1" t="s">
        <v>187</v>
      </c>
      <c r="E823" s="1" t="s">
        <v>80</v>
      </c>
      <c r="H823" s="1" t="s">
        <v>25</v>
      </c>
      <c r="I823" s="1" t="s">
        <v>23</v>
      </c>
      <c r="M823" s="1" t="b">
        <v>0</v>
      </c>
    </row>
    <row r="824" spans="4:13">
      <c r="D824" s="1" t="s">
        <v>187</v>
      </c>
      <c r="E824" s="1" t="s">
        <v>81</v>
      </c>
      <c r="H824" s="1" t="s">
        <v>25</v>
      </c>
      <c r="I824" s="1" t="s">
        <v>23</v>
      </c>
      <c r="M824" s="1" t="b">
        <v>0</v>
      </c>
    </row>
    <row r="825" spans="4:13">
      <c r="D825" s="1" t="s">
        <v>187</v>
      </c>
      <c r="E825" s="1" t="s">
        <v>82</v>
      </c>
      <c r="H825" s="1" t="s">
        <v>22</v>
      </c>
      <c r="I825" s="1" t="s">
        <v>23</v>
      </c>
      <c r="J825" s="1">
        <v>-1</v>
      </c>
      <c r="K825" s="1">
        <v>3</v>
      </c>
      <c r="L825" s="1">
        <v>1</v>
      </c>
      <c r="M825" s="1">
        <v>1.01</v>
      </c>
    </row>
    <row r="826" spans="4:13">
      <c r="D826" s="1" t="s">
        <v>188</v>
      </c>
      <c r="E826" s="1" t="s">
        <v>171</v>
      </c>
      <c r="H826" s="1" t="s">
        <v>22</v>
      </c>
      <c r="I826" s="1" t="s">
        <v>23</v>
      </c>
      <c r="L826" s="1">
        <v>1</v>
      </c>
      <c r="M826" s="1">
        <v>3.0558000000000001</v>
      </c>
    </row>
    <row r="827" spans="4:13">
      <c r="D827" s="1" t="s">
        <v>188</v>
      </c>
      <c r="E827" s="1" t="s">
        <v>172</v>
      </c>
      <c r="H827" s="1" t="s">
        <v>22</v>
      </c>
      <c r="I827" s="1" t="s">
        <v>29</v>
      </c>
      <c r="J827" s="1">
        <v>0</v>
      </c>
      <c r="K827" s="1">
        <v>10000</v>
      </c>
      <c r="L827" s="1">
        <v>5000</v>
      </c>
    </row>
    <row r="828" spans="4:13">
      <c r="D828" s="1" t="s">
        <v>188</v>
      </c>
      <c r="E828" s="1" t="s">
        <v>173</v>
      </c>
      <c r="H828" s="1" t="s">
        <v>22</v>
      </c>
      <c r="I828" s="1" t="s">
        <v>29</v>
      </c>
      <c r="J828" s="1">
        <v>9.9999999999999995E-7</v>
      </c>
      <c r="K828" s="1">
        <v>0.01</v>
      </c>
      <c r="L828" s="1">
        <v>5.0004999999999997E-3</v>
      </c>
    </row>
    <row r="829" spans="4:13">
      <c r="D829" s="1" t="s">
        <v>188</v>
      </c>
      <c r="E829" s="1" t="s">
        <v>174</v>
      </c>
      <c r="H829" s="1" t="s">
        <v>25</v>
      </c>
      <c r="I829" s="1" t="s">
        <v>23</v>
      </c>
      <c r="M829" s="1" t="b">
        <v>1</v>
      </c>
    </row>
    <row r="830" spans="4:13">
      <c r="D830" s="1" t="s">
        <v>188</v>
      </c>
      <c r="E830" s="1" t="s">
        <v>175</v>
      </c>
      <c r="F830" s="1" t="s">
        <v>176</v>
      </c>
      <c r="G830" s="1" t="s">
        <v>177</v>
      </c>
      <c r="H830" s="1" t="s">
        <v>22</v>
      </c>
      <c r="I830" s="1" t="s">
        <v>23</v>
      </c>
      <c r="L830" s="1">
        <v>39.370078740157467</v>
      </c>
      <c r="M830" s="1">
        <v>6.0649999999999977</v>
      </c>
    </row>
    <row r="831" spans="4:13">
      <c r="D831" s="1" t="s">
        <v>188</v>
      </c>
      <c r="E831" s="1" t="s">
        <v>178</v>
      </c>
      <c r="H831" s="1" t="s">
        <v>25</v>
      </c>
      <c r="I831" s="1" t="s">
        <v>23</v>
      </c>
      <c r="M831" s="1" t="b">
        <v>0</v>
      </c>
    </row>
    <row r="832" spans="4:13">
      <c r="D832" s="1" t="s">
        <v>188</v>
      </c>
      <c r="E832" s="1" t="s">
        <v>111</v>
      </c>
      <c r="F832" s="1" t="s">
        <v>56</v>
      </c>
      <c r="G832" s="1" t="s">
        <v>57</v>
      </c>
      <c r="H832" s="1" t="s">
        <v>22</v>
      </c>
      <c r="I832" s="1" t="s">
        <v>23</v>
      </c>
      <c r="L832" s="1">
        <v>1.4503773773020921E-4</v>
      </c>
      <c r="M832" s="1">
        <v>7.2518868865104604E-3</v>
      </c>
    </row>
    <row r="833" spans="4:13">
      <c r="D833" s="1" t="s">
        <v>188</v>
      </c>
      <c r="E833" s="1" t="s">
        <v>179</v>
      </c>
      <c r="H833" s="1" t="s">
        <v>22</v>
      </c>
      <c r="I833" s="1" t="s">
        <v>23</v>
      </c>
      <c r="L833" s="1">
        <v>1</v>
      </c>
      <c r="M833" s="1">
        <v>10000</v>
      </c>
    </row>
    <row r="834" spans="4:13">
      <c r="D834" s="1" t="s">
        <v>188</v>
      </c>
      <c r="E834" s="1" t="s">
        <v>180</v>
      </c>
      <c r="H834" s="1" t="s">
        <v>181</v>
      </c>
      <c r="I834" s="1" t="s">
        <v>23</v>
      </c>
      <c r="J834" s="1">
        <v>1</v>
      </c>
      <c r="K834" s="1">
        <v>3</v>
      </c>
      <c r="M834" s="1" t="s">
        <v>182</v>
      </c>
    </row>
    <row r="835" spans="4:13">
      <c r="D835" s="1" t="s">
        <v>188</v>
      </c>
      <c r="E835" s="1" t="s">
        <v>47</v>
      </c>
      <c r="H835" s="1" t="s">
        <v>25</v>
      </c>
      <c r="I835" s="1" t="s">
        <v>23</v>
      </c>
      <c r="M835" s="1" t="b">
        <v>0</v>
      </c>
    </row>
    <row r="836" spans="4:13">
      <c r="D836" s="1" t="s">
        <v>188</v>
      </c>
      <c r="E836" s="1" t="s">
        <v>183</v>
      </c>
      <c r="H836" s="1" t="s">
        <v>25</v>
      </c>
      <c r="I836" s="1" t="s">
        <v>23</v>
      </c>
      <c r="M836" s="1" t="b">
        <v>1</v>
      </c>
    </row>
    <row r="837" spans="4:13">
      <c r="D837" s="1" t="s">
        <v>188</v>
      </c>
      <c r="E837" s="1" t="s">
        <v>189</v>
      </c>
      <c r="H837" s="1" t="s">
        <v>22</v>
      </c>
      <c r="I837" s="1" t="s">
        <v>23</v>
      </c>
      <c r="L837" s="1">
        <v>1</v>
      </c>
      <c r="M837" s="1">
        <v>1.1900000000000001E-4</v>
      </c>
    </row>
    <row r="838" spans="4:13">
      <c r="D838" s="1" t="s">
        <v>188</v>
      </c>
      <c r="E838" s="1" t="s">
        <v>112</v>
      </c>
      <c r="F838" s="1" t="s">
        <v>56</v>
      </c>
      <c r="G838" s="1" t="s">
        <v>57</v>
      </c>
      <c r="H838" s="1" t="s">
        <v>22</v>
      </c>
      <c r="I838" s="1" t="s">
        <v>29</v>
      </c>
      <c r="J838" s="1">
        <v>4.9312830828271128</v>
      </c>
      <c r="K838" s="1">
        <v>623.66227223989961</v>
      </c>
      <c r="L838" s="1">
        <v>50.713895374744951</v>
      </c>
    </row>
    <row r="839" spans="4:13">
      <c r="D839" s="1" t="s">
        <v>188</v>
      </c>
      <c r="E839" s="1" t="s">
        <v>62</v>
      </c>
      <c r="H839" s="1" t="s">
        <v>63</v>
      </c>
      <c r="I839" s="1" t="s">
        <v>23</v>
      </c>
      <c r="M839" s="1">
        <v>1</v>
      </c>
    </row>
    <row r="840" spans="4:13">
      <c r="D840" s="1" t="s">
        <v>188</v>
      </c>
      <c r="E840" s="1" t="s">
        <v>184</v>
      </c>
      <c r="H840" s="1" t="s">
        <v>22</v>
      </c>
      <c r="I840" s="1" t="s">
        <v>120</v>
      </c>
      <c r="L840" s="1">
        <v>1</v>
      </c>
    </row>
    <row r="841" spans="4:13">
      <c r="D841" s="1" t="s">
        <v>188</v>
      </c>
      <c r="E841" s="1" t="s">
        <v>185</v>
      </c>
      <c r="F841" s="1" t="s">
        <v>176</v>
      </c>
      <c r="G841" s="1" t="s">
        <v>177</v>
      </c>
      <c r="H841" s="1" t="s">
        <v>22</v>
      </c>
      <c r="I841" s="1" t="s">
        <v>65</v>
      </c>
      <c r="L841" s="1">
        <v>39.370078740157467</v>
      </c>
    </row>
    <row r="842" spans="4:13">
      <c r="D842" s="1" t="s">
        <v>188</v>
      </c>
      <c r="E842" s="1" t="s">
        <v>115</v>
      </c>
      <c r="F842" s="1" t="s">
        <v>56</v>
      </c>
      <c r="G842" s="1" t="s">
        <v>57</v>
      </c>
      <c r="H842" s="1" t="s">
        <v>22</v>
      </c>
      <c r="I842" s="1" t="s">
        <v>65</v>
      </c>
      <c r="L842" s="1">
        <v>1.4503773773020921E-4</v>
      </c>
    </row>
    <row r="843" spans="4:13">
      <c r="D843" s="1" t="s">
        <v>188</v>
      </c>
      <c r="E843" s="1" t="s">
        <v>69</v>
      </c>
      <c r="H843" s="1" t="s">
        <v>25</v>
      </c>
      <c r="I843" s="1" t="s">
        <v>70</v>
      </c>
    </row>
    <row r="844" spans="4:13">
      <c r="D844" s="1" t="s">
        <v>188</v>
      </c>
      <c r="E844" s="1" t="s">
        <v>186</v>
      </c>
      <c r="H844" s="1" t="s">
        <v>22</v>
      </c>
      <c r="I844" s="1" t="s">
        <v>65</v>
      </c>
      <c r="L844" s="1">
        <v>1</v>
      </c>
    </row>
    <row r="845" spans="4:13">
      <c r="D845" s="1" t="s">
        <v>188</v>
      </c>
      <c r="E845" s="1" t="s">
        <v>71</v>
      </c>
      <c r="F845" s="1" t="s">
        <v>52</v>
      </c>
      <c r="G845" s="1" t="s">
        <v>53</v>
      </c>
      <c r="H845" s="1" t="s">
        <v>22</v>
      </c>
      <c r="I845" s="1" t="s">
        <v>65</v>
      </c>
      <c r="L845" s="1">
        <v>7936.6414386555998</v>
      </c>
    </row>
    <row r="846" spans="4:13">
      <c r="D846" s="1" t="s">
        <v>188</v>
      </c>
      <c r="E846" s="1" t="s">
        <v>117</v>
      </c>
      <c r="F846" s="1" t="s">
        <v>118</v>
      </c>
      <c r="G846" s="1" t="s">
        <v>119</v>
      </c>
      <c r="H846" s="1" t="s">
        <v>22</v>
      </c>
      <c r="I846" s="1" t="s">
        <v>120</v>
      </c>
      <c r="J846" s="1">
        <v>0</v>
      </c>
      <c r="L846" s="1">
        <v>2.20462262185</v>
      </c>
    </row>
    <row r="847" spans="4:13">
      <c r="D847" s="1" t="s">
        <v>188</v>
      </c>
      <c r="E847" s="1" t="s">
        <v>123</v>
      </c>
      <c r="F847" s="1" t="s">
        <v>124</v>
      </c>
      <c r="G847" s="1" t="s">
        <v>125</v>
      </c>
      <c r="H847" s="1" t="s">
        <v>22</v>
      </c>
      <c r="I847" s="1" t="s">
        <v>120</v>
      </c>
      <c r="L847" s="1">
        <v>35.314666699999997</v>
      </c>
    </row>
    <row r="848" spans="4:13">
      <c r="D848" s="1" t="s">
        <v>188</v>
      </c>
      <c r="E848" s="1" t="s">
        <v>126</v>
      </c>
      <c r="H848" s="1" t="s">
        <v>22</v>
      </c>
      <c r="I848" s="1" t="s">
        <v>65</v>
      </c>
      <c r="L848" s="1">
        <v>1</v>
      </c>
    </row>
    <row r="849" spans="4:13">
      <c r="D849" s="1" t="s">
        <v>190</v>
      </c>
      <c r="E849" s="1" t="s">
        <v>28</v>
      </c>
      <c r="H849" s="1" t="s">
        <v>22</v>
      </c>
      <c r="I849" s="1" t="s">
        <v>29</v>
      </c>
      <c r="J849" s="1">
        <v>34000</v>
      </c>
      <c r="K849" s="1">
        <v>4300000</v>
      </c>
      <c r="L849" s="1">
        <v>349660</v>
      </c>
    </row>
    <row r="850" spans="4:13">
      <c r="D850" s="1" t="s">
        <v>190</v>
      </c>
      <c r="E850" s="1" t="s">
        <v>30</v>
      </c>
      <c r="H850" s="1" t="s">
        <v>22</v>
      </c>
      <c r="I850" s="1" t="s">
        <v>29</v>
      </c>
      <c r="J850" s="1">
        <v>-3.94</v>
      </c>
      <c r="K850" s="1">
        <v>3.66</v>
      </c>
      <c r="L850" s="1">
        <v>1</v>
      </c>
    </row>
    <row r="851" spans="4:13">
      <c r="D851" s="1" t="s">
        <v>190</v>
      </c>
      <c r="E851" s="1" t="s">
        <v>31</v>
      </c>
      <c r="H851" s="1" t="s">
        <v>22</v>
      </c>
      <c r="I851" s="1" t="s">
        <v>29</v>
      </c>
      <c r="J851" s="1">
        <v>0</v>
      </c>
      <c r="K851" s="1">
        <v>100</v>
      </c>
      <c r="L851" s="1">
        <v>1</v>
      </c>
    </row>
    <row r="852" spans="4:13">
      <c r="D852" s="1" t="s">
        <v>190</v>
      </c>
      <c r="E852" s="1" t="s">
        <v>32</v>
      </c>
      <c r="H852" s="1" t="s">
        <v>22</v>
      </c>
      <c r="I852" s="1" t="s">
        <v>29</v>
      </c>
      <c r="J852" s="1">
        <v>-3.94</v>
      </c>
      <c r="K852" s="1">
        <v>3.66</v>
      </c>
      <c r="L852" s="1">
        <v>1</v>
      </c>
    </row>
    <row r="853" spans="4:13">
      <c r="D853" s="1" t="s">
        <v>190</v>
      </c>
      <c r="E853" s="1" t="s">
        <v>33</v>
      </c>
      <c r="H853" s="1" t="s">
        <v>25</v>
      </c>
      <c r="I853" s="1" t="s">
        <v>23</v>
      </c>
      <c r="M853" s="1" t="b">
        <v>0</v>
      </c>
    </row>
    <row r="854" spans="4:13">
      <c r="D854" s="1" t="s">
        <v>190</v>
      </c>
      <c r="E854" s="1" t="s">
        <v>34</v>
      </c>
      <c r="F854" s="1" t="s">
        <v>35</v>
      </c>
      <c r="G854" s="1" t="s">
        <v>36</v>
      </c>
      <c r="H854" s="1" t="s">
        <v>22</v>
      </c>
      <c r="I854" s="1" t="s">
        <v>23</v>
      </c>
      <c r="J854" s="1">
        <v>-459.67</v>
      </c>
      <c r="K854" s="1">
        <v>980.32999999999993</v>
      </c>
      <c r="L854" s="1">
        <v>80.329999999999984</v>
      </c>
      <c r="M854" s="1">
        <v>67.999999999999943</v>
      </c>
    </row>
    <row r="855" spans="4:13">
      <c r="D855" s="1" t="s">
        <v>190</v>
      </c>
      <c r="E855" s="1" t="s">
        <v>37</v>
      </c>
      <c r="H855" s="1" t="s">
        <v>25</v>
      </c>
      <c r="I855" s="1" t="s">
        <v>23</v>
      </c>
      <c r="M855" s="1" t="b">
        <v>0</v>
      </c>
    </row>
    <row r="856" spans="4:13">
      <c r="D856" s="1" t="s">
        <v>190</v>
      </c>
      <c r="E856" s="1" t="s">
        <v>38</v>
      </c>
      <c r="F856" s="1" t="s">
        <v>35</v>
      </c>
      <c r="G856" s="1" t="s">
        <v>36</v>
      </c>
      <c r="H856" s="1" t="s">
        <v>22</v>
      </c>
      <c r="I856" s="1" t="s">
        <v>23</v>
      </c>
      <c r="J856" s="1">
        <v>-99.670000000000016</v>
      </c>
      <c r="K856" s="1">
        <v>980.32999999999993</v>
      </c>
      <c r="L856" s="1">
        <v>80.329999999999984</v>
      </c>
      <c r="M856" s="1">
        <v>13.999999999999943</v>
      </c>
    </row>
    <row r="857" spans="4:13">
      <c r="D857" s="1" t="s">
        <v>190</v>
      </c>
      <c r="E857" s="1" t="s">
        <v>39</v>
      </c>
      <c r="H857" s="1" t="s">
        <v>25</v>
      </c>
      <c r="I857" s="1" t="s">
        <v>23</v>
      </c>
      <c r="M857" s="1" t="b">
        <v>0</v>
      </c>
    </row>
    <row r="858" spans="4:13">
      <c r="D858" s="1" t="s">
        <v>190</v>
      </c>
      <c r="E858" s="1" t="s">
        <v>40</v>
      </c>
      <c r="F858" s="1" t="s">
        <v>41</v>
      </c>
      <c r="G858" s="1" t="s">
        <v>42</v>
      </c>
      <c r="H858" s="1" t="s">
        <v>22</v>
      </c>
      <c r="I858" s="1" t="s">
        <v>23</v>
      </c>
      <c r="J858" s="1">
        <v>-900</v>
      </c>
      <c r="K858" s="1">
        <v>900</v>
      </c>
      <c r="L858" s="1">
        <v>1.8</v>
      </c>
      <c r="M858" s="1">
        <v>9</v>
      </c>
    </row>
    <row r="859" spans="4:13">
      <c r="D859" s="1" t="s">
        <v>190</v>
      </c>
      <c r="E859" s="1" t="s">
        <v>43</v>
      </c>
      <c r="H859" s="1" t="s">
        <v>25</v>
      </c>
      <c r="I859" s="1" t="s">
        <v>23</v>
      </c>
      <c r="M859" s="1" t="b">
        <v>0</v>
      </c>
    </row>
    <row r="860" spans="4:13">
      <c r="D860" s="1" t="s">
        <v>190</v>
      </c>
      <c r="E860" s="1" t="s">
        <v>44</v>
      </c>
      <c r="F860" s="1" t="s">
        <v>45</v>
      </c>
      <c r="G860" s="1" t="s">
        <v>46</v>
      </c>
      <c r="H860" s="1" t="s">
        <v>22</v>
      </c>
      <c r="I860" s="1" t="s">
        <v>23</v>
      </c>
      <c r="J860" s="1">
        <v>-85.984522757427143</v>
      </c>
      <c r="K860" s="1">
        <v>8598.4522757427148</v>
      </c>
      <c r="L860" s="1">
        <v>114.79148749423418</v>
      </c>
      <c r="M860" s="1">
        <v>128.97678413614071</v>
      </c>
    </row>
    <row r="861" spans="4:13">
      <c r="D861" s="1" t="s">
        <v>190</v>
      </c>
      <c r="E861" s="1" t="s">
        <v>47</v>
      </c>
      <c r="H861" s="1" t="s">
        <v>25</v>
      </c>
      <c r="I861" s="1" t="s">
        <v>23</v>
      </c>
      <c r="M861" s="1" t="b">
        <v>0</v>
      </c>
    </row>
    <row r="862" spans="4:13">
      <c r="D862" s="1" t="s">
        <v>190</v>
      </c>
      <c r="E862" s="1" t="s">
        <v>48</v>
      </c>
      <c r="H862" s="1" t="s">
        <v>25</v>
      </c>
      <c r="I862" s="1" t="s">
        <v>23</v>
      </c>
      <c r="M862" s="1" t="b">
        <v>0</v>
      </c>
    </row>
    <row r="863" spans="4:13">
      <c r="D863" s="1" t="s">
        <v>190</v>
      </c>
      <c r="E863" s="1" t="s">
        <v>49</v>
      </c>
      <c r="H863" s="1" t="s">
        <v>25</v>
      </c>
      <c r="I863" s="1" t="s">
        <v>23</v>
      </c>
      <c r="M863" s="1" t="b">
        <v>0</v>
      </c>
    </row>
    <row r="864" spans="4:13">
      <c r="D864" s="1" t="s">
        <v>190</v>
      </c>
      <c r="E864" s="1" t="s">
        <v>50</v>
      </c>
      <c r="H864" s="1" t="s">
        <v>25</v>
      </c>
      <c r="I864" s="1" t="s">
        <v>23</v>
      </c>
      <c r="M864" s="1" t="b">
        <v>0</v>
      </c>
    </row>
    <row r="865" spans="4:13">
      <c r="D865" s="1" t="s">
        <v>190</v>
      </c>
      <c r="E865" s="1" t="s">
        <v>51</v>
      </c>
      <c r="F865" s="1" t="s">
        <v>52</v>
      </c>
      <c r="G865" s="1" t="s">
        <v>53</v>
      </c>
      <c r="H865" s="1" t="s">
        <v>22</v>
      </c>
      <c r="I865" s="1" t="s">
        <v>23</v>
      </c>
      <c r="J865" s="1">
        <v>0</v>
      </c>
      <c r="K865" s="1">
        <v>7936641438.6555996</v>
      </c>
      <c r="L865" s="1">
        <v>7936.6414386555998</v>
      </c>
      <c r="M865" s="1">
        <v>7936.6414386555998</v>
      </c>
    </row>
    <row r="866" spans="4:13">
      <c r="D866" s="1" t="s">
        <v>190</v>
      </c>
      <c r="E866" s="1" t="s">
        <v>54</v>
      </c>
      <c r="H866" s="1" t="s">
        <v>25</v>
      </c>
      <c r="I866" s="1" t="s">
        <v>23</v>
      </c>
      <c r="M866" s="1" t="b">
        <v>0</v>
      </c>
    </row>
    <row r="867" spans="4:13">
      <c r="D867" s="1" t="s">
        <v>190</v>
      </c>
      <c r="E867" s="1" t="s">
        <v>55</v>
      </c>
      <c r="F867" s="1" t="s">
        <v>56</v>
      </c>
      <c r="G867" s="1" t="s">
        <v>57</v>
      </c>
      <c r="H867" s="1" t="s">
        <v>22</v>
      </c>
      <c r="I867" s="1" t="s">
        <v>23</v>
      </c>
      <c r="J867" s="1">
        <v>0</v>
      </c>
      <c r="K867" s="1">
        <v>9427.4529524635982</v>
      </c>
      <c r="L867" s="1">
        <v>50.713895374744951</v>
      </c>
      <c r="M867" s="1">
        <v>50.763208205573221</v>
      </c>
    </row>
    <row r="868" spans="4:13">
      <c r="D868" s="1" t="s">
        <v>190</v>
      </c>
      <c r="E868" s="1" t="s">
        <v>58</v>
      </c>
      <c r="H868" s="1" t="s">
        <v>25</v>
      </c>
      <c r="I868" s="1" t="s">
        <v>23</v>
      </c>
      <c r="M868" s="1" t="b">
        <v>0</v>
      </c>
    </row>
    <row r="869" spans="4:13">
      <c r="D869" s="1" t="s">
        <v>190</v>
      </c>
      <c r="E869" s="1" t="s">
        <v>59</v>
      </c>
      <c r="F869" s="1" t="s">
        <v>60</v>
      </c>
      <c r="G869" s="1" t="s">
        <v>61</v>
      </c>
      <c r="H869" s="1" t="s">
        <v>22</v>
      </c>
      <c r="I869" s="1" t="s">
        <v>23</v>
      </c>
      <c r="J869" s="1">
        <v>-9.5538358650799999</v>
      </c>
      <c r="K869" s="1">
        <v>9.5538358650799999</v>
      </c>
      <c r="L869" s="1">
        <v>0.23884589662700001</v>
      </c>
      <c r="M869" s="1">
        <v>0.23884589662700001</v>
      </c>
    </row>
    <row r="870" spans="4:13">
      <c r="D870" s="1" t="s">
        <v>190</v>
      </c>
      <c r="E870" s="1" t="s">
        <v>62</v>
      </c>
      <c r="H870" s="1" t="s">
        <v>63</v>
      </c>
      <c r="I870" s="1" t="s">
        <v>23</v>
      </c>
      <c r="M870" s="1">
        <v>1</v>
      </c>
    </row>
    <row r="871" spans="4:13">
      <c r="D871" s="1" t="s">
        <v>190</v>
      </c>
      <c r="E871" s="1" t="s">
        <v>64</v>
      </c>
      <c r="F871" s="1" t="s">
        <v>35</v>
      </c>
      <c r="G871" s="1" t="s">
        <v>36</v>
      </c>
      <c r="H871" s="1" t="s">
        <v>22</v>
      </c>
      <c r="I871" s="1" t="s">
        <v>65</v>
      </c>
      <c r="J871" s="1">
        <v>-459.67</v>
      </c>
      <c r="L871" s="1">
        <v>80.329999999999984</v>
      </c>
    </row>
    <row r="872" spans="4:13">
      <c r="D872" s="1" t="s">
        <v>190</v>
      </c>
      <c r="E872" s="1" t="s">
        <v>66</v>
      </c>
      <c r="F872" s="1" t="s">
        <v>35</v>
      </c>
      <c r="G872" s="1" t="s">
        <v>36</v>
      </c>
      <c r="H872" s="1" t="s">
        <v>22</v>
      </c>
      <c r="I872" s="1" t="s">
        <v>65</v>
      </c>
      <c r="J872" s="1">
        <v>-459.67</v>
      </c>
      <c r="L872" s="1">
        <v>80.329999999999984</v>
      </c>
    </row>
    <row r="873" spans="4:13">
      <c r="D873" s="1" t="s">
        <v>190</v>
      </c>
      <c r="E873" s="1" t="s">
        <v>67</v>
      </c>
      <c r="F873" s="1" t="s">
        <v>41</v>
      </c>
      <c r="G873" s="1" t="s">
        <v>42</v>
      </c>
      <c r="H873" s="1" t="s">
        <v>22</v>
      </c>
      <c r="I873" s="1" t="s">
        <v>65</v>
      </c>
      <c r="L873" s="1">
        <v>1.8</v>
      </c>
    </row>
    <row r="874" spans="4:13">
      <c r="D874" s="1" t="s">
        <v>190</v>
      </c>
      <c r="E874" s="1" t="s">
        <v>68</v>
      </c>
      <c r="F874" s="1" t="s">
        <v>45</v>
      </c>
      <c r="G874" s="1" t="s">
        <v>46</v>
      </c>
      <c r="H874" s="1" t="s">
        <v>22</v>
      </c>
      <c r="I874" s="1" t="s">
        <v>65</v>
      </c>
      <c r="L874" s="1">
        <v>4.2992261378713571E-4</v>
      </c>
    </row>
    <row r="875" spans="4:13">
      <c r="D875" s="1" t="s">
        <v>190</v>
      </c>
      <c r="E875" s="1" t="s">
        <v>69</v>
      </c>
      <c r="H875" s="1" t="s">
        <v>25</v>
      </c>
      <c r="I875" s="1" t="s">
        <v>70</v>
      </c>
    </row>
    <row r="876" spans="4:13">
      <c r="D876" s="1" t="s">
        <v>190</v>
      </c>
      <c r="E876" s="1" t="s">
        <v>71</v>
      </c>
      <c r="F876" s="1" t="s">
        <v>52</v>
      </c>
      <c r="G876" s="1" t="s">
        <v>53</v>
      </c>
      <c r="H876" s="1" t="s">
        <v>22</v>
      </c>
      <c r="I876" s="1" t="s">
        <v>65</v>
      </c>
      <c r="L876" s="1">
        <v>7936.6414386555998</v>
      </c>
    </row>
    <row r="877" spans="4:13">
      <c r="D877" s="1" t="s">
        <v>190</v>
      </c>
      <c r="E877" s="1" t="s">
        <v>72</v>
      </c>
      <c r="F877" s="1" t="s">
        <v>56</v>
      </c>
      <c r="G877" s="1" t="s">
        <v>57</v>
      </c>
      <c r="H877" s="1" t="s">
        <v>22</v>
      </c>
      <c r="I877" s="1" t="s">
        <v>65</v>
      </c>
      <c r="J877" s="1">
        <v>0</v>
      </c>
      <c r="L877" s="1">
        <v>14.503773773020921</v>
      </c>
    </row>
    <row r="878" spans="4:13">
      <c r="D878" s="1" t="s">
        <v>190</v>
      </c>
      <c r="E878" s="1" t="s">
        <v>73</v>
      </c>
      <c r="F878" s="1" t="s">
        <v>60</v>
      </c>
      <c r="G878" s="1" t="s">
        <v>61</v>
      </c>
      <c r="H878" s="1" t="s">
        <v>22</v>
      </c>
      <c r="I878" s="1" t="s">
        <v>65</v>
      </c>
      <c r="L878" s="1">
        <v>2.38845896627E-4</v>
      </c>
    </row>
    <row r="879" spans="4:13">
      <c r="D879" s="1" t="s">
        <v>190</v>
      </c>
      <c r="E879" s="1" t="s">
        <v>74</v>
      </c>
      <c r="F879" s="1" t="s">
        <v>75</v>
      </c>
      <c r="G879" s="1" t="s">
        <v>76</v>
      </c>
      <c r="H879" s="1" t="s">
        <v>22</v>
      </c>
      <c r="I879" s="1" t="s">
        <v>65</v>
      </c>
      <c r="J879" s="1">
        <v>0</v>
      </c>
      <c r="L879" s="1">
        <v>16.018463521800001</v>
      </c>
    </row>
    <row r="880" spans="4:13">
      <c r="D880" s="1" t="s">
        <v>190</v>
      </c>
      <c r="E880" s="1" t="s">
        <v>77</v>
      </c>
      <c r="H880" s="1" t="s">
        <v>22</v>
      </c>
      <c r="I880" s="1" t="s">
        <v>65</v>
      </c>
      <c r="L880" s="1">
        <v>1</v>
      </c>
    </row>
    <row r="881" spans="4:13">
      <c r="D881" s="1" t="s">
        <v>190</v>
      </c>
      <c r="E881" s="1" t="s">
        <v>78</v>
      </c>
      <c r="H881" s="1" t="s">
        <v>25</v>
      </c>
      <c r="I881" s="1" t="s">
        <v>23</v>
      </c>
      <c r="M881" s="1" t="b">
        <v>0</v>
      </c>
    </row>
    <row r="882" spans="4:13">
      <c r="D882" s="1" t="s">
        <v>190</v>
      </c>
      <c r="E882" s="1" t="s">
        <v>79</v>
      </c>
      <c r="F882" s="1" t="s">
        <v>75</v>
      </c>
      <c r="G882" s="1" t="s">
        <v>76</v>
      </c>
      <c r="H882" s="1" t="s">
        <v>22</v>
      </c>
      <c r="I882" s="1" t="s">
        <v>23</v>
      </c>
      <c r="J882" s="1">
        <v>0</v>
      </c>
      <c r="K882" s="1">
        <v>96.110781130800007</v>
      </c>
      <c r="L882" s="1">
        <v>16.018463521800001</v>
      </c>
      <c r="M882" s="1">
        <v>1.6018463521800002</v>
      </c>
    </row>
    <row r="883" spans="4:13">
      <c r="D883" s="1" t="s">
        <v>190</v>
      </c>
      <c r="E883" s="1" t="s">
        <v>80</v>
      </c>
      <c r="H883" s="1" t="s">
        <v>25</v>
      </c>
      <c r="I883" s="1" t="s">
        <v>23</v>
      </c>
      <c r="M883" s="1" t="b">
        <v>0</v>
      </c>
    </row>
    <row r="884" spans="4:13">
      <c r="D884" s="1" t="s">
        <v>190</v>
      </c>
      <c r="E884" s="1" t="s">
        <v>81</v>
      </c>
      <c r="H884" s="1" t="s">
        <v>25</v>
      </c>
      <c r="I884" s="1" t="s">
        <v>23</v>
      </c>
      <c r="M884" s="1" t="b">
        <v>0</v>
      </c>
    </row>
    <row r="885" spans="4:13">
      <c r="D885" s="1" t="s">
        <v>190</v>
      </c>
      <c r="E885" s="1" t="s">
        <v>82</v>
      </c>
      <c r="H885" s="1" t="s">
        <v>22</v>
      </c>
      <c r="I885" s="1" t="s">
        <v>23</v>
      </c>
      <c r="J885" s="1">
        <v>-1</v>
      </c>
      <c r="K885" s="1">
        <v>3</v>
      </c>
      <c r="L885" s="1">
        <v>1</v>
      </c>
      <c r="M885" s="1">
        <v>1.01</v>
      </c>
    </row>
    <row r="886" spans="4:13">
      <c r="D886" s="1" t="s">
        <v>191</v>
      </c>
      <c r="E886" s="1" t="s">
        <v>28</v>
      </c>
      <c r="H886" s="1" t="s">
        <v>22</v>
      </c>
      <c r="I886" s="1" t="s">
        <v>29</v>
      </c>
      <c r="J886" s="1">
        <v>34000</v>
      </c>
      <c r="K886" s="1">
        <v>4300000</v>
      </c>
      <c r="L886" s="1">
        <v>349660</v>
      </c>
    </row>
    <row r="887" spans="4:13">
      <c r="D887" s="1" t="s">
        <v>191</v>
      </c>
      <c r="E887" s="1" t="s">
        <v>30</v>
      </c>
      <c r="H887" s="1" t="s">
        <v>22</v>
      </c>
      <c r="I887" s="1" t="s">
        <v>29</v>
      </c>
      <c r="J887" s="1">
        <v>-3.94</v>
      </c>
      <c r="K887" s="1">
        <v>3.66</v>
      </c>
      <c r="L887" s="1">
        <v>1</v>
      </c>
    </row>
    <row r="888" spans="4:13">
      <c r="D888" s="1" t="s">
        <v>191</v>
      </c>
      <c r="E888" s="1" t="s">
        <v>31</v>
      </c>
      <c r="H888" s="1" t="s">
        <v>22</v>
      </c>
      <c r="I888" s="1" t="s">
        <v>29</v>
      </c>
      <c r="J888" s="1">
        <v>0</v>
      </c>
      <c r="K888" s="1">
        <v>100</v>
      </c>
      <c r="L888" s="1">
        <v>1</v>
      </c>
    </row>
    <row r="889" spans="4:13">
      <c r="D889" s="1" t="s">
        <v>191</v>
      </c>
      <c r="E889" s="1" t="s">
        <v>32</v>
      </c>
      <c r="H889" s="1" t="s">
        <v>22</v>
      </c>
      <c r="I889" s="1" t="s">
        <v>29</v>
      </c>
      <c r="J889" s="1">
        <v>-3.94</v>
      </c>
      <c r="K889" s="1">
        <v>3.66</v>
      </c>
      <c r="L889" s="1">
        <v>1</v>
      </c>
    </row>
    <row r="890" spans="4:13">
      <c r="D890" s="1" t="s">
        <v>191</v>
      </c>
      <c r="E890" s="1" t="s">
        <v>33</v>
      </c>
      <c r="H890" s="1" t="s">
        <v>25</v>
      </c>
      <c r="I890" s="1" t="s">
        <v>23</v>
      </c>
      <c r="M890" s="1" t="b">
        <v>0</v>
      </c>
    </row>
    <row r="891" spans="4:13">
      <c r="D891" s="1" t="s">
        <v>191</v>
      </c>
      <c r="E891" s="1" t="s">
        <v>34</v>
      </c>
      <c r="F891" s="1" t="s">
        <v>35</v>
      </c>
      <c r="G891" s="1" t="s">
        <v>36</v>
      </c>
      <c r="H891" s="1" t="s">
        <v>22</v>
      </c>
      <c r="I891" s="1" t="s">
        <v>23</v>
      </c>
      <c r="J891" s="1">
        <v>-459.67</v>
      </c>
      <c r="K891" s="1">
        <v>980.32999999999993</v>
      </c>
      <c r="L891" s="1">
        <v>80.329999999999984</v>
      </c>
      <c r="M891" s="1">
        <v>67.999999999999943</v>
      </c>
    </row>
    <row r="892" spans="4:13">
      <c r="D892" s="1" t="s">
        <v>191</v>
      </c>
      <c r="E892" s="1" t="s">
        <v>37</v>
      </c>
      <c r="H892" s="1" t="s">
        <v>25</v>
      </c>
      <c r="I892" s="1" t="s">
        <v>23</v>
      </c>
      <c r="M892" s="1" t="b">
        <v>0</v>
      </c>
    </row>
    <row r="893" spans="4:13">
      <c r="D893" s="1" t="s">
        <v>191</v>
      </c>
      <c r="E893" s="1" t="s">
        <v>38</v>
      </c>
      <c r="F893" s="1" t="s">
        <v>35</v>
      </c>
      <c r="G893" s="1" t="s">
        <v>36</v>
      </c>
      <c r="H893" s="1" t="s">
        <v>22</v>
      </c>
      <c r="I893" s="1" t="s">
        <v>23</v>
      </c>
      <c r="J893" s="1">
        <v>-99.670000000000016</v>
      </c>
      <c r="K893" s="1">
        <v>980.32999999999993</v>
      </c>
      <c r="L893" s="1">
        <v>80.329999999999984</v>
      </c>
      <c r="M893" s="1">
        <v>13.999999999999943</v>
      </c>
    </row>
    <row r="894" spans="4:13">
      <c r="D894" s="1" t="s">
        <v>191</v>
      </c>
      <c r="E894" s="1" t="s">
        <v>39</v>
      </c>
      <c r="H894" s="1" t="s">
        <v>25</v>
      </c>
      <c r="I894" s="1" t="s">
        <v>23</v>
      </c>
      <c r="M894" s="1" t="b">
        <v>0</v>
      </c>
    </row>
    <row r="895" spans="4:13">
      <c r="D895" s="1" t="s">
        <v>191</v>
      </c>
      <c r="E895" s="1" t="s">
        <v>40</v>
      </c>
      <c r="F895" s="1" t="s">
        <v>41</v>
      </c>
      <c r="G895" s="1" t="s">
        <v>42</v>
      </c>
      <c r="H895" s="1" t="s">
        <v>22</v>
      </c>
      <c r="I895" s="1" t="s">
        <v>23</v>
      </c>
      <c r="J895" s="1">
        <v>-900</v>
      </c>
      <c r="K895" s="1">
        <v>900</v>
      </c>
      <c r="L895" s="1">
        <v>1.8</v>
      </c>
      <c r="M895" s="1">
        <v>9</v>
      </c>
    </row>
    <row r="896" spans="4:13">
      <c r="D896" s="1" t="s">
        <v>191</v>
      </c>
      <c r="E896" s="1" t="s">
        <v>43</v>
      </c>
      <c r="H896" s="1" t="s">
        <v>25</v>
      </c>
      <c r="I896" s="1" t="s">
        <v>23</v>
      </c>
      <c r="M896" s="1" t="b">
        <v>0</v>
      </c>
    </row>
    <row r="897" spans="4:13">
      <c r="D897" s="1" t="s">
        <v>191</v>
      </c>
      <c r="E897" s="1" t="s">
        <v>44</v>
      </c>
      <c r="F897" s="1" t="s">
        <v>45</v>
      </c>
      <c r="G897" s="1" t="s">
        <v>46</v>
      </c>
      <c r="H897" s="1" t="s">
        <v>22</v>
      </c>
      <c r="I897" s="1" t="s">
        <v>23</v>
      </c>
      <c r="J897" s="1">
        <v>-85.984522757427143</v>
      </c>
      <c r="K897" s="1">
        <v>8598.4522757427148</v>
      </c>
      <c r="L897" s="1">
        <v>114.79148749423418</v>
      </c>
      <c r="M897" s="1">
        <v>128.97678413614071</v>
      </c>
    </row>
    <row r="898" spans="4:13">
      <c r="D898" s="1" t="s">
        <v>191</v>
      </c>
      <c r="E898" s="1" t="s">
        <v>47</v>
      </c>
      <c r="H898" s="1" t="s">
        <v>25</v>
      </c>
      <c r="I898" s="1" t="s">
        <v>23</v>
      </c>
      <c r="M898" s="1" t="b">
        <v>0</v>
      </c>
    </row>
    <row r="899" spans="4:13">
      <c r="D899" s="1" t="s">
        <v>191</v>
      </c>
      <c r="E899" s="1" t="s">
        <v>48</v>
      </c>
      <c r="H899" s="1" t="s">
        <v>25</v>
      </c>
      <c r="I899" s="1" t="s">
        <v>23</v>
      </c>
      <c r="M899" s="1" t="b">
        <v>0</v>
      </c>
    </row>
    <row r="900" spans="4:13">
      <c r="D900" s="1" t="s">
        <v>191</v>
      </c>
      <c r="E900" s="1" t="s">
        <v>49</v>
      </c>
      <c r="H900" s="1" t="s">
        <v>25</v>
      </c>
      <c r="I900" s="1" t="s">
        <v>23</v>
      </c>
      <c r="M900" s="1" t="b">
        <v>0</v>
      </c>
    </row>
    <row r="901" spans="4:13">
      <c r="D901" s="1" t="s">
        <v>191</v>
      </c>
      <c r="E901" s="1" t="s">
        <v>50</v>
      </c>
      <c r="H901" s="1" t="s">
        <v>25</v>
      </c>
      <c r="I901" s="1" t="s">
        <v>23</v>
      </c>
      <c r="M901" s="1" t="b">
        <v>0</v>
      </c>
    </row>
    <row r="902" spans="4:13">
      <c r="D902" s="1" t="s">
        <v>191</v>
      </c>
      <c r="E902" s="1" t="s">
        <v>51</v>
      </c>
      <c r="F902" s="1" t="s">
        <v>52</v>
      </c>
      <c r="G902" s="1" t="s">
        <v>53</v>
      </c>
      <c r="H902" s="1" t="s">
        <v>22</v>
      </c>
      <c r="I902" s="1" t="s">
        <v>23</v>
      </c>
      <c r="J902" s="1">
        <v>0</v>
      </c>
      <c r="K902" s="1">
        <v>7936641438.6555996</v>
      </c>
      <c r="L902" s="1">
        <v>7936.6414386555998</v>
      </c>
      <c r="M902" s="1">
        <v>7936.6414386555998</v>
      </c>
    </row>
    <row r="903" spans="4:13">
      <c r="D903" s="1" t="s">
        <v>191</v>
      </c>
      <c r="E903" s="1" t="s">
        <v>54</v>
      </c>
      <c r="H903" s="1" t="s">
        <v>25</v>
      </c>
      <c r="I903" s="1" t="s">
        <v>23</v>
      </c>
      <c r="M903" s="1" t="b">
        <v>0</v>
      </c>
    </row>
    <row r="904" spans="4:13">
      <c r="D904" s="1" t="s">
        <v>191</v>
      </c>
      <c r="E904" s="1" t="s">
        <v>55</v>
      </c>
      <c r="F904" s="1" t="s">
        <v>56</v>
      </c>
      <c r="G904" s="1" t="s">
        <v>57</v>
      </c>
      <c r="H904" s="1" t="s">
        <v>22</v>
      </c>
      <c r="I904" s="1" t="s">
        <v>23</v>
      </c>
      <c r="J904" s="1">
        <v>0</v>
      </c>
      <c r="K904" s="1">
        <v>9427.4529524635982</v>
      </c>
      <c r="L904" s="1">
        <v>50.713895374744951</v>
      </c>
      <c r="M904" s="1">
        <v>50.763208205573221</v>
      </c>
    </row>
    <row r="905" spans="4:13">
      <c r="D905" s="1" t="s">
        <v>191</v>
      </c>
      <c r="E905" s="1" t="s">
        <v>58</v>
      </c>
      <c r="H905" s="1" t="s">
        <v>25</v>
      </c>
      <c r="I905" s="1" t="s">
        <v>23</v>
      </c>
      <c r="M905" s="1" t="b">
        <v>0</v>
      </c>
    </row>
    <row r="906" spans="4:13">
      <c r="D906" s="1" t="s">
        <v>191</v>
      </c>
      <c r="E906" s="1" t="s">
        <v>59</v>
      </c>
      <c r="F906" s="1" t="s">
        <v>60</v>
      </c>
      <c r="G906" s="1" t="s">
        <v>61</v>
      </c>
      <c r="H906" s="1" t="s">
        <v>22</v>
      </c>
      <c r="I906" s="1" t="s">
        <v>23</v>
      </c>
      <c r="J906" s="1">
        <v>-9.5538358650799999</v>
      </c>
      <c r="K906" s="1">
        <v>9.5538358650799999</v>
      </c>
      <c r="L906" s="1">
        <v>0.23884589662700001</v>
      </c>
      <c r="M906" s="1">
        <v>0.23884589662700001</v>
      </c>
    </row>
    <row r="907" spans="4:13">
      <c r="D907" s="1" t="s">
        <v>191</v>
      </c>
      <c r="E907" s="1" t="s">
        <v>62</v>
      </c>
      <c r="H907" s="1" t="s">
        <v>63</v>
      </c>
      <c r="I907" s="1" t="s">
        <v>23</v>
      </c>
      <c r="M907" s="1">
        <v>1</v>
      </c>
    </row>
    <row r="908" spans="4:13">
      <c r="D908" s="1" t="s">
        <v>191</v>
      </c>
      <c r="E908" s="1" t="s">
        <v>64</v>
      </c>
      <c r="F908" s="1" t="s">
        <v>35</v>
      </c>
      <c r="G908" s="1" t="s">
        <v>36</v>
      </c>
      <c r="H908" s="1" t="s">
        <v>22</v>
      </c>
      <c r="I908" s="1" t="s">
        <v>65</v>
      </c>
      <c r="J908" s="1">
        <v>-459.67</v>
      </c>
      <c r="L908" s="1">
        <v>80.329999999999984</v>
      </c>
    </row>
    <row r="909" spans="4:13">
      <c r="D909" s="1" t="s">
        <v>191</v>
      </c>
      <c r="E909" s="1" t="s">
        <v>66</v>
      </c>
      <c r="F909" s="1" t="s">
        <v>35</v>
      </c>
      <c r="G909" s="1" t="s">
        <v>36</v>
      </c>
      <c r="H909" s="1" t="s">
        <v>22</v>
      </c>
      <c r="I909" s="1" t="s">
        <v>65</v>
      </c>
      <c r="J909" s="1">
        <v>-459.67</v>
      </c>
      <c r="L909" s="1">
        <v>80.329999999999984</v>
      </c>
    </row>
    <row r="910" spans="4:13">
      <c r="D910" s="1" t="s">
        <v>191</v>
      </c>
      <c r="E910" s="1" t="s">
        <v>67</v>
      </c>
      <c r="F910" s="1" t="s">
        <v>41</v>
      </c>
      <c r="G910" s="1" t="s">
        <v>42</v>
      </c>
      <c r="H910" s="1" t="s">
        <v>22</v>
      </c>
      <c r="I910" s="1" t="s">
        <v>65</v>
      </c>
      <c r="L910" s="1">
        <v>1.8</v>
      </c>
    </row>
    <row r="911" spans="4:13">
      <c r="D911" s="1" t="s">
        <v>191</v>
      </c>
      <c r="E911" s="1" t="s">
        <v>68</v>
      </c>
      <c r="F911" s="1" t="s">
        <v>45</v>
      </c>
      <c r="G911" s="1" t="s">
        <v>46</v>
      </c>
      <c r="H911" s="1" t="s">
        <v>22</v>
      </c>
      <c r="I911" s="1" t="s">
        <v>65</v>
      </c>
      <c r="L911" s="1">
        <v>4.2992261378713571E-4</v>
      </c>
    </row>
    <row r="912" spans="4:13">
      <c r="D912" s="1" t="s">
        <v>191</v>
      </c>
      <c r="E912" s="1" t="s">
        <v>69</v>
      </c>
      <c r="H912" s="1" t="s">
        <v>25</v>
      </c>
      <c r="I912" s="1" t="s">
        <v>70</v>
      </c>
    </row>
    <row r="913" spans="4:13">
      <c r="D913" s="1" t="s">
        <v>191</v>
      </c>
      <c r="E913" s="1" t="s">
        <v>71</v>
      </c>
      <c r="F913" s="1" t="s">
        <v>52</v>
      </c>
      <c r="G913" s="1" t="s">
        <v>53</v>
      </c>
      <c r="H913" s="1" t="s">
        <v>22</v>
      </c>
      <c r="I913" s="1" t="s">
        <v>65</v>
      </c>
      <c r="L913" s="1">
        <v>7936.6414386555998</v>
      </c>
    </row>
    <row r="914" spans="4:13">
      <c r="D914" s="1" t="s">
        <v>191</v>
      </c>
      <c r="E914" s="1" t="s">
        <v>72</v>
      </c>
      <c r="F914" s="1" t="s">
        <v>56</v>
      </c>
      <c r="G914" s="1" t="s">
        <v>57</v>
      </c>
      <c r="H914" s="1" t="s">
        <v>22</v>
      </c>
      <c r="I914" s="1" t="s">
        <v>65</v>
      </c>
      <c r="J914" s="1">
        <v>0</v>
      </c>
      <c r="L914" s="1">
        <v>14.503773773020921</v>
      </c>
    </row>
    <row r="915" spans="4:13">
      <c r="D915" s="1" t="s">
        <v>191</v>
      </c>
      <c r="E915" s="1" t="s">
        <v>73</v>
      </c>
      <c r="F915" s="1" t="s">
        <v>60</v>
      </c>
      <c r="G915" s="1" t="s">
        <v>61</v>
      </c>
      <c r="H915" s="1" t="s">
        <v>22</v>
      </c>
      <c r="I915" s="1" t="s">
        <v>65</v>
      </c>
      <c r="L915" s="1">
        <v>2.38845896627E-4</v>
      </c>
    </row>
    <row r="916" spans="4:13">
      <c r="D916" s="1" t="s">
        <v>191</v>
      </c>
      <c r="E916" s="1" t="s">
        <v>74</v>
      </c>
      <c r="F916" s="1" t="s">
        <v>75</v>
      </c>
      <c r="G916" s="1" t="s">
        <v>76</v>
      </c>
      <c r="H916" s="1" t="s">
        <v>22</v>
      </c>
      <c r="I916" s="1" t="s">
        <v>65</v>
      </c>
      <c r="J916" s="1">
        <v>0</v>
      </c>
      <c r="L916" s="1">
        <v>16.018463521800001</v>
      </c>
    </row>
    <row r="917" spans="4:13">
      <c r="D917" s="1" t="s">
        <v>191</v>
      </c>
      <c r="E917" s="1" t="s">
        <v>77</v>
      </c>
      <c r="H917" s="1" t="s">
        <v>22</v>
      </c>
      <c r="I917" s="1" t="s">
        <v>65</v>
      </c>
      <c r="L917" s="1">
        <v>1</v>
      </c>
    </row>
    <row r="918" spans="4:13">
      <c r="D918" s="1" t="s">
        <v>191</v>
      </c>
      <c r="E918" s="1" t="s">
        <v>78</v>
      </c>
      <c r="H918" s="1" t="s">
        <v>25</v>
      </c>
      <c r="I918" s="1" t="s">
        <v>23</v>
      </c>
      <c r="M918" s="1" t="b">
        <v>0</v>
      </c>
    </row>
    <row r="919" spans="4:13">
      <c r="D919" s="1" t="s">
        <v>191</v>
      </c>
      <c r="E919" s="1" t="s">
        <v>79</v>
      </c>
      <c r="F919" s="1" t="s">
        <v>75</v>
      </c>
      <c r="G919" s="1" t="s">
        <v>76</v>
      </c>
      <c r="H919" s="1" t="s">
        <v>22</v>
      </c>
      <c r="I919" s="1" t="s">
        <v>23</v>
      </c>
      <c r="J919" s="1">
        <v>0</v>
      </c>
      <c r="K919" s="1">
        <v>96.110781130800007</v>
      </c>
      <c r="L919" s="1">
        <v>16.018463521800001</v>
      </c>
      <c r="M919" s="1">
        <v>1.6018463521800002</v>
      </c>
    </row>
    <row r="920" spans="4:13">
      <c r="D920" s="1" t="s">
        <v>191</v>
      </c>
      <c r="E920" s="1" t="s">
        <v>80</v>
      </c>
      <c r="H920" s="1" t="s">
        <v>25</v>
      </c>
      <c r="I920" s="1" t="s">
        <v>23</v>
      </c>
      <c r="M920" s="1" t="b">
        <v>0</v>
      </c>
    </row>
    <row r="921" spans="4:13">
      <c r="D921" s="1" t="s">
        <v>191</v>
      </c>
      <c r="E921" s="1" t="s">
        <v>81</v>
      </c>
      <c r="H921" s="1" t="s">
        <v>25</v>
      </c>
      <c r="I921" s="1" t="s">
        <v>23</v>
      </c>
      <c r="M921" s="1" t="b">
        <v>0</v>
      </c>
    </row>
    <row r="922" spans="4:13">
      <c r="D922" s="1" t="s">
        <v>191</v>
      </c>
      <c r="E922" s="1" t="s">
        <v>82</v>
      </c>
      <c r="H922" s="1" t="s">
        <v>22</v>
      </c>
      <c r="I922" s="1" t="s">
        <v>23</v>
      </c>
      <c r="J922" s="1">
        <v>-1</v>
      </c>
      <c r="K922" s="1">
        <v>3</v>
      </c>
      <c r="L922" s="1">
        <v>1</v>
      </c>
      <c r="M922" s="1">
        <v>1.01</v>
      </c>
    </row>
    <row r="923" spans="4:13">
      <c r="D923" s="1" t="s">
        <v>192</v>
      </c>
      <c r="E923" s="1" t="s">
        <v>171</v>
      </c>
      <c r="H923" s="1" t="s">
        <v>22</v>
      </c>
      <c r="I923" s="1" t="s">
        <v>23</v>
      </c>
      <c r="L923" s="1">
        <v>1</v>
      </c>
      <c r="M923" s="1">
        <v>3.0558000000000001</v>
      </c>
    </row>
    <row r="924" spans="4:13">
      <c r="D924" s="1" t="s">
        <v>192</v>
      </c>
      <c r="E924" s="1" t="s">
        <v>172</v>
      </c>
      <c r="H924" s="1" t="s">
        <v>22</v>
      </c>
      <c r="I924" s="1" t="s">
        <v>29</v>
      </c>
      <c r="J924" s="1">
        <v>0</v>
      </c>
      <c r="K924" s="1">
        <v>10000</v>
      </c>
      <c r="L924" s="1">
        <v>5000</v>
      </c>
    </row>
    <row r="925" spans="4:13">
      <c r="D925" s="1" t="s">
        <v>192</v>
      </c>
      <c r="E925" s="1" t="s">
        <v>173</v>
      </c>
      <c r="H925" s="1" t="s">
        <v>22</v>
      </c>
      <c r="I925" s="1" t="s">
        <v>29</v>
      </c>
      <c r="J925" s="1">
        <v>9.9999999999999995E-7</v>
      </c>
      <c r="K925" s="1">
        <v>0.01</v>
      </c>
      <c r="L925" s="1">
        <v>5.0004999999999997E-3</v>
      </c>
    </row>
    <row r="926" spans="4:13">
      <c r="D926" s="1" t="s">
        <v>192</v>
      </c>
      <c r="E926" s="1" t="s">
        <v>174</v>
      </c>
      <c r="H926" s="1" t="s">
        <v>25</v>
      </c>
      <c r="I926" s="1" t="s">
        <v>23</v>
      </c>
      <c r="M926" s="1" t="b">
        <v>1</v>
      </c>
    </row>
    <row r="927" spans="4:13">
      <c r="D927" s="1" t="s">
        <v>192</v>
      </c>
      <c r="E927" s="1" t="s">
        <v>175</v>
      </c>
      <c r="F927" s="1" t="s">
        <v>176</v>
      </c>
      <c r="G927" s="1" t="s">
        <v>177</v>
      </c>
      <c r="H927" s="1" t="s">
        <v>22</v>
      </c>
      <c r="I927" s="1" t="s">
        <v>23</v>
      </c>
      <c r="L927" s="1">
        <v>39.370078740157467</v>
      </c>
      <c r="M927" s="1">
        <v>2.4349999999999992</v>
      </c>
    </row>
    <row r="928" spans="4:13">
      <c r="D928" s="1" t="s">
        <v>192</v>
      </c>
      <c r="E928" s="1" t="s">
        <v>178</v>
      </c>
      <c r="H928" s="1" t="s">
        <v>25</v>
      </c>
      <c r="I928" s="1" t="s">
        <v>23</v>
      </c>
      <c r="M928" s="1" t="b">
        <v>0</v>
      </c>
    </row>
    <row r="929" spans="4:13">
      <c r="D929" s="1" t="s">
        <v>192</v>
      </c>
      <c r="E929" s="1" t="s">
        <v>111</v>
      </c>
      <c r="F929" s="1" t="s">
        <v>56</v>
      </c>
      <c r="G929" s="1" t="s">
        <v>57</v>
      </c>
      <c r="H929" s="1" t="s">
        <v>22</v>
      </c>
      <c r="I929" s="1" t="s">
        <v>23</v>
      </c>
      <c r="L929" s="1">
        <v>1.4503773773020921E-4</v>
      </c>
      <c r="M929" s="1">
        <v>7.2518868865104604E-3</v>
      </c>
    </row>
    <row r="930" spans="4:13">
      <c r="D930" s="1" t="s">
        <v>192</v>
      </c>
      <c r="E930" s="1" t="s">
        <v>179</v>
      </c>
      <c r="H930" s="1" t="s">
        <v>22</v>
      </c>
      <c r="I930" s="1" t="s">
        <v>23</v>
      </c>
      <c r="L930" s="1">
        <v>1</v>
      </c>
      <c r="M930" s="1">
        <v>10000</v>
      </c>
    </row>
    <row r="931" spans="4:13">
      <c r="D931" s="1" t="s">
        <v>192</v>
      </c>
      <c r="E931" s="1" t="s">
        <v>180</v>
      </c>
      <c r="H931" s="1" t="s">
        <v>181</v>
      </c>
      <c r="I931" s="1" t="s">
        <v>23</v>
      </c>
      <c r="J931" s="1">
        <v>1</v>
      </c>
      <c r="K931" s="1">
        <v>3</v>
      </c>
      <c r="M931" s="1" t="s">
        <v>182</v>
      </c>
    </row>
    <row r="932" spans="4:13">
      <c r="D932" s="1" t="s">
        <v>192</v>
      </c>
      <c r="E932" s="1" t="s">
        <v>47</v>
      </c>
      <c r="H932" s="1" t="s">
        <v>25</v>
      </c>
      <c r="I932" s="1" t="s">
        <v>23</v>
      </c>
      <c r="M932" s="1" t="b">
        <v>0</v>
      </c>
    </row>
    <row r="933" spans="4:13">
      <c r="D933" s="1" t="s">
        <v>192</v>
      </c>
      <c r="E933" s="1" t="s">
        <v>183</v>
      </c>
      <c r="H933" s="1" t="s">
        <v>25</v>
      </c>
      <c r="I933" s="1" t="s">
        <v>23</v>
      </c>
      <c r="M933" s="1" t="b">
        <v>1</v>
      </c>
    </row>
    <row r="934" spans="4:13">
      <c r="D934" s="1" t="s">
        <v>192</v>
      </c>
      <c r="E934" s="1" t="s">
        <v>189</v>
      </c>
      <c r="H934" s="1" t="s">
        <v>22</v>
      </c>
      <c r="I934" s="1" t="s">
        <v>23</v>
      </c>
      <c r="L934" s="1">
        <v>1</v>
      </c>
      <c r="M934" s="1">
        <v>3.2400000000000001E-4</v>
      </c>
    </row>
    <row r="935" spans="4:13">
      <c r="D935" s="1" t="s">
        <v>192</v>
      </c>
      <c r="E935" s="1" t="s">
        <v>112</v>
      </c>
      <c r="F935" s="1" t="s">
        <v>56</v>
      </c>
      <c r="G935" s="1" t="s">
        <v>57</v>
      </c>
      <c r="H935" s="1" t="s">
        <v>22</v>
      </c>
      <c r="I935" s="1" t="s">
        <v>29</v>
      </c>
      <c r="J935" s="1">
        <v>4.9312830828271128</v>
      </c>
      <c r="K935" s="1">
        <v>623.66227223989961</v>
      </c>
      <c r="L935" s="1">
        <v>50.713895374744951</v>
      </c>
    </row>
    <row r="936" spans="4:13">
      <c r="D936" s="1" t="s">
        <v>192</v>
      </c>
      <c r="E936" s="1" t="s">
        <v>62</v>
      </c>
      <c r="H936" s="1" t="s">
        <v>63</v>
      </c>
      <c r="I936" s="1" t="s">
        <v>23</v>
      </c>
      <c r="M936" s="1">
        <v>1</v>
      </c>
    </row>
    <row r="937" spans="4:13">
      <c r="D937" s="1" t="s">
        <v>192</v>
      </c>
      <c r="E937" s="1" t="s">
        <v>184</v>
      </c>
      <c r="H937" s="1" t="s">
        <v>22</v>
      </c>
      <c r="I937" s="1" t="s">
        <v>120</v>
      </c>
      <c r="L937" s="1">
        <v>1</v>
      </c>
    </row>
    <row r="938" spans="4:13">
      <c r="D938" s="1" t="s">
        <v>192</v>
      </c>
      <c r="E938" s="1" t="s">
        <v>185</v>
      </c>
      <c r="F938" s="1" t="s">
        <v>176</v>
      </c>
      <c r="G938" s="1" t="s">
        <v>177</v>
      </c>
      <c r="H938" s="1" t="s">
        <v>22</v>
      </c>
      <c r="I938" s="1" t="s">
        <v>65</v>
      </c>
      <c r="L938" s="1">
        <v>39.370078740157467</v>
      </c>
    </row>
    <row r="939" spans="4:13">
      <c r="D939" s="1" t="s">
        <v>192</v>
      </c>
      <c r="E939" s="1" t="s">
        <v>115</v>
      </c>
      <c r="F939" s="1" t="s">
        <v>56</v>
      </c>
      <c r="G939" s="1" t="s">
        <v>57</v>
      </c>
      <c r="H939" s="1" t="s">
        <v>22</v>
      </c>
      <c r="I939" s="1" t="s">
        <v>65</v>
      </c>
      <c r="L939" s="1">
        <v>1.4503773773020921E-4</v>
      </c>
    </row>
    <row r="940" spans="4:13">
      <c r="D940" s="1" t="s">
        <v>192</v>
      </c>
      <c r="E940" s="1" t="s">
        <v>69</v>
      </c>
      <c r="H940" s="1" t="s">
        <v>25</v>
      </c>
      <c r="I940" s="1" t="s">
        <v>70</v>
      </c>
    </row>
    <row r="941" spans="4:13">
      <c r="D941" s="1" t="s">
        <v>192</v>
      </c>
      <c r="E941" s="1" t="s">
        <v>186</v>
      </c>
      <c r="H941" s="1" t="s">
        <v>22</v>
      </c>
      <c r="I941" s="1" t="s">
        <v>65</v>
      </c>
      <c r="L941" s="1">
        <v>1</v>
      </c>
    </row>
    <row r="942" spans="4:13">
      <c r="D942" s="1" t="s">
        <v>192</v>
      </c>
      <c r="E942" s="1" t="s">
        <v>71</v>
      </c>
      <c r="F942" s="1" t="s">
        <v>52</v>
      </c>
      <c r="G942" s="1" t="s">
        <v>53</v>
      </c>
      <c r="H942" s="1" t="s">
        <v>22</v>
      </c>
      <c r="I942" s="1" t="s">
        <v>65</v>
      </c>
      <c r="L942" s="1">
        <v>7936.6414386555998</v>
      </c>
    </row>
    <row r="943" spans="4:13">
      <c r="D943" s="1" t="s">
        <v>192</v>
      </c>
      <c r="E943" s="1" t="s">
        <v>117</v>
      </c>
      <c r="F943" s="1" t="s">
        <v>118</v>
      </c>
      <c r="G943" s="1" t="s">
        <v>119</v>
      </c>
      <c r="H943" s="1" t="s">
        <v>22</v>
      </c>
      <c r="I943" s="1" t="s">
        <v>120</v>
      </c>
      <c r="J943" s="1">
        <v>0</v>
      </c>
      <c r="L943" s="1">
        <v>2.20462262185</v>
      </c>
    </row>
    <row r="944" spans="4:13">
      <c r="D944" s="1" t="s">
        <v>192</v>
      </c>
      <c r="E944" s="1" t="s">
        <v>123</v>
      </c>
      <c r="F944" s="1" t="s">
        <v>124</v>
      </c>
      <c r="G944" s="1" t="s">
        <v>125</v>
      </c>
      <c r="H944" s="1" t="s">
        <v>22</v>
      </c>
      <c r="I944" s="1" t="s">
        <v>120</v>
      </c>
      <c r="L944" s="1">
        <v>35.314666699999997</v>
      </c>
    </row>
    <row r="945" spans="4:13">
      <c r="D945" s="1" t="s">
        <v>192</v>
      </c>
      <c r="E945" s="1" t="s">
        <v>126</v>
      </c>
      <c r="H945" s="1" t="s">
        <v>22</v>
      </c>
      <c r="I945" s="1" t="s">
        <v>65</v>
      </c>
      <c r="L945" s="1">
        <v>1</v>
      </c>
    </row>
    <row r="946" spans="4:13">
      <c r="D946" s="1" t="s">
        <v>193</v>
      </c>
      <c r="E946" s="1" t="s">
        <v>28</v>
      </c>
      <c r="H946" s="1" t="s">
        <v>22</v>
      </c>
      <c r="I946" s="1" t="s">
        <v>29</v>
      </c>
      <c r="J946" s="1">
        <v>34000</v>
      </c>
      <c r="K946" s="1">
        <v>4300000</v>
      </c>
      <c r="L946" s="1">
        <v>349660</v>
      </c>
    </row>
    <row r="947" spans="4:13">
      <c r="D947" s="1" t="s">
        <v>193</v>
      </c>
      <c r="E947" s="1" t="s">
        <v>30</v>
      </c>
      <c r="H947" s="1" t="s">
        <v>22</v>
      </c>
      <c r="I947" s="1" t="s">
        <v>29</v>
      </c>
      <c r="J947" s="1">
        <v>-3.94</v>
      </c>
      <c r="K947" s="1">
        <v>3.66</v>
      </c>
      <c r="L947" s="1">
        <v>1</v>
      </c>
    </row>
    <row r="948" spans="4:13">
      <c r="D948" s="1" t="s">
        <v>193</v>
      </c>
      <c r="E948" s="1" t="s">
        <v>31</v>
      </c>
      <c r="H948" s="1" t="s">
        <v>22</v>
      </c>
      <c r="I948" s="1" t="s">
        <v>29</v>
      </c>
      <c r="J948" s="1">
        <v>0</v>
      </c>
      <c r="K948" s="1">
        <v>100</v>
      </c>
      <c r="L948" s="1">
        <v>1</v>
      </c>
    </row>
    <row r="949" spans="4:13">
      <c r="D949" s="1" t="s">
        <v>193</v>
      </c>
      <c r="E949" s="1" t="s">
        <v>32</v>
      </c>
      <c r="H949" s="1" t="s">
        <v>22</v>
      </c>
      <c r="I949" s="1" t="s">
        <v>29</v>
      </c>
      <c r="J949" s="1">
        <v>-3.94</v>
      </c>
      <c r="K949" s="1">
        <v>3.66</v>
      </c>
      <c r="L949" s="1">
        <v>1</v>
      </c>
    </row>
    <row r="950" spans="4:13">
      <c r="D950" s="1" t="s">
        <v>193</v>
      </c>
      <c r="E950" s="1" t="s">
        <v>33</v>
      </c>
      <c r="H950" s="1" t="s">
        <v>25</v>
      </c>
      <c r="I950" s="1" t="s">
        <v>23</v>
      </c>
      <c r="M950" s="1" t="b">
        <v>0</v>
      </c>
    </row>
    <row r="951" spans="4:13">
      <c r="D951" s="1" t="s">
        <v>193</v>
      </c>
      <c r="E951" s="1" t="s">
        <v>34</v>
      </c>
      <c r="F951" s="1" t="s">
        <v>35</v>
      </c>
      <c r="G951" s="1" t="s">
        <v>36</v>
      </c>
      <c r="H951" s="1" t="s">
        <v>22</v>
      </c>
      <c r="I951" s="1" t="s">
        <v>23</v>
      </c>
      <c r="J951" s="1">
        <v>-459.67</v>
      </c>
      <c r="K951" s="1">
        <v>980.32999999999993</v>
      </c>
      <c r="L951" s="1">
        <v>80.329999999999984</v>
      </c>
      <c r="M951" s="1">
        <v>67.999999999999943</v>
      </c>
    </row>
    <row r="952" spans="4:13">
      <c r="D952" s="1" t="s">
        <v>193</v>
      </c>
      <c r="E952" s="1" t="s">
        <v>37</v>
      </c>
      <c r="H952" s="1" t="s">
        <v>25</v>
      </c>
      <c r="I952" s="1" t="s">
        <v>23</v>
      </c>
      <c r="M952" s="1" t="b">
        <v>0</v>
      </c>
    </row>
    <row r="953" spans="4:13">
      <c r="D953" s="1" t="s">
        <v>193</v>
      </c>
      <c r="E953" s="1" t="s">
        <v>38</v>
      </c>
      <c r="F953" s="1" t="s">
        <v>35</v>
      </c>
      <c r="G953" s="1" t="s">
        <v>36</v>
      </c>
      <c r="H953" s="1" t="s">
        <v>22</v>
      </c>
      <c r="I953" s="1" t="s">
        <v>23</v>
      </c>
      <c r="J953" s="1">
        <v>-99.670000000000016</v>
      </c>
      <c r="K953" s="1">
        <v>980.32999999999993</v>
      </c>
      <c r="L953" s="1">
        <v>80.329999999999984</v>
      </c>
      <c r="M953" s="1">
        <v>13.999999999999943</v>
      </c>
    </row>
    <row r="954" spans="4:13">
      <c r="D954" s="1" t="s">
        <v>193</v>
      </c>
      <c r="E954" s="1" t="s">
        <v>39</v>
      </c>
      <c r="H954" s="1" t="s">
        <v>25</v>
      </c>
      <c r="I954" s="1" t="s">
        <v>23</v>
      </c>
      <c r="M954" s="1" t="b">
        <v>0</v>
      </c>
    </row>
    <row r="955" spans="4:13">
      <c r="D955" s="1" t="s">
        <v>193</v>
      </c>
      <c r="E955" s="1" t="s">
        <v>40</v>
      </c>
      <c r="F955" s="1" t="s">
        <v>41</v>
      </c>
      <c r="G955" s="1" t="s">
        <v>42</v>
      </c>
      <c r="H955" s="1" t="s">
        <v>22</v>
      </c>
      <c r="I955" s="1" t="s">
        <v>23</v>
      </c>
      <c r="J955" s="1">
        <v>-900</v>
      </c>
      <c r="K955" s="1">
        <v>900</v>
      </c>
      <c r="L955" s="1">
        <v>1.8</v>
      </c>
      <c r="M955" s="1">
        <v>9</v>
      </c>
    </row>
    <row r="956" spans="4:13">
      <c r="D956" s="1" t="s">
        <v>193</v>
      </c>
      <c r="E956" s="1" t="s">
        <v>43</v>
      </c>
      <c r="H956" s="1" t="s">
        <v>25</v>
      </c>
      <c r="I956" s="1" t="s">
        <v>23</v>
      </c>
      <c r="M956" s="1" t="b">
        <v>0</v>
      </c>
    </row>
    <row r="957" spans="4:13">
      <c r="D957" s="1" t="s">
        <v>193</v>
      </c>
      <c r="E957" s="1" t="s">
        <v>44</v>
      </c>
      <c r="F957" s="1" t="s">
        <v>45</v>
      </c>
      <c r="G957" s="1" t="s">
        <v>46</v>
      </c>
      <c r="H957" s="1" t="s">
        <v>22</v>
      </c>
      <c r="I957" s="1" t="s">
        <v>23</v>
      </c>
      <c r="J957" s="1">
        <v>-85.984522757427143</v>
      </c>
      <c r="K957" s="1">
        <v>8598.4522757427148</v>
      </c>
      <c r="L957" s="1">
        <v>114.79148749423418</v>
      </c>
      <c r="M957" s="1">
        <v>128.97678413614071</v>
      </c>
    </row>
    <row r="958" spans="4:13">
      <c r="D958" s="1" t="s">
        <v>193</v>
      </c>
      <c r="E958" s="1" t="s">
        <v>47</v>
      </c>
      <c r="H958" s="1" t="s">
        <v>25</v>
      </c>
      <c r="I958" s="1" t="s">
        <v>23</v>
      </c>
      <c r="M958" s="1" t="b">
        <v>0</v>
      </c>
    </row>
    <row r="959" spans="4:13">
      <c r="D959" s="1" t="s">
        <v>193</v>
      </c>
      <c r="E959" s="1" t="s">
        <v>48</v>
      </c>
      <c r="H959" s="1" t="s">
        <v>25</v>
      </c>
      <c r="I959" s="1" t="s">
        <v>23</v>
      </c>
      <c r="M959" s="1" t="b">
        <v>0</v>
      </c>
    </row>
    <row r="960" spans="4:13">
      <c r="D960" s="1" t="s">
        <v>193</v>
      </c>
      <c r="E960" s="1" t="s">
        <v>49</v>
      </c>
      <c r="H960" s="1" t="s">
        <v>25</v>
      </c>
      <c r="I960" s="1" t="s">
        <v>23</v>
      </c>
      <c r="M960" s="1" t="b">
        <v>0</v>
      </c>
    </row>
    <row r="961" spans="4:13">
      <c r="D961" s="1" t="s">
        <v>193</v>
      </c>
      <c r="E961" s="1" t="s">
        <v>50</v>
      </c>
      <c r="H961" s="1" t="s">
        <v>25</v>
      </c>
      <c r="I961" s="1" t="s">
        <v>23</v>
      </c>
      <c r="M961" s="1" t="b">
        <v>0</v>
      </c>
    </row>
    <row r="962" spans="4:13">
      <c r="D962" s="1" t="s">
        <v>193</v>
      </c>
      <c r="E962" s="1" t="s">
        <v>51</v>
      </c>
      <c r="F962" s="1" t="s">
        <v>52</v>
      </c>
      <c r="G962" s="1" t="s">
        <v>53</v>
      </c>
      <c r="H962" s="1" t="s">
        <v>22</v>
      </c>
      <c r="I962" s="1" t="s">
        <v>23</v>
      </c>
      <c r="J962" s="1">
        <v>0</v>
      </c>
      <c r="K962" s="1">
        <v>7936641438.6555996</v>
      </c>
      <c r="L962" s="1">
        <v>7936.6414386555998</v>
      </c>
      <c r="M962" s="1">
        <v>7936.6414386555998</v>
      </c>
    </row>
    <row r="963" spans="4:13">
      <c r="D963" s="1" t="s">
        <v>193</v>
      </c>
      <c r="E963" s="1" t="s">
        <v>54</v>
      </c>
      <c r="H963" s="1" t="s">
        <v>25</v>
      </c>
      <c r="I963" s="1" t="s">
        <v>23</v>
      </c>
      <c r="M963" s="1" t="b">
        <v>0</v>
      </c>
    </row>
    <row r="964" spans="4:13">
      <c r="D964" s="1" t="s">
        <v>193</v>
      </c>
      <c r="E964" s="1" t="s">
        <v>55</v>
      </c>
      <c r="F964" s="1" t="s">
        <v>56</v>
      </c>
      <c r="G964" s="1" t="s">
        <v>57</v>
      </c>
      <c r="H964" s="1" t="s">
        <v>22</v>
      </c>
      <c r="I964" s="1" t="s">
        <v>23</v>
      </c>
      <c r="J964" s="1">
        <v>0</v>
      </c>
      <c r="K964" s="1">
        <v>9427.4529524635982</v>
      </c>
      <c r="L964" s="1">
        <v>50.713895374744951</v>
      </c>
      <c r="M964" s="1">
        <v>50.763208205573221</v>
      </c>
    </row>
    <row r="965" spans="4:13">
      <c r="D965" s="1" t="s">
        <v>193</v>
      </c>
      <c r="E965" s="1" t="s">
        <v>58</v>
      </c>
      <c r="H965" s="1" t="s">
        <v>25</v>
      </c>
      <c r="I965" s="1" t="s">
        <v>23</v>
      </c>
      <c r="M965" s="1" t="b">
        <v>0</v>
      </c>
    </row>
    <row r="966" spans="4:13">
      <c r="D966" s="1" t="s">
        <v>193</v>
      </c>
      <c r="E966" s="1" t="s">
        <v>59</v>
      </c>
      <c r="F966" s="1" t="s">
        <v>60</v>
      </c>
      <c r="G966" s="1" t="s">
        <v>61</v>
      </c>
      <c r="H966" s="1" t="s">
        <v>22</v>
      </c>
      <c r="I966" s="1" t="s">
        <v>23</v>
      </c>
      <c r="J966" s="1">
        <v>-9.5538358650799999</v>
      </c>
      <c r="K966" s="1">
        <v>9.5538358650799999</v>
      </c>
      <c r="L966" s="1">
        <v>0.23884589662700001</v>
      </c>
      <c r="M966" s="1">
        <v>0.23884589662700001</v>
      </c>
    </row>
    <row r="967" spans="4:13">
      <c r="D967" s="1" t="s">
        <v>193</v>
      </c>
      <c r="E967" s="1" t="s">
        <v>62</v>
      </c>
      <c r="H967" s="1" t="s">
        <v>63</v>
      </c>
      <c r="I967" s="1" t="s">
        <v>23</v>
      </c>
      <c r="M967" s="1">
        <v>1</v>
      </c>
    </row>
    <row r="968" spans="4:13">
      <c r="D968" s="1" t="s">
        <v>193</v>
      </c>
      <c r="E968" s="1" t="s">
        <v>64</v>
      </c>
      <c r="F968" s="1" t="s">
        <v>35</v>
      </c>
      <c r="G968" s="1" t="s">
        <v>36</v>
      </c>
      <c r="H968" s="1" t="s">
        <v>22</v>
      </c>
      <c r="I968" s="1" t="s">
        <v>65</v>
      </c>
      <c r="J968" s="1">
        <v>-459.67</v>
      </c>
      <c r="L968" s="1">
        <v>80.329999999999984</v>
      </c>
    </row>
    <row r="969" spans="4:13">
      <c r="D969" s="1" t="s">
        <v>193</v>
      </c>
      <c r="E969" s="1" t="s">
        <v>66</v>
      </c>
      <c r="F969" s="1" t="s">
        <v>35</v>
      </c>
      <c r="G969" s="1" t="s">
        <v>36</v>
      </c>
      <c r="H969" s="1" t="s">
        <v>22</v>
      </c>
      <c r="I969" s="1" t="s">
        <v>65</v>
      </c>
      <c r="J969" s="1">
        <v>-459.67</v>
      </c>
      <c r="L969" s="1">
        <v>80.329999999999984</v>
      </c>
    </row>
    <row r="970" spans="4:13">
      <c r="D970" s="1" t="s">
        <v>193</v>
      </c>
      <c r="E970" s="1" t="s">
        <v>67</v>
      </c>
      <c r="F970" s="1" t="s">
        <v>41</v>
      </c>
      <c r="G970" s="1" t="s">
        <v>42</v>
      </c>
      <c r="H970" s="1" t="s">
        <v>22</v>
      </c>
      <c r="I970" s="1" t="s">
        <v>65</v>
      </c>
      <c r="L970" s="1">
        <v>1.8</v>
      </c>
    </row>
    <row r="971" spans="4:13">
      <c r="D971" s="1" t="s">
        <v>193</v>
      </c>
      <c r="E971" s="1" t="s">
        <v>68</v>
      </c>
      <c r="F971" s="1" t="s">
        <v>45</v>
      </c>
      <c r="G971" s="1" t="s">
        <v>46</v>
      </c>
      <c r="H971" s="1" t="s">
        <v>22</v>
      </c>
      <c r="I971" s="1" t="s">
        <v>65</v>
      </c>
      <c r="L971" s="1">
        <v>4.2992261378713571E-4</v>
      </c>
    </row>
    <row r="972" spans="4:13">
      <c r="D972" s="1" t="s">
        <v>193</v>
      </c>
      <c r="E972" s="1" t="s">
        <v>69</v>
      </c>
      <c r="H972" s="1" t="s">
        <v>25</v>
      </c>
      <c r="I972" s="1" t="s">
        <v>70</v>
      </c>
    </row>
    <row r="973" spans="4:13">
      <c r="D973" s="1" t="s">
        <v>193</v>
      </c>
      <c r="E973" s="1" t="s">
        <v>71</v>
      </c>
      <c r="F973" s="1" t="s">
        <v>52</v>
      </c>
      <c r="G973" s="1" t="s">
        <v>53</v>
      </c>
      <c r="H973" s="1" t="s">
        <v>22</v>
      </c>
      <c r="I973" s="1" t="s">
        <v>65</v>
      </c>
      <c r="L973" s="1">
        <v>7936.6414386555998</v>
      </c>
    </row>
    <row r="974" spans="4:13">
      <c r="D974" s="1" t="s">
        <v>193</v>
      </c>
      <c r="E974" s="1" t="s">
        <v>72</v>
      </c>
      <c r="F974" s="1" t="s">
        <v>56</v>
      </c>
      <c r="G974" s="1" t="s">
        <v>57</v>
      </c>
      <c r="H974" s="1" t="s">
        <v>22</v>
      </c>
      <c r="I974" s="1" t="s">
        <v>65</v>
      </c>
      <c r="J974" s="1">
        <v>0</v>
      </c>
      <c r="L974" s="1">
        <v>14.503773773020921</v>
      </c>
    </row>
    <row r="975" spans="4:13">
      <c r="D975" s="1" t="s">
        <v>193</v>
      </c>
      <c r="E975" s="1" t="s">
        <v>73</v>
      </c>
      <c r="F975" s="1" t="s">
        <v>60</v>
      </c>
      <c r="G975" s="1" t="s">
        <v>61</v>
      </c>
      <c r="H975" s="1" t="s">
        <v>22</v>
      </c>
      <c r="I975" s="1" t="s">
        <v>65</v>
      </c>
      <c r="L975" s="1">
        <v>2.38845896627E-4</v>
      </c>
    </row>
    <row r="976" spans="4:13">
      <c r="D976" s="1" t="s">
        <v>193</v>
      </c>
      <c r="E976" s="1" t="s">
        <v>74</v>
      </c>
      <c r="F976" s="1" t="s">
        <v>75</v>
      </c>
      <c r="G976" s="1" t="s">
        <v>76</v>
      </c>
      <c r="H976" s="1" t="s">
        <v>22</v>
      </c>
      <c r="I976" s="1" t="s">
        <v>65</v>
      </c>
      <c r="J976" s="1">
        <v>0</v>
      </c>
      <c r="L976" s="1">
        <v>16.018463521800001</v>
      </c>
    </row>
    <row r="977" spans="4:13">
      <c r="D977" s="1" t="s">
        <v>193</v>
      </c>
      <c r="E977" s="1" t="s">
        <v>77</v>
      </c>
      <c r="H977" s="1" t="s">
        <v>22</v>
      </c>
      <c r="I977" s="1" t="s">
        <v>65</v>
      </c>
      <c r="L977" s="1">
        <v>1</v>
      </c>
    </row>
    <row r="978" spans="4:13">
      <c r="D978" s="1" t="s">
        <v>193</v>
      </c>
      <c r="E978" s="1" t="s">
        <v>78</v>
      </c>
      <c r="H978" s="1" t="s">
        <v>25</v>
      </c>
      <c r="I978" s="1" t="s">
        <v>23</v>
      </c>
      <c r="M978" s="1" t="b">
        <v>0</v>
      </c>
    </row>
    <row r="979" spans="4:13">
      <c r="D979" s="1" t="s">
        <v>193</v>
      </c>
      <c r="E979" s="1" t="s">
        <v>79</v>
      </c>
      <c r="F979" s="1" t="s">
        <v>75</v>
      </c>
      <c r="G979" s="1" t="s">
        <v>76</v>
      </c>
      <c r="H979" s="1" t="s">
        <v>22</v>
      </c>
      <c r="I979" s="1" t="s">
        <v>23</v>
      </c>
      <c r="J979" s="1">
        <v>0</v>
      </c>
      <c r="K979" s="1">
        <v>96.110781130800007</v>
      </c>
      <c r="L979" s="1">
        <v>16.018463521800001</v>
      </c>
      <c r="M979" s="1">
        <v>1.6018463521800002</v>
      </c>
    </row>
    <row r="980" spans="4:13">
      <c r="D980" s="1" t="s">
        <v>193</v>
      </c>
      <c r="E980" s="1" t="s">
        <v>80</v>
      </c>
      <c r="H980" s="1" t="s">
        <v>25</v>
      </c>
      <c r="I980" s="1" t="s">
        <v>23</v>
      </c>
      <c r="M980" s="1" t="b">
        <v>0</v>
      </c>
    </row>
    <row r="981" spans="4:13">
      <c r="D981" s="1" t="s">
        <v>193</v>
      </c>
      <c r="E981" s="1" t="s">
        <v>81</v>
      </c>
      <c r="H981" s="1" t="s">
        <v>25</v>
      </c>
      <c r="I981" s="1" t="s">
        <v>23</v>
      </c>
      <c r="M981" s="1" t="b">
        <v>0</v>
      </c>
    </row>
    <row r="982" spans="4:13">
      <c r="D982" s="1" t="s">
        <v>193</v>
      </c>
      <c r="E982" s="1" t="s">
        <v>82</v>
      </c>
      <c r="H982" s="1" t="s">
        <v>22</v>
      </c>
      <c r="I982" s="1" t="s">
        <v>23</v>
      </c>
      <c r="J982" s="1">
        <v>-1</v>
      </c>
      <c r="K982" s="1">
        <v>3</v>
      </c>
      <c r="L982" s="1">
        <v>1</v>
      </c>
      <c r="M982" s="1">
        <v>1.01</v>
      </c>
    </row>
    <row r="983" spans="4:13">
      <c r="D983" s="1" t="s">
        <v>194</v>
      </c>
      <c r="E983" s="1" t="s">
        <v>171</v>
      </c>
      <c r="H983" s="1" t="s">
        <v>22</v>
      </c>
      <c r="I983" s="1" t="s">
        <v>23</v>
      </c>
      <c r="L983" s="1">
        <v>1</v>
      </c>
      <c r="M983" s="1">
        <v>3.0558000000000001</v>
      </c>
    </row>
    <row r="984" spans="4:13">
      <c r="D984" s="1" t="s">
        <v>194</v>
      </c>
      <c r="E984" s="1" t="s">
        <v>172</v>
      </c>
      <c r="H984" s="1" t="s">
        <v>22</v>
      </c>
      <c r="I984" s="1" t="s">
        <v>29</v>
      </c>
      <c r="J984" s="1">
        <v>0</v>
      </c>
      <c r="K984" s="1">
        <v>10000</v>
      </c>
      <c r="L984" s="1">
        <v>5000</v>
      </c>
    </row>
    <row r="985" spans="4:13">
      <c r="D985" s="1" t="s">
        <v>194</v>
      </c>
      <c r="E985" s="1" t="s">
        <v>173</v>
      </c>
      <c r="H985" s="1" t="s">
        <v>22</v>
      </c>
      <c r="I985" s="1" t="s">
        <v>29</v>
      </c>
      <c r="J985" s="1">
        <v>9.9999999999999995E-7</v>
      </c>
      <c r="K985" s="1">
        <v>0.01</v>
      </c>
      <c r="L985" s="1">
        <v>5.0004999999999997E-3</v>
      </c>
    </row>
    <row r="986" spans="4:13">
      <c r="D986" s="1" t="s">
        <v>194</v>
      </c>
      <c r="E986" s="1" t="s">
        <v>174</v>
      </c>
      <c r="H986" s="1" t="s">
        <v>25</v>
      </c>
      <c r="I986" s="1" t="s">
        <v>23</v>
      </c>
      <c r="M986" s="1" t="b">
        <v>1</v>
      </c>
    </row>
    <row r="987" spans="4:13">
      <c r="D987" s="1" t="s">
        <v>194</v>
      </c>
      <c r="E987" s="1" t="s">
        <v>175</v>
      </c>
      <c r="F987" s="1" t="s">
        <v>176</v>
      </c>
      <c r="G987" s="1" t="s">
        <v>177</v>
      </c>
      <c r="H987" s="1" t="s">
        <v>22</v>
      </c>
      <c r="I987" s="1" t="s">
        <v>23</v>
      </c>
      <c r="L987" s="1">
        <v>39.370078740157467</v>
      </c>
      <c r="M987" s="1">
        <v>7.9809999999999972</v>
      </c>
    </row>
    <row r="988" spans="4:13">
      <c r="D988" s="1" t="s">
        <v>194</v>
      </c>
      <c r="E988" s="1" t="s">
        <v>178</v>
      </c>
      <c r="H988" s="1" t="s">
        <v>25</v>
      </c>
      <c r="I988" s="1" t="s">
        <v>23</v>
      </c>
      <c r="M988" s="1" t="b">
        <v>0</v>
      </c>
    </row>
    <row r="989" spans="4:13">
      <c r="D989" s="1" t="s">
        <v>194</v>
      </c>
      <c r="E989" s="1" t="s">
        <v>111</v>
      </c>
      <c r="F989" s="1" t="s">
        <v>56</v>
      </c>
      <c r="G989" s="1" t="s">
        <v>57</v>
      </c>
      <c r="H989" s="1" t="s">
        <v>22</v>
      </c>
      <c r="I989" s="1" t="s">
        <v>23</v>
      </c>
      <c r="L989" s="1">
        <v>1.4503773773020921E-4</v>
      </c>
      <c r="M989" s="1">
        <v>7.2518868865104604E-3</v>
      </c>
    </row>
    <row r="990" spans="4:13">
      <c r="D990" s="1" t="s">
        <v>194</v>
      </c>
      <c r="E990" s="1" t="s">
        <v>179</v>
      </c>
      <c r="H990" s="1" t="s">
        <v>22</v>
      </c>
      <c r="I990" s="1" t="s">
        <v>23</v>
      </c>
      <c r="L990" s="1">
        <v>1</v>
      </c>
      <c r="M990" s="1">
        <v>10000</v>
      </c>
    </row>
    <row r="991" spans="4:13">
      <c r="D991" s="1" t="s">
        <v>194</v>
      </c>
      <c r="E991" s="1" t="s">
        <v>180</v>
      </c>
      <c r="H991" s="1" t="s">
        <v>181</v>
      </c>
      <c r="I991" s="1" t="s">
        <v>23</v>
      </c>
      <c r="J991" s="1">
        <v>1</v>
      </c>
      <c r="K991" s="1">
        <v>3</v>
      </c>
      <c r="M991" s="1" t="s">
        <v>182</v>
      </c>
    </row>
    <row r="992" spans="4:13">
      <c r="D992" s="1" t="s">
        <v>194</v>
      </c>
      <c r="E992" s="1" t="s">
        <v>47</v>
      </c>
      <c r="H992" s="1" t="s">
        <v>25</v>
      </c>
      <c r="I992" s="1" t="s">
        <v>23</v>
      </c>
      <c r="M992" s="1" t="b">
        <v>0</v>
      </c>
    </row>
    <row r="993" spans="4:13">
      <c r="D993" s="1" t="s">
        <v>194</v>
      </c>
      <c r="E993" s="1" t="s">
        <v>183</v>
      </c>
      <c r="H993" s="1" t="s">
        <v>25</v>
      </c>
      <c r="I993" s="1" t="s">
        <v>23</v>
      </c>
      <c r="M993" s="1" t="b">
        <v>1</v>
      </c>
    </row>
    <row r="994" spans="4:13">
      <c r="D994" s="1" t="s">
        <v>194</v>
      </c>
      <c r="E994" s="1" t="s">
        <v>189</v>
      </c>
      <c r="H994" s="1" t="s">
        <v>22</v>
      </c>
      <c r="I994" s="1" t="s">
        <v>23</v>
      </c>
      <c r="L994" s="1">
        <v>1</v>
      </c>
      <c r="M994" s="1">
        <v>3.5599999999999998E-4</v>
      </c>
    </row>
    <row r="995" spans="4:13">
      <c r="D995" s="1" t="s">
        <v>194</v>
      </c>
      <c r="E995" s="1" t="s">
        <v>112</v>
      </c>
      <c r="F995" s="1" t="s">
        <v>56</v>
      </c>
      <c r="G995" s="1" t="s">
        <v>57</v>
      </c>
      <c r="H995" s="1" t="s">
        <v>22</v>
      </c>
      <c r="I995" s="1" t="s">
        <v>29</v>
      </c>
      <c r="J995" s="1">
        <v>4.9312830828271128</v>
      </c>
      <c r="K995" s="1">
        <v>623.66227223989961</v>
      </c>
      <c r="L995" s="1">
        <v>50.713895374744951</v>
      </c>
    </row>
    <row r="996" spans="4:13">
      <c r="D996" s="1" t="s">
        <v>194</v>
      </c>
      <c r="E996" s="1" t="s">
        <v>62</v>
      </c>
      <c r="H996" s="1" t="s">
        <v>63</v>
      </c>
      <c r="I996" s="1" t="s">
        <v>23</v>
      </c>
      <c r="M996" s="1">
        <v>1</v>
      </c>
    </row>
    <row r="997" spans="4:13">
      <c r="D997" s="1" t="s">
        <v>194</v>
      </c>
      <c r="E997" s="1" t="s">
        <v>184</v>
      </c>
      <c r="H997" s="1" t="s">
        <v>22</v>
      </c>
      <c r="I997" s="1" t="s">
        <v>120</v>
      </c>
      <c r="L997" s="1">
        <v>1</v>
      </c>
    </row>
    <row r="998" spans="4:13">
      <c r="D998" s="1" t="s">
        <v>194</v>
      </c>
      <c r="E998" s="1" t="s">
        <v>185</v>
      </c>
      <c r="F998" s="1" t="s">
        <v>176</v>
      </c>
      <c r="G998" s="1" t="s">
        <v>177</v>
      </c>
      <c r="H998" s="1" t="s">
        <v>22</v>
      </c>
      <c r="I998" s="1" t="s">
        <v>65</v>
      </c>
      <c r="L998" s="1">
        <v>39.370078740157467</v>
      </c>
    </row>
    <row r="999" spans="4:13">
      <c r="D999" s="1" t="s">
        <v>194</v>
      </c>
      <c r="E999" s="1" t="s">
        <v>115</v>
      </c>
      <c r="F999" s="1" t="s">
        <v>56</v>
      </c>
      <c r="G999" s="1" t="s">
        <v>57</v>
      </c>
      <c r="H999" s="1" t="s">
        <v>22</v>
      </c>
      <c r="I999" s="1" t="s">
        <v>65</v>
      </c>
      <c r="L999" s="1">
        <v>1.4503773773020921E-4</v>
      </c>
    </row>
    <row r="1000" spans="4:13">
      <c r="D1000" s="1" t="s">
        <v>194</v>
      </c>
      <c r="E1000" s="1" t="s">
        <v>69</v>
      </c>
      <c r="H1000" s="1" t="s">
        <v>25</v>
      </c>
      <c r="I1000" s="1" t="s">
        <v>70</v>
      </c>
    </row>
    <row r="1001" spans="4:13">
      <c r="D1001" s="1" t="s">
        <v>194</v>
      </c>
      <c r="E1001" s="1" t="s">
        <v>186</v>
      </c>
      <c r="H1001" s="1" t="s">
        <v>22</v>
      </c>
      <c r="I1001" s="1" t="s">
        <v>65</v>
      </c>
      <c r="L1001" s="1">
        <v>1</v>
      </c>
    </row>
    <row r="1002" spans="4:13">
      <c r="D1002" s="1" t="s">
        <v>194</v>
      </c>
      <c r="E1002" s="1" t="s">
        <v>71</v>
      </c>
      <c r="F1002" s="1" t="s">
        <v>52</v>
      </c>
      <c r="G1002" s="1" t="s">
        <v>53</v>
      </c>
      <c r="H1002" s="1" t="s">
        <v>22</v>
      </c>
      <c r="I1002" s="1" t="s">
        <v>65</v>
      </c>
      <c r="L1002" s="1">
        <v>7936.6414386555998</v>
      </c>
    </row>
    <row r="1003" spans="4:13">
      <c r="D1003" s="1" t="s">
        <v>194</v>
      </c>
      <c r="E1003" s="1" t="s">
        <v>117</v>
      </c>
      <c r="F1003" s="1" t="s">
        <v>118</v>
      </c>
      <c r="G1003" s="1" t="s">
        <v>119</v>
      </c>
      <c r="H1003" s="1" t="s">
        <v>22</v>
      </c>
      <c r="I1003" s="1" t="s">
        <v>120</v>
      </c>
      <c r="J1003" s="1">
        <v>0</v>
      </c>
      <c r="L1003" s="1">
        <v>2.20462262185</v>
      </c>
    </row>
    <row r="1004" spans="4:13">
      <c r="D1004" s="1" t="s">
        <v>194</v>
      </c>
      <c r="E1004" s="1" t="s">
        <v>123</v>
      </c>
      <c r="F1004" s="1" t="s">
        <v>124</v>
      </c>
      <c r="G1004" s="1" t="s">
        <v>125</v>
      </c>
      <c r="H1004" s="1" t="s">
        <v>22</v>
      </c>
      <c r="I1004" s="1" t="s">
        <v>120</v>
      </c>
      <c r="L1004" s="1">
        <v>35.314666699999997</v>
      </c>
    </row>
    <row r="1005" spans="4:13">
      <c r="D1005" s="1" t="s">
        <v>194</v>
      </c>
      <c r="E1005" s="1" t="s">
        <v>126</v>
      </c>
      <c r="H1005" s="1" t="s">
        <v>22</v>
      </c>
      <c r="I1005" s="1" t="s">
        <v>65</v>
      </c>
      <c r="L1005" s="1">
        <v>1</v>
      </c>
    </row>
    <row r="1006" spans="4:13">
      <c r="D1006" s="1" t="s">
        <v>195</v>
      </c>
      <c r="E1006" s="1" t="s">
        <v>28</v>
      </c>
      <c r="H1006" s="1" t="s">
        <v>22</v>
      </c>
      <c r="I1006" s="1" t="s">
        <v>29</v>
      </c>
      <c r="J1006" s="1">
        <v>34000</v>
      </c>
      <c r="K1006" s="1">
        <v>4300000</v>
      </c>
      <c r="L1006" s="1">
        <v>349660</v>
      </c>
    </row>
    <row r="1007" spans="4:13">
      <c r="D1007" s="1" t="s">
        <v>195</v>
      </c>
      <c r="E1007" s="1" t="s">
        <v>30</v>
      </c>
      <c r="H1007" s="1" t="s">
        <v>22</v>
      </c>
      <c r="I1007" s="1" t="s">
        <v>29</v>
      </c>
      <c r="J1007" s="1">
        <v>-3.94</v>
      </c>
      <c r="K1007" s="1">
        <v>3.66</v>
      </c>
      <c r="L1007" s="1">
        <v>1</v>
      </c>
    </row>
    <row r="1008" spans="4:13">
      <c r="D1008" s="1" t="s">
        <v>195</v>
      </c>
      <c r="E1008" s="1" t="s">
        <v>31</v>
      </c>
      <c r="H1008" s="1" t="s">
        <v>22</v>
      </c>
      <c r="I1008" s="1" t="s">
        <v>29</v>
      </c>
      <c r="J1008" s="1">
        <v>0</v>
      </c>
      <c r="K1008" s="1">
        <v>100</v>
      </c>
      <c r="L1008" s="1">
        <v>1</v>
      </c>
    </row>
    <row r="1009" spans="4:13">
      <c r="D1009" s="1" t="s">
        <v>195</v>
      </c>
      <c r="E1009" s="1" t="s">
        <v>32</v>
      </c>
      <c r="H1009" s="1" t="s">
        <v>22</v>
      </c>
      <c r="I1009" s="1" t="s">
        <v>29</v>
      </c>
      <c r="J1009" s="1">
        <v>-3.94</v>
      </c>
      <c r="K1009" s="1">
        <v>3.66</v>
      </c>
      <c r="L1009" s="1">
        <v>1</v>
      </c>
    </row>
    <row r="1010" spans="4:13">
      <c r="D1010" s="1" t="s">
        <v>195</v>
      </c>
      <c r="E1010" s="1" t="s">
        <v>33</v>
      </c>
      <c r="H1010" s="1" t="s">
        <v>25</v>
      </c>
      <c r="I1010" s="1" t="s">
        <v>23</v>
      </c>
      <c r="M1010" s="1" t="b">
        <v>0</v>
      </c>
    </row>
    <row r="1011" spans="4:13">
      <c r="D1011" s="1" t="s">
        <v>195</v>
      </c>
      <c r="E1011" s="1" t="s">
        <v>34</v>
      </c>
      <c r="F1011" s="1" t="s">
        <v>35</v>
      </c>
      <c r="G1011" s="1" t="s">
        <v>36</v>
      </c>
      <c r="H1011" s="1" t="s">
        <v>22</v>
      </c>
      <c r="I1011" s="1" t="s">
        <v>23</v>
      </c>
      <c r="J1011" s="1">
        <v>-459.67</v>
      </c>
      <c r="K1011" s="1">
        <v>980.32999999999993</v>
      </c>
      <c r="L1011" s="1">
        <v>80.329999999999984</v>
      </c>
      <c r="M1011" s="1">
        <v>67.999999999999943</v>
      </c>
    </row>
    <row r="1012" spans="4:13">
      <c r="D1012" s="1" t="s">
        <v>195</v>
      </c>
      <c r="E1012" s="1" t="s">
        <v>37</v>
      </c>
      <c r="H1012" s="1" t="s">
        <v>25</v>
      </c>
      <c r="I1012" s="1" t="s">
        <v>23</v>
      </c>
      <c r="M1012" s="1" t="b">
        <v>0</v>
      </c>
    </row>
    <row r="1013" spans="4:13">
      <c r="D1013" s="1" t="s">
        <v>195</v>
      </c>
      <c r="E1013" s="1" t="s">
        <v>38</v>
      </c>
      <c r="F1013" s="1" t="s">
        <v>35</v>
      </c>
      <c r="G1013" s="1" t="s">
        <v>36</v>
      </c>
      <c r="H1013" s="1" t="s">
        <v>22</v>
      </c>
      <c r="I1013" s="1" t="s">
        <v>23</v>
      </c>
      <c r="J1013" s="1">
        <v>-99.670000000000016</v>
      </c>
      <c r="K1013" s="1">
        <v>980.32999999999993</v>
      </c>
      <c r="L1013" s="1">
        <v>80.329999999999984</v>
      </c>
      <c r="M1013" s="1">
        <v>13.999999999999943</v>
      </c>
    </row>
    <row r="1014" spans="4:13">
      <c r="D1014" s="1" t="s">
        <v>195</v>
      </c>
      <c r="E1014" s="1" t="s">
        <v>39</v>
      </c>
      <c r="H1014" s="1" t="s">
        <v>25</v>
      </c>
      <c r="I1014" s="1" t="s">
        <v>23</v>
      </c>
      <c r="M1014" s="1" t="b">
        <v>0</v>
      </c>
    </row>
    <row r="1015" spans="4:13">
      <c r="D1015" s="1" t="s">
        <v>195</v>
      </c>
      <c r="E1015" s="1" t="s">
        <v>40</v>
      </c>
      <c r="F1015" s="1" t="s">
        <v>41</v>
      </c>
      <c r="G1015" s="1" t="s">
        <v>42</v>
      </c>
      <c r="H1015" s="1" t="s">
        <v>22</v>
      </c>
      <c r="I1015" s="1" t="s">
        <v>23</v>
      </c>
      <c r="J1015" s="1">
        <v>-900</v>
      </c>
      <c r="K1015" s="1">
        <v>900</v>
      </c>
      <c r="L1015" s="1">
        <v>1.8</v>
      </c>
      <c r="M1015" s="1">
        <v>9</v>
      </c>
    </row>
    <row r="1016" spans="4:13">
      <c r="D1016" s="1" t="s">
        <v>195</v>
      </c>
      <c r="E1016" s="1" t="s">
        <v>43</v>
      </c>
      <c r="H1016" s="1" t="s">
        <v>25</v>
      </c>
      <c r="I1016" s="1" t="s">
        <v>23</v>
      </c>
      <c r="M1016" s="1" t="b">
        <v>0</v>
      </c>
    </row>
    <row r="1017" spans="4:13">
      <c r="D1017" s="1" t="s">
        <v>195</v>
      </c>
      <c r="E1017" s="1" t="s">
        <v>44</v>
      </c>
      <c r="F1017" s="1" t="s">
        <v>45</v>
      </c>
      <c r="G1017" s="1" t="s">
        <v>46</v>
      </c>
      <c r="H1017" s="1" t="s">
        <v>22</v>
      </c>
      <c r="I1017" s="1" t="s">
        <v>23</v>
      </c>
      <c r="J1017" s="1">
        <v>-85.984522757427143</v>
      </c>
      <c r="K1017" s="1">
        <v>8598.4522757427148</v>
      </c>
      <c r="L1017" s="1">
        <v>114.79148749423418</v>
      </c>
      <c r="M1017" s="1">
        <v>128.97678413614071</v>
      </c>
    </row>
    <row r="1018" spans="4:13">
      <c r="D1018" s="1" t="s">
        <v>195</v>
      </c>
      <c r="E1018" s="1" t="s">
        <v>47</v>
      </c>
      <c r="H1018" s="1" t="s">
        <v>25</v>
      </c>
      <c r="I1018" s="1" t="s">
        <v>23</v>
      </c>
      <c r="M1018" s="1" t="b">
        <v>0</v>
      </c>
    </row>
    <row r="1019" spans="4:13">
      <c r="D1019" s="1" t="s">
        <v>195</v>
      </c>
      <c r="E1019" s="1" t="s">
        <v>48</v>
      </c>
      <c r="H1019" s="1" t="s">
        <v>25</v>
      </c>
      <c r="I1019" s="1" t="s">
        <v>23</v>
      </c>
      <c r="M1019" s="1" t="b">
        <v>0</v>
      </c>
    </row>
    <row r="1020" spans="4:13">
      <c r="D1020" s="1" t="s">
        <v>195</v>
      </c>
      <c r="E1020" s="1" t="s">
        <v>49</v>
      </c>
      <c r="H1020" s="1" t="s">
        <v>25</v>
      </c>
      <c r="I1020" s="1" t="s">
        <v>23</v>
      </c>
      <c r="M1020" s="1" t="b">
        <v>0</v>
      </c>
    </row>
    <row r="1021" spans="4:13">
      <c r="D1021" s="1" t="s">
        <v>195</v>
      </c>
      <c r="E1021" s="1" t="s">
        <v>50</v>
      </c>
      <c r="H1021" s="1" t="s">
        <v>25</v>
      </c>
      <c r="I1021" s="1" t="s">
        <v>23</v>
      </c>
      <c r="M1021" s="1" t="b">
        <v>0</v>
      </c>
    </row>
    <row r="1022" spans="4:13">
      <c r="D1022" s="1" t="s">
        <v>195</v>
      </c>
      <c r="E1022" s="1" t="s">
        <v>51</v>
      </c>
      <c r="F1022" s="1" t="s">
        <v>52</v>
      </c>
      <c r="G1022" s="1" t="s">
        <v>53</v>
      </c>
      <c r="H1022" s="1" t="s">
        <v>22</v>
      </c>
      <c r="I1022" s="1" t="s">
        <v>23</v>
      </c>
      <c r="J1022" s="1">
        <v>0</v>
      </c>
      <c r="K1022" s="1">
        <v>7936641438.6555996</v>
      </c>
      <c r="L1022" s="1">
        <v>7936.6414386555998</v>
      </c>
      <c r="M1022" s="1">
        <v>7936.6414386555998</v>
      </c>
    </row>
    <row r="1023" spans="4:13">
      <c r="D1023" s="1" t="s">
        <v>195</v>
      </c>
      <c r="E1023" s="1" t="s">
        <v>54</v>
      </c>
      <c r="H1023" s="1" t="s">
        <v>25</v>
      </c>
      <c r="I1023" s="1" t="s">
        <v>23</v>
      </c>
      <c r="M1023" s="1" t="b">
        <v>0</v>
      </c>
    </row>
    <row r="1024" spans="4:13">
      <c r="D1024" s="1" t="s">
        <v>195</v>
      </c>
      <c r="E1024" s="1" t="s">
        <v>55</v>
      </c>
      <c r="F1024" s="1" t="s">
        <v>56</v>
      </c>
      <c r="G1024" s="1" t="s">
        <v>57</v>
      </c>
      <c r="H1024" s="1" t="s">
        <v>22</v>
      </c>
      <c r="I1024" s="1" t="s">
        <v>23</v>
      </c>
      <c r="J1024" s="1">
        <v>0</v>
      </c>
      <c r="K1024" s="1">
        <v>9427.4529524635982</v>
      </c>
      <c r="L1024" s="1">
        <v>50.713895374744951</v>
      </c>
      <c r="M1024" s="1">
        <v>50.763208205573221</v>
      </c>
    </row>
    <row r="1025" spans="4:13">
      <c r="D1025" s="1" t="s">
        <v>195</v>
      </c>
      <c r="E1025" s="1" t="s">
        <v>58</v>
      </c>
      <c r="H1025" s="1" t="s">
        <v>25</v>
      </c>
      <c r="I1025" s="1" t="s">
        <v>23</v>
      </c>
      <c r="M1025" s="1" t="b">
        <v>0</v>
      </c>
    </row>
    <row r="1026" spans="4:13">
      <c r="D1026" s="1" t="s">
        <v>195</v>
      </c>
      <c r="E1026" s="1" t="s">
        <v>59</v>
      </c>
      <c r="F1026" s="1" t="s">
        <v>60</v>
      </c>
      <c r="G1026" s="1" t="s">
        <v>61</v>
      </c>
      <c r="H1026" s="1" t="s">
        <v>22</v>
      </c>
      <c r="I1026" s="1" t="s">
        <v>23</v>
      </c>
      <c r="J1026" s="1">
        <v>-9.5538358650799999</v>
      </c>
      <c r="K1026" s="1">
        <v>9.5538358650799999</v>
      </c>
      <c r="L1026" s="1">
        <v>0.23884589662700001</v>
      </c>
      <c r="M1026" s="1">
        <v>0.23884589662700001</v>
      </c>
    </row>
    <row r="1027" spans="4:13">
      <c r="D1027" s="1" t="s">
        <v>195</v>
      </c>
      <c r="E1027" s="1" t="s">
        <v>62</v>
      </c>
      <c r="H1027" s="1" t="s">
        <v>63</v>
      </c>
      <c r="I1027" s="1" t="s">
        <v>23</v>
      </c>
      <c r="M1027" s="1">
        <v>1</v>
      </c>
    </row>
    <row r="1028" spans="4:13">
      <c r="D1028" s="1" t="s">
        <v>195</v>
      </c>
      <c r="E1028" s="1" t="s">
        <v>64</v>
      </c>
      <c r="F1028" s="1" t="s">
        <v>35</v>
      </c>
      <c r="G1028" s="1" t="s">
        <v>36</v>
      </c>
      <c r="H1028" s="1" t="s">
        <v>22</v>
      </c>
      <c r="I1028" s="1" t="s">
        <v>65</v>
      </c>
      <c r="J1028" s="1">
        <v>-459.67</v>
      </c>
      <c r="L1028" s="1">
        <v>80.329999999999984</v>
      </c>
    </row>
    <row r="1029" spans="4:13">
      <c r="D1029" s="1" t="s">
        <v>195</v>
      </c>
      <c r="E1029" s="1" t="s">
        <v>66</v>
      </c>
      <c r="F1029" s="1" t="s">
        <v>35</v>
      </c>
      <c r="G1029" s="1" t="s">
        <v>36</v>
      </c>
      <c r="H1029" s="1" t="s">
        <v>22</v>
      </c>
      <c r="I1029" s="1" t="s">
        <v>65</v>
      </c>
      <c r="J1029" s="1">
        <v>-459.67</v>
      </c>
      <c r="L1029" s="1">
        <v>80.329999999999984</v>
      </c>
    </row>
    <row r="1030" spans="4:13">
      <c r="D1030" s="1" t="s">
        <v>195</v>
      </c>
      <c r="E1030" s="1" t="s">
        <v>67</v>
      </c>
      <c r="F1030" s="1" t="s">
        <v>41</v>
      </c>
      <c r="G1030" s="1" t="s">
        <v>42</v>
      </c>
      <c r="H1030" s="1" t="s">
        <v>22</v>
      </c>
      <c r="I1030" s="1" t="s">
        <v>65</v>
      </c>
      <c r="L1030" s="1">
        <v>1.8</v>
      </c>
    </row>
    <row r="1031" spans="4:13">
      <c r="D1031" s="1" t="s">
        <v>195</v>
      </c>
      <c r="E1031" s="1" t="s">
        <v>68</v>
      </c>
      <c r="F1031" s="1" t="s">
        <v>45</v>
      </c>
      <c r="G1031" s="1" t="s">
        <v>46</v>
      </c>
      <c r="H1031" s="1" t="s">
        <v>22</v>
      </c>
      <c r="I1031" s="1" t="s">
        <v>65</v>
      </c>
      <c r="L1031" s="1">
        <v>4.2992261378713571E-4</v>
      </c>
    </row>
    <row r="1032" spans="4:13">
      <c r="D1032" s="1" t="s">
        <v>195</v>
      </c>
      <c r="E1032" s="1" t="s">
        <v>69</v>
      </c>
      <c r="H1032" s="1" t="s">
        <v>25</v>
      </c>
      <c r="I1032" s="1" t="s">
        <v>70</v>
      </c>
    </row>
    <row r="1033" spans="4:13">
      <c r="D1033" s="1" t="s">
        <v>195</v>
      </c>
      <c r="E1033" s="1" t="s">
        <v>71</v>
      </c>
      <c r="F1033" s="1" t="s">
        <v>52</v>
      </c>
      <c r="G1033" s="1" t="s">
        <v>53</v>
      </c>
      <c r="H1033" s="1" t="s">
        <v>22</v>
      </c>
      <c r="I1033" s="1" t="s">
        <v>65</v>
      </c>
      <c r="L1033" s="1">
        <v>7936.6414386555998</v>
      </c>
    </row>
    <row r="1034" spans="4:13">
      <c r="D1034" s="1" t="s">
        <v>195</v>
      </c>
      <c r="E1034" s="1" t="s">
        <v>72</v>
      </c>
      <c r="F1034" s="1" t="s">
        <v>56</v>
      </c>
      <c r="G1034" s="1" t="s">
        <v>57</v>
      </c>
      <c r="H1034" s="1" t="s">
        <v>22</v>
      </c>
      <c r="I1034" s="1" t="s">
        <v>65</v>
      </c>
      <c r="J1034" s="1">
        <v>0</v>
      </c>
      <c r="L1034" s="1">
        <v>14.503773773020921</v>
      </c>
    </row>
    <row r="1035" spans="4:13">
      <c r="D1035" s="1" t="s">
        <v>195</v>
      </c>
      <c r="E1035" s="1" t="s">
        <v>73</v>
      </c>
      <c r="F1035" s="1" t="s">
        <v>60</v>
      </c>
      <c r="G1035" s="1" t="s">
        <v>61</v>
      </c>
      <c r="H1035" s="1" t="s">
        <v>22</v>
      </c>
      <c r="I1035" s="1" t="s">
        <v>65</v>
      </c>
      <c r="L1035" s="1">
        <v>2.38845896627E-4</v>
      </c>
    </row>
    <row r="1036" spans="4:13">
      <c r="D1036" s="1" t="s">
        <v>195</v>
      </c>
      <c r="E1036" s="1" t="s">
        <v>74</v>
      </c>
      <c r="F1036" s="1" t="s">
        <v>75</v>
      </c>
      <c r="G1036" s="1" t="s">
        <v>76</v>
      </c>
      <c r="H1036" s="1" t="s">
        <v>22</v>
      </c>
      <c r="I1036" s="1" t="s">
        <v>65</v>
      </c>
      <c r="J1036" s="1">
        <v>0</v>
      </c>
      <c r="L1036" s="1">
        <v>16.018463521800001</v>
      </c>
    </row>
    <row r="1037" spans="4:13">
      <c r="D1037" s="1" t="s">
        <v>195</v>
      </c>
      <c r="E1037" s="1" t="s">
        <v>77</v>
      </c>
      <c r="H1037" s="1" t="s">
        <v>22</v>
      </c>
      <c r="I1037" s="1" t="s">
        <v>65</v>
      </c>
      <c r="L1037" s="1">
        <v>1</v>
      </c>
    </row>
    <row r="1038" spans="4:13">
      <c r="D1038" s="1" t="s">
        <v>195</v>
      </c>
      <c r="E1038" s="1" t="s">
        <v>78</v>
      </c>
      <c r="H1038" s="1" t="s">
        <v>25</v>
      </c>
      <c r="I1038" s="1" t="s">
        <v>23</v>
      </c>
      <c r="M1038" s="1" t="b">
        <v>0</v>
      </c>
    </row>
    <row r="1039" spans="4:13">
      <c r="D1039" s="1" t="s">
        <v>195</v>
      </c>
      <c r="E1039" s="1" t="s">
        <v>79</v>
      </c>
      <c r="F1039" s="1" t="s">
        <v>75</v>
      </c>
      <c r="G1039" s="1" t="s">
        <v>76</v>
      </c>
      <c r="H1039" s="1" t="s">
        <v>22</v>
      </c>
      <c r="I1039" s="1" t="s">
        <v>23</v>
      </c>
      <c r="J1039" s="1">
        <v>0</v>
      </c>
      <c r="K1039" s="1">
        <v>96.110781130800007</v>
      </c>
      <c r="L1039" s="1">
        <v>16.018463521800001</v>
      </c>
      <c r="M1039" s="1">
        <v>1.6018463521800002</v>
      </c>
    </row>
    <row r="1040" spans="4:13">
      <c r="D1040" s="1" t="s">
        <v>195</v>
      </c>
      <c r="E1040" s="1" t="s">
        <v>80</v>
      </c>
      <c r="H1040" s="1" t="s">
        <v>25</v>
      </c>
      <c r="I1040" s="1" t="s">
        <v>23</v>
      </c>
      <c r="M1040" s="1" t="b">
        <v>0</v>
      </c>
    </row>
    <row r="1041" spans="4:13">
      <c r="D1041" s="1" t="s">
        <v>195</v>
      </c>
      <c r="E1041" s="1" t="s">
        <v>81</v>
      </c>
      <c r="H1041" s="1" t="s">
        <v>25</v>
      </c>
      <c r="I1041" s="1" t="s">
        <v>23</v>
      </c>
      <c r="M1041" s="1" t="b">
        <v>0</v>
      </c>
    </row>
    <row r="1042" spans="4:13">
      <c r="D1042" s="1" t="s">
        <v>195</v>
      </c>
      <c r="E1042" s="1" t="s">
        <v>82</v>
      </c>
      <c r="H1042" s="1" t="s">
        <v>22</v>
      </c>
      <c r="I1042" s="1" t="s">
        <v>23</v>
      </c>
      <c r="J1042" s="1">
        <v>-1</v>
      </c>
      <c r="K1042" s="1">
        <v>3</v>
      </c>
      <c r="L1042" s="1">
        <v>1</v>
      </c>
      <c r="M1042" s="1">
        <v>1.01</v>
      </c>
    </row>
    <row r="1043" spans="4:13">
      <c r="D1043" s="1" t="s">
        <v>196</v>
      </c>
      <c r="E1043" s="1" t="s">
        <v>171</v>
      </c>
      <c r="H1043" s="1" t="s">
        <v>22</v>
      </c>
      <c r="I1043" s="1" t="s">
        <v>23</v>
      </c>
      <c r="L1043" s="1">
        <v>1</v>
      </c>
      <c r="M1043" s="1">
        <v>3.0558000000000001</v>
      </c>
    </row>
    <row r="1044" spans="4:13">
      <c r="D1044" s="1" t="s">
        <v>196</v>
      </c>
      <c r="E1044" s="1" t="s">
        <v>172</v>
      </c>
      <c r="H1044" s="1" t="s">
        <v>22</v>
      </c>
      <c r="I1044" s="1" t="s">
        <v>29</v>
      </c>
      <c r="J1044" s="1">
        <v>0</v>
      </c>
      <c r="K1044" s="1">
        <v>10000</v>
      </c>
      <c r="L1044" s="1">
        <v>5000</v>
      </c>
    </row>
    <row r="1045" spans="4:13">
      <c r="D1045" s="1" t="s">
        <v>196</v>
      </c>
      <c r="E1045" s="1" t="s">
        <v>173</v>
      </c>
      <c r="H1045" s="1" t="s">
        <v>22</v>
      </c>
      <c r="I1045" s="1" t="s">
        <v>29</v>
      </c>
      <c r="J1045" s="1">
        <v>9.9999999999999995E-7</v>
      </c>
      <c r="K1045" s="1">
        <v>0.01</v>
      </c>
      <c r="L1045" s="1">
        <v>5.0004999999999997E-3</v>
      </c>
    </row>
    <row r="1046" spans="4:13">
      <c r="D1046" s="1" t="s">
        <v>196</v>
      </c>
      <c r="E1046" s="1" t="s">
        <v>174</v>
      </c>
      <c r="H1046" s="1" t="s">
        <v>25</v>
      </c>
      <c r="I1046" s="1" t="s">
        <v>23</v>
      </c>
      <c r="M1046" s="1" t="b">
        <v>1</v>
      </c>
    </row>
    <row r="1047" spans="4:13">
      <c r="D1047" s="1" t="s">
        <v>196</v>
      </c>
      <c r="E1047" s="1" t="s">
        <v>175</v>
      </c>
      <c r="F1047" s="1" t="s">
        <v>176</v>
      </c>
      <c r="G1047" s="1" t="s">
        <v>177</v>
      </c>
      <c r="H1047" s="1" t="s">
        <v>22</v>
      </c>
      <c r="I1047" s="1" t="s">
        <v>23</v>
      </c>
      <c r="L1047" s="1">
        <v>39.370078740157467</v>
      </c>
      <c r="M1047" s="1">
        <v>6.0649999999999977</v>
      </c>
    </row>
    <row r="1048" spans="4:13">
      <c r="D1048" s="1" t="s">
        <v>196</v>
      </c>
      <c r="E1048" s="1" t="s">
        <v>178</v>
      </c>
      <c r="H1048" s="1" t="s">
        <v>25</v>
      </c>
      <c r="I1048" s="1" t="s">
        <v>23</v>
      </c>
      <c r="M1048" s="1" t="b">
        <v>0</v>
      </c>
    </row>
    <row r="1049" spans="4:13">
      <c r="D1049" s="1" t="s">
        <v>196</v>
      </c>
      <c r="E1049" s="1" t="s">
        <v>111</v>
      </c>
      <c r="F1049" s="1" t="s">
        <v>56</v>
      </c>
      <c r="G1049" s="1" t="s">
        <v>57</v>
      </c>
      <c r="H1049" s="1" t="s">
        <v>22</v>
      </c>
      <c r="I1049" s="1" t="s">
        <v>23</v>
      </c>
      <c r="L1049" s="1">
        <v>1.4503773773020921E-4</v>
      </c>
      <c r="M1049" s="1">
        <v>7.2518868865104604E-3</v>
      </c>
    </row>
    <row r="1050" spans="4:13">
      <c r="D1050" s="1" t="s">
        <v>196</v>
      </c>
      <c r="E1050" s="1" t="s">
        <v>179</v>
      </c>
      <c r="H1050" s="1" t="s">
        <v>22</v>
      </c>
      <c r="I1050" s="1" t="s">
        <v>23</v>
      </c>
      <c r="L1050" s="1">
        <v>1</v>
      </c>
      <c r="M1050" s="1">
        <v>10000</v>
      </c>
    </row>
    <row r="1051" spans="4:13">
      <c r="D1051" s="1" t="s">
        <v>196</v>
      </c>
      <c r="E1051" s="1" t="s">
        <v>180</v>
      </c>
      <c r="H1051" s="1" t="s">
        <v>181</v>
      </c>
      <c r="I1051" s="1" t="s">
        <v>23</v>
      </c>
      <c r="J1051" s="1">
        <v>1</v>
      </c>
      <c r="K1051" s="1">
        <v>3</v>
      </c>
      <c r="M1051" s="1" t="s">
        <v>182</v>
      </c>
    </row>
    <row r="1052" spans="4:13">
      <c r="D1052" s="1" t="s">
        <v>196</v>
      </c>
      <c r="E1052" s="1" t="s">
        <v>47</v>
      </c>
      <c r="H1052" s="1" t="s">
        <v>25</v>
      </c>
      <c r="I1052" s="1" t="s">
        <v>23</v>
      </c>
      <c r="M1052" s="1" t="b">
        <v>0</v>
      </c>
    </row>
    <row r="1053" spans="4:13">
      <c r="D1053" s="1" t="s">
        <v>196</v>
      </c>
      <c r="E1053" s="1" t="s">
        <v>183</v>
      </c>
      <c r="H1053" s="1" t="s">
        <v>25</v>
      </c>
      <c r="I1053" s="1" t="s">
        <v>23</v>
      </c>
      <c r="M1053" s="1" t="b">
        <v>1</v>
      </c>
    </row>
    <row r="1054" spans="4:13">
      <c r="D1054" s="1" t="s">
        <v>196</v>
      </c>
      <c r="E1054" s="1" t="s">
        <v>112</v>
      </c>
      <c r="F1054" s="1" t="s">
        <v>56</v>
      </c>
      <c r="G1054" s="1" t="s">
        <v>57</v>
      </c>
      <c r="H1054" s="1" t="s">
        <v>22</v>
      </c>
      <c r="I1054" s="1" t="s">
        <v>29</v>
      </c>
      <c r="J1054" s="1">
        <v>4.9312830828271128</v>
      </c>
      <c r="K1054" s="1">
        <v>623.66227223989961</v>
      </c>
      <c r="L1054" s="1">
        <v>50.713895374744951</v>
      </c>
    </row>
    <row r="1055" spans="4:13">
      <c r="D1055" s="1" t="s">
        <v>196</v>
      </c>
      <c r="E1055" s="1" t="s">
        <v>62</v>
      </c>
      <c r="H1055" s="1" t="s">
        <v>63</v>
      </c>
      <c r="I1055" s="1" t="s">
        <v>23</v>
      </c>
      <c r="M1055" s="1">
        <v>1</v>
      </c>
    </row>
    <row r="1056" spans="4:13">
      <c r="D1056" s="1" t="s">
        <v>196</v>
      </c>
      <c r="E1056" s="1" t="s">
        <v>184</v>
      </c>
      <c r="H1056" s="1" t="s">
        <v>22</v>
      </c>
      <c r="I1056" s="1" t="s">
        <v>120</v>
      </c>
      <c r="L1056" s="1">
        <v>1</v>
      </c>
    </row>
    <row r="1057" spans="4:13">
      <c r="D1057" s="1" t="s">
        <v>196</v>
      </c>
      <c r="E1057" s="1" t="s">
        <v>185</v>
      </c>
      <c r="F1057" s="1" t="s">
        <v>176</v>
      </c>
      <c r="G1057" s="1" t="s">
        <v>177</v>
      </c>
      <c r="H1057" s="1" t="s">
        <v>22</v>
      </c>
      <c r="I1057" s="1" t="s">
        <v>65</v>
      </c>
      <c r="L1057" s="1">
        <v>39.370078740157467</v>
      </c>
    </row>
    <row r="1058" spans="4:13">
      <c r="D1058" s="1" t="s">
        <v>196</v>
      </c>
      <c r="E1058" s="1" t="s">
        <v>115</v>
      </c>
      <c r="F1058" s="1" t="s">
        <v>56</v>
      </c>
      <c r="G1058" s="1" t="s">
        <v>57</v>
      </c>
      <c r="H1058" s="1" t="s">
        <v>22</v>
      </c>
      <c r="I1058" s="1" t="s">
        <v>65</v>
      </c>
      <c r="L1058" s="1">
        <v>1.4503773773020921E-4</v>
      </c>
    </row>
    <row r="1059" spans="4:13">
      <c r="D1059" s="1" t="s">
        <v>196</v>
      </c>
      <c r="E1059" s="1" t="s">
        <v>69</v>
      </c>
      <c r="H1059" s="1" t="s">
        <v>25</v>
      </c>
      <c r="I1059" s="1" t="s">
        <v>70</v>
      </c>
    </row>
    <row r="1060" spans="4:13">
      <c r="D1060" s="1" t="s">
        <v>196</v>
      </c>
      <c r="E1060" s="1" t="s">
        <v>186</v>
      </c>
      <c r="H1060" s="1" t="s">
        <v>22</v>
      </c>
      <c r="I1060" s="1" t="s">
        <v>65</v>
      </c>
      <c r="L1060" s="1">
        <v>1</v>
      </c>
    </row>
    <row r="1061" spans="4:13">
      <c r="D1061" s="1" t="s">
        <v>196</v>
      </c>
      <c r="E1061" s="1" t="s">
        <v>71</v>
      </c>
      <c r="F1061" s="1" t="s">
        <v>52</v>
      </c>
      <c r="G1061" s="1" t="s">
        <v>53</v>
      </c>
      <c r="H1061" s="1" t="s">
        <v>22</v>
      </c>
      <c r="I1061" s="1" t="s">
        <v>65</v>
      </c>
      <c r="L1061" s="1">
        <v>7936.6414386555998</v>
      </c>
    </row>
    <row r="1062" spans="4:13">
      <c r="D1062" s="1" t="s">
        <v>196</v>
      </c>
      <c r="E1062" s="1" t="s">
        <v>117</v>
      </c>
      <c r="F1062" s="1" t="s">
        <v>118</v>
      </c>
      <c r="G1062" s="1" t="s">
        <v>119</v>
      </c>
      <c r="H1062" s="1" t="s">
        <v>22</v>
      </c>
      <c r="I1062" s="1" t="s">
        <v>120</v>
      </c>
      <c r="J1062" s="1">
        <v>0</v>
      </c>
      <c r="L1062" s="1">
        <v>2.20462262185</v>
      </c>
    </row>
    <row r="1063" spans="4:13">
      <c r="D1063" s="1" t="s">
        <v>196</v>
      </c>
      <c r="E1063" s="1" t="s">
        <v>123</v>
      </c>
      <c r="F1063" s="1" t="s">
        <v>124</v>
      </c>
      <c r="G1063" s="1" t="s">
        <v>125</v>
      </c>
      <c r="H1063" s="1" t="s">
        <v>22</v>
      </c>
      <c r="I1063" s="1" t="s">
        <v>120</v>
      </c>
      <c r="L1063" s="1">
        <v>35.314666699999997</v>
      </c>
    </row>
    <row r="1064" spans="4:13">
      <c r="D1064" s="1" t="s">
        <v>196</v>
      </c>
      <c r="E1064" s="1" t="s">
        <v>126</v>
      </c>
      <c r="H1064" s="1" t="s">
        <v>22</v>
      </c>
      <c r="I1064" s="1" t="s">
        <v>65</v>
      </c>
      <c r="L1064" s="1">
        <v>1</v>
      </c>
    </row>
    <row r="1065" spans="4:13">
      <c r="D1065" s="1" t="s">
        <v>197</v>
      </c>
      <c r="E1065" s="1" t="s">
        <v>171</v>
      </c>
      <c r="H1065" s="1" t="s">
        <v>22</v>
      </c>
      <c r="I1065" s="1" t="s">
        <v>23</v>
      </c>
      <c r="L1065" s="1">
        <v>1</v>
      </c>
      <c r="M1065" s="1">
        <v>3.0558000000000001</v>
      </c>
    </row>
    <row r="1066" spans="4:13">
      <c r="D1066" s="1" t="s">
        <v>197</v>
      </c>
      <c r="E1066" s="1" t="s">
        <v>172</v>
      </c>
      <c r="H1066" s="1" t="s">
        <v>22</v>
      </c>
      <c r="I1066" s="1" t="s">
        <v>29</v>
      </c>
      <c r="J1066" s="1">
        <v>0</v>
      </c>
      <c r="K1066" s="1">
        <v>10000</v>
      </c>
      <c r="L1066" s="1">
        <v>5000</v>
      </c>
    </row>
    <row r="1067" spans="4:13">
      <c r="D1067" s="1" t="s">
        <v>197</v>
      </c>
      <c r="E1067" s="1" t="s">
        <v>173</v>
      </c>
      <c r="H1067" s="1" t="s">
        <v>22</v>
      </c>
      <c r="I1067" s="1" t="s">
        <v>29</v>
      </c>
      <c r="J1067" s="1">
        <v>9.9999999999999995E-7</v>
      </c>
      <c r="K1067" s="1">
        <v>0.01</v>
      </c>
      <c r="L1067" s="1">
        <v>5.0004999999999997E-3</v>
      </c>
    </row>
    <row r="1068" spans="4:13">
      <c r="D1068" s="1" t="s">
        <v>197</v>
      </c>
      <c r="E1068" s="1" t="s">
        <v>174</v>
      </c>
      <c r="H1068" s="1" t="s">
        <v>25</v>
      </c>
      <c r="I1068" s="1" t="s">
        <v>23</v>
      </c>
      <c r="M1068" s="1" t="b">
        <v>1</v>
      </c>
    </row>
    <row r="1069" spans="4:13">
      <c r="D1069" s="1" t="s">
        <v>197</v>
      </c>
      <c r="E1069" s="1" t="s">
        <v>175</v>
      </c>
      <c r="F1069" s="1" t="s">
        <v>176</v>
      </c>
      <c r="G1069" s="1" t="s">
        <v>177</v>
      </c>
      <c r="H1069" s="1" t="s">
        <v>22</v>
      </c>
      <c r="I1069" s="1" t="s">
        <v>23</v>
      </c>
      <c r="L1069" s="1">
        <v>39.370078740157467</v>
      </c>
      <c r="M1069" s="1">
        <v>7.9809999999999972</v>
      </c>
    </row>
    <row r="1070" spans="4:13">
      <c r="D1070" s="1" t="s">
        <v>197</v>
      </c>
      <c r="E1070" s="1" t="s">
        <v>178</v>
      </c>
      <c r="H1070" s="1" t="s">
        <v>25</v>
      </c>
      <c r="I1070" s="1" t="s">
        <v>23</v>
      </c>
      <c r="M1070" s="1" t="b">
        <v>0</v>
      </c>
    </row>
    <row r="1071" spans="4:13">
      <c r="D1071" s="1" t="s">
        <v>197</v>
      </c>
      <c r="E1071" s="1" t="s">
        <v>111</v>
      </c>
      <c r="F1071" s="1" t="s">
        <v>56</v>
      </c>
      <c r="G1071" s="1" t="s">
        <v>57</v>
      </c>
      <c r="H1071" s="1" t="s">
        <v>22</v>
      </c>
      <c r="I1071" s="1" t="s">
        <v>23</v>
      </c>
      <c r="L1071" s="1">
        <v>1.4503773773020921E-4</v>
      </c>
      <c r="M1071" s="1">
        <v>7.2518868865104604E-3</v>
      </c>
    </row>
    <row r="1072" spans="4:13">
      <c r="D1072" s="1" t="s">
        <v>197</v>
      </c>
      <c r="E1072" s="1" t="s">
        <v>179</v>
      </c>
      <c r="H1072" s="1" t="s">
        <v>22</v>
      </c>
      <c r="I1072" s="1" t="s">
        <v>23</v>
      </c>
      <c r="L1072" s="1">
        <v>1</v>
      </c>
      <c r="M1072" s="1">
        <v>10000</v>
      </c>
    </row>
    <row r="1073" spans="4:13">
      <c r="D1073" s="1" t="s">
        <v>197</v>
      </c>
      <c r="E1073" s="1" t="s">
        <v>180</v>
      </c>
      <c r="H1073" s="1" t="s">
        <v>181</v>
      </c>
      <c r="I1073" s="1" t="s">
        <v>23</v>
      </c>
      <c r="J1073" s="1">
        <v>1</v>
      </c>
      <c r="K1073" s="1">
        <v>3</v>
      </c>
      <c r="M1073" s="1" t="s">
        <v>182</v>
      </c>
    </row>
    <row r="1074" spans="4:13">
      <c r="D1074" s="1" t="s">
        <v>197</v>
      </c>
      <c r="E1074" s="1" t="s">
        <v>47</v>
      </c>
      <c r="H1074" s="1" t="s">
        <v>25</v>
      </c>
      <c r="I1074" s="1" t="s">
        <v>23</v>
      </c>
      <c r="M1074" s="1" t="b">
        <v>0</v>
      </c>
    </row>
    <row r="1075" spans="4:13">
      <c r="D1075" s="1" t="s">
        <v>197</v>
      </c>
      <c r="E1075" s="1" t="s">
        <v>183</v>
      </c>
      <c r="H1075" s="1" t="s">
        <v>25</v>
      </c>
      <c r="I1075" s="1" t="s">
        <v>23</v>
      </c>
      <c r="M1075" s="1" t="b">
        <v>1</v>
      </c>
    </row>
    <row r="1076" spans="4:13">
      <c r="D1076" s="1" t="s">
        <v>197</v>
      </c>
      <c r="E1076" s="1" t="s">
        <v>189</v>
      </c>
      <c r="H1076" s="1" t="s">
        <v>22</v>
      </c>
      <c r="I1076" s="1" t="s">
        <v>23</v>
      </c>
      <c r="L1076" s="1">
        <v>1</v>
      </c>
      <c r="M1076" s="1">
        <v>1.15E-4</v>
      </c>
    </row>
    <row r="1077" spans="4:13">
      <c r="D1077" s="1" t="s">
        <v>197</v>
      </c>
      <c r="E1077" s="1" t="s">
        <v>112</v>
      </c>
      <c r="F1077" s="1" t="s">
        <v>56</v>
      </c>
      <c r="G1077" s="1" t="s">
        <v>57</v>
      </c>
      <c r="H1077" s="1" t="s">
        <v>22</v>
      </c>
      <c r="I1077" s="1" t="s">
        <v>29</v>
      </c>
      <c r="J1077" s="1">
        <v>4.9312830828271128</v>
      </c>
      <c r="K1077" s="1">
        <v>623.66227223989961</v>
      </c>
      <c r="L1077" s="1">
        <v>50.713895374744951</v>
      </c>
    </row>
    <row r="1078" spans="4:13">
      <c r="D1078" s="1" t="s">
        <v>197</v>
      </c>
      <c r="E1078" s="1" t="s">
        <v>62</v>
      </c>
      <c r="H1078" s="1" t="s">
        <v>63</v>
      </c>
      <c r="I1078" s="1" t="s">
        <v>23</v>
      </c>
      <c r="M1078" s="1">
        <v>1</v>
      </c>
    </row>
    <row r="1079" spans="4:13">
      <c r="D1079" s="1" t="s">
        <v>197</v>
      </c>
      <c r="E1079" s="1" t="s">
        <v>184</v>
      </c>
      <c r="H1079" s="1" t="s">
        <v>22</v>
      </c>
      <c r="I1079" s="1" t="s">
        <v>120</v>
      </c>
      <c r="L1079" s="1">
        <v>1</v>
      </c>
    </row>
    <row r="1080" spans="4:13">
      <c r="D1080" s="1" t="s">
        <v>197</v>
      </c>
      <c r="E1080" s="1" t="s">
        <v>185</v>
      </c>
      <c r="F1080" s="1" t="s">
        <v>176</v>
      </c>
      <c r="G1080" s="1" t="s">
        <v>177</v>
      </c>
      <c r="H1080" s="1" t="s">
        <v>22</v>
      </c>
      <c r="I1080" s="1" t="s">
        <v>65</v>
      </c>
      <c r="L1080" s="1">
        <v>39.370078740157467</v>
      </c>
    </row>
    <row r="1081" spans="4:13">
      <c r="D1081" s="1" t="s">
        <v>197</v>
      </c>
      <c r="E1081" s="1" t="s">
        <v>115</v>
      </c>
      <c r="F1081" s="1" t="s">
        <v>56</v>
      </c>
      <c r="G1081" s="1" t="s">
        <v>57</v>
      </c>
      <c r="H1081" s="1" t="s">
        <v>22</v>
      </c>
      <c r="I1081" s="1" t="s">
        <v>65</v>
      </c>
      <c r="L1081" s="1">
        <v>1.4503773773020921E-4</v>
      </c>
    </row>
    <row r="1082" spans="4:13">
      <c r="D1082" s="1" t="s">
        <v>197</v>
      </c>
      <c r="E1082" s="1" t="s">
        <v>69</v>
      </c>
      <c r="H1082" s="1" t="s">
        <v>25</v>
      </c>
      <c r="I1082" s="1" t="s">
        <v>70</v>
      </c>
    </row>
    <row r="1083" spans="4:13">
      <c r="D1083" s="1" t="s">
        <v>197</v>
      </c>
      <c r="E1083" s="1" t="s">
        <v>186</v>
      </c>
      <c r="H1083" s="1" t="s">
        <v>22</v>
      </c>
      <c r="I1083" s="1" t="s">
        <v>65</v>
      </c>
      <c r="L1083" s="1">
        <v>1</v>
      </c>
    </row>
    <row r="1084" spans="4:13">
      <c r="D1084" s="1" t="s">
        <v>197</v>
      </c>
      <c r="E1084" s="1" t="s">
        <v>71</v>
      </c>
      <c r="F1084" s="1" t="s">
        <v>52</v>
      </c>
      <c r="G1084" s="1" t="s">
        <v>53</v>
      </c>
      <c r="H1084" s="1" t="s">
        <v>22</v>
      </c>
      <c r="I1084" s="1" t="s">
        <v>65</v>
      </c>
      <c r="L1084" s="1">
        <v>7936.6414386555998</v>
      </c>
    </row>
    <row r="1085" spans="4:13">
      <c r="D1085" s="1" t="s">
        <v>197</v>
      </c>
      <c r="E1085" s="1" t="s">
        <v>117</v>
      </c>
      <c r="F1085" s="1" t="s">
        <v>118</v>
      </c>
      <c r="G1085" s="1" t="s">
        <v>119</v>
      </c>
      <c r="H1085" s="1" t="s">
        <v>22</v>
      </c>
      <c r="I1085" s="1" t="s">
        <v>120</v>
      </c>
      <c r="J1085" s="1">
        <v>0</v>
      </c>
      <c r="L1085" s="1">
        <v>2.20462262185</v>
      </c>
    </row>
    <row r="1086" spans="4:13">
      <c r="D1086" s="1" t="s">
        <v>197</v>
      </c>
      <c r="E1086" s="1" t="s">
        <v>123</v>
      </c>
      <c r="F1086" s="1" t="s">
        <v>124</v>
      </c>
      <c r="G1086" s="1" t="s">
        <v>125</v>
      </c>
      <c r="H1086" s="1" t="s">
        <v>22</v>
      </c>
      <c r="I1086" s="1" t="s">
        <v>120</v>
      </c>
      <c r="L1086" s="1">
        <v>35.314666699999997</v>
      </c>
    </row>
    <row r="1087" spans="4:13">
      <c r="D1087" s="1" t="s">
        <v>197</v>
      </c>
      <c r="E1087" s="1" t="s">
        <v>126</v>
      </c>
      <c r="H1087" s="1" t="s">
        <v>22</v>
      </c>
      <c r="I1087" s="1" t="s">
        <v>65</v>
      </c>
      <c r="L1087" s="1">
        <v>1</v>
      </c>
    </row>
    <row r="1088" spans="4:13">
      <c r="D1088" s="1" t="s">
        <v>198</v>
      </c>
      <c r="E1088" s="1" t="s">
        <v>28</v>
      </c>
      <c r="H1088" s="1" t="s">
        <v>22</v>
      </c>
      <c r="I1088" s="1" t="s">
        <v>29</v>
      </c>
      <c r="J1088" s="1">
        <v>34000</v>
      </c>
      <c r="K1088" s="1">
        <v>4300000</v>
      </c>
      <c r="L1088" s="1">
        <v>349660</v>
      </c>
    </row>
    <row r="1089" spans="4:13">
      <c r="D1089" s="1" t="s">
        <v>198</v>
      </c>
      <c r="E1089" s="1" t="s">
        <v>30</v>
      </c>
      <c r="H1089" s="1" t="s">
        <v>22</v>
      </c>
      <c r="I1089" s="1" t="s">
        <v>29</v>
      </c>
      <c r="J1089" s="1">
        <v>-3.94</v>
      </c>
      <c r="K1089" s="1">
        <v>3.66</v>
      </c>
      <c r="L1089" s="1">
        <v>1</v>
      </c>
    </row>
    <row r="1090" spans="4:13">
      <c r="D1090" s="1" t="s">
        <v>198</v>
      </c>
      <c r="E1090" s="1" t="s">
        <v>31</v>
      </c>
      <c r="H1090" s="1" t="s">
        <v>22</v>
      </c>
      <c r="I1090" s="1" t="s">
        <v>29</v>
      </c>
      <c r="J1090" s="1">
        <v>0</v>
      </c>
      <c r="K1090" s="1">
        <v>100</v>
      </c>
      <c r="L1090" s="1">
        <v>1</v>
      </c>
    </row>
    <row r="1091" spans="4:13">
      <c r="D1091" s="1" t="s">
        <v>198</v>
      </c>
      <c r="E1091" s="1" t="s">
        <v>32</v>
      </c>
      <c r="H1091" s="1" t="s">
        <v>22</v>
      </c>
      <c r="I1091" s="1" t="s">
        <v>29</v>
      </c>
      <c r="J1091" s="1">
        <v>-3.94</v>
      </c>
      <c r="K1091" s="1">
        <v>3.66</v>
      </c>
      <c r="L1091" s="1">
        <v>1</v>
      </c>
    </row>
    <row r="1092" spans="4:13">
      <c r="D1092" s="1" t="s">
        <v>198</v>
      </c>
      <c r="E1092" s="1" t="s">
        <v>33</v>
      </c>
      <c r="H1092" s="1" t="s">
        <v>25</v>
      </c>
      <c r="I1092" s="1" t="s">
        <v>23</v>
      </c>
      <c r="M1092" s="1" t="b">
        <v>0</v>
      </c>
    </row>
    <row r="1093" spans="4:13">
      <c r="D1093" s="1" t="s">
        <v>198</v>
      </c>
      <c r="E1093" s="1" t="s">
        <v>34</v>
      </c>
      <c r="F1093" s="1" t="s">
        <v>35</v>
      </c>
      <c r="G1093" s="1" t="s">
        <v>36</v>
      </c>
      <c r="H1093" s="1" t="s">
        <v>22</v>
      </c>
      <c r="I1093" s="1" t="s">
        <v>23</v>
      </c>
      <c r="J1093" s="1">
        <v>-459.67</v>
      </c>
      <c r="K1093" s="1">
        <v>980.32999999999993</v>
      </c>
      <c r="L1093" s="1">
        <v>80.329999999999984</v>
      </c>
      <c r="M1093" s="1">
        <v>67.999999999999943</v>
      </c>
    </row>
    <row r="1094" spans="4:13">
      <c r="D1094" s="1" t="s">
        <v>198</v>
      </c>
      <c r="E1094" s="1" t="s">
        <v>37</v>
      </c>
      <c r="H1094" s="1" t="s">
        <v>25</v>
      </c>
      <c r="I1094" s="1" t="s">
        <v>23</v>
      </c>
      <c r="M1094" s="1" t="b">
        <v>0</v>
      </c>
    </row>
    <row r="1095" spans="4:13">
      <c r="D1095" s="1" t="s">
        <v>198</v>
      </c>
      <c r="E1095" s="1" t="s">
        <v>38</v>
      </c>
      <c r="F1095" s="1" t="s">
        <v>35</v>
      </c>
      <c r="G1095" s="1" t="s">
        <v>36</v>
      </c>
      <c r="H1095" s="1" t="s">
        <v>22</v>
      </c>
      <c r="I1095" s="1" t="s">
        <v>23</v>
      </c>
      <c r="J1095" s="1">
        <v>-99.670000000000016</v>
      </c>
      <c r="K1095" s="1">
        <v>980.32999999999993</v>
      </c>
      <c r="L1095" s="1">
        <v>80.329999999999984</v>
      </c>
      <c r="M1095" s="1">
        <v>13.999999999999943</v>
      </c>
    </row>
    <row r="1096" spans="4:13">
      <c r="D1096" s="1" t="s">
        <v>198</v>
      </c>
      <c r="E1096" s="1" t="s">
        <v>39</v>
      </c>
      <c r="H1096" s="1" t="s">
        <v>25</v>
      </c>
      <c r="I1096" s="1" t="s">
        <v>23</v>
      </c>
      <c r="M1096" s="1" t="b">
        <v>0</v>
      </c>
    </row>
    <row r="1097" spans="4:13">
      <c r="D1097" s="1" t="s">
        <v>198</v>
      </c>
      <c r="E1097" s="1" t="s">
        <v>40</v>
      </c>
      <c r="F1097" s="1" t="s">
        <v>41</v>
      </c>
      <c r="G1097" s="1" t="s">
        <v>42</v>
      </c>
      <c r="H1097" s="1" t="s">
        <v>22</v>
      </c>
      <c r="I1097" s="1" t="s">
        <v>23</v>
      </c>
      <c r="J1097" s="1">
        <v>-900</v>
      </c>
      <c r="K1097" s="1">
        <v>900</v>
      </c>
      <c r="L1097" s="1">
        <v>1.8</v>
      </c>
      <c r="M1097" s="1">
        <v>9</v>
      </c>
    </row>
    <row r="1098" spans="4:13">
      <c r="D1098" s="1" t="s">
        <v>198</v>
      </c>
      <c r="E1098" s="1" t="s">
        <v>43</v>
      </c>
      <c r="H1098" s="1" t="s">
        <v>25</v>
      </c>
      <c r="I1098" s="1" t="s">
        <v>23</v>
      </c>
      <c r="M1098" s="1" t="b">
        <v>0</v>
      </c>
    </row>
    <row r="1099" spans="4:13">
      <c r="D1099" s="1" t="s">
        <v>198</v>
      </c>
      <c r="E1099" s="1" t="s">
        <v>44</v>
      </c>
      <c r="F1099" s="1" t="s">
        <v>45</v>
      </c>
      <c r="G1099" s="1" t="s">
        <v>46</v>
      </c>
      <c r="H1099" s="1" t="s">
        <v>22</v>
      </c>
      <c r="I1099" s="1" t="s">
        <v>23</v>
      </c>
      <c r="J1099" s="1">
        <v>-85.984522757427143</v>
      </c>
      <c r="K1099" s="1">
        <v>8598.4522757427148</v>
      </c>
      <c r="L1099" s="1">
        <v>114.79148749423418</v>
      </c>
      <c r="M1099" s="1">
        <v>128.97678413614071</v>
      </c>
    </row>
    <row r="1100" spans="4:13">
      <c r="D1100" s="1" t="s">
        <v>198</v>
      </c>
      <c r="E1100" s="1" t="s">
        <v>47</v>
      </c>
      <c r="H1100" s="1" t="s">
        <v>25</v>
      </c>
      <c r="I1100" s="1" t="s">
        <v>23</v>
      </c>
      <c r="M1100" s="1" t="b">
        <v>0</v>
      </c>
    </row>
    <row r="1101" spans="4:13">
      <c r="D1101" s="1" t="s">
        <v>198</v>
      </c>
      <c r="E1101" s="1" t="s">
        <v>48</v>
      </c>
      <c r="H1101" s="1" t="s">
        <v>25</v>
      </c>
      <c r="I1101" s="1" t="s">
        <v>23</v>
      </c>
      <c r="M1101" s="1" t="b">
        <v>0</v>
      </c>
    </row>
    <row r="1102" spans="4:13">
      <c r="D1102" s="1" t="s">
        <v>198</v>
      </c>
      <c r="E1102" s="1" t="s">
        <v>49</v>
      </c>
      <c r="H1102" s="1" t="s">
        <v>25</v>
      </c>
      <c r="I1102" s="1" t="s">
        <v>23</v>
      </c>
      <c r="M1102" s="1" t="b">
        <v>0</v>
      </c>
    </row>
    <row r="1103" spans="4:13">
      <c r="D1103" s="1" t="s">
        <v>198</v>
      </c>
      <c r="E1103" s="1" t="s">
        <v>50</v>
      </c>
      <c r="H1103" s="1" t="s">
        <v>25</v>
      </c>
      <c r="I1103" s="1" t="s">
        <v>23</v>
      </c>
      <c r="M1103" s="1" t="b">
        <v>0</v>
      </c>
    </row>
    <row r="1104" spans="4:13">
      <c r="D1104" s="1" t="s">
        <v>198</v>
      </c>
      <c r="E1104" s="1" t="s">
        <v>51</v>
      </c>
      <c r="F1104" s="1" t="s">
        <v>52</v>
      </c>
      <c r="G1104" s="1" t="s">
        <v>53</v>
      </c>
      <c r="H1104" s="1" t="s">
        <v>22</v>
      </c>
      <c r="I1104" s="1" t="s">
        <v>23</v>
      </c>
      <c r="J1104" s="1">
        <v>0</v>
      </c>
      <c r="K1104" s="1">
        <v>7936641438.6555996</v>
      </c>
      <c r="L1104" s="1">
        <v>7936.6414386555998</v>
      </c>
      <c r="M1104" s="1">
        <v>7936.6414386555998</v>
      </c>
    </row>
    <row r="1105" spans="4:13">
      <c r="D1105" s="1" t="s">
        <v>198</v>
      </c>
      <c r="E1105" s="1" t="s">
        <v>54</v>
      </c>
      <c r="H1105" s="1" t="s">
        <v>25</v>
      </c>
      <c r="I1105" s="1" t="s">
        <v>23</v>
      </c>
      <c r="M1105" s="1" t="b">
        <v>0</v>
      </c>
    </row>
    <row r="1106" spans="4:13">
      <c r="D1106" s="1" t="s">
        <v>198</v>
      </c>
      <c r="E1106" s="1" t="s">
        <v>55</v>
      </c>
      <c r="F1106" s="1" t="s">
        <v>56</v>
      </c>
      <c r="G1106" s="1" t="s">
        <v>57</v>
      </c>
      <c r="H1106" s="1" t="s">
        <v>22</v>
      </c>
      <c r="I1106" s="1" t="s">
        <v>23</v>
      </c>
      <c r="J1106" s="1">
        <v>0</v>
      </c>
      <c r="K1106" s="1">
        <v>9427.4529524635982</v>
      </c>
      <c r="L1106" s="1">
        <v>50.713895374744951</v>
      </c>
      <c r="M1106" s="1">
        <v>50.763208205573221</v>
      </c>
    </row>
    <row r="1107" spans="4:13">
      <c r="D1107" s="1" t="s">
        <v>198</v>
      </c>
      <c r="E1107" s="1" t="s">
        <v>58</v>
      </c>
      <c r="H1107" s="1" t="s">
        <v>25</v>
      </c>
      <c r="I1107" s="1" t="s">
        <v>23</v>
      </c>
      <c r="M1107" s="1" t="b">
        <v>0</v>
      </c>
    </row>
    <row r="1108" spans="4:13">
      <c r="D1108" s="1" t="s">
        <v>198</v>
      </c>
      <c r="E1108" s="1" t="s">
        <v>59</v>
      </c>
      <c r="F1108" s="1" t="s">
        <v>60</v>
      </c>
      <c r="G1108" s="1" t="s">
        <v>61</v>
      </c>
      <c r="H1108" s="1" t="s">
        <v>22</v>
      </c>
      <c r="I1108" s="1" t="s">
        <v>23</v>
      </c>
      <c r="J1108" s="1">
        <v>-9.5538358650799999</v>
      </c>
      <c r="K1108" s="1">
        <v>9.5538358650799999</v>
      </c>
      <c r="L1108" s="1">
        <v>0.23884589662700001</v>
      </c>
      <c r="M1108" s="1">
        <v>0.23884589662700001</v>
      </c>
    </row>
    <row r="1109" spans="4:13">
      <c r="D1109" s="1" t="s">
        <v>198</v>
      </c>
      <c r="E1109" s="1" t="s">
        <v>62</v>
      </c>
      <c r="H1109" s="1" t="s">
        <v>63</v>
      </c>
      <c r="I1109" s="1" t="s">
        <v>23</v>
      </c>
      <c r="M1109" s="1">
        <v>1</v>
      </c>
    </row>
    <row r="1110" spans="4:13">
      <c r="D1110" s="1" t="s">
        <v>198</v>
      </c>
      <c r="E1110" s="1" t="s">
        <v>64</v>
      </c>
      <c r="F1110" s="1" t="s">
        <v>35</v>
      </c>
      <c r="G1110" s="1" t="s">
        <v>36</v>
      </c>
      <c r="H1110" s="1" t="s">
        <v>22</v>
      </c>
      <c r="I1110" s="1" t="s">
        <v>65</v>
      </c>
      <c r="J1110" s="1">
        <v>-459.67</v>
      </c>
      <c r="L1110" s="1">
        <v>80.329999999999984</v>
      </c>
    </row>
    <row r="1111" spans="4:13">
      <c r="D1111" s="1" t="s">
        <v>198</v>
      </c>
      <c r="E1111" s="1" t="s">
        <v>66</v>
      </c>
      <c r="F1111" s="1" t="s">
        <v>35</v>
      </c>
      <c r="G1111" s="1" t="s">
        <v>36</v>
      </c>
      <c r="H1111" s="1" t="s">
        <v>22</v>
      </c>
      <c r="I1111" s="1" t="s">
        <v>65</v>
      </c>
      <c r="J1111" s="1">
        <v>-459.67</v>
      </c>
      <c r="L1111" s="1">
        <v>80.329999999999984</v>
      </c>
    </row>
    <row r="1112" spans="4:13">
      <c r="D1112" s="1" t="s">
        <v>198</v>
      </c>
      <c r="E1112" s="1" t="s">
        <v>67</v>
      </c>
      <c r="F1112" s="1" t="s">
        <v>41</v>
      </c>
      <c r="G1112" s="1" t="s">
        <v>42</v>
      </c>
      <c r="H1112" s="1" t="s">
        <v>22</v>
      </c>
      <c r="I1112" s="1" t="s">
        <v>65</v>
      </c>
      <c r="L1112" s="1">
        <v>1.8</v>
      </c>
    </row>
    <row r="1113" spans="4:13">
      <c r="D1113" s="1" t="s">
        <v>198</v>
      </c>
      <c r="E1113" s="1" t="s">
        <v>68</v>
      </c>
      <c r="F1113" s="1" t="s">
        <v>45</v>
      </c>
      <c r="G1113" s="1" t="s">
        <v>46</v>
      </c>
      <c r="H1113" s="1" t="s">
        <v>22</v>
      </c>
      <c r="I1113" s="1" t="s">
        <v>65</v>
      </c>
      <c r="L1113" s="1">
        <v>4.2992261378713571E-4</v>
      </c>
    </row>
    <row r="1114" spans="4:13">
      <c r="D1114" s="1" t="s">
        <v>198</v>
      </c>
      <c r="E1114" s="1" t="s">
        <v>69</v>
      </c>
      <c r="H1114" s="1" t="s">
        <v>25</v>
      </c>
      <c r="I1114" s="1" t="s">
        <v>70</v>
      </c>
    </row>
    <row r="1115" spans="4:13">
      <c r="D1115" s="1" t="s">
        <v>198</v>
      </c>
      <c r="E1115" s="1" t="s">
        <v>71</v>
      </c>
      <c r="F1115" s="1" t="s">
        <v>52</v>
      </c>
      <c r="G1115" s="1" t="s">
        <v>53</v>
      </c>
      <c r="H1115" s="1" t="s">
        <v>22</v>
      </c>
      <c r="I1115" s="1" t="s">
        <v>65</v>
      </c>
      <c r="L1115" s="1">
        <v>7936.6414386555998</v>
      </c>
    </row>
    <row r="1116" spans="4:13">
      <c r="D1116" s="1" t="s">
        <v>198</v>
      </c>
      <c r="E1116" s="1" t="s">
        <v>72</v>
      </c>
      <c r="F1116" s="1" t="s">
        <v>56</v>
      </c>
      <c r="G1116" s="1" t="s">
        <v>57</v>
      </c>
      <c r="H1116" s="1" t="s">
        <v>22</v>
      </c>
      <c r="I1116" s="1" t="s">
        <v>65</v>
      </c>
      <c r="J1116" s="1">
        <v>0</v>
      </c>
      <c r="L1116" s="1">
        <v>14.503773773020921</v>
      </c>
    </row>
    <row r="1117" spans="4:13">
      <c r="D1117" s="1" t="s">
        <v>198</v>
      </c>
      <c r="E1117" s="1" t="s">
        <v>73</v>
      </c>
      <c r="F1117" s="1" t="s">
        <v>60</v>
      </c>
      <c r="G1117" s="1" t="s">
        <v>61</v>
      </c>
      <c r="H1117" s="1" t="s">
        <v>22</v>
      </c>
      <c r="I1117" s="1" t="s">
        <v>65</v>
      </c>
      <c r="L1117" s="1">
        <v>2.38845896627E-4</v>
      </c>
    </row>
    <row r="1118" spans="4:13">
      <c r="D1118" s="1" t="s">
        <v>198</v>
      </c>
      <c r="E1118" s="1" t="s">
        <v>74</v>
      </c>
      <c r="F1118" s="1" t="s">
        <v>75</v>
      </c>
      <c r="G1118" s="1" t="s">
        <v>76</v>
      </c>
      <c r="H1118" s="1" t="s">
        <v>22</v>
      </c>
      <c r="I1118" s="1" t="s">
        <v>65</v>
      </c>
      <c r="J1118" s="1">
        <v>0</v>
      </c>
      <c r="L1118" s="1">
        <v>16.018463521800001</v>
      </c>
    </row>
    <row r="1119" spans="4:13">
      <c r="D1119" s="1" t="s">
        <v>198</v>
      </c>
      <c r="E1119" s="1" t="s">
        <v>77</v>
      </c>
      <c r="H1119" s="1" t="s">
        <v>22</v>
      </c>
      <c r="I1119" s="1" t="s">
        <v>65</v>
      </c>
      <c r="L1119" s="1">
        <v>1</v>
      </c>
    </row>
    <row r="1120" spans="4:13">
      <c r="D1120" s="1" t="s">
        <v>198</v>
      </c>
      <c r="E1120" s="1" t="s">
        <v>78</v>
      </c>
      <c r="H1120" s="1" t="s">
        <v>25</v>
      </c>
      <c r="I1120" s="1" t="s">
        <v>23</v>
      </c>
      <c r="M1120" s="1" t="b">
        <v>0</v>
      </c>
    </row>
    <row r="1121" spans="4:13">
      <c r="D1121" s="1" t="s">
        <v>198</v>
      </c>
      <c r="E1121" s="1" t="s">
        <v>79</v>
      </c>
      <c r="F1121" s="1" t="s">
        <v>75</v>
      </c>
      <c r="G1121" s="1" t="s">
        <v>76</v>
      </c>
      <c r="H1121" s="1" t="s">
        <v>22</v>
      </c>
      <c r="I1121" s="1" t="s">
        <v>23</v>
      </c>
      <c r="J1121" s="1">
        <v>0</v>
      </c>
      <c r="K1121" s="1">
        <v>96.110781130800007</v>
      </c>
      <c r="L1121" s="1">
        <v>16.018463521800001</v>
      </c>
      <c r="M1121" s="1">
        <v>1.6018463521800002</v>
      </c>
    </row>
    <row r="1122" spans="4:13">
      <c r="D1122" s="1" t="s">
        <v>198</v>
      </c>
      <c r="E1122" s="1" t="s">
        <v>80</v>
      </c>
      <c r="H1122" s="1" t="s">
        <v>25</v>
      </c>
      <c r="I1122" s="1" t="s">
        <v>23</v>
      </c>
      <c r="M1122" s="1" t="b">
        <v>0</v>
      </c>
    </row>
    <row r="1123" spans="4:13">
      <c r="D1123" s="1" t="s">
        <v>198</v>
      </c>
      <c r="E1123" s="1" t="s">
        <v>81</v>
      </c>
      <c r="H1123" s="1" t="s">
        <v>25</v>
      </c>
      <c r="I1123" s="1" t="s">
        <v>23</v>
      </c>
      <c r="M1123" s="1" t="b">
        <v>0</v>
      </c>
    </row>
    <row r="1124" spans="4:13">
      <c r="D1124" s="1" t="s">
        <v>198</v>
      </c>
      <c r="E1124" s="1" t="s">
        <v>82</v>
      </c>
      <c r="H1124" s="1" t="s">
        <v>22</v>
      </c>
      <c r="I1124" s="1" t="s">
        <v>23</v>
      </c>
      <c r="J1124" s="1">
        <v>-1</v>
      </c>
      <c r="K1124" s="1">
        <v>3</v>
      </c>
      <c r="L1124" s="1">
        <v>1</v>
      </c>
      <c r="M1124" s="1">
        <v>1.01</v>
      </c>
    </row>
    <row r="1125" spans="4:13">
      <c r="D1125" s="1" t="s">
        <v>199</v>
      </c>
      <c r="E1125" s="1" t="s">
        <v>200</v>
      </c>
      <c r="H1125" s="1" t="s">
        <v>22</v>
      </c>
      <c r="I1125" s="1" t="s">
        <v>23</v>
      </c>
      <c r="L1125" s="1">
        <v>1</v>
      </c>
      <c r="M1125" s="1">
        <v>2</v>
      </c>
    </row>
    <row r="1126" spans="4:13">
      <c r="D1126" s="1" t="s">
        <v>199</v>
      </c>
      <c r="E1126" s="1" t="s">
        <v>201</v>
      </c>
      <c r="H1126" s="1" t="s">
        <v>22</v>
      </c>
      <c r="I1126" s="1" t="s">
        <v>23</v>
      </c>
      <c r="L1126" s="1">
        <v>1</v>
      </c>
      <c r="M1126" s="1">
        <v>1.6</v>
      </c>
    </row>
    <row r="1127" spans="4:13">
      <c r="D1127" s="1" t="s">
        <v>199</v>
      </c>
      <c r="E1127" s="1" t="s">
        <v>202</v>
      </c>
      <c r="H1127" s="1" t="s">
        <v>22</v>
      </c>
      <c r="I1127" s="1" t="s">
        <v>23</v>
      </c>
      <c r="L1127" s="1">
        <v>1</v>
      </c>
      <c r="M1127" s="1">
        <v>0.6002885</v>
      </c>
    </row>
    <row r="1128" spans="4:13">
      <c r="D1128" s="1" t="s">
        <v>199</v>
      </c>
      <c r="E1128" s="1" t="s">
        <v>203</v>
      </c>
      <c r="H1128" s="1" t="s">
        <v>22</v>
      </c>
      <c r="I1128" s="1" t="s">
        <v>23</v>
      </c>
      <c r="L1128" s="1">
        <v>1</v>
      </c>
      <c r="M1128" s="1">
        <v>0.8629445</v>
      </c>
    </row>
    <row r="1129" spans="4:13">
      <c r="D1129" s="1" t="s">
        <v>199</v>
      </c>
      <c r="E1129" s="1" t="s">
        <v>204</v>
      </c>
      <c r="H1129" s="1" t="s">
        <v>22</v>
      </c>
      <c r="I1129" s="1" t="s">
        <v>23</v>
      </c>
      <c r="L1129" s="1">
        <v>1</v>
      </c>
      <c r="M1129" s="1">
        <v>-12.42056193</v>
      </c>
    </row>
    <row r="1130" spans="4:13">
      <c r="D1130" s="1" t="s">
        <v>199</v>
      </c>
      <c r="E1130" s="1" t="s">
        <v>205</v>
      </c>
      <c r="H1130" s="1" t="s">
        <v>22</v>
      </c>
      <c r="I1130" s="1" t="s">
        <v>23</v>
      </c>
      <c r="L1130" s="1">
        <v>1</v>
      </c>
      <c r="M1130" s="1">
        <v>2.783438039</v>
      </c>
    </row>
    <row r="1131" spans="4:13">
      <c r="D1131" s="1" t="s">
        <v>199</v>
      </c>
      <c r="E1131" s="1" t="s">
        <v>206</v>
      </c>
      <c r="H1131" s="1" t="s">
        <v>22</v>
      </c>
      <c r="I1131" s="1" t="s">
        <v>23</v>
      </c>
      <c r="L1131" s="1">
        <v>1</v>
      </c>
      <c r="M1131" s="1">
        <v>0.17545599100000001</v>
      </c>
    </row>
    <row r="1132" spans="4:13">
      <c r="D1132" s="1" t="s">
        <v>199</v>
      </c>
      <c r="E1132" s="1" t="s">
        <v>207</v>
      </c>
      <c r="H1132" s="1" t="s">
        <v>22</v>
      </c>
      <c r="I1132" s="1" t="s">
        <v>23</v>
      </c>
      <c r="L1132" s="1">
        <v>1</v>
      </c>
      <c r="M1132" s="1">
        <v>-3.6437408740000001</v>
      </c>
    </row>
    <row r="1133" spans="4:13">
      <c r="D1133" s="1" t="s">
        <v>199</v>
      </c>
      <c r="E1133" s="1" t="s">
        <v>208</v>
      </c>
      <c r="H1133" s="1" t="s">
        <v>22</v>
      </c>
      <c r="I1133" s="1" t="s">
        <v>23</v>
      </c>
      <c r="L1133" s="1">
        <v>1</v>
      </c>
      <c r="M1133" s="1">
        <v>6.5598567509999999</v>
      </c>
    </row>
    <row r="1134" spans="4:13">
      <c r="D1134" s="1" t="s">
        <v>199</v>
      </c>
      <c r="E1134" s="1" t="s">
        <v>209</v>
      </c>
      <c r="H1134" s="1" t="s">
        <v>22</v>
      </c>
      <c r="I1134" s="1" t="s">
        <v>23</v>
      </c>
      <c r="L1134" s="1">
        <v>1</v>
      </c>
      <c r="M1134" s="1">
        <v>-3.9243080429999999</v>
      </c>
    </row>
    <row r="1135" spans="4:13">
      <c r="D1135" s="1" t="s">
        <v>199</v>
      </c>
      <c r="E1135" s="1" t="s">
        <v>210</v>
      </c>
      <c r="H1135" s="1" t="s">
        <v>22</v>
      </c>
      <c r="I1135" s="1" t="s">
        <v>23</v>
      </c>
      <c r="L1135" s="1">
        <v>1</v>
      </c>
      <c r="M1135" s="1">
        <v>-0.48861480299999999</v>
      </c>
    </row>
    <row r="1136" spans="4:13">
      <c r="D1136" s="1" t="s">
        <v>199</v>
      </c>
      <c r="E1136" s="1" t="s">
        <v>211</v>
      </c>
      <c r="H1136" s="1" t="s">
        <v>22</v>
      </c>
      <c r="I1136" s="1" t="s">
        <v>23</v>
      </c>
      <c r="L1136" s="1">
        <v>1</v>
      </c>
      <c r="M1136" s="1">
        <v>-11.605562819999999</v>
      </c>
    </row>
    <row r="1137" spans="4:13">
      <c r="D1137" s="1" t="s">
        <v>199</v>
      </c>
      <c r="E1137" s="1" t="s">
        <v>212</v>
      </c>
      <c r="H1137" s="1" t="s">
        <v>22</v>
      </c>
      <c r="I1137" s="1" t="s">
        <v>23</v>
      </c>
      <c r="L1137" s="1">
        <v>1</v>
      </c>
      <c r="M1137" s="1">
        <v>-3.6979091359999998</v>
      </c>
    </row>
    <row r="1138" spans="4:13">
      <c r="D1138" s="1" t="s">
        <v>199</v>
      </c>
      <c r="E1138" s="1" t="s">
        <v>213</v>
      </c>
      <c r="H1138" s="1" t="s">
        <v>22</v>
      </c>
      <c r="I1138" s="1" t="s">
        <v>23</v>
      </c>
      <c r="L1138" s="1">
        <v>1</v>
      </c>
      <c r="M1138" s="1">
        <v>53.152108370000001</v>
      </c>
    </row>
    <row r="1139" spans="4:13">
      <c r="D1139" s="1" t="s">
        <v>199</v>
      </c>
      <c r="E1139" s="1" t="s">
        <v>214</v>
      </c>
      <c r="H1139" s="1" t="s">
        <v>22</v>
      </c>
      <c r="I1139" s="1" t="s">
        <v>23</v>
      </c>
      <c r="L1139" s="1">
        <v>1</v>
      </c>
      <c r="M1139" s="1">
        <v>-10.309110649999999</v>
      </c>
    </row>
    <row r="1140" spans="4:13">
      <c r="D1140" s="1" t="s">
        <v>199</v>
      </c>
      <c r="E1140" s="1" t="s">
        <v>215</v>
      </c>
      <c r="H1140" s="1" t="s">
        <v>22</v>
      </c>
      <c r="I1140" s="1" t="s">
        <v>23</v>
      </c>
      <c r="L1140" s="1">
        <v>1</v>
      </c>
      <c r="M1140" s="1">
        <v>12.46470045</v>
      </c>
    </row>
    <row r="1141" spans="4:13">
      <c r="D1141" s="1" t="s">
        <v>199</v>
      </c>
      <c r="E1141" s="1" t="s">
        <v>216</v>
      </c>
      <c r="H1141" s="1" t="s">
        <v>22</v>
      </c>
      <c r="I1141" s="1" t="s">
        <v>23</v>
      </c>
      <c r="L1141" s="1">
        <v>1</v>
      </c>
      <c r="M1141" s="1">
        <v>-19.904975109999999</v>
      </c>
    </row>
    <row r="1142" spans="4:13">
      <c r="D1142" s="1" t="s">
        <v>199</v>
      </c>
      <c r="E1142" s="1" t="s">
        <v>217</v>
      </c>
      <c r="H1142" s="1" t="s">
        <v>22</v>
      </c>
      <c r="I1142" s="1" t="s">
        <v>23</v>
      </c>
      <c r="L1142" s="1">
        <v>1</v>
      </c>
      <c r="M1142" s="1">
        <v>2.693104988</v>
      </c>
    </row>
    <row r="1143" spans="4:13">
      <c r="D1143" s="1" t="s">
        <v>199</v>
      </c>
      <c r="E1143" s="1" t="s">
        <v>218</v>
      </c>
      <c r="H1143" s="1" t="s">
        <v>22</v>
      </c>
      <c r="I1143" s="1" t="s">
        <v>23</v>
      </c>
      <c r="L1143" s="1">
        <v>1</v>
      </c>
      <c r="M1143" s="1">
        <v>-3.3397345189999998</v>
      </c>
    </row>
    <row r="1144" spans="4:13">
      <c r="D1144" s="1" t="s">
        <v>199</v>
      </c>
      <c r="E1144" s="1" t="s">
        <v>219</v>
      </c>
      <c r="H1144" s="1" t="s">
        <v>22</v>
      </c>
      <c r="I1144" s="1" t="s">
        <v>23</v>
      </c>
      <c r="L1144" s="1">
        <v>1</v>
      </c>
      <c r="M1144" s="1">
        <v>56.024511269999998</v>
      </c>
    </row>
    <row r="1145" spans="4:13">
      <c r="D1145" s="1" t="s">
        <v>199</v>
      </c>
      <c r="E1145" s="1" t="s">
        <v>220</v>
      </c>
      <c r="H1145" s="1" t="s">
        <v>22</v>
      </c>
      <c r="I1145" s="1" t="s">
        <v>23</v>
      </c>
      <c r="L1145" s="1">
        <v>1</v>
      </c>
      <c r="M1145" s="1">
        <v>12.4162404</v>
      </c>
    </row>
    <row r="1146" spans="4:13">
      <c r="D1146" s="1" t="s">
        <v>199</v>
      </c>
      <c r="E1146" s="1" t="s">
        <v>221</v>
      </c>
      <c r="H1146" s="1" t="s">
        <v>22</v>
      </c>
      <c r="I1146" s="1" t="s">
        <v>23</v>
      </c>
      <c r="L1146" s="1">
        <v>1</v>
      </c>
      <c r="M1146" s="1">
        <v>-0.37074144399999998</v>
      </c>
    </row>
    <row r="1147" spans="4:13">
      <c r="D1147" s="1" t="s">
        <v>199</v>
      </c>
      <c r="E1147" s="1" t="s">
        <v>222</v>
      </c>
      <c r="H1147" s="1" t="s">
        <v>22</v>
      </c>
      <c r="I1147" s="1" t="s">
        <v>23</v>
      </c>
      <c r="L1147" s="1">
        <v>1</v>
      </c>
      <c r="M1147" s="1">
        <v>-4.853899126</v>
      </c>
    </row>
    <row r="1148" spans="4:13">
      <c r="D1148" s="1" t="s">
        <v>199</v>
      </c>
      <c r="E1148" s="1" t="s">
        <v>223</v>
      </c>
      <c r="H1148" s="1" t="s">
        <v>22</v>
      </c>
      <c r="I1148" s="1" t="s">
        <v>23</v>
      </c>
      <c r="L1148" s="1">
        <v>1</v>
      </c>
      <c r="M1148" s="1">
        <v>-131.75246519999999</v>
      </c>
    </row>
    <row r="1149" spans="4:13">
      <c r="D1149" s="1" t="s">
        <v>199</v>
      </c>
      <c r="E1149" s="1" t="s">
        <v>224</v>
      </c>
      <c r="H1149" s="1" t="s">
        <v>22</v>
      </c>
      <c r="I1149" s="1" t="s">
        <v>23</v>
      </c>
      <c r="L1149" s="1">
        <v>1</v>
      </c>
      <c r="M1149" s="1">
        <v>5.8939846310000004</v>
      </c>
    </row>
    <row r="1150" spans="4:13">
      <c r="D1150" s="1" t="s">
        <v>199</v>
      </c>
      <c r="E1150" s="1" t="s">
        <v>225</v>
      </c>
      <c r="H1150" s="1" t="s">
        <v>22</v>
      </c>
      <c r="I1150" s="1" t="s">
        <v>23</v>
      </c>
      <c r="L1150" s="1">
        <v>1</v>
      </c>
      <c r="M1150" s="1">
        <v>16.722669719999999</v>
      </c>
    </row>
    <row r="1151" spans="4:13">
      <c r="D1151" s="1" t="s">
        <v>199</v>
      </c>
      <c r="E1151" s="1" t="s">
        <v>226</v>
      </c>
      <c r="H1151" s="1" t="s">
        <v>22</v>
      </c>
      <c r="I1151" s="1" t="s">
        <v>23</v>
      </c>
      <c r="L1151" s="1">
        <v>1</v>
      </c>
      <c r="M1151" s="1">
        <v>36.919691919999998</v>
      </c>
    </row>
    <row r="1152" spans="4:13">
      <c r="D1152" s="1" t="s">
        <v>199</v>
      </c>
      <c r="E1152" s="1" t="s">
        <v>227</v>
      </c>
      <c r="H1152" s="1" t="s">
        <v>22</v>
      </c>
      <c r="I1152" s="1" t="s">
        <v>23</v>
      </c>
      <c r="L1152" s="1">
        <v>1</v>
      </c>
      <c r="M1152" s="1">
        <v>15.51352453</v>
      </c>
    </row>
    <row r="1153" spans="4:13">
      <c r="D1153" s="1" t="s">
        <v>199</v>
      </c>
      <c r="E1153" s="1" t="s">
        <v>228</v>
      </c>
      <c r="H1153" s="1" t="s">
        <v>22</v>
      </c>
      <c r="I1153" s="1" t="s">
        <v>23</v>
      </c>
      <c r="L1153" s="1">
        <v>1</v>
      </c>
      <c r="M1153" s="1">
        <v>-136.27810500000001</v>
      </c>
    </row>
    <row r="1154" spans="4:13">
      <c r="D1154" s="1" t="s">
        <v>199</v>
      </c>
      <c r="E1154" s="1" t="s">
        <v>229</v>
      </c>
      <c r="H1154" s="1" t="s">
        <v>22</v>
      </c>
      <c r="I1154" s="1" t="s">
        <v>23</v>
      </c>
      <c r="L1154" s="1">
        <v>1</v>
      </c>
      <c r="M1154" s="1">
        <v>-22.550678550000001</v>
      </c>
    </row>
    <row r="1155" spans="4:13">
      <c r="D1155" s="1" t="s">
        <v>199</v>
      </c>
      <c r="E1155" s="1" t="s">
        <v>230</v>
      </c>
      <c r="H1155" s="1" t="s">
        <v>22</v>
      </c>
      <c r="I1155" s="1" t="s">
        <v>23</v>
      </c>
      <c r="L1155" s="1">
        <v>1</v>
      </c>
      <c r="M1155" s="1">
        <v>9.0278701730000002</v>
      </c>
    </row>
    <row r="1156" spans="4:13">
      <c r="D1156" s="1" t="s">
        <v>199</v>
      </c>
      <c r="E1156" s="1" t="s">
        <v>231</v>
      </c>
      <c r="H1156" s="1" t="s">
        <v>22</v>
      </c>
      <c r="I1156" s="1" t="s">
        <v>23</v>
      </c>
      <c r="L1156" s="1">
        <v>1</v>
      </c>
      <c r="M1156" s="1">
        <v>24.594299190000001</v>
      </c>
    </row>
    <row r="1157" spans="4:13">
      <c r="D1157" s="1" t="s">
        <v>199</v>
      </c>
      <c r="E1157" s="1" t="s">
        <v>232</v>
      </c>
      <c r="H1157" s="1" t="s">
        <v>22</v>
      </c>
      <c r="I1157" s="1" t="s">
        <v>23</v>
      </c>
      <c r="L1157" s="1">
        <v>1</v>
      </c>
      <c r="M1157" s="1">
        <v>277.41246580000001</v>
      </c>
    </row>
    <row r="1158" spans="4:13">
      <c r="D1158" s="1" t="s">
        <v>199</v>
      </c>
      <c r="E1158" s="1" t="s">
        <v>233</v>
      </c>
      <c r="H1158" s="1" t="s">
        <v>22</v>
      </c>
      <c r="I1158" s="1" t="s">
        <v>23</v>
      </c>
      <c r="L1158" s="1">
        <v>1</v>
      </c>
      <c r="M1158" s="1">
        <v>-58.230071729999999</v>
      </c>
    </row>
    <row r="1159" spans="4:13">
      <c r="D1159" s="1" t="s">
        <v>199</v>
      </c>
      <c r="E1159" s="1" t="s">
        <v>234</v>
      </c>
      <c r="H1159" s="1" t="s">
        <v>22</v>
      </c>
      <c r="I1159" s="1" t="s">
        <v>23</v>
      </c>
      <c r="L1159" s="1">
        <v>1</v>
      </c>
      <c r="M1159" s="1">
        <v>-80.460904540000001</v>
      </c>
    </row>
    <row r="1160" spans="4:13">
      <c r="D1160" s="1" t="s">
        <v>199</v>
      </c>
      <c r="E1160" s="1" t="s">
        <v>235</v>
      </c>
      <c r="H1160" s="1" t="s">
        <v>22</v>
      </c>
      <c r="I1160" s="1" t="s">
        <v>23</v>
      </c>
      <c r="L1160" s="1">
        <v>1</v>
      </c>
      <c r="M1160" s="1">
        <v>-94.893821509999995</v>
      </c>
    </row>
    <row r="1161" spans="4:13">
      <c r="D1161" s="1" t="s">
        <v>199</v>
      </c>
      <c r="E1161" s="1" t="s">
        <v>236</v>
      </c>
      <c r="H1161" s="1" t="s">
        <v>22</v>
      </c>
      <c r="I1161" s="1" t="s">
        <v>23</v>
      </c>
      <c r="L1161" s="1">
        <v>1</v>
      </c>
      <c r="M1161" s="1">
        <v>259.0144267</v>
      </c>
    </row>
    <row r="1162" spans="4:13">
      <c r="D1162" s="1" t="s">
        <v>199</v>
      </c>
      <c r="E1162" s="1" t="s">
        <v>237</v>
      </c>
      <c r="H1162" s="1" t="s">
        <v>22</v>
      </c>
      <c r="I1162" s="1" t="s">
        <v>23</v>
      </c>
      <c r="L1162" s="1">
        <v>1</v>
      </c>
      <c r="M1162" s="1">
        <v>16.922274900000001</v>
      </c>
    </row>
    <row r="1163" spans="4:13">
      <c r="D1163" s="1" t="s">
        <v>199</v>
      </c>
      <c r="E1163" s="1" t="s">
        <v>238</v>
      </c>
      <c r="H1163" s="1" t="s">
        <v>22</v>
      </c>
      <c r="I1163" s="1" t="s">
        <v>23</v>
      </c>
      <c r="L1163" s="1">
        <v>1</v>
      </c>
      <c r="M1163" s="1">
        <v>-31.407204199999999</v>
      </c>
    </row>
    <row r="1164" spans="4:13">
      <c r="D1164" s="1" t="s">
        <v>199</v>
      </c>
      <c r="E1164" s="1" t="s">
        <v>239</v>
      </c>
      <c r="H1164" s="1" t="s">
        <v>22</v>
      </c>
      <c r="I1164" s="1" t="s">
        <v>23</v>
      </c>
      <c r="L1164" s="1">
        <v>1</v>
      </c>
      <c r="M1164" s="1">
        <v>-8.3447858670000006</v>
      </c>
    </row>
    <row r="1165" spans="4:13">
      <c r="D1165" s="1" t="s">
        <v>199</v>
      </c>
      <c r="E1165" s="1" t="s">
        <v>240</v>
      </c>
      <c r="H1165" s="1" t="s">
        <v>22</v>
      </c>
      <c r="I1165" s="1" t="s">
        <v>23</v>
      </c>
      <c r="L1165" s="1">
        <v>1</v>
      </c>
      <c r="M1165" s="1">
        <v>-3.9747991649999999</v>
      </c>
    </row>
    <row r="1166" spans="4:13">
      <c r="D1166" s="1" t="s">
        <v>199</v>
      </c>
      <c r="E1166" s="1" t="s">
        <v>241</v>
      </c>
      <c r="H1166" s="1" t="s">
        <v>22</v>
      </c>
      <c r="I1166" s="1" t="s">
        <v>23</v>
      </c>
      <c r="L1166" s="1">
        <v>1</v>
      </c>
      <c r="M1166" s="1">
        <v>-103.190184</v>
      </c>
    </row>
    <row r="1167" spans="4:13">
      <c r="D1167" s="1" t="s">
        <v>199</v>
      </c>
      <c r="E1167" s="1" t="s">
        <v>242</v>
      </c>
      <c r="H1167" s="1" t="s">
        <v>22</v>
      </c>
      <c r="I1167" s="1" t="s">
        <v>23</v>
      </c>
      <c r="L1167" s="1">
        <v>1</v>
      </c>
      <c r="M1167" s="1">
        <v>-400.463347</v>
      </c>
    </row>
    <row r="1168" spans="4:13">
      <c r="D1168" s="1" t="s">
        <v>199</v>
      </c>
      <c r="E1168" s="1" t="s">
        <v>243</v>
      </c>
      <c r="H1168" s="1" t="s">
        <v>22</v>
      </c>
      <c r="I1168" s="1" t="s">
        <v>23</v>
      </c>
      <c r="L1168" s="1">
        <v>1</v>
      </c>
      <c r="M1168" s="1">
        <v>205.150226</v>
      </c>
    </row>
    <row r="1169" spans="4:13">
      <c r="D1169" s="1" t="s">
        <v>199</v>
      </c>
      <c r="E1169" s="1" t="s">
        <v>244</v>
      </c>
      <c r="H1169" s="1" t="s">
        <v>22</v>
      </c>
      <c r="I1169" s="1" t="s">
        <v>23</v>
      </c>
      <c r="L1169" s="1">
        <v>1</v>
      </c>
      <c r="M1169" s="1">
        <v>221.3667519</v>
      </c>
    </row>
    <row r="1170" spans="4:13">
      <c r="D1170" s="1" t="s">
        <v>199</v>
      </c>
      <c r="E1170" s="1" t="s">
        <v>245</v>
      </c>
      <c r="H1170" s="1" t="s">
        <v>22</v>
      </c>
      <c r="I1170" s="1" t="s">
        <v>23</v>
      </c>
      <c r="L1170" s="1">
        <v>1</v>
      </c>
      <c r="M1170" s="1">
        <v>-350.82168130000002</v>
      </c>
    </row>
    <row r="1171" spans="4:13">
      <c r="D1171" s="1" t="s">
        <v>199</v>
      </c>
      <c r="E1171" s="1" t="s">
        <v>246</v>
      </c>
      <c r="H1171" s="1" t="s">
        <v>22</v>
      </c>
      <c r="I1171" s="1" t="s">
        <v>23</v>
      </c>
      <c r="L1171" s="1">
        <v>1</v>
      </c>
      <c r="M1171" s="1">
        <v>4.3645905200000001</v>
      </c>
    </row>
    <row r="1172" spans="4:13">
      <c r="D1172" s="1" t="s">
        <v>199</v>
      </c>
      <c r="E1172" s="1" t="s">
        <v>247</v>
      </c>
      <c r="H1172" s="1" t="s">
        <v>22</v>
      </c>
      <c r="I1172" s="1" t="s">
        <v>23</v>
      </c>
      <c r="L1172" s="1">
        <v>1</v>
      </c>
      <c r="M1172" s="1">
        <v>63.353113569999998</v>
      </c>
    </row>
    <row r="1173" spans="4:13">
      <c r="D1173" s="1" t="s">
        <v>199</v>
      </c>
      <c r="E1173" s="1" t="s">
        <v>248</v>
      </c>
      <c r="H1173" s="1" t="s">
        <v>22</v>
      </c>
      <c r="I1173" s="1" t="s">
        <v>23</v>
      </c>
      <c r="L1173" s="1">
        <v>1</v>
      </c>
      <c r="M1173" s="1">
        <v>36.909636480000003</v>
      </c>
    </row>
    <row r="1174" spans="4:13">
      <c r="D1174" s="1" t="s">
        <v>199</v>
      </c>
      <c r="E1174" s="1" t="s">
        <v>249</v>
      </c>
      <c r="H1174" s="1" t="s">
        <v>22</v>
      </c>
      <c r="I1174" s="1" t="s">
        <v>23</v>
      </c>
      <c r="L1174" s="1">
        <v>1</v>
      </c>
      <c r="M1174" s="1">
        <v>41.061025010000002</v>
      </c>
    </row>
    <row r="1175" spans="4:13">
      <c r="D1175" s="1" t="s">
        <v>199</v>
      </c>
      <c r="E1175" s="1" t="s">
        <v>250</v>
      </c>
      <c r="H1175" s="1" t="s">
        <v>22</v>
      </c>
      <c r="I1175" s="1" t="s">
        <v>23</v>
      </c>
      <c r="L1175" s="1">
        <v>1</v>
      </c>
      <c r="M1175" s="1">
        <v>182.56317490000001</v>
      </c>
    </row>
    <row r="1176" spans="4:13">
      <c r="D1176" s="1" t="s">
        <v>199</v>
      </c>
      <c r="E1176" s="1" t="s">
        <v>251</v>
      </c>
      <c r="H1176" s="1" t="s">
        <v>22</v>
      </c>
      <c r="I1176" s="1" t="s">
        <v>23</v>
      </c>
      <c r="L1176" s="1">
        <v>1</v>
      </c>
      <c r="M1176" s="1">
        <v>396.31889669999998</v>
      </c>
    </row>
    <row r="1177" spans="4:13">
      <c r="D1177" s="1" t="s">
        <v>199</v>
      </c>
      <c r="E1177" s="1" t="s">
        <v>252</v>
      </c>
      <c r="H1177" s="1" t="s">
        <v>22</v>
      </c>
      <c r="I1177" s="1" t="s">
        <v>23</v>
      </c>
      <c r="L1177" s="1">
        <v>1</v>
      </c>
      <c r="M1177" s="1">
        <v>-493.16641870000001</v>
      </c>
    </row>
    <row r="1178" spans="4:13">
      <c r="D1178" s="1" t="s">
        <v>199</v>
      </c>
      <c r="E1178" s="1" t="s">
        <v>253</v>
      </c>
      <c r="H1178" s="1" t="s">
        <v>22</v>
      </c>
      <c r="I1178" s="1" t="s">
        <v>23</v>
      </c>
      <c r="L1178" s="1">
        <v>1</v>
      </c>
      <c r="M1178" s="1">
        <v>368.91798390000002</v>
      </c>
    </row>
    <row r="1179" spans="4:13">
      <c r="D1179" s="1" t="s">
        <v>199</v>
      </c>
      <c r="E1179" s="1" t="s">
        <v>254</v>
      </c>
      <c r="H1179" s="1" t="s">
        <v>22</v>
      </c>
      <c r="I1179" s="1" t="s">
        <v>23</v>
      </c>
      <c r="L1179" s="1">
        <v>1</v>
      </c>
      <c r="M1179" s="1">
        <v>-77.030740679999994</v>
      </c>
    </row>
    <row r="1180" spans="4:13">
      <c r="D1180" s="1" t="s">
        <v>199</v>
      </c>
      <c r="E1180" s="1" t="s">
        <v>255</v>
      </c>
      <c r="H1180" s="1" t="s">
        <v>22</v>
      </c>
      <c r="I1180" s="1" t="s">
        <v>23</v>
      </c>
      <c r="L1180" s="1">
        <v>1</v>
      </c>
      <c r="M1180" s="1">
        <v>-75.54827847</v>
      </c>
    </row>
    <row r="1181" spans="4:13">
      <c r="D1181" s="1" t="s">
        <v>199</v>
      </c>
      <c r="E1181" s="1" t="s">
        <v>256</v>
      </c>
      <c r="H1181" s="1" t="s">
        <v>22</v>
      </c>
      <c r="I1181" s="1" t="s">
        <v>23</v>
      </c>
      <c r="L1181" s="1">
        <v>1</v>
      </c>
      <c r="M1181" s="1">
        <v>-84.493516130000003</v>
      </c>
    </row>
    <row r="1182" spans="4:13">
      <c r="D1182" s="1" t="s">
        <v>199</v>
      </c>
      <c r="E1182" s="1" t="s">
        <v>257</v>
      </c>
      <c r="H1182" s="1" t="s">
        <v>22</v>
      </c>
      <c r="I1182" s="1" t="s">
        <v>23</v>
      </c>
      <c r="L1182" s="1">
        <v>1</v>
      </c>
      <c r="M1182" s="1">
        <v>-3.7813646369999998</v>
      </c>
    </row>
    <row r="1183" spans="4:13">
      <c r="D1183" s="1" t="s">
        <v>199</v>
      </c>
      <c r="E1183" s="1" t="s">
        <v>258</v>
      </c>
      <c r="H1183" s="1" t="s">
        <v>22</v>
      </c>
      <c r="I1183" s="1" t="s">
        <v>23</v>
      </c>
      <c r="L1183" s="1">
        <v>1</v>
      </c>
      <c r="M1183" s="1">
        <v>-10.63279651</v>
      </c>
    </row>
    <row r="1184" spans="4:13">
      <c r="D1184" s="1" t="s">
        <v>199</v>
      </c>
      <c r="E1184" s="1" t="s">
        <v>259</v>
      </c>
      <c r="H1184" s="1" t="s">
        <v>22</v>
      </c>
      <c r="I1184" s="1" t="s">
        <v>23</v>
      </c>
      <c r="L1184" s="1">
        <v>1</v>
      </c>
      <c r="M1184" s="1">
        <v>-93.361319949999995</v>
      </c>
    </row>
    <row r="1185" spans="4:13">
      <c r="D1185" s="1" t="s">
        <v>199</v>
      </c>
      <c r="E1185" s="1" t="s">
        <v>260</v>
      </c>
      <c r="H1185" s="1" t="s">
        <v>22</v>
      </c>
      <c r="I1185" s="1" t="s">
        <v>23</v>
      </c>
      <c r="L1185" s="1">
        <v>1</v>
      </c>
      <c r="M1185" s="1">
        <v>-170.49056529999999</v>
      </c>
    </row>
    <row r="1186" spans="4:13">
      <c r="D1186" s="1" t="s">
        <v>199</v>
      </c>
      <c r="E1186" s="1" t="s">
        <v>261</v>
      </c>
      <c r="H1186" s="1" t="s">
        <v>22</v>
      </c>
      <c r="I1186" s="1" t="s">
        <v>23</v>
      </c>
      <c r="L1186" s="1">
        <v>1</v>
      </c>
      <c r="M1186" s="1">
        <v>-150.4916863</v>
      </c>
    </row>
    <row r="1187" spans="4:13">
      <c r="D1187" s="1" t="s">
        <v>199</v>
      </c>
      <c r="E1187" s="1" t="s">
        <v>262</v>
      </c>
      <c r="H1187" s="1" t="s">
        <v>22</v>
      </c>
      <c r="I1187" s="1" t="s">
        <v>23</v>
      </c>
      <c r="L1187" s="1">
        <v>1</v>
      </c>
      <c r="M1187" s="1">
        <v>-116.06465439999999</v>
      </c>
    </row>
    <row r="1188" spans="4:13">
      <c r="D1188" s="1" t="s">
        <v>199</v>
      </c>
      <c r="E1188" s="1" t="s">
        <v>263</v>
      </c>
      <c r="H1188" s="1" t="s">
        <v>22</v>
      </c>
      <c r="I1188" s="1" t="s">
        <v>23</v>
      </c>
      <c r="L1188" s="1">
        <v>1</v>
      </c>
      <c r="M1188" s="1">
        <v>238.43280240000001</v>
      </c>
    </row>
    <row r="1189" spans="4:13">
      <c r="D1189" s="1" t="s">
        <v>199</v>
      </c>
      <c r="E1189" s="1" t="s">
        <v>264</v>
      </c>
      <c r="H1189" s="1" t="s">
        <v>22</v>
      </c>
      <c r="I1189" s="1" t="s">
        <v>23</v>
      </c>
      <c r="L1189" s="1">
        <v>1</v>
      </c>
      <c r="M1189" s="1">
        <v>36.213737770000002</v>
      </c>
    </row>
    <row r="1190" spans="4:13">
      <c r="D1190" s="1" t="s">
        <v>199</v>
      </c>
      <c r="E1190" s="1" t="s">
        <v>265</v>
      </c>
      <c r="H1190" s="1" t="s">
        <v>22</v>
      </c>
      <c r="I1190" s="1" t="s">
        <v>23</v>
      </c>
      <c r="L1190" s="1">
        <v>1</v>
      </c>
      <c r="M1190" s="1">
        <v>118.7226658</v>
      </c>
    </row>
    <row r="1191" spans="4:13">
      <c r="D1191" s="1" t="s">
        <v>199</v>
      </c>
      <c r="E1191" s="1" t="s">
        <v>266</v>
      </c>
      <c r="H1191" s="1" t="s">
        <v>22</v>
      </c>
      <c r="I1191" s="1" t="s">
        <v>23</v>
      </c>
      <c r="L1191" s="1">
        <v>1</v>
      </c>
      <c r="M1191" s="1">
        <v>15.10199843</v>
      </c>
    </row>
    <row r="1192" spans="4:13">
      <c r="D1192" s="1" t="s">
        <v>199</v>
      </c>
      <c r="E1192" s="1" t="s">
        <v>267</v>
      </c>
      <c r="H1192" s="1" t="s">
        <v>22</v>
      </c>
      <c r="I1192" s="1" t="s">
        <v>23</v>
      </c>
      <c r="L1192" s="1">
        <v>1</v>
      </c>
      <c r="M1192" s="1">
        <v>42.514370139999997</v>
      </c>
    </row>
    <row r="1193" spans="4:13">
      <c r="D1193" s="1" t="s">
        <v>199</v>
      </c>
      <c r="E1193" s="1" t="s">
        <v>268</v>
      </c>
      <c r="H1193" s="1" t="s">
        <v>22</v>
      </c>
      <c r="I1193" s="1" t="s">
        <v>23</v>
      </c>
      <c r="L1193" s="1">
        <v>1</v>
      </c>
      <c r="M1193" s="1">
        <v>107.5914464</v>
      </c>
    </row>
    <row r="1194" spans="4:13">
      <c r="D1194" s="1" t="s">
        <v>199</v>
      </c>
      <c r="E1194" s="1" t="s">
        <v>269</v>
      </c>
      <c r="H1194" s="1" t="s">
        <v>22</v>
      </c>
      <c r="I1194" s="1" t="s">
        <v>23</v>
      </c>
      <c r="L1194" s="1">
        <v>1</v>
      </c>
      <c r="M1194" s="1">
        <v>-51.049708600000002</v>
      </c>
    </row>
    <row r="1195" spans="4:13">
      <c r="D1195" s="1" t="s">
        <v>199</v>
      </c>
      <c r="E1195" s="1" t="s">
        <v>270</v>
      </c>
      <c r="H1195" s="1" t="s">
        <v>22</v>
      </c>
      <c r="I1195" s="1" t="s">
        <v>23</v>
      </c>
      <c r="L1195" s="1">
        <v>1</v>
      </c>
      <c r="M1195" s="1">
        <v>744.45374149999998</v>
      </c>
    </row>
    <row r="1196" spans="4:13">
      <c r="D1196" s="1" t="s">
        <v>199</v>
      </c>
      <c r="E1196" s="1" t="s">
        <v>271</v>
      </c>
      <c r="H1196" s="1" t="s">
        <v>22</v>
      </c>
      <c r="I1196" s="1" t="s">
        <v>23</v>
      </c>
      <c r="L1196" s="1">
        <v>1</v>
      </c>
      <c r="M1196" s="1">
        <v>-714.5962207</v>
      </c>
    </row>
    <row r="1197" spans="4:13">
      <c r="D1197" s="1" t="s">
        <v>199</v>
      </c>
      <c r="E1197" s="1" t="s">
        <v>272</v>
      </c>
      <c r="H1197" s="1" t="s">
        <v>22</v>
      </c>
      <c r="I1197" s="1" t="s">
        <v>23</v>
      </c>
      <c r="L1197" s="1">
        <v>1</v>
      </c>
      <c r="M1197" s="1">
        <v>22.525111880000001</v>
      </c>
    </row>
    <row r="1198" spans="4:13">
      <c r="D1198" s="1" t="s">
        <v>199</v>
      </c>
      <c r="E1198" s="1" t="s">
        <v>273</v>
      </c>
      <c r="H1198" s="1" t="s">
        <v>22</v>
      </c>
      <c r="I1198" s="1" t="s">
        <v>23</v>
      </c>
      <c r="L1198" s="1">
        <v>1</v>
      </c>
      <c r="M1198" s="1">
        <v>-83.576441439999996</v>
      </c>
    </row>
    <row r="1199" spans="4:13">
      <c r="D1199" s="1" t="s">
        <v>199</v>
      </c>
      <c r="E1199" s="1" t="s">
        <v>274</v>
      </c>
      <c r="H1199" s="1" t="s">
        <v>22</v>
      </c>
      <c r="I1199" s="1" t="s">
        <v>23</v>
      </c>
      <c r="L1199" s="1">
        <v>1</v>
      </c>
      <c r="M1199" s="1">
        <v>-12.98305794</v>
      </c>
    </row>
    <row r="1200" spans="4:13">
      <c r="D1200" s="1" t="s">
        <v>199</v>
      </c>
      <c r="E1200" s="1" t="s">
        <v>275</v>
      </c>
      <c r="H1200" s="1" t="s">
        <v>22</v>
      </c>
      <c r="I1200" s="1" t="s">
        <v>23</v>
      </c>
      <c r="L1200" s="1">
        <v>1</v>
      </c>
      <c r="M1200" s="1">
        <v>-2.5960788340000001</v>
      </c>
    </row>
    <row r="1201" spans="4:13">
      <c r="D1201" s="1" t="s">
        <v>199</v>
      </c>
      <c r="E1201" s="1" t="s">
        <v>276</v>
      </c>
      <c r="H1201" s="1" t="s">
        <v>22</v>
      </c>
      <c r="I1201" s="1" t="s">
        <v>23</v>
      </c>
      <c r="L1201" s="1">
        <v>1</v>
      </c>
      <c r="M1201" s="1">
        <v>-9.9775272729999998</v>
      </c>
    </row>
    <row r="1202" spans="4:13">
      <c r="D1202" s="1" t="s">
        <v>199</v>
      </c>
      <c r="E1202" s="1" t="s">
        <v>277</v>
      </c>
      <c r="H1202" s="1" t="s">
        <v>22</v>
      </c>
      <c r="I1202" s="1" t="s">
        <v>23</v>
      </c>
      <c r="L1202" s="1">
        <v>1</v>
      </c>
      <c r="M1202" s="1">
        <v>-76.519942319999998</v>
      </c>
    </row>
    <row r="1203" spans="4:13">
      <c r="D1203" s="1" t="s">
        <v>199</v>
      </c>
      <c r="E1203" s="1" t="s">
        <v>278</v>
      </c>
      <c r="H1203" s="1" t="s">
        <v>22</v>
      </c>
      <c r="I1203" s="1" t="s">
        <v>23</v>
      </c>
      <c r="L1203" s="1">
        <v>1</v>
      </c>
      <c r="M1203" s="1">
        <v>13.208672679999999</v>
      </c>
    </row>
    <row r="1204" spans="4:13">
      <c r="D1204" s="1" t="s">
        <v>199</v>
      </c>
      <c r="E1204" s="1" t="s">
        <v>279</v>
      </c>
      <c r="H1204" s="1" t="s">
        <v>22</v>
      </c>
      <c r="I1204" s="1" t="s">
        <v>23</v>
      </c>
      <c r="L1204" s="1">
        <v>1</v>
      </c>
      <c r="M1204" s="1">
        <v>-493.60278440000002</v>
      </c>
    </row>
    <row r="1205" spans="4:13">
      <c r="D1205" s="1" t="s">
        <v>199</v>
      </c>
      <c r="E1205" s="1" t="s">
        <v>280</v>
      </c>
      <c r="H1205" s="1" t="s">
        <v>22</v>
      </c>
      <c r="I1205" s="1" t="s">
        <v>23</v>
      </c>
      <c r="L1205" s="1">
        <v>1</v>
      </c>
      <c r="M1205" s="1">
        <v>359.44746800000001</v>
      </c>
    </row>
    <row r="1206" spans="4:13">
      <c r="D1206" s="1" t="s">
        <v>199</v>
      </c>
      <c r="E1206" s="1" t="s">
        <v>281</v>
      </c>
      <c r="H1206" s="1" t="s">
        <v>22</v>
      </c>
      <c r="I1206" s="1" t="s">
        <v>23</v>
      </c>
      <c r="L1206" s="1">
        <v>1</v>
      </c>
      <c r="M1206" s="1">
        <v>203.8431616</v>
      </c>
    </row>
    <row r="1207" spans="4:13">
      <c r="D1207" s="1" t="s">
        <v>199</v>
      </c>
      <c r="E1207" s="1" t="s">
        <v>282</v>
      </c>
      <c r="H1207" s="1" t="s">
        <v>22</v>
      </c>
      <c r="I1207" s="1" t="s">
        <v>23</v>
      </c>
      <c r="L1207" s="1">
        <v>1</v>
      </c>
      <c r="M1207" s="1">
        <v>-8.0153048309999999</v>
      </c>
    </row>
    <row r="1208" spans="4:13">
      <c r="D1208" s="1" t="s">
        <v>199</v>
      </c>
      <c r="E1208" s="1" t="s">
        <v>283</v>
      </c>
      <c r="H1208" s="1" t="s">
        <v>22</v>
      </c>
      <c r="I1208" s="1" t="s">
        <v>23</v>
      </c>
      <c r="L1208" s="1">
        <v>1</v>
      </c>
      <c r="M1208" s="1">
        <v>-39.255992280000001</v>
      </c>
    </row>
    <row r="1209" spans="4:13">
      <c r="D1209" s="1" t="s">
        <v>199</v>
      </c>
      <c r="E1209" s="1" t="s">
        <v>284</v>
      </c>
      <c r="H1209" s="1" t="s">
        <v>22</v>
      </c>
      <c r="I1209" s="1" t="s">
        <v>23</v>
      </c>
      <c r="L1209" s="1">
        <v>1</v>
      </c>
      <c r="M1209" s="1">
        <v>0.14376508499999999</v>
      </c>
    </row>
    <row r="1210" spans="4:13">
      <c r="D1210" s="1" t="s">
        <v>199</v>
      </c>
      <c r="E1210" s="1" t="s">
        <v>285</v>
      </c>
      <c r="H1210" s="1" t="s">
        <v>22</v>
      </c>
      <c r="I1210" s="1" t="s">
        <v>23</v>
      </c>
      <c r="L1210" s="1">
        <v>1</v>
      </c>
      <c r="M1210" s="1">
        <v>31.511118150000001</v>
      </c>
    </row>
    <row r="1211" spans="4:13">
      <c r="D1211" s="1" t="s">
        <v>199</v>
      </c>
      <c r="E1211" s="1" t="s">
        <v>286</v>
      </c>
      <c r="H1211" s="1" t="s">
        <v>22</v>
      </c>
      <c r="I1211" s="1" t="s">
        <v>23</v>
      </c>
      <c r="L1211" s="1">
        <v>1</v>
      </c>
      <c r="M1211" s="1">
        <v>51.612682110000002</v>
      </c>
    </row>
    <row r="1212" spans="4:13">
      <c r="D1212" s="1" t="s">
        <v>199</v>
      </c>
      <c r="E1212" s="1" t="s">
        <v>287</v>
      </c>
      <c r="H1212" s="1" t="s">
        <v>22</v>
      </c>
      <c r="I1212" s="1" t="s">
        <v>23</v>
      </c>
      <c r="L1212" s="1">
        <v>1</v>
      </c>
      <c r="M1212" s="1">
        <v>476.26315010000002</v>
      </c>
    </row>
    <row r="1213" spans="4:13">
      <c r="D1213" s="1" t="s">
        <v>199</v>
      </c>
      <c r="E1213" s="1" t="s">
        <v>288</v>
      </c>
      <c r="H1213" s="1" t="s">
        <v>22</v>
      </c>
      <c r="I1213" s="1" t="s">
        <v>23</v>
      </c>
      <c r="L1213" s="1">
        <v>1</v>
      </c>
      <c r="M1213" s="1">
        <v>-677.71774679999999</v>
      </c>
    </row>
    <row r="1214" spans="4:13">
      <c r="D1214" s="1" t="s">
        <v>199</v>
      </c>
      <c r="E1214" s="1" t="s">
        <v>289</v>
      </c>
      <c r="H1214" s="1" t="s">
        <v>22</v>
      </c>
      <c r="I1214" s="1" t="s">
        <v>23</v>
      </c>
      <c r="L1214" s="1">
        <v>1</v>
      </c>
      <c r="M1214" s="1">
        <v>168.4614938</v>
      </c>
    </row>
    <row r="1215" spans="4:13">
      <c r="D1215" s="1" t="s">
        <v>199</v>
      </c>
      <c r="E1215" s="1" t="s">
        <v>290</v>
      </c>
      <c r="H1215" s="1" t="s">
        <v>22</v>
      </c>
      <c r="I1215" s="1" t="s">
        <v>23</v>
      </c>
      <c r="L1215" s="1">
        <v>1</v>
      </c>
      <c r="M1215" s="1">
        <v>-124.3457523</v>
      </c>
    </row>
    <row r="1216" spans="4:13">
      <c r="D1216" s="1" t="s">
        <v>199</v>
      </c>
      <c r="E1216" s="1" t="s">
        <v>291</v>
      </c>
      <c r="H1216" s="1" t="s">
        <v>22</v>
      </c>
      <c r="I1216" s="1" t="s">
        <v>23</v>
      </c>
      <c r="L1216" s="1">
        <v>1</v>
      </c>
      <c r="M1216" s="1">
        <v>131.5600981</v>
      </c>
    </row>
    <row r="1217" spans="4:13">
      <c r="D1217" s="1" t="s">
        <v>199</v>
      </c>
      <c r="E1217" s="1" t="s">
        <v>292</v>
      </c>
      <c r="H1217" s="1" t="s">
        <v>22</v>
      </c>
      <c r="I1217" s="1" t="s">
        <v>23</v>
      </c>
      <c r="L1217" s="1">
        <v>1</v>
      </c>
      <c r="M1217" s="1">
        <v>24.317312569999999</v>
      </c>
    </row>
    <row r="1218" spans="4:13">
      <c r="D1218" s="1" t="s">
        <v>199</v>
      </c>
      <c r="E1218" s="1" t="s">
        <v>293</v>
      </c>
      <c r="H1218" s="1" t="s">
        <v>22</v>
      </c>
      <c r="I1218" s="1" t="s">
        <v>23</v>
      </c>
      <c r="L1218" s="1">
        <v>1</v>
      </c>
      <c r="M1218" s="1">
        <v>0.74103766999999998</v>
      </c>
    </row>
    <row r="1219" spans="4:13">
      <c r="D1219" s="1" t="s">
        <v>199</v>
      </c>
      <c r="E1219" s="1" t="s">
        <v>294</v>
      </c>
      <c r="H1219" s="1" t="s">
        <v>22</v>
      </c>
      <c r="I1219" s="1" t="s">
        <v>23</v>
      </c>
      <c r="L1219" s="1">
        <v>1</v>
      </c>
      <c r="M1219" s="1">
        <v>-4.0320341519999996</v>
      </c>
    </row>
    <row r="1220" spans="4:13">
      <c r="D1220" s="1" t="s">
        <v>199</v>
      </c>
      <c r="E1220" s="1" t="s">
        <v>295</v>
      </c>
      <c r="H1220" s="1" t="s">
        <v>22</v>
      </c>
      <c r="I1220" s="1" t="s">
        <v>23</v>
      </c>
      <c r="L1220" s="1">
        <v>1</v>
      </c>
      <c r="M1220" s="1">
        <v>-40.666454590000001</v>
      </c>
    </row>
    <row r="1221" spans="4:13">
      <c r="D1221" s="1" t="s">
        <v>199</v>
      </c>
      <c r="E1221" s="1" t="s">
        <v>296</v>
      </c>
      <c r="H1221" s="1" t="s">
        <v>22</v>
      </c>
      <c r="I1221" s="1" t="s">
        <v>23</v>
      </c>
      <c r="L1221" s="1">
        <v>1</v>
      </c>
      <c r="M1221" s="1">
        <v>-461.83214980000002</v>
      </c>
    </row>
    <row r="1222" spans="4:13">
      <c r="D1222" s="1" t="s">
        <v>199</v>
      </c>
      <c r="E1222" s="1" t="s">
        <v>297</v>
      </c>
      <c r="H1222" s="1" t="s">
        <v>22</v>
      </c>
      <c r="I1222" s="1" t="s">
        <v>23</v>
      </c>
      <c r="L1222" s="1">
        <v>1</v>
      </c>
      <c r="M1222" s="1">
        <v>607.21877549999999</v>
      </c>
    </row>
    <row r="1223" spans="4:13">
      <c r="D1223" s="1" t="s">
        <v>199</v>
      </c>
      <c r="E1223" s="1" t="s">
        <v>298</v>
      </c>
      <c r="H1223" s="1" t="s">
        <v>22</v>
      </c>
      <c r="I1223" s="1" t="s">
        <v>23</v>
      </c>
      <c r="L1223" s="1">
        <v>1</v>
      </c>
      <c r="M1223" s="1">
        <v>94.007734139999997</v>
      </c>
    </row>
    <row r="1224" spans="4:13">
      <c r="D1224" s="1" t="s">
        <v>199</v>
      </c>
      <c r="E1224" s="1" t="s">
        <v>299</v>
      </c>
      <c r="H1224" s="1" t="s">
        <v>22</v>
      </c>
      <c r="I1224" s="1" t="s">
        <v>23</v>
      </c>
      <c r="L1224" s="1">
        <v>1</v>
      </c>
      <c r="M1224" s="1">
        <v>-148.75361609999999</v>
      </c>
    </row>
    <row r="1225" spans="4:13">
      <c r="D1225" s="1" t="s">
        <v>199</v>
      </c>
      <c r="E1225" s="1" t="s">
        <v>300</v>
      </c>
      <c r="H1225" s="1" t="s">
        <v>22</v>
      </c>
      <c r="I1225" s="1" t="s">
        <v>23</v>
      </c>
      <c r="L1225" s="1">
        <v>1</v>
      </c>
      <c r="M1225" s="1">
        <v>-57.154009170000002</v>
      </c>
    </row>
    <row r="1226" spans="4:13">
      <c r="D1226" s="1" t="s">
        <v>199</v>
      </c>
      <c r="E1226" s="1" t="s">
        <v>301</v>
      </c>
      <c r="H1226" s="1" t="s">
        <v>22</v>
      </c>
      <c r="I1226" s="1" t="s">
        <v>23</v>
      </c>
      <c r="L1226" s="1">
        <v>1</v>
      </c>
      <c r="M1226" s="1">
        <v>-65.994916669999995</v>
      </c>
    </row>
    <row r="1227" spans="4:13">
      <c r="D1227" s="1" t="s">
        <v>199</v>
      </c>
      <c r="E1227" s="1" t="s">
        <v>302</v>
      </c>
      <c r="H1227" s="1" t="s">
        <v>22</v>
      </c>
      <c r="I1227" s="1" t="s">
        <v>23</v>
      </c>
      <c r="L1227" s="1">
        <v>1</v>
      </c>
      <c r="M1227" s="1">
        <v>-7.7566634509999997</v>
      </c>
    </row>
    <row r="1228" spans="4:13">
      <c r="D1228" s="1" t="s">
        <v>199</v>
      </c>
      <c r="E1228" s="1" t="s">
        <v>303</v>
      </c>
      <c r="H1228" s="1" t="s">
        <v>22</v>
      </c>
      <c r="I1228" s="1" t="s">
        <v>23</v>
      </c>
      <c r="L1228" s="1">
        <v>1</v>
      </c>
      <c r="M1228" s="1">
        <v>11.86050234</v>
      </c>
    </row>
    <row r="1229" spans="4:13">
      <c r="D1229" s="1" t="s">
        <v>199</v>
      </c>
      <c r="E1229" s="1" t="s">
        <v>304</v>
      </c>
      <c r="H1229" s="1" t="s">
        <v>22</v>
      </c>
      <c r="I1229" s="1" t="s">
        <v>23</v>
      </c>
      <c r="L1229" s="1">
        <v>1</v>
      </c>
      <c r="M1229" s="1">
        <v>318.51040890000002</v>
      </c>
    </row>
    <row r="1230" spans="4:13">
      <c r="D1230" s="1" t="s">
        <v>199</v>
      </c>
      <c r="E1230" s="1" t="s">
        <v>305</v>
      </c>
      <c r="H1230" s="1" t="s">
        <v>22</v>
      </c>
      <c r="I1230" s="1" t="s">
        <v>23</v>
      </c>
      <c r="L1230" s="1">
        <v>1</v>
      </c>
      <c r="M1230" s="1">
        <v>-377.2452467</v>
      </c>
    </row>
    <row r="1231" spans="4:13">
      <c r="D1231" s="1" t="s">
        <v>199</v>
      </c>
      <c r="E1231" s="1" t="s">
        <v>306</v>
      </c>
      <c r="H1231" s="1" t="s">
        <v>22</v>
      </c>
      <c r="I1231" s="1" t="s">
        <v>23</v>
      </c>
      <c r="L1231" s="1">
        <v>1</v>
      </c>
      <c r="M1231" s="1">
        <v>-104.4268855</v>
      </c>
    </row>
    <row r="1232" spans="4:13">
      <c r="D1232" s="1" t="s">
        <v>199</v>
      </c>
      <c r="E1232" s="1" t="s">
        <v>307</v>
      </c>
      <c r="H1232" s="1" t="s">
        <v>22</v>
      </c>
      <c r="I1232" s="1" t="s">
        <v>23</v>
      </c>
      <c r="L1232" s="1">
        <v>1</v>
      </c>
      <c r="M1232" s="1">
        <v>-65.635006419999996</v>
      </c>
    </row>
    <row r="1233" spans="4:13">
      <c r="D1233" s="1" t="s">
        <v>199</v>
      </c>
      <c r="E1233" s="1" t="s">
        <v>308</v>
      </c>
      <c r="H1233" s="1" t="s">
        <v>22</v>
      </c>
      <c r="I1233" s="1" t="s">
        <v>23</v>
      </c>
      <c r="L1233" s="1">
        <v>1</v>
      </c>
      <c r="M1233" s="1">
        <v>228.38567380000001</v>
      </c>
    </row>
    <row r="1234" spans="4:13">
      <c r="D1234" s="1" t="s">
        <v>199</v>
      </c>
      <c r="E1234" s="1" t="s">
        <v>309</v>
      </c>
      <c r="H1234" s="1" t="s">
        <v>22</v>
      </c>
      <c r="I1234" s="1" t="s">
        <v>23</v>
      </c>
      <c r="L1234" s="1">
        <v>1</v>
      </c>
      <c r="M1234" s="1">
        <v>14.29200309</v>
      </c>
    </row>
    <row r="1235" spans="4:13">
      <c r="D1235" s="1" t="s">
        <v>199</v>
      </c>
      <c r="E1235" s="1" t="s">
        <v>310</v>
      </c>
      <c r="H1235" s="1" t="s">
        <v>22</v>
      </c>
      <c r="I1235" s="1" t="s">
        <v>23</v>
      </c>
      <c r="L1235" s="1">
        <v>1</v>
      </c>
      <c r="M1235" s="1">
        <v>17.443689639999999</v>
      </c>
    </row>
    <row r="1236" spans="4:13">
      <c r="D1236" s="1" t="s">
        <v>199</v>
      </c>
      <c r="E1236" s="1" t="s">
        <v>311</v>
      </c>
      <c r="H1236" s="1" t="s">
        <v>22</v>
      </c>
      <c r="I1236" s="1" t="s">
        <v>23</v>
      </c>
      <c r="L1236" s="1">
        <v>1</v>
      </c>
      <c r="M1236" s="1">
        <v>0.84165598600000002</v>
      </c>
    </row>
    <row r="1237" spans="4:13">
      <c r="D1237" s="1" t="s">
        <v>199</v>
      </c>
      <c r="E1237" s="1" t="s">
        <v>312</v>
      </c>
      <c r="H1237" s="1" t="s">
        <v>22</v>
      </c>
      <c r="I1237" s="1" t="s">
        <v>23</v>
      </c>
      <c r="L1237" s="1">
        <v>1</v>
      </c>
      <c r="M1237" s="1">
        <v>-3.4751676480000002</v>
      </c>
    </row>
    <row r="1238" spans="4:13">
      <c r="D1238" s="1" t="s">
        <v>199</v>
      </c>
      <c r="E1238" s="1" t="s">
        <v>313</v>
      </c>
      <c r="H1238" s="1" t="s">
        <v>22</v>
      </c>
      <c r="I1238" s="1" t="s">
        <v>23</v>
      </c>
      <c r="L1238" s="1">
        <v>1</v>
      </c>
      <c r="M1238" s="1">
        <v>-152.88875329999999</v>
      </c>
    </row>
    <row r="1239" spans="4:13">
      <c r="D1239" s="1" t="s">
        <v>199</v>
      </c>
      <c r="E1239" s="1" t="s">
        <v>314</v>
      </c>
      <c r="H1239" s="1" t="s">
        <v>22</v>
      </c>
      <c r="I1239" s="1" t="s">
        <v>23</v>
      </c>
      <c r="L1239" s="1">
        <v>1</v>
      </c>
      <c r="M1239" s="1">
        <v>227.2729866</v>
      </c>
    </row>
    <row r="1240" spans="4:13">
      <c r="D1240" s="1" t="s">
        <v>199</v>
      </c>
      <c r="E1240" s="1" t="s">
        <v>315</v>
      </c>
      <c r="H1240" s="1" t="s">
        <v>22</v>
      </c>
      <c r="I1240" s="1" t="s">
        <v>23</v>
      </c>
      <c r="L1240" s="1">
        <v>1</v>
      </c>
      <c r="M1240" s="1">
        <v>-1.8019257E-2</v>
      </c>
    </row>
    <row r="1241" spans="4:13">
      <c r="D1241" s="1" t="s">
        <v>199</v>
      </c>
      <c r="E1241" s="1" t="s">
        <v>316</v>
      </c>
      <c r="H1241" s="1" t="s">
        <v>22</v>
      </c>
      <c r="I1241" s="1" t="s">
        <v>23</v>
      </c>
      <c r="L1241" s="1">
        <v>1</v>
      </c>
      <c r="M1241" s="1">
        <v>105.85065280000001</v>
      </c>
    </row>
    <row r="1242" spans="4:13">
      <c r="D1242" s="1" t="s">
        <v>199</v>
      </c>
      <c r="E1242" s="1" t="s">
        <v>317</v>
      </c>
      <c r="H1242" s="1" t="s">
        <v>22</v>
      </c>
      <c r="I1242" s="1" t="s">
        <v>23</v>
      </c>
      <c r="L1242" s="1">
        <v>1</v>
      </c>
      <c r="M1242" s="1">
        <v>-61.176824179999997</v>
      </c>
    </row>
    <row r="1243" spans="4:13">
      <c r="D1243" s="1" t="s">
        <v>199</v>
      </c>
      <c r="E1243" s="1" t="s">
        <v>318</v>
      </c>
      <c r="H1243" s="1" t="s">
        <v>22</v>
      </c>
      <c r="I1243" s="1" t="s">
        <v>23</v>
      </c>
      <c r="L1243" s="1">
        <v>1</v>
      </c>
      <c r="M1243" s="1">
        <v>-119.0621538</v>
      </c>
    </row>
    <row r="1244" spans="4:13">
      <c r="D1244" s="1" t="s">
        <v>199</v>
      </c>
      <c r="E1244" s="1" t="s">
        <v>319</v>
      </c>
      <c r="H1244" s="1" t="s">
        <v>22</v>
      </c>
      <c r="I1244" s="1" t="s">
        <v>23</v>
      </c>
      <c r="L1244" s="1">
        <v>1</v>
      </c>
      <c r="M1244" s="1">
        <v>16.280096700000001</v>
      </c>
    </row>
    <row r="1245" spans="4:13">
      <c r="D1245" s="1" t="s">
        <v>199</v>
      </c>
      <c r="E1245" s="1" t="s">
        <v>320</v>
      </c>
      <c r="H1245" s="1" t="s">
        <v>22</v>
      </c>
      <c r="I1245" s="1" t="s">
        <v>23</v>
      </c>
      <c r="L1245" s="1">
        <v>1</v>
      </c>
      <c r="M1245" s="1">
        <v>-0.364433012</v>
      </c>
    </row>
    <row r="1246" spans="4:13">
      <c r="D1246" s="1" t="s">
        <v>199</v>
      </c>
      <c r="E1246" s="1" t="s">
        <v>321</v>
      </c>
      <c r="H1246" s="1" t="s">
        <v>22</v>
      </c>
      <c r="I1246" s="1" t="s">
        <v>23</v>
      </c>
      <c r="L1246" s="1">
        <v>1</v>
      </c>
      <c r="M1246" s="1">
        <v>55.912370189999997</v>
      </c>
    </row>
    <row r="1247" spans="4:13">
      <c r="D1247" s="1" t="s">
        <v>199</v>
      </c>
      <c r="E1247" s="1" t="s">
        <v>322</v>
      </c>
      <c r="H1247" s="1" t="s">
        <v>22</v>
      </c>
      <c r="I1247" s="1" t="s">
        <v>23</v>
      </c>
      <c r="L1247" s="1">
        <v>1</v>
      </c>
      <c r="M1247" s="1">
        <v>-134.5652126</v>
      </c>
    </row>
    <row r="1248" spans="4:13">
      <c r="D1248" s="1" t="s">
        <v>199</v>
      </c>
      <c r="E1248" s="1" t="s">
        <v>323</v>
      </c>
      <c r="H1248" s="1" t="s">
        <v>22</v>
      </c>
      <c r="I1248" s="1" t="s">
        <v>23</v>
      </c>
      <c r="L1248" s="1">
        <v>1</v>
      </c>
      <c r="M1248" s="1">
        <v>26.37456156</v>
      </c>
    </row>
    <row r="1249" spans="4:13">
      <c r="D1249" s="1" t="s">
        <v>199</v>
      </c>
      <c r="E1249" s="1" t="s">
        <v>324</v>
      </c>
      <c r="H1249" s="1" t="s">
        <v>22</v>
      </c>
      <c r="I1249" s="1" t="s">
        <v>23</v>
      </c>
      <c r="L1249" s="1">
        <v>1</v>
      </c>
      <c r="M1249" s="1">
        <v>-39.448332200000003</v>
      </c>
    </row>
    <row r="1250" spans="4:13">
      <c r="D1250" s="1" t="s">
        <v>199</v>
      </c>
      <c r="E1250" s="1" t="s">
        <v>325</v>
      </c>
      <c r="H1250" s="1" t="s">
        <v>22</v>
      </c>
      <c r="I1250" s="1" t="s">
        <v>23</v>
      </c>
      <c r="L1250" s="1">
        <v>1</v>
      </c>
      <c r="M1250" s="1">
        <v>-8.5617157749999997</v>
      </c>
    </row>
    <row r="1251" spans="4:13">
      <c r="D1251" s="1" t="s">
        <v>199</v>
      </c>
      <c r="E1251" s="1" t="s">
        <v>326</v>
      </c>
      <c r="H1251" s="1" t="s">
        <v>22</v>
      </c>
      <c r="I1251" s="1" t="s">
        <v>23</v>
      </c>
      <c r="L1251" s="1">
        <v>1</v>
      </c>
      <c r="M1251" s="1">
        <v>36.996153110000002</v>
      </c>
    </row>
    <row r="1252" spans="4:13">
      <c r="D1252" s="1" t="s">
        <v>199</v>
      </c>
      <c r="E1252" s="1" t="s">
        <v>327</v>
      </c>
      <c r="H1252" s="1" t="s">
        <v>22</v>
      </c>
      <c r="I1252" s="1" t="s">
        <v>23</v>
      </c>
      <c r="L1252" s="1">
        <v>1</v>
      </c>
      <c r="M1252" s="1">
        <v>36.066391850000002</v>
      </c>
    </row>
    <row r="1253" spans="4:13">
      <c r="D1253" s="1" t="s">
        <v>199</v>
      </c>
      <c r="E1253" s="1" t="s">
        <v>328</v>
      </c>
      <c r="H1253" s="1" t="s">
        <v>22</v>
      </c>
      <c r="I1253" s="1" t="s">
        <v>23</v>
      </c>
      <c r="L1253" s="1">
        <v>1</v>
      </c>
      <c r="M1253" s="1">
        <v>-13.89332338</v>
      </c>
    </row>
    <row r="1254" spans="4:13">
      <c r="D1254" s="1" t="s">
        <v>199</v>
      </c>
      <c r="E1254" s="1" t="s">
        <v>329</v>
      </c>
      <c r="H1254" s="1" t="s">
        <v>22</v>
      </c>
      <c r="I1254" s="1" t="s">
        <v>23</v>
      </c>
      <c r="L1254" s="1">
        <v>1</v>
      </c>
      <c r="M1254" s="1">
        <v>-0.65603491599999997</v>
      </c>
    </row>
    <row r="1255" spans="4:13">
      <c r="D1255" s="1" t="s">
        <v>199</v>
      </c>
      <c r="E1255" s="1" t="s">
        <v>330</v>
      </c>
      <c r="H1255" s="1" t="s">
        <v>22</v>
      </c>
      <c r="I1255" s="1" t="s">
        <v>23</v>
      </c>
      <c r="L1255" s="1">
        <v>1</v>
      </c>
      <c r="M1255" s="1">
        <v>-10.9885372</v>
      </c>
    </row>
    <row r="1256" spans="4:13">
      <c r="D1256" s="1" t="s">
        <v>199</v>
      </c>
      <c r="E1256" s="1" t="s">
        <v>331</v>
      </c>
      <c r="H1256" s="1" t="s">
        <v>22</v>
      </c>
      <c r="I1256" s="1" t="s">
        <v>23</v>
      </c>
      <c r="L1256" s="1">
        <v>1</v>
      </c>
      <c r="M1256" s="1">
        <v>53.003603159999997</v>
      </c>
    </row>
    <row r="1257" spans="4:13">
      <c r="D1257" s="1" t="s">
        <v>199</v>
      </c>
      <c r="E1257" s="1" t="s">
        <v>332</v>
      </c>
      <c r="H1257" s="1" t="s">
        <v>22</v>
      </c>
      <c r="I1257" s="1" t="s">
        <v>23</v>
      </c>
      <c r="L1257" s="1">
        <v>1</v>
      </c>
      <c r="M1257" s="1">
        <v>-7.8117817350000003</v>
      </c>
    </row>
    <row r="1258" spans="4:13">
      <c r="D1258" s="1" t="s">
        <v>199</v>
      </c>
      <c r="E1258" s="1" t="s">
        <v>333</v>
      </c>
      <c r="H1258" s="1" t="s">
        <v>22</v>
      </c>
      <c r="I1258" s="1" t="s">
        <v>23</v>
      </c>
      <c r="L1258" s="1">
        <v>1</v>
      </c>
      <c r="M1258" s="1">
        <v>5.0199583170000004</v>
      </c>
    </row>
    <row r="1259" spans="4:13">
      <c r="D1259" s="1" t="s">
        <v>199</v>
      </c>
      <c r="E1259" s="1" t="s">
        <v>334</v>
      </c>
      <c r="H1259" s="1" t="s">
        <v>22</v>
      </c>
      <c r="I1259" s="1" t="s">
        <v>23</v>
      </c>
      <c r="L1259" s="1">
        <v>1</v>
      </c>
      <c r="M1259" s="1">
        <v>6.1890656289999999</v>
      </c>
    </row>
    <row r="1260" spans="4:13">
      <c r="D1260" s="1" t="s">
        <v>199</v>
      </c>
      <c r="E1260" s="1" t="s">
        <v>335</v>
      </c>
      <c r="H1260" s="1" t="s">
        <v>22</v>
      </c>
      <c r="I1260" s="1" t="s">
        <v>23</v>
      </c>
      <c r="L1260" s="1">
        <v>1</v>
      </c>
      <c r="M1260" s="1">
        <v>-2.328370482</v>
      </c>
    </row>
    <row r="1261" spans="4:13">
      <c r="D1261" s="1" t="s">
        <v>199</v>
      </c>
      <c r="E1261" s="1" t="s">
        <v>336</v>
      </c>
      <c r="H1261" s="1" t="s">
        <v>22</v>
      </c>
      <c r="I1261" s="1" t="s">
        <v>23</v>
      </c>
      <c r="L1261" s="1">
        <v>1</v>
      </c>
      <c r="M1261" s="1">
        <v>-10.17886395</v>
      </c>
    </row>
    <row r="1262" spans="4:13">
      <c r="D1262" s="1" t="s">
        <v>199</v>
      </c>
      <c r="E1262" s="1" t="s">
        <v>337</v>
      </c>
      <c r="H1262" s="1" t="s">
        <v>22</v>
      </c>
      <c r="I1262" s="1" t="s">
        <v>23</v>
      </c>
      <c r="L1262" s="1">
        <v>1</v>
      </c>
      <c r="M1262" s="1">
        <v>-5.2887484039999997</v>
      </c>
    </row>
    <row r="1263" spans="4:13">
      <c r="D1263" s="1" t="s">
        <v>199</v>
      </c>
      <c r="E1263" s="1" t="s">
        <v>338</v>
      </c>
      <c r="H1263" s="1" t="s">
        <v>22</v>
      </c>
      <c r="I1263" s="1" t="s">
        <v>23</v>
      </c>
      <c r="L1263" s="1">
        <v>1</v>
      </c>
      <c r="M1263" s="1">
        <v>4.3945896769999999</v>
      </c>
    </row>
    <row r="1264" spans="4:13">
      <c r="D1264" s="1" t="s">
        <v>199</v>
      </c>
      <c r="E1264" s="1" t="s">
        <v>339</v>
      </c>
      <c r="H1264" s="1" t="s">
        <v>22</v>
      </c>
      <c r="I1264" s="1" t="s">
        <v>23</v>
      </c>
      <c r="L1264" s="1">
        <v>1</v>
      </c>
      <c r="M1264" s="1">
        <v>-11.059626700000001</v>
      </c>
    </row>
    <row r="1265" spans="4:13">
      <c r="D1265" s="1" t="s">
        <v>199</v>
      </c>
      <c r="E1265" s="1" t="s">
        <v>340</v>
      </c>
      <c r="H1265" s="1" t="s">
        <v>22</v>
      </c>
      <c r="I1265" s="1" t="s">
        <v>23</v>
      </c>
      <c r="L1265" s="1">
        <v>1</v>
      </c>
      <c r="M1265" s="1">
        <v>2.2158513590000002</v>
      </c>
    </row>
    <row r="1266" spans="4:13">
      <c r="D1266" s="1" t="s">
        <v>199</v>
      </c>
      <c r="E1266" s="1" t="s">
        <v>341</v>
      </c>
      <c r="H1266" s="1" t="s">
        <v>22</v>
      </c>
      <c r="I1266" s="1" t="s">
        <v>23</v>
      </c>
      <c r="L1266" s="1">
        <v>1</v>
      </c>
      <c r="M1266" s="1">
        <v>-1.478775138</v>
      </c>
    </row>
    <row r="1267" spans="4:13">
      <c r="D1267" s="1" t="s">
        <v>199</v>
      </c>
      <c r="E1267" s="1" t="s">
        <v>342</v>
      </c>
      <c r="H1267" s="1" t="s">
        <v>22</v>
      </c>
      <c r="I1267" s="1" t="s">
        <v>23</v>
      </c>
      <c r="L1267" s="1">
        <v>1</v>
      </c>
      <c r="M1267" s="1">
        <v>0.36305560199999998</v>
      </c>
    </row>
    <row r="1268" spans="4:13">
      <c r="D1268" s="1" t="s">
        <v>199</v>
      </c>
      <c r="E1268" s="1" t="s">
        <v>343</v>
      </c>
      <c r="H1268" s="1" t="s">
        <v>22</v>
      </c>
      <c r="I1268" s="1" t="s">
        <v>23</v>
      </c>
      <c r="L1268" s="1">
        <v>1</v>
      </c>
      <c r="M1268" s="1">
        <v>-1.370538633</v>
      </c>
    </row>
    <row r="1269" spans="4:13">
      <c r="D1269" s="1" t="s">
        <v>199</v>
      </c>
      <c r="E1269" s="1" t="s">
        <v>344</v>
      </c>
      <c r="H1269" s="1" t="s">
        <v>22</v>
      </c>
      <c r="I1269" s="1" t="s">
        <v>23</v>
      </c>
      <c r="L1269" s="1">
        <v>1</v>
      </c>
      <c r="M1269" s="1">
        <v>1.6365981430000001</v>
      </c>
    </row>
    <row r="1270" spans="4:13">
      <c r="D1270" s="1" t="s">
        <v>199</v>
      </c>
      <c r="E1270" s="1" t="s">
        <v>345</v>
      </c>
      <c r="H1270" s="1" t="s">
        <v>22</v>
      </c>
      <c r="I1270" s="1" t="s">
        <v>23</v>
      </c>
      <c r="L1270" s="1">
        <v>1</v>
      </c>
      <c r="M1270" s="1">
        <v>0.99988022099999996</v>
      </c>
    </row>
    <row r="1271" spans="4:13">
      <c r="D1271" s="1" t="s">
        <v>199</v>
      </c>
      <c r="E1271" s="1" t="s">
        <v>346</v>
      </c>
      <c r="H1271" s="1" t="s">
        <v>22</v>
      </c>
      <c r="I1271" s="1" t="s">
        <v>23</v>
      </c>
      <c r="L1271" s="1">
        <v>1</v>
      </c>
      <c r="M1271" s="1">
        <v>0.54629809299999998</v>
      </c>
    </row>
    <row r="1272" spans="4:13">
      <c r="D1272" s="1" t="s">
        <v>199</v>
      </c>
      <c r="E1272" s="1" t="s">
        <v>347</v>
      </c>
      <c r="H1272" s="1" t="s">
        <v>22</v>
      </c>
      <c r="I1272" s="1" t="s">
        <v>23</v>
      </c>
      <c r="L1272" s="1">
        <v>1</v>
      </c>
      <c r="M1272" s="1">
        <v>-0.82105557299999998</v>
      </c>
    </row>
    <row r="1273" spans="4:13">
      <c r="D1273" s="1" t="s">
        <v>199</v>
      </c>
      <c r="E1273" s="1" t="s">
        <v>348</v>
      </c>
      <c r="H1273" s="1" t="s">
        <v>22</v>
      </c>
      <c r="I1273" s="1" t="s">
        <v>23</v>
      </c>
      <c r="L1273" s="1">
        <v>1</v>
      </c>
      <c r="M1273" s="1">
        <v>-5.7979293150000002</v>
      </c>
    </row>
    <row r="1274" spans="4:13">
      <c r="D1274" s="1" t="s">
        <v>199</v>
      </c>
      <c r="E1274" s="1" t="s">
        <v>349</v>
      </c>
      <c r="H1274" s="1" t="s">
        <v>22</v>
      </c>
      <c r="I1274" s="1" t="s">
        <v>23</v>
      </c>
      <c r="L1274" s="1">
        <v>1</v>
      </c>
      <c r="M1274" s="1">
        <v>5.9344295870000003</v>
      </c>
    </row>
    <row r="1275" spans="4:13">
      <c r="D1275" s="1" t="s">
        <v>199</v>
      </c>
      <c r="E1275" s="1" t="s">
        <v>350</v>
      </c>
      <c r="H1275" s="1" t="s">
        <v>22</v>
      </c>
      <c r="I1275" s="1" t="s">
        <v>23</v>
      </c>
      <c r="L1275" s="1">
        <v>1</v>
      </c>
      <c r="M1275" s="1">
        <v>-1.3620327480000001</v>
      </c>
    </row>
    <row r="1276" spans="4:13">
      <c r="D1276" s="1" t="s">
        <v>199</v>
      </c>
      <c r="E1276" s="1" t="s">
        <v>351</v>
      </c>
      <c r="H1276" s="1" t="s">
        <v>22</v>
      </c>
      <c r="I1276" s="1" t="s">
        <v>23</v>
      </c>
      <c r="L1276" s="1">
        <v>1</v>
      </c>
      <c r="M1276" s="1">
        <v>-2.901002525</v>
      </c>
    </row>
    <row r="1277" spans="4:13">
      <c r="D1277" s="1" t="s">
        <v>199</v>
      </c>
      <c r="E1277" s="1" t="s">
        <v>352</v>
      </c>
      <c r="H1277" s="1" t="s">
        <v>22</v>
      </c>
      <c r="I1277" s="1" t="s">
        <v>23</v>
      </c>
      <c r="L1277" s="1">
        <v>1</v>
      </c>
      <c r="M1277" s="1">
        <v>3.0385366650000001</v>
      </c>
    </row>
    <row r="1278" spans="4:13">
      <c r="D1278" s="1" t="s">
        <v>199</v>
      </c>
      <c r="E1278" s="1" t="s">
        <v>353</v>
      </c>
      <c r="H1278" s="1" t="s">
        <v>22</v>
      </c>
      <c r="I1278" s="1" t="s">
        <v>23</v>
      </c>
      <c r="L1278" s="1">
        <v>1</v>
      </c>
      <c r="M1278" s="1">
        <v>-6.2111069360000002</v>
      </c>
    </row>
    <row r="1279" spans="4:13">
      <c r="D1279" s="1" t="s">
        <v>199</v>
      </c>
      <c r="E1279" s="1" t="s">
        <v>354</v>
      </c>
      <c r="H1279" s="1" t="s">
        <v>22</v>
      </c>
      <c r="I1279" s="1" t="s">
        <v>23</v>
      </c>
      <c r="L1279" s="1">
        <v>1</v>
      </c>
      <c r="M1279" s="1">
        <v>2.1886335200000002</v>
      </c>
    </row>
    <row r="1280" spans="4:13">
      <c r="D1280" s="1" t="s">
        <v>199</v>
      </c>
      <c r="E1280" s="1" t="s">
        <v>355</v>
      </c>
      <c r="H1280" s="1" t="s">
        <v>22</v>
      </c>
      <c r="I1280" s="1" t="s">
        <v>23</v>
      </c>
      <c r="L1280" s="1">
        <v>1</v>
      </c>
      <c r="M1280" s="1">
        <v>2.9845017189999998</v>
      </c>
    </row>
    <row r="1281" spans="4:13">
      <c r="D1281" s="1" t="s">
        <v>199</v>
      </c>
      <c r="E1281" s="1" t="s">
        <v>356</v>
      </c>
      <c r="H1281" s="1" t="s">
        <v>22</v>
      </c>
      <c r="I1281" s="1" t="s">
        <v>23</v>
      </c>
      <c r="L1281" s="1">
        <v>1</v>
      </c>
      <c r="M1281" s="1">
        <v>-6.5912793379999997</v>
      </c>
    </row>
    <row r="1282" spans="4:13">
      <c r="D1282" s="1" t="s">
        <v>199</v>
      </c>
      <c r="E1282" s="1" t="s">
        <v>357</v>
      </c>
      <c r="H1282" s="1" t="s">
        <v>22</v>
      </c>
      <c r="I1282" s="1" t="s">
        <v>23</v>
      </c>
      <c r="L1282" s="1">
        <v>1</v>
      </c>
      <c r="M1282" s="1">
        <v>-1.3890406230000001</v>
      </c>
    </row>
    <row r="1283" spans="4:13">
      <c r="D1283" s="1" t="s">
        <v>199</v>
      </c>
      <c r="E1283" s="1" t="s">
        <v>358</v>
      </c>
      <c r="H1283" s="1" t="s">
        <v>22</v>
      </c>
      <c r="I1283" s="1" t="s">
        <v>23</v>
      </c>
      <c r="L1283" s="1">
        <v>1</v>
      </c>
      <c r="M1283" s="1">
        <v>4.6278114099999996</v>
      </c>
    </row>
    <row r="1284" spans="4:13">
      <c r="D1284" s="1" t="s">
        <v>199</v>
      </c>
      <c r="E1284" s="1" t="s">
        <v>359</v>
      </c>
      <c r="H1284" s="1" t="s">
        <v>22</v>
      </c>
      <c r="I1284" s="1" t="s">
        <v>23</v>
      </c>
      <c r="L1284" s="1">
        <v>1</v>
      </c>
      <c r="M1284" s="1">
        <v>6.8638224389999998</v>
      </c>
    </row>
    <row r="1285" spans="4:13">
      <c r="D1285" s="1" t="s">
        <v>199</v>
      </c>
      <c r="E1285" s="1" t="s">
        <v>360</v>
      </c>
      <c r="H1285" s="1" t="s">
        <v>22</v>
      </c>
      <c r="I1285" s="1" t="s">
        <v>23</v>
      </c>
      <c r="L1285" s="1">
        <v>1</v>
      </c>
      <c r="M1285" s="1">
        <v>-9.1978944679999994</v>
      </c>
    </row>
    <row r="1286" spans="4:13">
      <c r="D1286" s="1" t="s">
        <v>199</v>
      </c>
      <c r="E1286" s="1" t="s">
        <v>361</v>
      </c>
      <c r="H1286" s="1" t="s">
        <v>22</v>
      </c>
      <c r="I1286" s="1" t="s">
        <v>23</v>
      </c>
      <c r="L1286" s="1">
        <v>1</v>
      </c>
      <c r="M1286" s="1">
        <v>8.7907856160000009</v>
      </c>
    </row>
    <row r="1287" spans="4:13">
      <c r="D1287" s="1" t="s">
        <v>199</v>
      </c>
      <c r="E1287" s="1" t="s">
        <v>362</v>
      </c>
      <c r="H1287" s="1" t="s">
        <v>22</v>
      </c>
      <c r="I1287" s="1" t="s">
        <v>23</v>
      </c>
      <c r="L1287" s="1">
        <v>1</v>
      </c>
      <c r="M1287" s="1">
        <v>-3.4629850609999999</v>
      </c>
    </row>
    <row r="1288" spans="4:13">
      <c r="D1288" s="1" t="s">
        <v>199</v>
      </c>
      <c r="E1288" s="1" t="s">
        <v>363</v>
      </c>
      <c r="H1288" s="1" t="s">
        <v>22</v>
      </c>
      <c r="I1288" s="1" t="s">
        <v>23</v>
      </c>
      <c r="L1288" s="1">
        <v>1</v>
      </c>
      <c r="M1288" s="1">
        <v>14.846356910000001</v>
      </c>
    </row>
    <row r="1289" spans="4:13">
      <c r="D1289" s="1" t="s">
        <v>199</v>
      </c>
      <c r="E1289" s="1" t="s">
        <v>364</v>
      </c>
      <c r="H1289" s="1" t="s">
        <v>22</v>
      </c>
      <c r="I1289" s="1" t="s">
        <v>23</v>
      </c>
      <c r="L1289" s="1">
        <v>1</v>
      </c>
      <c r="M1289" s="1">
        <v>7.6540139409999997</v>
      </c>
    </row>
    <row r="1290" spans="4:13">
      <c r="D1290" s="1" t="s">
        <v>199</v>
      </c>
      <c r="E1290" s="1" t="s">
        <v>365</v>
      </c>
      <c r="H1290" s="1" t="s">
        <v>22</v>
      </c>
      <c r="I1290" s="1" t="s">
        <v>23</v>
      </c>
      <c r="L1290" s="1">
        <v>1</v>
      </c>
      <c r="M1290" s="1">
        <v>-7.5028089720000004</v>
      </c>
    </row>
    <row r="1291" spans="4:13">
      <c r="D1291" s="1" t="s">
        <v>199</v>
      </c>
      <c r="E1291" s="1" t="s">
        <v>366</v>
      </c>
      <c r="H1291" s="1" t="s">
        <v>22</v>
      </c>
      <c r="I1291" s="1" t="s">
        <v>23</v>
      </c>
      <c r="L1291" s="1">
        <v>1</v>
      </c>
      <c r="M1291" s="1">
        <v>-10.087701490000001</v>
      </c>
    </row>
    <row r="1292" spans="4:13">
      <c r="D1292" s="1" t="s">
        <v>199</v>
      </c>
      <c r="E1292" s="1" t="s">
        <v>367</v>
      </c>
      <c r="H1292" s="1" t="s">
        <v>22</v>
      </c>
      <c r="I1292" s="1" t="s">
        <v>23</v>
      </c>
      <c r="L1292" s="1">
        <v>1</v>
      </c>
      <c r="M1292" s="1">
        <v>-2.9511915389999999</v>
      </c>
    </row>
    <row r="1293" spans="4:13">
      <c r="D1293" s="1" t="s">
        <v>199</v>
      </c>
      <c r="E1293" s="1" t="s">
        <v>368</v>
      </c>
      <c r="H1293" s="1" t="s">
        <v>22</v>
      </c>
      <c r="I1293" s="1" t="s">
        <v>23</v>
      </c>
      <c r="L1293" s="1">
        <v>1</v>
      </c>
      <c r="M1293" s="1">
        <v>-12.017104229999999</v>
      </c>
    </row>
    <row r="1294" spans="4:13">
      <c r="D1294" s="1" t="s">
        <v>199</v>
      </c>
      <c r="E1294" s="1" t="s">
        <v>369</v>
      </c>
      <c r="H1294" s="1" t="s">
        <v>22</v>
      </c>
      <c r="I1294" s="1" t="s">
        <v>23</v>
      </c>
      <c r="L1294" s="1">
        <v>1</v>
      </c>
      <c r="M1294" s="1">
        <v>15.168351530000001</v>
      </c>
    </row>
    <row r="1295" spans="4:13">
      <c r="D1295" s="1" t="s">
        <v>199</v>
      </c>
      <c r="E1295" s="1" t="s">
        <v>370</v>
      </c>
      <c r="H1295" s="1" t="s">
        <v>22</v>
      </c>
      <c r="I1295" s="1" t="s">
        <v>23</v>
      </c>
      <c r="L1295" s="1">
        <v>1</v>
      </c>
      <c r="M1295" s="1">
        <v>-7.1734563160000002</v>
      </c>
    </row>
    <row r="1296" spans="4:13">
      <c r="D1296" s="1" t="s">
        <v>199</v>
      </c>
      <c r="E1296" s="1" t="s">
        <v>371</v>
      </c>
      <c r="H1296" s="1" t="s">
        <v>22</v>
      </c>
      <c r="I1296" s="1" t="s">
        <v>23</v>
      </c>
      <c r="L1296" s="1">
        <v>1</v>
      </c>
      <c r="M1296" s="1">
        <v>-4.9889181159999998</v>
      </c>
    </row>
    <row r="1297" spans="4:13">
      <c r="D1297" s="1" t="s">
        <v>199</v>
      </c>
      <c r="E1297" s="1" t="s">
        <v>372</v>
      </c>
      <c r="H1297" s="1" t="s">
        <v>22</v>
      </c>
      <c r="I1297" s="1" t="s">
        <v>23</v>
      </c>
      <c r="L1297" s="1">
        <v>1</v>
      </c>
      <c r="M1297" s="1">
        <v>35.036991360000002</v>
      </c>
    </row>
    <row r="1298" spans="4:13">
      <c r="D1298" s="1" t="s">
        <v>199</v>
      </c>
      <c r="E1298" s="1" t="s">
        <v>373</v>
      </c>
      <c r="H1298" s="1" t="s">
        <v>22</v>
      </c>
      <c r="I1298" s="1" t="s">
        <v>23</v>
      </c>
      <c r="L1298" s="1">
        <v>1</v>
      </c>
      <c r="M1298" s="1">
        <v>-38.466651300000002</v>
      </c>
    </row>
    <row r="1299" spans="4:13">
      <c r="D1299" s="1" t="s">
        <v>199</v>
      </c>
      <c r="E1299" s="1" t="s">
        <v>374</v>
      </c>
      <c r="H1299" s="1" t="s">
        <v>22</v>
      </c>
      <c r="I1299" s="1" t="s">
        <v>23</v>
      </c>
      <c r="L1299" s="1">
        <v>1</v>
      </c>
      <c r="M1299" s="1">
        <v>-0.93129283299999999</v>
      </c>
    </row>
    <row r="1300" spans="4:13">
      <c r="D1300" s="1" t="s">
        <v>199</v>
      </c>
      <c r="E1300" s="1" t="s">
        <v>375</v>
      </c>
      <c r="H1300" s="1" t="s">
        <v>22</v>
      </c>
      <c r="I1300" s="1" t="s">
        <v>23</v>
      </c>
      <c r="L1300" s="1">
        <v>1</v>
      </c>
      <c r="M1300" s="1">
        <v>-4.1092902039999997</v>
      </c>
    </row>
    <row r="1301" spans="4:13">
      <c r="D1301" s="1" t="s">
        <v>199</v>
      </c>
      <c r="E1301" s="1" t="s">
        <v>376</v>
      </c>
      <c r="H1301" s="1" t="s">
        <v>22</v>
      </c>
      <c r="I1301" s="1" t="s">
        <v>23</v>
      </c>
      <c r="L1301" s="1">
        <v>1</v>
      </c>
      <c r="M1301" s="1">
        <v>11.366104310000001</v>
      </c>
    </row>
    <row r="1302" spans="4:13">
      <c r="D1302" s="1" t="s">
        <v>199</v>
      </c>
      <c r="E1302" s="1" t="s">
        <v>377</v>
      </c>
      <c r="H1302" s="1" t="s">
        <v>22</v>
      </c>
      <c r="I1302" s="1" t="s">
        <v>23</v>
      </c>
      <c r="L1302" s="1">
        <v>1</v>
      </c>
      <c r="M1302" s="1">
        <v>1.998744651</v>
      </c>
    </row>
    <row r="1303" spans="4:13">
      <c r="D1303" s="1" t="s">
        <v>199</v>
      </c>
      <c r="E1303" s="1" t="s">
        <v>378</v>
      </c>
      <c r="H1303" s="1" t="s">
        <v>22</v>
      </c>
      <c r="I1303" s="1" t="s">
        <v>23</v>
      </c>
      <c r="L1303" s="1">
        <v>1</v>
      </c>
      <c r="M1303" s="1">
        <v>9.0022712889999994</v>
      </c>
    </row>
    <row r="1304" spans="4:13">
      <c r="D1304" s="1" t="s">
        <v>199</v>
      </c>
      <c r="E1304" s="1" t="s">
        <v>379</v>
      </c>
      <c r="H1304" s="1" t="s">
        <v>22</v>
      </c>
      <c r="I1304" s="1" t="s">
        <v>23</v>
      </c>
      <c r="L1304" s="1">
        <v>1</v>
      </c>
      <c r="M1304" s="1">
        <v>11.90821852</v>
      </c>
    </row>
    <row r="1305" spans="4:13">
      <c r="D1305" s="1" t="s">
        <v>199</v>
      </c>
      <c r="E1305" s="1" t="s">
        <v>380</v>
      </c>
      <c r="H1305" s="1" t="s">
        <v>22</v>
      </c>
      <c r="I1305" s="1" t="s">
        <v>23</v>
      </c>
      <c r="L1305" s="1">
        <v>1</v>
      </c>
      <c r="M1305" s="1">
        <v>-67.842141920000003</v>
      </c>
    </row>
    <row r="1306" spans="4:13">
      <c r="D1306" s="1" t="s">
        <v>199</v>
      </c>
      <c r="E1306" s="1" t="s">
        <v>381</v>
      </c>
      <c r="H1306" s="1" t="s">
        <v>22</v>
      </c>
      <c r="I1306" s="1" t="s">
        <v>23</v>
      </c>
      <c r="L1306" s="1">
        <v>1</v>
      </c>
      <c r="M1306" s="1">
        <v>72.736494260000001</v>
      </c>
    </row>
    <row r="1307" spans="4:13">
      <c r="D1307" s="1" t="s">
        <v>199</v>
      </c>
      <c r="E1307" s="1" t="s">
        <v>382</v>
      </c>
      <c r="H1307" s="1" t="s">
        <v>22</v>
      </c>
      <c r="I1307" s="1" t="s">
        <v>23</v>
      </c>
      <c r="L1307" s="1">
        <v>1</v>
      </c>
      <c r="M1307" s="1">
        <v>2.3695938499999998</v>
      </c>
    </row>
    <row r="1308" spans="4:13">
      <c r="D1308" s="1" t="s">
        <v>199</v>
      </c>
      <c r="E1308" s="1" t="s">
        <v>383</v>
      </c>
      <c r="H1308" s="1" t="s">
        <v>22</v>
      </c>
      <c r="I1308" s="1" t="s">
        <v>23</v>
      </c>
      <c r="L1308" s="1">
        <v>1</v>
      </c>
      <c r="M1308" s="1">
        <v>-38.40681051</v>
      </c>
    </row>
    <row r="1309" spans="4:13">
      <c r="D1309" s="1" t="s">
        <v>199</v>
      </c>
      <c r="E1309" s="1" t="s">
        <v>384</v>
      </c>
      <c r="H1309" s="1" t="s">
        <v>22</v>
      </c>
      <c r="I1309" s="1" t="s">
        <v>23</v>
      </c>
      <c r="L1309" s="1">
        <v>1</v>
      </c>
      <c r="M1309" s="1">
        <v>25.01954783</v>
      </c>
    </row>
    <row r="1310" spans="4:13">
      <c r="D1310" s="1" t="s">
        <v>199</v>
      </c>
      <c r="E1310" s="1" t="s">
        <v>385</v>
      </c>
      <c r="H1310" s="1" t="s">
        <v>22</v>
      </c>
      <c r="I1310" s="1" t="s">
        <v>23</v>
      </c>
      <c r="L1310" s="1">
        <v>1</v>
      </c>
      <c r="M1310" s="1">
        <v>-15.814114160000001</v>
      </c>
    </row>
    <row r="1311" spans="4:13">
      <c r="D1311" s="1" t="s">
        <v>199</v>
      </c>
      <c r="E1311" s="1" t="s">
        <v>386</v>
      </c>
      <c r="H1311" s="1" t="s">
        <v>22</v>
      </c>
      <c r="I1311" s="1" t="s">
        <v>23</v>
      </c>
      <c r="L1311" s="1">
        <v>1</v>
      </c>
      <c r="M1311" s="1">
        <v>0.53387741</v>
      </c>
    </row>
    <row r="1312" spans="4:13">
      <c r="D1312" s="1" t="s">
        <v>199</v>
      </c>
      <c r="E1312" s="1" t="s">
        <v>387</v>
      </c>
      <c r="H1312" s="1" t="s">
        <v>22</v>
      </c>
      <c r="I1312" s="1" t="s">
        <v>23</v>
      </c>
      <c r="L1312" s="1">
        <v>1</v>
      </c>
      <c r="M1312" s="1">
        <v>1.9682590550000001</v>
      </c>
    </row>
    <row r="1313" spans="4:13">
      <c r="D1313" s="1" t="s">
        <v>199</v>
      </c>
      <c r="E1313" s="1" t="s">
        <v>388</v>
      </c>
      <c r="H1313" s="1" t="s">
        <v>22</v>
      </c>
      <c r="I1313" s="1" t="s">
        <v>23</v>
      </c>
      <c r="L1313" s="1">
        <v>1</v>
      </c>
      <c r="M1313" s="1">
        <v>33.16894181</v>
      </c>
    </row>
    <row r="1314" spans="4:13">
      <c r="D1314" s="1" t="s">
        <v>199</v>
      </c>
      <c r="E1314" s="1" t="s">
        <v>389</v>
      </c>
      <c r="H1314" s="1" t="s">
        <v>22</v>
      </c>
      <c r="I1314" s="1" t="s">
        <v>23</v>
      </c>
      <c r="L1314" s="1">
        <v>1</v>
      </c>
      <c r="M1314" s="1">
        <v>-35.070252310000001</v>
      </c>
    </row>
    <row r="1315" spans="4:13">
      <c r="D1315" s="1" t="s">
        <v>199</v>
      </c>
      <c r="E1315" s="1" t="s">
        <v>390</v>
      </c>
      <c r="H1315" s="1" t="s">
        <v>22</v>
      </c>
      <c r="I1315" s="1" t="s">
        <v>23</v>
      </c>
      <c r="L1315" s="1">
        <v>1</v>
      </c>
      <c r="M1315" s="1">
        <v>38.802101690000001</v>
      </c>
    </row>
    <row r="1316" spans="4:13">
      <c r="D1316" s="1" t="s">
        <v>199</v>
      </c>
      <c r="E1316" s="1" t="s">
        <v>391</v>
      </c>
      <c r="H1316" s="1" t="s">
        <v>22</v>
      </c>
      <c r="I1316" s="1" t="s">
        <v>23</v>
      </c>
      <c r="L1316" s="1">
        <v>1</v>
      </c>
      <c r="M1316" s="1">
        <v>-18.356781460000001</v>
      </c>
    </row>
    <row r="1317" spans="4:13">
      <c r="D1317" s="1" t="s">
        <v>199</v>
      </c>
      <c r="E1317" s="1" t="s">
        <v>392</v>
      </c>
      <c r="H1317" s="1" t="s">
        <v>22</v>
      </c>
      <c r="I1317" s="1" t="s">
        <v>23</v>
      </c>
      <c r="L1317" s="1">
        <v>1</v>
      </c>
      <c r="M1317" s="1">
        <v>-14.076914349999999</v>
      </c>
    </row>
    <row r="1318" spans="4:13">
      <c r="D1318" s="1" t="s">
        <v>199</v>
      </c>
      <c r="E1318" s="1" t="s">
        <v>393</v>
      </c>
      <c r="H1318" s="1" t="s">
        <v>22</v>
      </c>
      <c r="I1318" s="1" t="s">
        <v>23</v>
      </c>
      <c r="L1318" s="1">
        <v>1</v>
      </c>
      <c r="M1318" s="1">
        <v>-19.18804188</v>
      </c>
    </row>
    <row r="1319" spans="4:13">
      <c r="D1319" s="1" t="s">
        <v>199</v>
      </c>
      <c r="E1319" s="1" t="s">
        <v>394</v>
      </c>
      <c r="H1319" s="1" t="s">
        <v>22</v>
      </c>
      <c r="I1319" s="1" t="s">
        <v>23</v>
      </c>
      <c r="L1319" s="1">
        <v>1</v>
      </c>
      <c r="M1319" s="1">
        <v>7.6068626630000002</v>
      </c>
    </row>
    <row r="1320" spans="4:13">
      <c r="D1320" s="1" t="s">
        <v>199</v>
      </c>
      <c r="E1320" s="1" t="s">
        <v>395</v>
      </c>
      <c r="H1320" s="1" t="s">
        <v>22</v>
      </c>
      <c r="I1320" s="1" t="s">
        <v>23</v>
      </c>
      <c r="L1320" s="1">
        <v>1</v>
      </c>
      <c r="M1320" s="1">
        <v>2.6518080089999998</v>
      </c>
    </row>
    <row r="1321" spans="4:13">
      <c r="D1321" s="1" t="s">
        <v>199</v>
      </c>
      <c r="E1321" s="1" t="s">
        <v>396</v>
      </c>
      <c r="H1321" s="1" t="s">
        <v>22</v>
      </c>
      <c r="I1321" s="1" t="s">
        <v>23</v>
      </c>
      <c r="L1321" s="1">
        <v>1</v>
      </c>
      <c r="M1321" s="1">
        <v>11.985189930000001</v>
      </c>
    </row>
    <row r="1322" spans="4:13">
      <c r="D1322" s="1" t="s">
        <v>199</v>
      </c>
      <c r="E1322" s="1" t="s">
        <v>397</v>
      </c>
      <c r="H1322" s="1" t="s">
        <v>22</v>
      </c>
      <c r="I1322" s="1" t="s">
        <v>23</v>
      </c>
      <c r="L1322" s="1">
        <v>1</v>
      </c>
      <c r="M1322" s="1">
        <v>-26.617806959999999</v>
      </c>
    </row>
    <row r="1323" spans="4:13">
      <c r="D1323" s="1" t="s">
        <v>199</v>
      </c>
      <c r="E1323" s="1" t="s">
        <v>398</v>
      </c>
      <c r="H1323" s="1" t="s">
        <v>22</v>
      </c>
      <c r="I1323" s="1" t="s">
        <v>23</v>
      </c>
      <c r="L1323" s="1">
        <v>1</v>
      </c>
      <c r="M1323" s="1">
        <v>39.997402450000003</v>
      </c>
    </row>
    <row r="1324" spans="4:13">
      <c r="D1324" s="1" t="s">
        <v>199</v>
      </c>
      <c r="E1324" s="1" t="s">
        <v>399</v>
      </c>
      <c r="H1324" s="1" t="s">
        <v>22</v>
      </c>
      <c r="I1324" s="1" t="s">
        <v>23</v>
      </c>
      <c r="L1324" s="1">
        <v>1</v>
      </c>
      <c r="M1324" s="1">
        <v>7.978213373</v>
      </c>
    </row>
    <row r="1325" spans="4:13">
      <c r="D1325" s="1" t="s">
        <v>199</v>
      </c>
      <c r="E1325" s="1" t="s">
        <v>400</v>
      </c>
      <c r="H1325" s="1" t="s">
        <v>22</v>
      </c>
      <c r="I1325" s="1" t="s">
        <v>23</v>
      </c>
      <c r="L1325" s="1">
        <v>1</v>
      </c>
      <c r="M1325" s="1">
        <v>-31.21164263</v>
      </c>
    </row>
    <row r="1326" spans="4:13">
      <c r="D1326" s="1" t="s">
        <v>199</v>
      </c>
      <c r="E1326" s="1" t="s">
        <v>401</v>
      </c>
      <c r="H1326" s="1" t="s">
        <v>22</v>
      </c>
      <c r="I1326" s="1" t="s">
        <v>23</v>
      </c>
      <c r="L1326" s="1">
        <v>1</v>
      </c>
      <c r="M1326" s="1">
        <v>0.233394507</v>
      </c>
    </row>
    <row r="1327" spans="4:13">
      <c r="D1327" s="1" t="s">
        <v>199</v>
      </c>
      <c r="E1327" s="1" t="s">
        <v>402</v>
      </c>
      <c r="H1327" s="1" t="s">
        <v>22</v>
      </c>
      <c r="I1327" s="1" t="s">
        <v>23</v>
      </c>
      <c r="L1327" s="1">
        <v>1</v>
      </c>
      <c r="M1327" s="1">
        <v>10.853596659999999</v>
      </c>
    </row>
    <row r="1328" spans="4:13">
      <c r="D1328" s="1" t="s">
        <v>199</v>
      </c>
      <c r="E1328" s="1" t="s">
        <v>403</v>
      </c>
      <c r="H1328" s="1" t="s">
        <v>22</v>
      </c>
      <c r="I1328" s="1" t="s">
        <v>23</v>
      </c>
      <c r="L1328" s="1">
        <v>1</v>
      </c>
      <c r="M1328" s="1">
        <v>-17.475379329999999</v>
      </c>
    </row>
    <row r="1329" spans="4:13">
      <c r="D1329" s="1" t="s">
        <v>199</v>
      </c>
      <c r="E1329" s="1" t="s">
        <v>404</v>
      </c>
      <c r="H1329" s="1" t="s">
        <v>22</v>
      </c>
      <c r="I1329" s="1" t="s">
        <v>23</v>
      </c>
      <c r="L1329" s="1">
        <v>1</v>
      </c>
      <c r="M1329" s="1">
        <v>17.4159538</v>
      </c>
    </row>
    <row r="1330" spans="4:13">
      <c r="D1330" s="1" t="s">
        <v>199</v>
      </c>
      <c r="E1330" s="1" t="s">
        <v>405</v>
      </c>
      <c r="H1330" s="1" t="s">
        <v>22</v>
      </c>
      <c r="I1330" s="1" t="s">
        <v>23</v>
      </c>
      <c r="L1330" s="1">
        <v>1</v>
      </c>
      <c r="M1330" s="1">
        <v>4.8382064409999996</v>
      </c>
    </row>
    <row r="1331" spans="4:13">
      <c r="D1331" s="1" t="s">
        <v>199</v>
      </c>
      <c r="E1331" s="1" t="s">
        <v>406</v>
      </c>
      <c r="H1331" s="1" t="s">
        <v>22</v>
      </c>
      <c r="I1331" s="1" t="s">
        <v>23</v>
      </c>
      <c r="L1331" s="1">
        <v>1</v>
      </c>
      <c r="M1331" s="1">
        <v>-3.933182714</v>
      </c>
    </row>
    <row r="1332" spans="4:13">
      <c r="D1332" s="1" t="s">
        <v>199</v>
      </c>
      <c r="E1332" s="1" t="s">
        <v>407</v>
      </c>
      <c r="H1332" s="1" t="s">
        <v>22</v>
      </c>
      <c r="I1332" s="1" t="s">
        <v>23</v>
      </c>
      <c r="L1332" s="1">
        <v>1</v>
      </c>
      <c r="M1332" s="1">
        <v>0.54147974499999996</v>
      </c>
    </row>
    <row r="1333" spans="4:13">
      <c r="D1333" s="1" t="s">
        <v>199</v>
      </c>
      <c r="E1333" s="1" t="s">
        <v>408</v>
      </c>
      <c r="H1333" s="1" t="s">
        <v>22</v>
      </c>
      <c r="I1333" s="1" t="s">
        <v>23</v>
      </c>
      <c r="L1333" s="1">
        <v>1</v>
      </c>
      <c r="M1333" s="1">
        <v>-1.020785179</v>
      </c>
    </row>
    <row r="1334" spans="4:13">
      <c r="D1334" s="1" t="s">
        <v>199</v>
      </c>
      <c r="E1334" s="1" t="s">
        <v>409</v>
      </c>
      <c r="H1334" s="1" t="s">
        <v>22</v>
      </c>
      <c r="I1334" s="1" t="s">
        <v>23</v>
      </c>
      <c r="L1334" s="1">
        <v>1</v>
      </c>
      <c r="M1334" s="1">
        <v>-8.133917555</v>
      </c>
    </row>
    <row r="1335" spans="4:13">
      <c r="D1335" s="1" t="s">
        <v>199</v>
      </c>
      <c r="E1335" s="1" t="s">
        <v>410</v>
      </c>
      <c r="H1335" s="1" t="s">
        <v>22</v>
      </c>
      <c r="I1335" s="1" t="s">
        <v>23</v>
      </c>
      <c r="L1335" s="1">
        <v>1</v>
      </c>
      <c r="M1335" s="1">
        <v>1.2142200000000001E-2</v>
      </c>
    </row>
    <row r="1336" spans="4:13">
      <c r="D1336" s="1" t="s">
        <v>199</v>
      </c>
      <c r="E1336" s="1" t="s">
        <v>411</v>
      </c>
      <c r="H1336" s="1" t="s">
        <v>22</v>
      </c>
      <c r="I1336" s="1" t="s">
        <v>23</v>
      </c>
      <c r="L1336" s="1">
        <v>1</v>
      </c>
      <c r="M1336" s="1">
        <v>12.829166799999999</v>
      </c>
    </row>
    <row r="1337" spans="4:13">
      <c r="D1337" s="1" t="s">
        <v>199</v>
      </c>
      <c r="E1337" s="1" t="s">
        <v>412</v>
      </c>
      <c r="H1337" s="1" t="s">
        <v>22</v>
      </c>
      <c r="I1337" s="1" t="s">
        <v>23</v>
      </c>
      <c r="L1337" s="1">
        <v>1</v>
      </c>
      <c r="M1337" s="1">
        <v>-31.95608687</v>
      </c>
    </row>
    <row r="1338" spans="4:13">
      <c r="D1338" s="1" t="s">
        <v>199</v>
      </c>
      <c r="E1338" s="1" t="s">
        <v>413</v>
      </c>
      <c r="H1338" s="1" t="s">
        <v>22</v>
      </c>
      <c r="I1338" s="1" t="s">
        <v>23</v>
      </c>
      <c r="L1338" s="1">
        <v>1</v>
      </c>
      <c r="M1338" s="1">
        <v>28.361256940000001</v>
      </c>
    </row>
    <row r="1339" spans="4:13">
      <c r="D1339" s="1" t="s">
        <v>199</v>
      </c>
      <c r="E1339" s="1" t="s">
        <v>414</v>
      </c>
      <c r="H1339" s="1" t="s">
        <v>22</v>
      </c>
      <c r="I1339" s="1" t="s">
        <v>23</v>
      </c>
      <c r="L1339" s="1">
        <v>1</v>
      </c>
      <c r="M1339" s="1">
        <v>-18.543151179999999</v>
      </c>
    </row>
    <row r="1340" spans="4:13">
      <c r="D1340" s="1" t="s">
        <v>199</v>
      </c>
      <c r="E1340" s="1" t="s">
        <v>415</v>
      </c>
      <c r="H1340" s="1" t="s">
        <v>22</v>
      </c>
      <c r="I1340" s="1" t="s">
        <v>23</v>
      </c>
      <c r="L1340" s="1">
        <v>1</v>
      </c>
      <c r="M1340" s="1">
        <v>8.2768472150000001</v>
      </c>
    </row>
    <row r="1341" spans="4:13">
      <c r="D1341" s="1" t="s">
        <v>199</v>
      </c>
      <c r="E1341" s="1" t="s">
        <v>416</v>
      </c>
      <c r="H1341" s="1" t="s">
        <v>22</v>
      </c>
      <c r="I1341" s="1" t="s">
        <v>23</v>
      </c>
      <c r="L1341" s="1">
        <v>1</v>
      </c>
      <c r="M1341" s="1">
        <v>0.96325570999999999</v>
      </c>
    </row>
    <row r="1342" spans="4:13">
      <c r="D1342" s="1" t="s">
        <v>199</v>
      </c>
      <c r="E1342" s="1" t="s">
        <v>417</v>
      </c>
      <c r="H1342" s="1" t="s">
        <v>22</v>
      </c>
      <c r="I1342" s="1" t="s">
        <v>23</v>
      </c>
      <c r="L1342" s="1">
        <v>1</v>
      </c>
      <c r="M1342" s="1">
        <v>7.0808506109999998</v>
      </c>
    </row>
    <row r="1343" spans="4:13">
      <c r="D1343" s="1" t="s">
        <v>199</v>
      </c>
      <c r="E1343" s="1" t="s">
        <v>418</v>
      </c>
      <c r="H1343" s="1" t="s">
        <v>22</v>
      </c>
      <c r="I1343" s="1" t="s">
        <v>23</v>
      </c>
      <c r="L1343" s="1">
        <v>1</v>
      </c>
      <c r="M1343" s="1">
        <v>-7.6273007210000001</v>
      </c>
    </row>
    <row r="1344" spans="4:13">
      <c r="D1344" s="1" t="s">
        <v>199</v>
      </c>
      <c r="E1344" s="1" t="s">
        <v>419</v>
      </c>
      <c r="H1344" s="1" t="s">
        <v>22</v>
      </c>
      <c r="I1344" s="1" t="s">
        <v>23</v>
      </c>
      <c r="L1344" s="1">
        <v>1</v>
      </c>
      <c r="M1344" s="1">
        <v>7.5537147070000001</v>
      </c>
    </row>
    <row r="1345" spans="4:13">
      <c r="D1345" s="1" t="s">
        <v>199</v>
      </c>
      <c r="E1345" s="1" t="s">
        <v>420</v>
      </c>
      <c r="H1345" s="1" t="s">
        <v>22</v>
      </c>
      <c r="I1345" s="1" t="s">
        <v>23</v>
      </c>
      <c r="L1345" s="1">
        <v>1</v>
      </c>
      <c r="M1345" s="1">
        <v>-3.109847426</v>
      </c>
    </row>
    <row r="1346" spans="4:13">
      <c r="D1346" s="1" t="s">
        <v>199</v>
      </c>
      <c r="E1346" s="1" t="s">
        <v>421</v>
      </c>
      <c r="H1346" s="1" t="s">
        <v>22</v>
      </c>
      <c r="I1346" s="1" t="s">
        <v>23</v>
      </c>
      <c r="L1346" s="1">
        <v>1</v>
      </c>
      <c r="M1346" s="1">
        <v>2.3237722729999999</v>
      </c>
    </row>
    <row r="1347" spans="4:13">
      <c r="D1347" s="1" t="s">
        <v>199</v>
      </c>
      <c r="E1347" s="1" t="s">
        <v>422</v>
      </c>
      <c r="H1347" s="1" t="s">
        <v>22</v>
      </c>
      <c r="I1347" s="1" t="s">
        <v>23</v>
      </c>
      <c r="L1347" s="1">
        <v>1</v>
      </c>
      <c r="M1347" s="1">
        <v>-2.2025023080000001</v>
      </c>
    </row>
    <row r="1348" spans="4:13">
      <c r="D1348" s="1" t="s">
        <v>199</v>
      </c>
      <c r="E1348" s="1" t="s">
        <v>423</v>
      </c>
      <c r="H1348" s="1" t="s">
        <v>22</v>
      </c>
      <c r="I1348" s="1" t="s">
        <v>23</v>
      </c>
      <c r="L1348" s="1">
        <v>1</v>
      </c>
      <c r="M1348" s="1">
        <v>-0.10750120000000001</v>
      </c>
    </row>
    <row r="1349" spans="4:13">
      <c r="D1349" s="1" t="s">
        <v>199</v>
      </c>
      <c r="E1349" s="1" t="s">
        <v>424</v>
      </c>
      <c r="H1349" s="1" t="s">
        <v>22</v>
      </c>
      <c r="I1349" s="1" t="s">
        <v>23</v>
      </c>
      <c r="L1349" s="1">
        <v>1</v>
      </c>
      <c r="M1349" s="1">
        <v>-0.42469770000000001</v>
      </c>
    </row>
    <row r="1350" spans="4:13">
      <c r="D1350" s="1" t="s">
        <v>199</v>
      </c>
      <c r="E1350" s="1" t="s">
        <v>425</v>
      </c>
      <c r="F1350" s="1" t="s">
        <v>176</v>
      </c>
      <c r="G1350" s="1" t="s">
        <v>177</v>
      </c>
      <c r="H1350" s="1" t="s">
        <v>22</v>
      </c>
      <c r="I1350" s="1" t="s">
        <v>23</v>
      </c>
      <c r="J1350" s="1">
        <v>0</v>
      </c>
      <c r="L1350" s="1">
        <v>39.370078740157467</v>
      </c>
      <c r="M1350" s="1">
        <v>7.9809999999999972</v>
      </c>
    </row>
    <row r="1351" spans="4:13">
      <c r="D1351" s="1" t="s">
        <v>199</v>
      </c>
      <c r="E1351" s="1" t="s">
        <v>426</v>
      </c>
      <c r="H1351" s="1" t="s">
        <v>25</v>
      </c>
      <c r="I1351" s="1" t="s">
        <v>23</v>
      </c>
      <c r="M1351" s="1" t="b">
        <v>1</v>
      </c>
    </row>
    <row r="1352" spans="4:13">
      <c r="D1352" s="1" t="s">
        <v>199</v>
      </c>
      <c r="E1352" s="1" t="s">
        <v>427</v>
      </c>
      <c r="F1352" s="1">
        <v>1</v>
      </c>
      <c r="G1352" s="1">
        <v>1</v>
      </c>
      <c r="H1352" s="1" t="s">
        <v>22</v>
      </c>
      <c r="I1352" s="1" t="s">
        <v>23</v>
      </c>
      <c r="J1352" s="1">
        <v>0</v>
      </c>
      <c r="K1352" s="1">
        <v>1</v>
      </c>
      <c r="L1352" s="1">
        <v>1</v>
      </c>
      <c r="M1352" s="1">
        <v>0.83379999999999999</v>
      </c>
    </row>
    <row r="1353" spans="4:13">
      <c r="D1353" s="1" t="s">
        <v>199</v>
      </c>
      <c r="E1353" s="1" t="s">
        <v>428</v>
      </c>
      <c r="H1353" s="1" t="s">
        <v>25</v>
      </c>
      <c r="I1353" s="1" t="s">
        <v>23</v>
      </c>
      <c r="M1353" s="1" t="b">
        <v>1</v>
      </c>
    </row>
    <row r="1354" spans="4:13">
      <c r="D1354" s="1" t="s">
        <v>199</v>
      </c>
      <c r="E1354" s="1" t="s">
        <v>429</v>
      </c>
      <c r="F1354" s="1">
        <v>1</v>
      </c>
      <c r="G1354" s="1">
        <v>1</v>
      </c>
      <c r="H1354" s="1" t="s">
        <v>22</v>
      </c>
      <c r="I1354" s="1" t="s">
        <v>23</v>
      </c>
      <c r="J1354" s="1">
        <v>0</v>
      </c>
      <c r="K1354" s="1">
        <v>1</v>
      </c>
      <c r="L1354" s="1">
        <v>1</v>
      </c>
      <c r="M1354" s="1">
        <v>0.83379999999999999</v>
      </c>
    </row>
    <row r="1355" spans="4:13">
      <c r="D1355" s="1" t="s">
        <v>199</v>
      </c>
      <c r="E1355" s="1" t="s">
        <v>430</v>
      </c>
      <c r="H1355" s="1" t="s">
        <v>22</v>
      </c>
      <c r="I1355" s="1" t="s">
        <v>23</v>
      </c>
      <c r="L1355" s="1">
        <v>1</v>
      </c>
      <c r="M1355" s="1">
        <v>0</v>
      </c>
    </row>
    <row r="1356" spans="4:13">
      <c r="D1356" s="1" t="s">
        <v>199</v>
      </c>
      <c r="E1356" s="1" t="s">
        <v>431</v>
      </c>
      <c r="H1356" s="1" t="s">
        <v>22</v>
      </c>
      <c r="I1356" s="1" t="s">
        <v>23</v>
      </c>
      <c r="L1356" s="1">
        <v>1</v>
      </c>
      <c r="M1356" s="1">
        <v>0.2</v>
      </c>
    </row>
    <row r="1357" spans="4:13">
      <c r="D1357" s="1" t="s">
        <v>199</v>
      </c>
      <c r="E1357" s="1" t="s">
        <v>432</v>
      </c>
      <c r="H1357" s="1" t="s">
        <v>22</v>
      </c>
      <c r="I1357" s="1" t="s">
        <v>23</v>
      </c>
      <c r="L1357" s="1">
        <v>1</v>
      </c>
      <c r="M1357" s="1">
        <v>0.4</v>
      </c>
    </row>
    <row r="1358" spans="4:13">
      <c r="D1358" s="1" t="s">
        <v>199</v>
      </c>
      <c r="E1358" s="1" t="s">
        <v>433</v>
      </c>
      <c r="H1358" s="1" t="s">
        <v>22</v>
      </c>
      <c r="I1358" s="1" t="s">
        <v>23</v>
      </c>
      <c r="L1358" s="1">
        <v>1</v>
      </c>
      <c r="M1358" s="1">
        <v>0.6</v>
      </c>
    </row>
    <row r="1359" spans="4:13">
      <c r="D1359" s="1" t="s">
        <v>199</v>
      </c>
      <c r="E1359" s="1" t="s">
        <v>434</v>
      </c>
      <c r="H1359" s="1" t="s">
        <v>22</v>
      </c>
      <c r="I1359" s="1" t="s">
        <v>23</v>
      </c>
      <c r="L1359" s="1">
        <v>1</v>
      </c>
      <c r="M1359" s="1">
        <v>0.8</v>
      </c>
    </row>
    <row r="1360" spans="4:13">
      <c r="D1360" s="1" t="s">
        <v>199</v>
      </c>
      <c r="E1360" s="1" t="s">
        <v>435</v>
      </c>
      <c r="H1360" s="1" t="s">
        <v>22</v>
      </c>
      <c r="I1360" s="1" t="s">
        <v>23</v>
      </c>
      <c r="L1360" s="1">
        <v>1</v>
      </c>
      <c r="M1360" s="1">
        <v>1</v>
      </c>
    </row>
    <row r="1361" spans="4:13">
      <c r="D1361" s="1" t="s">
        <v>199</v>
      </c>
      <c r="E1361" s="1" t="s">
        <v>436</v>
      </c>
      <c r="H1361" s="1" t="s">
        <v>22</v>
      </c>
      <c r="I1361" s="1" t="s">
        <v>23</v>
      </c>
      <c r="L1361" s="1">
        <v>1</v>
      </c>
      <c r="M1361" s="1">
        <v>1.2</v>
      </c>
    </row>
    <row r="1362" spans="4:13">
      <c r="D1362" s="1" t="s">
        <v>199</v>
      </c>
      <c r="E1362" s="1" t="s">
        <v>437</v>
      </c>
      <c r="H1362" s="1" t="s">
        <v>22</v>
      </c>
      <c r="I1362" s="1" t="s">
        <v>23</v>
      </c>
      <c r="L1362" s="1">
        <v>1</v>
      </c>
      <c r="M1362" s="1">
        <v>1.4</v>
      </c>
    </row>
    <row r="1363" spans="4:13">
      <c r="D1363" s="1" t="s">
        <v>199</v>
      </c>
      <c r="E1363" s="1" t="s">
        <v>438</v>
      </c>
      <c r="H1363" s="1" t="s">
        <v>22</v>
      </c>
      <c r="I1363" s="1" t="s">
        <v>23</v>
      </c>
      <c r="L1363" s="1">
        <v>1</v>
      </c>
      <c r="M1363" s="1">
        <v>1.6</v>
      </c>
    </row>
    <row r="1364" spans="4:13">
      <c r="D1364" s="1" t="s">
        <v>199</v>
      </c>
      <c r="E1364" s="1" t="s">
        <v>439</v>
      </c>
      <c r="H1364" s="1" t="s">
        <v>22</v>
      </c>
      <c r="I1364" s="1" t="s">
        <v>23</v>
      </c>
      <c r="L1364" s="1">
        <v>1</v>
      </c>
      <c r="M1364" s="1">
        <v>0.1</v>
      </c>
    </row>
    <row r="1365" spans="4:13">
      <c r="D1365" s="1" t="s">
        <v>199</v>
      </c>
      <c r="E1365" s="1" t="s">
        <v>440</v>
      </c>
      <c r="H1365" s="1" t="s">
        <v>22</v>
      </c>
      <c r="I1365" s="1" t="s">
        <v>23</v>
      </c>
      <c r="L1365" s="1">
        <v>1</v>
      </c>
      <c r="M1365" s="1">
        <v>0.3</v>
      </c>
    </row>
    <row r="1366" spans="4:13">
      <c r="D1366" s="1" t="s">
        <v>199</v>
      </c>
      <c r="E1366" s="1" t="s">
        <v>441</v>
      </c>
      <c r="H1366" s="1" t="s">
        <v>22</v>
      </c>
      <c r="I1366" s="1" t="s">
        <v>23</v>
      </c>
      <c r="L1366" s="1">
        <v>1</v>
      </c>
      <c r="M1366" s="1">
        <v>0.5</v>
      </c>
    </row>
    <row r="1367" spans="4:13">
      <c r="D1367" s="1" t="s">
        <v>199</v>
      </c>
      <c r="E1367" s="1" t="s">
        <v>442</v>
      </c>
      <c r="H1367" s="1" t="s">
        <v>22</v>
      </c>
      <c r="I1367" s="1" t="s">
        <v>23</v>
      </c>
      <c r="L1367" s="1">
        <v>1</v>
      </c>
      <c r="M1367" s="1">
        <v>0.7</v>
      </c>
    </row>
    <row r="1368" spans="4:13">
      <c r="D1368" s="1" t="s">
        <v>199</v>
      </c>
      <c r="E1368" s="1" t="s">
        <v>443</v>
      </c>
      <c r="H1368" s="1" t="s">
        <v>22</v>
      </c>
      <c r="I1368" s="1" t="s">
        <v>23</v>
      </c>
      <c r="L1368" s="1">
        <v>1</v>
      </c>
      <c r="M1368" s="1">
        <v>0.9</v>
      </c>
    </row>
    <row r="1369" spans="4:13">
      <c r="D1369" s="1" t="s">
        <v>199</v>
      </c>
      <c r="E1369" s="1" t="s">
        <v>444</v>
      </c>
      <c r="H1369" s="1" t="s">
        <v>22</v>
      </c>
      <c r="I1369" s="1" t="s">
        <v>23</v>
      </c>
      <c r="L1369" s="1">
        <v>1</v>
      </c>
      <c r="M1369" s="1">
        <v>1.1000000000000001</v>
      </c>
    </row>
    <row r="1370" spans="4:13">
      <c r="D1370" s="1" t="s">
        <v>199</v>
      </c>
      <c r="E1370" s="1" t="s">
        <v>445</v>
      </c>
      <c r="H1370" s="1" t="s">
        <v>22</v>
      </c>
      <c r="I1370" s="1" t="s">
        <v>23</v>
      </c>
      <c r="L1370" s="1">
        <v>1</v>
      </c>
      <c r="M1370" s="1">
        <v>1.3</v>
      </c>
    </row>
    <row r="1371" spans="4:13">
      <c r="D1371" s="1" t="s">
        <v>199</v>
      </c>
      <c r="E1371" s="1" t="s">
        <v>446</v>
      </c>
      <c r="H1371" s="1" t="s">
        <v>22</v>
      </c>
      <c r="I1371" s="1" t="s">
        <v>23</v>
      </c>
      <c r="L1371" s="1">
        <v>1</v>
      </c>
      <c r="M1371" s="1">
        <v>1.5</v>
      </c>
    </row>
    <row r="1372" spans="4:13">
      <c r="D1372" s="1" t="s">
        <v>199</v>
      </c>
      <c r="E1372" s="1" t="s">
        <v>447</v>
      </c>
      <c r="H1372" s="1" t="s">
        <v>22</v>
      </c>
      <c r="I1372" s="1" t="s">
        <v>23</v>
      </c>
      <c r="L1372" s="1">
        <v>1</v>
      </c>
      <c r="M1372" s="1">
        <v>1.7</v>
      </c>
    </row>
    <row r="1373" spans="4:13">
      <c r="D1373" s="1" t="s">
        <v>199</v>
      </c>
      <c r="E1373" s="1" t="s">
        <v>448</v>
      </c>
      <c r="H1373" s="1" t="s">
        <v>22</v>
      </c>
      <c r="I1373" s="1" t="s">
        <v>23</v>
      </c>
      <c r="L1373" s="1">
        <v>1</v>
      </c>
      <c r="M1373" s="1">
        <v>0</v>
      </c>
    </row>
    <row r="1374" spans="4:13">
      <c r="D1374" s="1" t="s">
        <v>199</v>
      </c>
      <c r="E1374" s="1" t="s">
        <v>449</v>
      </c>
      <c r="H1374" s="1" t="s">
        <v>22</v>
      </c>
      <c r="I1374" s="1" t="s">
        <v>23</v>
      </c>
      <c r="L1374" s="1">
        <v>1</v>
      </c>
      <c r="M1374" s="1">
        <v>0.2</v>
      </c>
    </row>
    <row r="1375" spans="4:13">
      <c r="D1375" s="1" t="s">
        <v>199</v>
      </c>
      <c r="E1375" s="1" t="s">
        <v>450</v>
      </c>
      <c r="H1375" s="1" t="s">
        <v>22</v>
      </c>
      <c r="I1375" s="1" t="s">
        <v>23</v>
      </c>
      <c r="L1375" s="1">
        <v>1</v>
      </c>
      <c r="M1375" s="1">
        <v>0.4</v>
      </c>
    </row>
    <row r="1376" spans="4:13">
      <c r="D1376" s="1" t="s">
        <v>199</v>
      </c>
      <c r="E1376" s="1" t="s">
        <v>451</v>
      </c>
      <c r="H1376" s="1" t="s">
        <v>22</v>
      </c>
      <c r="I1376" s="1" t="s">
        <v>23</v>
      </c>
      <c r="L1376" s="1">
        <v>1</v>
      </c>
      <c r="M1376" s="1">
        <v>0.6</v>
      </c>
    </row>
    <row r="1377" spans="4:13">
      <c r="D1377" s="1" t="s">
        <v>199</v>
      </c>
      <c r="E1377" s="1" t="s">
        <v>452</v>
      </c>
      <c r="H1377" s="1" t="s">
        <v>22</v>
      </c>
      <c r="I1377" s="1" t="s">
        <v>23</v>
      </c>
      <c r="L1377" s="1">
        <v>1</v>
      </c>
      <c r="M1377" s="1">
        <v>0.8</v>
      </c>
    </row>
    <row r="1378" spans="4:13">
      <c r="D1378" s="1" t="s">
        <v>199</v>
      </c>
      <c r="E1378" s="1" t="s">
        <v>453</v>
      </c>
      <c r="H1378" s="1" t="s">
        <v>22</v>
      </c>
      <c r="I1378" s="1" t="s">
        <v>23</v>
      </c>
      <c r="L1378" s="1">
        <v>1</v>
      </c>
      <c r="M1378" s="1">
        <v>1</v>
      </c>
    </row>
    <row r="1379" spans="4:13">
      <c r="D1379" s="1" t="s">
        <v>199</v>
      </c>
      <c r="E1379" s="1" t="s">
        <v>454</v>
      </c>
      <c r="H1379" s="1" t="s">
        <v>22</v>
      </c>
      <c r="I1379" s="1" t="s">
        <v>23</v>
      </c>
      <c r="L1379" s="1">
        <v>1</v>
      </c>
      <c r="M1379" s="1">
        <v>1.2</v>
      </c>
    </row>
    <row r="1380" spans="4:13">
      <c r="D1380" s="1" t="s">
        <v>199</v>
      </c>
      <c r="E1380" s="1" t="s">
        <v>455</v>
      </c>
      <c r="H1380" s="1" t="s">
        <v>22</v>
      </c>
      <c r="I1380" s="1" t="s">
        <v>23</v>
      </c>
      <c r="L1380" s="1">
        <v>1</v>
      </c>
      <c r="M1380" s="1">
        <v>1.4</v>
      </c>
    </row>
    <row r="1381" spans="4:13">
      <c r="D1381" s="1" t="s">
        <v>199</v>
      </c>
      <c r="E1381" s="1" t="s">
        <v>456</v>
      </c>
      <c r="H1381" s="1" t="s">
        <v>22</v>
      </c>
      <c r="I1381" s="1" t="s">
        <v>23</v>
      </c>
      <c r="L1381" s="1">
        <v>1</v>
      </c>
      <c r="M1381" s="1">
        <v>1.6</v>
      </c>
    </row>
    <row r="1382" spans="4:13">
      <c r="D1382" s="1" t="s">
        <v>199</v>
      </c>
      <c r="E1382" s="1" t="s">
        <v>457</v>
      </c>
      <c r="H1382" s="1" t="s">
        <v>22</v>
      </c>
      <c r="I1382" s="1" t="s">
        <v>23</v>
      </c>
      <c r="L1382" s="1">
        <v>1</v>
      </c>
      <c r="M1382" s="1">
        <v>0.1</v>
      </c>
    </row>
    <row r="1383" spans="4:13">
      <c r="D1383" s="1" t="s">
        <v>199</v>
      </c>
      <c r="E1383" s="1" t="s">
        <v>458</v>
      </c>
      <c r="H1383" s="1" t="s">
        <v>22</v>
      </c>
      <c r="I1383" s="1" t="s">
        <v>23</v>
      </c>
      <c r="L1383" s="1">
        <v>1</v>
      </c>
      <c r="M1383" s="1">
        <v>0.3</v>
      </c>
    </row>
    <row r="1384" spans="4:13">
      <c r="D1384" s="1" t="s">
        <v>199</v>
      </c>
      <c r="E1384" s="1" t="s">
        <v>459</v>
      </c>
      <c r="H1384" s="1" t="s">
        <v>22</v>
      </c>
      <c r="I1384" s="1" t="s">
        <v>23</v>
      </c>
      <c r="L1384" s="1">
        <v>1</v>
      </c>
      <c r="M1384" s="1">
        <v>0.5</v>
      </c>
    </row>
    <row r="1385" spans="4:13">
      <c r="D1385" s="1" t="s">
        <v>199</v>
      </c>
      <c r="E1385" s="1" t="s">
        <v>460</v>
      </c>
      <c r="H1385" s="1" t="s">
        <v>22</v>
      </c>
      <c r="I1385" s="1" t="s">
        <v>23</v>
      </c>
      <c r="L1385" s="1">
        <v>1</v>
      </c>
      <c r="M1385" s="1">
        <v>0.7</v>
      </c>
    </row>
    <row r="1386" spans="4:13">
      <c r="D1386" s="1" t="s">
        <v>199</v>
      </c>
      <c r="E1386" s="1" t="s">
        <v>461</v>
      </c>
      <c r="H1386" s="1" t="s">
        <v>22</v>
      </c>
      <c r="I1386" s="1" t="s">
        <v>23</v>
      </c>
      <c r="L1386" s="1">
        <v>1</v>
      </c>
      <c r="M1386" s="1">
        <v>0.9</v>
      </c>
    </row>
    <row r="1387" spans="4:13">
      <c r="D1387" s="1" t="s">
        <v>199</v>
      </c>
      <c r="E1387" s="1" t="s">
        <v>462</v>
      </c>
      <c r="H1387" s="1" t="s">
        <v>22</v>
      </c>
      <c r="I1387" s="1" t="s">
        <v>23</v>
      </c>
      <c r="L1387" s="1">
        <v>1</v>
      </c>
      <c r="M1387" s="1">
        <v>1.1000000000000001</v>
      </c>
    </row>
    <row r="1388" spans="4:13">
      <c r="D1388" s="1" t="s">
        <v>199</v>
      </c>
      <c r="E1388" s="1" t="s">
        <v>463</v>
      </c>
      <c r="H1388" s="1" t="s">
        <v>22</v>
      </c>
      <c r="I1388" s="1" t="s">
        <v>23</v>
      </c>
      <c r="L1388" s="1">
        <v>1</v>
      </c>
      <c r="M1388" s="1">
        <v>1.3</v>
      </c>
    </row>
    <row r="1389" spans="4:13">
      <c r="D1389" s="1" t="s">
        <v>199</v>
      </c>
      <c r="E1389" s="1" t="s">
        <v>464</v>
      </c>
      <c r="H1389" s="1" t="s">
        <v>22</v>
      </c>
      <c r="I1389" s="1" t="s">
        <v>23</v>
      </c>
      <c r="L1389" s="1">
        <v>1</v>
      </c>
      <c r="M1389" s="1">
        <v>1.5</v>
      </c>
    </row>
    <row r="1390" spans="4:13">
      <c r="D1390" s="1" t="s">
        <v>199</v>
      </c>
      <c r="E1390" s="1" t="s">
        <v>465</v>
      </c>
      <c r="H1390" s="1" t="s">
        <v>22</v>
      </c>
      <c r="I1390" s="1" t="s">
        <v>23</v>
      </c>
      <c r="L1390" s="1">
        <v>1</v>
      </c>
      <c r="M1390" s="1">
        <v>1.7</v>
      </c>
    </row>
    <row r="1391" spans="4:13">
      <c r="D1391" s="1" t="s">
        <v>199</v>
      </c>
      <c r="E1391" s="1" t="s">
        <v>466</v>
      </c>
      <c r="H1391" s="1" t="s">
        <v>22</v>
      </c>
      <c r="I1391" s="1" t="s">
        <v>23</v>
      </c>
      <c r="L1391" s="1">
        <v>1</v>
      </c>
      <c r="M1391" s="1">
        <v>0</v>
      </c>
    </row>
    <row r="1392" spans="4:13">
      <c r="D1392" s="1" t="s">
        <v>199</v>
      </c>
      <c r="E1392" s="1" t="s">
        <v>467</v>
      </c>
      <c r="H1392" s="1" t="s">
        <v>22</v>
      </c>
      <c r="I1392" s="1" t="s">
        <v>23</v>
      </c>
      <c r="L1392" s="1">
        <v>1</v>
      </c>
      <c r="M1392" s="1">
        <v>0.2</v>
      </c>
    </row>
    <row r="1393" spans="4:13">
      <c r="D1393" s="1" t="s">
        <v>199</v>
      </c>
      <c r="E1393" s="1" t="s">
        <v>468</v>
      </c>
      <c r="H1393" s="1" t="s">
        <v>22</v>
      </c>
      <c r="I1393" s="1" t="s">
        <v>23</v>
      </c>
      <c r="L1393" s="1">
        <v>1</v>
      </c>
      <c r="M1393" s="1">
        <v>0.4</v>
      </c>
    </row>
    <row r="1394" spans="4:13">
      <c r="D1394" s="1" t="s">
        <v>199</v>
      </c>
      <c r="E1394" s="1" t="s">
        <v>469</v>
      </c>
      <c r="H1394" s="1" t="s">
        <v>22</v>
      </c>
      <c r="I1394" s="1" t="s">
        <v>23</v>
      </c>
      <c r="L1394" s="1">
        <v>1</v>
      </c>
      <c r="M1394" s="1">
        <v>0.6</v>
      </c>
    </row>
    <row r="1395" spans="4:13">
      <c r="D1395" s="1" t="s">
        <v>199</v>
      </c>
      <c r="E1395" s="1" t="s">
        <v>470</v>
      </c>
      <c r="H1395" s="1" t="s">
        <v>22</v>
      </c>
      <c r="I1395" s="1" t="s">
        <v>23</v>
      </c>
      <c r="L1395" s="1">
        <v>1</v>
      </c>
      <c r="M1395" s="1">
        <v>0.8</v>
      </c>
    </row>
    <row r="1396" spans="4:13">
      <c r="D1396" s="1" t="s">
        <v>199</v>
      </c>
      <c r="E1396" s="1" t="s">
        <v>471</v>
      </c>
      <c r="H1396" s="1" t="s">
        <v>22</v>
      </c>
      <c r="I1396" s="1" t="s">
        <v>23</v>
      </c>
      <c r="L1396" s="1">
        <v>1</v>
      </c>
      <c r="M1396" s="1">
        <v>1</v>
      </c>
    </row>
    <row r="1397" spans="4:13">
      <c r="D1397" s="1" t="s">
        <v>199</v>
      </c>
      <c r="E1397" s="1" t="s">
        <v>472</v>
      </c>
      <c r="H1397" s="1" t="s">
        <v>22</v>
      </c>
      <c r="I1397" s="1" t="s">
        <v>23</v>
      </c>
      <c r="L1397" s="1">
        <v>1</v>
      </c>
      <c r="M1397" s="1">
        <v>1.2</v>
      </c>
    </row>
    <row r="1398" spans="4:13">
      <c r="D1398" s="1" t="s">
        <v>199</v>
      </c>
      <c r="E1398" s="1" t="s">
        <v>473</v>
      </c>
      <c r="H1398" s="1" t="s">
        <v>22</v>
      </c>
      <c r="I1398" s="1" t="s">
        <v>23</v>
      </c>
      <c r="L1398" s="1">
        <v>1</v>
      </c>
      <c r="M1398" s="1">
        <v>1.4</v>
      </c>
    </row>
    <row r="1399" spans="4:13">
      <c r="D1399" s="1" t="s">
        <v>199</v>
      </c>
      <c r="E1399" s="1" t="s">
        <v>474</v>
      </c>
      <c r="H1399" s="1" t="s">
        <v>22</v>
      </c>
      <c r="I1399" s="1" t="s">
        <v>23</v>
      </c>
      <c r="L1399" s="1">
        <v>1</v>
      </c>
      <c r="M1399" s="1">
        <v>1.6</v>
      </c>
    </row>
    <row r="1400" spans="4:13">
      <c r="D1400" s="1" t="s">
        <v>199</v>
      </c>
      <c r="E1400" s="1" t="s">
        <v>475</v>
      </c>
      <c r="H1400" s="1" t="s">
        <v>22</v>
      </c>
      <c r="I1400" s="1" t="s">
        <v>23</v>
      </c>
      <c r="L1400" s="1">
        <v>1</v>
      </c>
      <c r="M1400" s="1">
        <v>0.1</v>
      </c>
    </row>
    <row r="1401" spans="4:13">
      <c r="D1401" s="1" t="s">
        <v>199</v>
      </c>
      <c r="E1401" s="1" t="s">
        <v>476</v>
      </c>
      <c r="H1401" s="1" t="s">
        <v>22</v>
      </c>
      <c r="I1401" s="1" t="s">
        <v>23</v>
      </c>
      <c r="L1401" s="1">
        <v>1</v>
      </c>
      <c r="M1401" s="1">
        <v>0.3</v>
      </c>
    </row>
    <row r="1402" spans="4:13">
      <c r="D1402" s="1" t="s">
        <v>199</v>
      </c>
      <c r="E1402" s="1" t="s">
        <v>477</v>
      </c>
      <c r="H1402" s="1" t="s">
        <v>22</v>
      </c>
      <c r="I1402" s="1" t="s">
        <v>23</v>
      </c>
      <c r="L1402" s="1">
        <v>1</v>
      </c>
      <c r="M1402" s="1">
        <v>0.5</v>
      </c>
    </row>
    <row r="1403" spans="4:13">
      <c r="D1403" s="1" t="s">
        <v>199</v>
      </c>
      <c r="E1403" s="1" t="s">
        <v>478</v>
      </c>
      <c r="H1403" s="1" t="s">
        <v>22</v>
      </c>
      <c r="I1403" s="1" t="s">
        <v>23</v>
      </c>
      <c r="L1403" s="1">
        <v>1</v>
      </c>
      <c r="M1403" s="1">
        <v>0.7</v>
      </c>
    </row>
    <row r="1404" spans="4:13">
      <c r="D1404" s="1" t="s">
        <v>199</v>
      </c>
      <c r="E1404" s="1" t="s">
        <v>479</v>
      </c>
      <c r="H1404" s="1" t="s">
        <v>22</v>
      </c>
      <c r="I1404" s="1" t="s">
        <v>23</v>
      </c>
      <c r="L1404" s="1">
        <v>1</v>
      </c>
      <c r="M1404" s="1">
        <v>0.9</v>
      </c>
    </row>
    <row r="1405" spans="4:13">
      <c r="D1405" s="1" t="s">
        <v>199</v>
      </c>
      <c r="E1405" s="1" t="s">
        <v>480</v>
      </c>
      <c r="H1405" s="1" t="s">
        <v>22</v>
      </c>
      <c r="I1405" s="1" t="s">
        <v>23</v>
      </c>
      <c r="L1405" s="1">
        <v>1</v>
      </c>
      <c r="M1405" s="1">
        <v>1.1000000000000001</v>
      </c>
    </row>
    <row r="1406" spans="4:13">
      <c r="D1406" s="1" t="s">
        <v>199</v>
      </c>
      <c r="E1406" s="1" t="s">
        <v>481</v>
      </c>
      <c r="H1406" s="1" t="s">
        <v>22</v>
      </c>
      <c r="I1406" s="1" t="s">
        <v>23</v>
      </c>
      <c r="L1406" s="1">
        <v>1</v>
      </c>
      <c r="M1406" s="1">
        <v>1.3</v>
      </c>
    </row>
    <row r="1407" spans="4:13">
      <c r="D1407" s="1" t="s">
        <v>199</v>
      </c>
      <c r="E1407" s="1" t="s">
        <v>482</v>
      </c>
      <c r="H1407" s="1" t="s">
        <v>22</v>
      </c>
      <c r="I1407" s="1" t="s">
        <v>23</v>
      </c>
      <c r="L1407" s="1">
        <v>1</v>
      </c>
      <c r="M1407" s="1">
        <v>1.5</v>
      </c>
    </row>
    <row r="1408" spans="4:13">
      <c r="D1408" s="1" t="s">
        <v>199</v>
      </c>
      <c r="E1408" s="1" t="s">
        <v>483</v>
      </c>
      <c r="H1408" s="1" t="s">
        <v>22</v>
      </c>
      <c r="I1408" s="1" t="s">
        <v>23</v>
      </c>
      <c r="L1408" s="1">
        <v>1</v>
      </c>
      <c r="M1408" s="1">
        <v>1.7</v>
      </c>
    </row>
    <row r="1409" spans="4:13">
      <c r="D1409" s="1" t="s">
        <v>199</v>
      </c>
      <c r="E1409" s="1" t="s">
        <v>484</v>
      </c>
      <c r="H1409" s="1" t="s">
        <v>22</v>
      </c>
      <c r="I1409" s="1" t="s">
        <v>23</v>
      </c>
      <c r="L1409" s="1">
        <v>1</v>
      </c>
      <c r="M1409" s="1">
        <v>0</v>
      </c>
    </row>
    <row r="1410" spans="4:13">
      <c r="D1410" s="1" t="s">
        <v>199</v>
      </c>
      <c r="E1410" s="1" t="s">
        <v>485</v>
      </c>
      <c r="H1410" s="1" t="s">
        <v>22</v>
      </c>
      <c r="I1410" s="1" t="s">
        <v>23</v>
      </c>
      <c r="L1410" s="1">
        <v>1</v>
      </c>
      <c r="M1410" s="1">
        <v>0.2</v>
      </c>
    </row>
    <row r="1411" spans="4:13">
      <c r="D1411" s="1" t="s">
        <v>199</v>
      </c>
      <c r="E1411" s="1" t="s">
        <v>486</v>
      </c>
      <c r="H1411" s="1" t="s">
        <v>22</v>
      </c>
      <c r="I1411" s="1" t="s">
        <v>23</v>
      </c>
      <c r="L1411" s="1">
        <v>1</v>
      </c>
      <c r="M1411" s="1">
        <v>0.4</v>
      </c>
    </row>
    <row r="1412" spans="4:13">
      <c r="D1412" s="1" t="s">
        <v>199</v>
      </c>
      <c r="E1412" s="1" t="s">
        <v>487</v>
      </c>
      <c r="H1412" s="1" t="s">
        <v>22</v>
      </c>
      <c r="I1412" s="1" t="s">
        <v>23</v>
      </c>
      <c r="L1412" s="1">
        <v>1</v>
      </c>
      <c r="M1412" s="1">
        <v>0.6</v>
      </c>
    </row>
    <row r="1413" spans="4:13">
      <c r="D1413" s="1" t="s">
        <v>199</v>
      </c>
      <c r="E1413" s="1" t="s">
        <v>488</v>
      </c>
      <c r="H1413" s="1" t="s">
        <v>22</v>
      </c>
      <c r="I1413" s="1" t="s">
        <v>23</v>
      </c>
      <c r="L1413" s="1">
        <v>1</v>
      </c>
      <c r="M1413" s="1">
        <v>0.8</v>
      </c>
    </row>
    <row r="1414" spans="4:13">
      <c r="D1414" s="1" t="s">
        <v>199</v>
      </c>
      <c r="E1414" s="1" t="s">
        <v>489</v>
      </c>
      <c r="H1414" s="1" t="s">
        <v>22</v>
      </c>
      <c r="I1414" s="1" t="s">
        <v>23</v>
      </c>
      <c r="L1414" s="1">
        <v>1</v>
      </c>
      <c r="M1414" s="1">
        <v>1</v>
      </c>
    </row>
    <row r="1415" spans="4:13">
      <c r="D1415" s="1" t="s">
        <v>199</v>
      </c>
      <c r="E1415" s="1" t="s">
        <v>490</v>
      </c>
      <c r="H1415" s="1" t="s">
        <v>22</v>
      </c>
      <c r="I1415" s="1" t="s">
        <v>23</v>
      </c>
      <c r="L1415" s="1">
        <v>1</v>
      </c>
      <c r="M1415" s="1">
        <v>1.2</v>
      </c>
    </row>
    <row r="1416" spans="4:13">
      <c r="D1416" s="1" t="s">
        <v>199</v>
      </c>
      <c r="E1416" s="1" t="s">
        <v>491</v>
      </c>
      <c r="H1416" s="1" t="s">
        <v>22</v>
      </c>
      <c r="I1416" s="1" t="s">
        <v>23</v>
      </c>
      <c r="L1416" s="1">
        <v>1</v>
      </c>
      <c r="M1416" s="1">
        <v>1.4</v>
      </c>
    </row>
    <row r="1417" spans="4:13">
      <c r="D1417" s="1" t="s">
        <v>199</v>
      </c>
      <c r="E1417" s="1" t="s">
        <v>492</v>
      </c>
      <c r="H1417" s="1" t="s">
        <v>22</v>
      </c>
      <c r="I1417" s="1" t="s">
        <v>23</v>
      </c>
      <c r="L1417" s="1">
        <v>1</v>
      </c>
      <c r="M1417" s="1">
        <v>1.6</v>
      </c>
    </row>
    <row r="1418" spans="4:13">
      <c r="D1418" s="1" t="s">
        <v>199</v>
      </c>
      <c r="E1418" s="1" t="s">
        <v>493</v>
      </c>
      <c r="H1418" s="1" t="s">
        <v>22</v>
      </c>
      <c r="I1418" s="1" t="s">
        <v>23</v>
      </c>
      <c r="L1418" s="1">
        <v>1</v>
      </c>
      <c r="M1418" s="1">
        <v>0.1</v>
      </c>
    </row>
    <row r="1419" spans="4:13">
      <c r="D1419" s="1" t="s">
        <v>199</v>
      </c>
      <c r="E1419" s="1" t="s">
        <v>494</v>
      </c>
      <c r="H1419" s="1" t="s">
        <v>22</v>
      </c>
      <c r="I1419" s="1" t="s">
        <v>23</v>
      </c>
      <c r="L1419" s="1">
        <v>1</v>
      </c>
      <c r="M1419" s="1">
        <v>0.3</v>
      </c>
    </row>
    <row r="1420" spans="4:13">
      <c r="D1420" s="1" t="s">
        <v>199</v>
      </c>
      <c r="E1420" s="1" t="s">
        <v>495</v>
      </c>
      <c r="H1420" s="1" t="s">
        <v>22</v>
      </c>
      <c r="I1420" s="1" t="s">
        <v>23</v>
      </c>
      <c r="L1420" s="1">
        <v>1</v>
      </c>
      <c r="M1420" s="1">
        <v>0.5</v>
      </c>
    </row>
    <row r="1421" spans="4:13">
      <c r="D1421" s="1" t="s">
        <v>199</v>
      </c>
      <c r="E1421" s="1" t="s">
        <v>496</v>
      </c>
      <c r="H1421" s="1" t="s">
        <v>22</v>
      </c>
      <c r="I1421" s="1" t="s">
        <v>23</v>
      </c>
      <c r="L1421" s="1">
        <v>1</v>
      </c>
      <c r="M1421" s="1">
        <v>0.7</v>
      </c>
    </row>
    <row r="1422" spans="4:13">
      <c r="D1422" s="1" t="s">
        <v>199</v>
      </c>
      <c r="E1422" s="1" t="s">
        <v>497</v>
      </c>
      <c r="H1422" s="1" t="s">
        <v>22</v>
      </c>
      <c r="I1422" s="1" t="s">
        <v>23</v>
      </c>
      <c r="L1422" s="1">
        <v>1</v>
      </c>
      <c r="M1422" s="1">
        <v>0.9</v>
      </c>
    </row>
    <row r="1423" spans="4:13">
      <c r="D1423" s="1" t="s">
        <v>199</v>
      </c>
      <c r="E1423" s="1" t="s">
        <v>498</v>
      </c>
      <c r="H1423" s="1" t="s">
        <v>22</v>
      </c>
      <c r="I1423" s="1" t="s">
        <v>23</v>
      </c>
      <c r="L1423" s="1">
        <v>1</v>
      </c>
      <c r="M1423" s="1">
        <v>1.1000000000000001</v>
      </c>
    </row>
    <row r="1424" spans="4:13">
      <c r="D1424" s="1" t="s">
        <v>199</v>
      </c>
      <c r="E1424" s="1" t="s">
        <v>499</v>
      </c>
      <c r="H1424" s="1" t="s">
        <v>22</v>
      </c>
      <c r="I1424" s="1" t="s">
        <v>23</v>
      </c>
      <c r="L1424" s="1">
        <v>1</v>
      </c>
      <c r="M1424" s="1">
        <v>1.3</v>
      </c>
    </row>
    <row r="1425" spans="4:13">
      <c r="D1425" s="1" t="s">
        <v>199</v>
      </c>
      <c r="E1425" s="1" t="s">
        <v>500</v>
      </c>
      <c r="H1425" s="1" t="s">
        <v>22</v>
      </c>
      <c r="I1425" s="1" t="s">
        <v>23</v>
      </c>
      <c r="L1425" s="1">
        <v>1</v>
      </c>
      <c r="M1425" s="1">
        <v>1.5</v>
      </c>
    </row>
    <row r="1426" spans="4:13">
      <c r="D1426" s="1" t="s">
        <v>199</v>
      </c>
      <c r="E1426" s="1" t="s">
        <v>501</v>
      </c>
      <c r="H1426" s="1" t="s">
        <v>22</v>
      </c>
      <c r="I1426" s="1" t="s">
        <v>23</v>
      </c>
      <c r="L1426" s="1">
        <v>1</v>
      </c>
      <c r="M1426" s="1">
        <v>1.7</v>
      </c>
    </row>
    <row r="1427" spans="4:13">
      <c r="D1427" s="1" t="s">
        <v>199</v>
      </c>
      <c r="E1427" s="1" t="s">
        <v>502</v>
      </c>
      <c r="H1427" s="1" t="s">
        <v>22</v>
      </c>
      <c r="I1427" s="1" t="s">
        <v>23</v>
      </c>
      <c r="L1427" s="1">
        <v>1</v>
      </c>
      <c r="M1427" s="1">
        <v>0</v>
      </c>
    </row>
    <row r="1428" spans="4:13">
      <c r="D1428" s="1" t="s">
        <v>199</v>
      </c>
      <c r="E1428" s="1" t="s">
        <v>503</v>
      </c>
      <c r="H1428" s="1" t="s">
        <v>22</v>
      </c>
      <c r="I1428" s="1" t="s">
        <v>23</v>
      </c>
      <c r="L1428" s="1">
        <v>1</v>
      </c>
      <c r="M1428" s="1">
        <v>0.2</v>
      </c>
    </row>
    <row r="1429" spans="4:13">
      <c r="D1429" s="1" t="s">
        <v>199</v>
      </c>
      <c r="E1429" s="1" t="s">
        <v>504</v>
      </c>
      <c r="H1429" s="1" t="s">
        <v>22</v>
      </c>
      <c r="I1429" s="1" t="s">
        <v>23</v>
      </c>
      <c r="L1429" s="1">
        <v>1</v>
      </c>
      <c r="M1429" s="1">
        <v>0.4</v>
      </c>
    </row>
    <row r="1430" spans="4:13">
      <c r="D1430" s="1" t="s">
        <v>199</v>
      </c>
      <c r="E1430" s="1" t="s">
        <v>505</v>
      </c>
      <c r="H1430" s="1" t="s">
        <v>22</v>
      </c>
      <c r="I1430" s="1" t="s">
        <v>23</v>
      </c>
      <c r="L1430" s="1">
        <v>1</v>
      </c>
      <c r="M1430" s="1">
        <v>0.6</v>
      </c>
    </row>
    <row r="1431" spans="4:13">
      <c r="D1431" s="1" t="s">
        <v>199</v>
      </c>
      <c r="E1431" s="1" t="s">
        <v>506</v>
      </c>
      <c r="H1431" s="1" t="s">
        <v>22</v>
      </c>
      <c r="I1431" s="1" t="s">
        <v>23</v>
      </c>
      <c r="L1431" s="1">
        <v>1</v>
      </c>
      <c r="M1431" s="1">
        <v>0.8</v>
      </c>
    </row>
    <row r="1432" spans="4:13">
      <c r="D1432" s="1" t="s">
        <v>199</v>
      </c>
      <c r="E1432" s="1" t="s">
        <v>507</v>
      </c>
      <c r="H1432" s="1" t="s">
        <v>22</v>
      </c>
      <c r="I1432" s="1" t="s">
        <v>23</v>
      </c>
      <c r="L1432" s="1">
        <v>1</v>
      </c>
      <c r="M1432" s="1">
        <v>1</v>
      </c>
    </row>
    <row r="1433" spans="4:13">
      <c r="D1433" s="1" t="s">
        <v>199</v>
      </c>
      <c r="E1433" s="1" t="s">
        <v>508</v>
      </c>
      <c r="H1433" s="1" t="s">
        <v>22</v>
      </c>
      <c r="I1433" s="1" t="s">
        <v>23</v>
      </c>
      <c r="L1433" s="1">
        <v>1</v>
      </c>
      <c r="M1433" s="1">
        <v>1.2</v>
      </c>
    </row>
    <row r="1434" spans="4:13">
      <c r="D1434" s="1" t="s">
        <v>199</v>
      </c>
      <c r="E1434" s="1" t="s">
        <v>509</v>
      </c>
      <c r="H1434" s="1" t="s">
        <v>22</v>
      </c>
      <c r="I1434" s="1" t="s">
        <v>23</v>
      </c>
      <c r="L1434" s="1">
        <v>1</v>
      </c>
      <c r="M1434" s="1">
        <v>1.4</v>
      </c>
    </row>
    <row r="1435" spans="4:13">
      <c r="D1435" s="1" t="s">
        <v>199</v>
      </c>
      <c r="E1435" s="1" t="s">
        <v>510</v>
      </c>
      <c r="H1435" s="1" t="s">
        <v>22</v>
      </c>
      <c r="I1435" s="1" t="s">
        <v>23</v>
      </c>
      <c r="L1435" s="1">
        <v>1</v>
      </c>
      <c r="M1435" s="1">
        <v>1.6</v>
      </c>
    </row>
    <row r="1436" spans="4:13">
      <c r="D1436" s="1" t="s">
        <v>199</v>
      </c>
      <c r="E1436" s="1" t="s">
        <v>511</v>
      </c>
      <c r="H1436" s="1" t="s">
        <v>22</v>
      </c>
      <c r="I1436" s="1" t="s">
        <v>23</v>
      </c>
      <c r="L1436" s="1">
        <v>1</v>
      </c>
      <c r="M1436" s="1">
        <v>0.1</v>
      </c>
    </row>
    <row r="1437" spans="4:13">
      <c r="D1437" s="1" t="s">
        <v>199</v>
      </c>
      <c r="E1437" s="1" t="s">
        <v>512</v>
      </c>
      <c r="H1437" s="1" t="s">
        <v>22</v>
      </c>
      <c r="I1437" s="1" t="s">
        <v>23</v>
      </c>
      <c r="L1437" s="1">
        <v>1</v>
      </c>
      <c r="M1437" s="1">
        <v>0.3</v>
      </c>
    </row>
    <row r="1438" spans="4:13">
      <c r="D1438" s="1" t="s">
        <v>199</v>
      </c>
      <c r="E1438" s="1" t="s">
        <v>513</v>
      </c>
      <c r="H1438" s="1" t="s">
        <v>22</v>
      </c>
      <c r="I1438" s="1" t="s">
        <v>23</v>
      </c>
      <c r="L1438" s="1">
        <v>1</v>
      </c>
      <c r="M1438" s="1">
        <v>0.5</v>
      </c>
    </row>
    <row r="1439" spans="4:13">
      <c r="D1439" s="1" t="s">
        <v>199</v>
      </c>
      <c r="E1439" s="1" t="s">
        <v>514</v>
      </c>
      <c r="H1439" s="1" t="s">
        <v>22</v>
      </c>
      <c r="I1439" s="1" t="s">
        <v>23</v>
      </c>
      <c r="L1439" s="1">
        <v>1</v>
      </c>
      <c r="M1439" s="1">
        <v>0.7</v>
      </c>
    </row>
    <row r="1440" spans="4:13">
      <c r="D1440" s="1" t="s">
        <v>199</v>
      </c>
      <c r="E1440" s="1" t="s">
        <v>515</v>
      </c>
      <c r="H1440" s="1" t="s">
        <v>22</v>
      </c>
      <c r="I1440" s="1" t="s">
        <v>23</v>
      </c>
      <c r="L1440" s="1">
        <v>1</v>
      </c>
      <c r="M1440" s="1">
        <v>0.9</v>
      </c>
    </row>
    <row r="1441" spans="4:13">
      <c r="D1441" s="1" t="s">
        <v>199</v>
      </c>
      <c r="E1441" s="1" t="s">
        <v>516</v>
      </c>
      <c r="H1441" s="1" t="s">
        <v>22</v>
      </c>
      <c r="I1441" s="1" t="s">
        <v>23</v>
      </c>
      <c r="L1441" s="1">
        <v>1</v>
      </c>
      <c r="M1441" s="1">
        <v>1.1000000000000001</v>
      </c>
    </row>
    <row r="1442" spans="4:13">
      <c r="D1442" s="1" t="s">
        <v>199</v>
      </c>
      <c r="E1442" s="1" t="s">
        <v>517</v>
      </c>
      <c r="H1442" s="1" t="s">
        <v>22</v>
      </c>
      <c r="I1442" s="1" t="s">
        <v>23</v>
      </c>
      <c r="L1442" s="1">
        <v>1</v>
      </c>
      <c r="M1442" s="1">
        <v>1.3</v>
      </c>
    </row>
    <row r="1443" spans="4:13">
      <c r="D1443" s="1" t="s">
        <v>199</v>
      </c>
      <c r="E1443" s="1" t="s">
        <v>518</v>
      </c>
      <c r="H1443" s="1" t="s">
        <v>22</v>
      </c>
      <c r="I1443" s="1" t="s">
        <v>23</v>
      </c>
      <c r="L1443" s="1">
        <v>1</v>
      </c>
      <c r="M1443" s="1">
        <v>1.5</v>
      </c>
    </row>
    <row r="1444" spans="4:13">
      <c r="D1444" s="1" t="s">
        <v>199</v>
      </c>
      <c r="E1444" s="1" t="s">
        <v>519</v>
      </c>
      <c r="H1444" s="1" t="s">
        <v>22</v>
      </c>
      <c r="I1444" s="1" t="s">
        <v>23</v>
      </c>
      <c r="L1444" s="1">
        <v>1</v>
      </c>
      <c r="M1444" s="1">
        <v>1.7</v>
      </c>
    </row>
    <row r="1445" spans="4:13">
      <c r="D1445" s="1" t="s">
        <v>199</v>
      </c>
      <c r="E1445" s="1" t="s">
        <v>520</v>
      </c>
      <c r="H1445" s="1" t="s">
        <v>22</v>
      </c>
      <c r="I1445" s="1" t="s">
        <v>23</v>
      </c>
      <c r="L1445" s="1">
        <v>1</v>
      </c>
      <c r="M1445" s="1">
        <v>0</v>
      </c>
    </row>
    <row r="1446" spans="4:13">
      <c r="D1446" s="1" t="s">
        <v>199</v>
      </c>
      <c r="E1446" s="1" t="s">
        <v>521</v>
      </c>
      <c r="H1446" s="1" t="s">
        <v>22</v>
      </c>
      <c r="I1446" s="1" t="s">
        <v>23</v>
      </c>
      <c r="L1446" s="1">
        <v>1</v>
      </c>
      <c r="M1446" s="1">
        <v>0.2</v>
      </c>
    </row>
    <row r="1447" spans="4:13">
      <c r="D1447" s="1" t="s">
        <v>199</v>
      </c>
      <c r="E1447" s="1" t="s">
        <v>522</v>
      </c>
      <c r="H1447" s="1" t="s">
        <v>22</v>
      </c>
      <c r="I1447" s="1" t="s">
        <v>23</v>
      </c>
      <c r="L1447" s="1">
        <v>1</v>
      </c>
      <c r="M1447" s="1">
        <v>0.4</v>
      </c>
    </row>
    <row r="1448" spans="4:13">
      <c r="D1448" s="1" t="s">
        <v>199</v>
      </c>
      <c r="E1448" s="1" t="s">
        <v>523</v>
      </c>
      <c r="H1448" s="1" t="s">
        <v>22</v>
      </c>
      <c r="I1448" s="1" t="s">
        <v>23</v>
      </c>
      <c r="L1448" s="1">
        <v>1</v>
      </c>
      <c r="M1448" s="1">
        <v>0.6</v>
      </c>
    </row>
    <row r="1449" spans="4:13">
      <c r="D1449" s="1" t="s">
        <v>199</v>
      </c>
      <c r="E1449" s="1" t="s">
        <v>524</v>
      </c>
      <c r="H1449" s="1" t="s">
        <v>22</v>
      </c>
      <c r="I1449" s="1" t="s">
        <v>23</v>
      </c>
      <c r="L1449" s="1">
        <v>1</v>
      </c>
      <c r="M1449" s="1">
        <v>0.8</v>
      </c>
    </row>
    <row r="1450" spans="4:13">
      <c r="D1450" s="1" t="s">
        <v>199</v>
      </c>
      <c r="E1450" s="1" t="s">
        <v>525</v>
      </c>
      <c r="H1450" s="1" t="s">
        <v>22</v>
      </c>
      <c r="I1450" s="1" t="s">
        <v>23</v>
      </c>
      <c r="L1450" s="1">
        <v>1</v>
      </c>
      <c r="M1450" s="1">
        <v>1</v>
      </c>
    </row>
    <row r="1451" spans="4:13">
      <c r="D1451" s="1" t="s">
        <v>199</v>
      </c>
      <c r="E1451" s="1" t="s">
        <v>526</v>
      </c>
      <c r="H1451" s="1" t="s">
        <v>22</v>
      </c>
      <c r="I1451" s="1" t="s">
        <v>23</v>
      </c>
      <c r="L1451" s="1">
        <v>1</v>
      </c>
      <c r="M1451" s="1">
        <v>1.2</v>
      </c>
    </row>
    <row r="1452" spans="4:13">
      <c r="D1452" s="1" t="s">
        <v>199</v>
      </c>
      <c r="E1452" s="1" t="s">
        <v>527</v>
      </c>
      <c r="H1452" s="1" t="s">
        <v>22</v>
      </c>
      <c r="I1452" s="1" t="s">
        <v>23</v>
      </c>
      <c r="L1452" s="1">
        <v>1</v>
      </c>
      <c r="M1452" s="1">
        <v>1.4</v>
      </c>
    </row>
    <row r="1453" spans="4:13">
      <c r="D1453" s="1" t="s">
        <v>199</v>
      </c>
      <c r="E1453" s="1" t="s">
        <v>528</v>
      </c>
      <c r="H1453" s="1" t="s">
        <v>22</v>
      </c>
      <c r="I1453" s="1" t="s">
        <v>23</v>
      </c>
      <c r="L1453" s="1">
        <v>1</v>
      </c>
      <c r="M1453" s="1">
        <v>1.6</v>
      </c>
    </row>
    <row r="1454" spans="4:13">
      <c r="D1454" s="1" t="s">
        <v>199</v>
      </c>
      <c r="E1454" s="1" t="s">
        <v>529</v>
      </c>
      <c r="H1454" s="1" t="s">
        <v>22</v>
      </c>
      <c r="I1454" s="1" t="s">
        <v>23</v>
      </c>
      <c r="L1454" s="1">
        <v>1</v>
      </c>
      <c r="M1454" s="1">
        <v>0.1</v>
      </c>
    </row>
    <row r="1455" spans="4:13">
      <c r="D1455" s="1" t="s">
        <v>199</v>
      </c>
      <c r="E1455" s="1" t="s">
        <v>530</v>
      </c>
      <c r="H1455" s="1" t="s">
        <v>22</v>
      </c>
      <c r="I1455" s="1" t="s">
        <v>23</v>
      </c>
      <c r="L1455" s="1">
        <v>1</v>
      </c>
      <c r="M1455" s="1">
        <v>0.3</v>
      </c>
    </row>
    <row r="1456" spans="4:13">
      <c r="D1456" s="1" t="s">
        <v>199</v>
      </c>
      <c r="E1456" s="1" t="s">
        <v>531</v>
      </c>
      <c r="H1456" s="1" t="s">
        <v>22</v>
      </c>
      <c r="I1456" s="1" t="s">
        <v>23</v>
      </c>
      <c r="L1456" s="1">
        <v>1</v>
      </c>
      <c r="M1456" s="1">
        <v>0.5</v>
      </c>
    </row>
    <row r="1457" spans="4:13">
      <c r="D1457" s="1" t="s">
        <v>199</v>
      </c>
      <c r="E1457" s="1" t="s">
        <v>532</v>
      </c>
      <c r="H1457" s="1" t="s">
        <v>22</v>
      </c>
      <c r="I1457" s="1" t="s">
        <v>23</v>
      </c>
      <c r="L1457" s="1">
        <v>1</v>
      </c>
      <c r="M1457" s="1">
        <v>0.7</v>
      </c>
    </row>
    <row r="1458" spans="4:13">
      <c r="D1458" s="1" t="s">
        <v>199</v>
      </c>
      <c r="E1458" s="1" t="s">
        <v>533</v>
      </c>
      <c r="H1458" s="1" t="s">
        <v>22</v>
      </c>
      <c r="I1458" s="1" t="s">
        <v>23</v>
      </c>
      <c r="L1458" s="1">
        <v>1</v>
      </c>
      <c r="M1458" s="1">
        <v>0.9</v>
      </c>
    </row>
    <row r="1459" spans="4:13">
      <c r="D1459" s="1" t="s">
        <v>199</v>
      </c>
      <c r="E1459" s="1" t="s">
        <v>534</v>
      </c>
      <c r="H1459" s="1" t="s">
        <v>22</v>
      </c>
      <c r="I1459" s="1" t="s">
        <v>23</v>
      </c>
      <c r="L1459" s="1">
        <v>1</v>
      </c>
      <c r="M1459" s="1">
        <v>1.1000000000000001</v>
      </c>
    </row>
    <row r="1460" spans="4:13">
      <c r="D1460" s="1" t="s">
        <v>199</v>
      </c>
      <c r="E1460" s="1" t="s">
        <v>535</v>
      </c>
      <c r="H1460" s="1" t="s">
        <v>22</v>
      </c>
      <c r="I1460" s="1" t="s">
        <v>23</v>
      </c>
      <c r="L1460" s="1">
        <v>1</v>
      </c>
      <c r="M1460" s="1">
        <v>1.3</v>
      </c>
    </row>
    <row r="1461" spans="4:13">
      <c r="D1461" s="1" t="s">
        <v>199</v>
      </c>
      <c r="E1461" s="1" t="s">
        <v>536</v>
      </c>
      <c r="H1461" s="1" t="s">
        <v>22</v>
      </c>
      <c r="I1461" s="1" t="s">
        <v>23</v>
      </c>
      <c r="L1461" s="1">
        <v>1</v>
      </c>
      <c r="M1461" s="1">
        <v>1.5</v>
      </c>
    </row>
    <row r="1462" spans="4:13">
      <c r="D1462" s="1" t="s">
        <v>199</v>
      </c>
      <c r="E1462" s="1" t="s">
        <v>537</v>
      </c>
      <c r="H1462" s="1" t="s">
        <v>22</v>
      </c>
      <c r="I1462" s="1" t="s">
        <v>23</v>
      </c>
      <c r="L1462" s="1">
        <v>1</v>
      </c>
      <c r="M1462" s="1">
        <v>1.7</v>
      </c>
    </row>
    <row r="1463" spans="4:13">
      <c r="D1463" s="1" t="s">
        <v>199</v>
      </c>
      <c r="E1463" s="1" t="s">
        <v>538</v>
      </c>
      <c r="H1463" s="1" t="s">
        <v>22</v>
      </c>
      <c r="I1463" s="1" t="s">
        <v>23</v>
      </c>
      <c r="L1463" s="1">
        <v>1</v>
      </c>
      <c r="M1463" s="1">
        <v>0</v>
      </c>
    </row>
    <row r="1464" spans="4:13">
      <c r="D1464" s="1" t="s">
        <v>199</v>
      </c>
      <c r="E1464" s="1" t="s">
        <v>539</v>
      </c>
      <c r="H1464" s="1" t="s">
        <v>22</v>
      </c>
      <c r="I1464" s="1" t="s">
        <v>23</v>
      </c>
      <c r="L1464" s="1">
        <v>1</v>
      </c>
      <c r="M1464" s="1">
        <v>0.2</v>
      </c>
    </row>
    <row r="1465" spans="4:13">
      <c r="D1465" s="1" t="s">
        <v>199</v>
      </c>
      <c r="E1465" s="1" t="s">
        <v>540</v>
      </c>
      <c r="H1465" s="1" t="s">
        <v>22</v>
      </c>
      <c r="I1465" s="1" t="s">
        <v>23</v>
      </c>
      <c r="L1465" s="1">
        <v>1</v>
      </c>
      <c r="M1465" s="1">
        <v>0.4</v>
      </c>
    </row>
    <row r="1466" spans="4:13">
      <c r="D1466" s="1" t="s">
        <v>199</v>
      </c>
      <c r="E1466" s="1" t="s">
        <v>541</v>
      </c>
      <c r="H1466" s="1" t="s">
        <v>22</v>
      </c>
      <c r="I1466" s="1" t="s">
        <v>23</v>
      </c>
      <c r="L1466" s="1">
        <v>1</v>
      </c>
      <c r="M1466" s="1">
        <v>0.6</v>
      </c>
    </row>
    <row r="1467" spans="4:13">
      <c r="D1467" s="1" t="s">
        <v>199</v>
      </c>
      <c r="E1467" s="1" t="s">
        <v>542</v>
      </c>
      <c r="H1467" s="1" t="s">
        <v>22</v>
      </c>
      <c r="I1467" s="1" t="s">
        <v>23</v>
      </c>
      <c r="L1467" s="1">
        <v>1</v>
      </c>
      <c r="M1467" s="1">
        <v>0.8</v>
      </c>
    </row>
    <row r="1468" spans="4:13">
      <c r="D1468" s="1" t="s">
        <v>199</v>
      </c>
      <c r="E1468" s="1" t="s">
        <v>543</v>
      </c>
      <c r="H1468" s="1" t="s">
        <v>22</v>
      </c>
      <c r="I1468" s="1" t="s">
        <v>23</v>
      </c>
      <c r="L1468" s="1">
        <v>1</v>
      </c>
      <c r="M1468" s="1">
        <v>1</v>
      </c>
    </row>
    <row r="1469" spans="4:13">
      <c r="D1469" s="1" t="s">
        <v>199</v>
      </c>
      <c r="E1469" s="1" t="s">
        <v>544</v>
      </c>
      <c r="H1469" s="1" t="s">
        <v>22</v>
      </c>
      <c r="I1469" s="1" t="s">
        <v>23</v>
      </c>
      <c r="L1469" s="1">
        <v>1</v>
      </c>
      <c r="M1469" s="1">
        <v>1.2</v>
      </c>
    </row>
    <row r="1470" spans="4:13">
      <c r="D1470" s="1" t="s">
        <v>199</v>
      </c>
      <c r="E1470" s="1" t="s">
        <v>545</v>
      </c>
      <c r="H1470" s="1" t="s">
        <v>22</v>
      </c>
      <c r="I1470" s="1" t="s">
        <v>23</v>
      </c>
      <c r="L1470" s="1">
        <v>1</v>
      </c>
      <c r="M1470" s="1">
        <v>1.4</v>
      </c>
    </row>
    <row r="1471" spans="4:13">
      <c r="D1471" s="1" t="s">
        <v>199</v>
      </c>
      <c r="E1471" s="1" t="s">
        <v>546</v>
      </c>
      <c r="H1471" s="1" t="s">
        <v>22</v>
      </c>
      <c r="I1471" s="1" t="s">
        <v>23</v>
      </c>
      <c r="L1471" s="1">
        <v>1</v>
      </c>
      <c r="M1471" s="1">
        <v>1.6</v>
      </c>
    </row>
    <row r="1472" spans="4:13">
      <c r="D1472" s="1" t="s">
        <v>199</v>
      </c>
      <c r="E1472" s="1" t="s">
        <v>547</v>
      </c>
      <c r="H1472" s="1" t="s">
        <v>22</v>
      </c>
      <c r="I1472" s="1" t="s">
        <v>23</v>
      </c>
      <c r="L1472" s="1">
        <v>1</v>
      </c>
      <c r="M1472" s="1">
        <v>0.1</v>
      </c>
    </row>
    <row r="1473" spans="4:13">
      <c r="D1473" s="1" t="s">
        <v>199</v>
      </c>
      <c r="E1473" s="1" t="s">
        <v>548</v>
      </c>
      <c r="H1473" s="1" t="s">
        <v>22</v>
      </c>
      <c r="I1473" s="1" t="s">
        <v>23</v>
      </c>
      <c r="L1473" s="1">
        <v>1</v>
      </c>
      <c r="M1473" s="1">
        <v>0.3</v>
      </c>
    </row>
    <row r="1474" spans="4:13">
      <c r="D1474" s="1" t="s">
        <v>199</v>
      </c>
      <c r="E1474" s="1" t="s">
        <v>549</v>
      </c>
      <c r="H1474" s="1" t="s">
        <v>22</v>
      </c>
      <c r="I1474" s="1" t="s">
        <v>23</v>
      </c>
      <c r="L1474" s="1">
        <v>1</v>
      </c>
      <c r="M1474" s="1">
        <v>0.5</v>
      </c>
    </row>
    <row r="1475" spans="4:13">
      <c r="D1475" s="1" t="s">
        <v>199</v>
      </c>
      <c r="E1475" s="1" t="s">
        <v>550</v>
      </c>
      <c r="H1475" s="1" t="s">
        <v>22</v>
      </c>
      <c r="I1475" s="1" t="s">
        <v>23</v>
      </c>
      <c r="L1475" s="1">
        <v>1</v>
      </c>
      <c r="M1475" s="1">
        <v>0.7</v>
      </c>
    </row>
    <row r="1476" spans="4:13">
      <c r="D1476" s="1" t="s">
        <v>199</v>
      </c>
      <c r="E1476" s="1" t="s">
        <v>551</v>
      </c>
      <c r="H1476" s="1" t="s">
        <v>22</v>
      </c>
      <c r="I1476" s="1" t="s">
        <v>23</v>
      </c>
      <c r="L1476" s="1">
        <v>1</v>
      </c>
      <c r="M1476" s="1">
        <v>0.9</v>
      </c>
    </row>
    <row r="1477" spans="4:13">
      <c r="D1477" s="1" t="s">
        <v>199</v>
      </c>
      <c r="E1477" s="1" t="s">
        <v>552</v>
      </c>
      <c r="H1477" s="1" t="s">
        <v>22</v>
      </c>
      <c r="I1477" s="1" t="s">
        <v>23</v>
      </c>
      <c r="L1477" s="1">
        <v>1</v>
      </c>
      <c r="M1477" s="1">
        <v>1.1000000000000001</v>
      </c>
    </row>
    <row r="1478" spans="4:13">
      <c r="D1478" s="1" t="s">
        <v>199</v>
      </c>
      <c r="E1478" s="1" t="s">
        <v>553</v>
      </c>
      <c r="H1478" s="1" t="s">
        <v>22</v>
      </c>
      <c r="I1478" s="1" t="s">
        <v>23</v>
      </c>
      <c r="L1478" s="1">
        <v>1</v>
      </c>
      <c r="M1478" s="1">
        <v>1.3</v>
      </c>
    </row>
    <row r="1479" spans="4:13">
      <c r="D1479" s="1" t="s">
        <v>199</v>
      </c>
      <c r="E1479" s="1" t="s">
        <v>554</v>
      </c>
      <c r="H1479" s="1" t="s">
        <v>22</v>
      </c>
      <c r="I1479" s="1" t="s">
        <v>23</v>
      </c>
      <c r="L1479" s="1">
        <v>1</v>
      </c>
      <c r="M1479" s="1">
        <v>1.5</v>
      </c>
    </row>
    <row r="1480" spans="4:13">
      <c r="D1480" s="1" t="s">
        <v>199</v>
      </c>
      <c r="E1480" s="1" t="s">
        <v>555</v>
      </c>
      <c r="H1480" s="1" t="s">
        <v>22</v>
      </c>
      <c r="I1480" s="1" t="s">
        <v>23</v>
      </c>
      <c r="L1480" s="1">
        <v>1</v>
      </c>
      <c r="M1480" s="1">
        <v>1.7</v>
      </c>
    </row>
    <row r="1481" spans="4:13">
      <c r="D1481" s="1" t="s">
        <v>199</v>
      </c>
      <c r="E1481" s="1" t="s">
        <v>556</v>
      </c>
      <c r="H1481" s="1" t="s">
        <v>22</v>
      </c>
      <c r="I1481" s="1" t="s">
        <v>23</v>
      </c>
      <c r="L1481" s="1">
        <v>1</v>
      </c>
      <c r="M1481" s="1">
        <v>0</v>
      </c>
    </row>
    <row r="1482" spans="4:13">
      <c r="D1482" s="1" t="s">
        <v>199</v>
      </c>
      <c r="E1482" s="1" t="s">
        <v>557</v>
      </c>
      <c r="H1482" s="1" t="s">
        <v>22</v>
      </c>
      <c r="I1482" s="1" t="s">
        <v>23</v>
      </c>
      <c r="L1482" s="1">
        <v>1</v>
      </c>
      <c r="M1482" s="1">
        <v>0.2</v>
      </c>
    </row>
    <row r="1483" spans="4:13">
      <c r="D1483" s="1" t="s">
        <v>199</v>
      </c>
      <c r="E1483" s="1" t="s">
        <v>558</v>
      </c>
      <c r="H1483" s="1" t="s">
        <v>22</v>
      </c>
      <c r="I1483" s="1" t="s">
        <v>23</v>
      </c>
      <c r="L1483" s="1">
        <v>1</v>
      </c>
      <c r="M1483" s="1">
        <v>0.4</v>
      </c>
    </row>
    <row r="1484" spans="4:13">
      <c r="D1484" s="1" t="s">
        <v>199</v>
      </c>
      <c r="E1484" s="1" t="s">
        <v>559</v>
      </c>
      <c r="H1484" s="1" t="s">
        <v>22</v>
      </c>
      <c r="I1484" s="1" t="s">
        <v>23</v>
      </c>
      <c r="L1484" s="1">
        <v>1</v>
      </c>
      <c r="M1484" s="1">
        <v>0.6</v>
      </c>
    </row>
    <row r="1485" spans="4:13">
      <c r="D1485" s="1" t="s">
        <v>199</v>
      </c>
      <c r="E1485" s="1" t="s">
        <v>560</v>
      </c>
      <c r="H1485" s="1" t="s">
        <v>22</v>
      </c>
      <c r="I1485" s="1" t="s">
        <v>23</v>
      </c>
      <c r="L1485" s="1">
        <v>1</v>
      </c>
      <c r="M1485" s="1">
        <v>0.8</v>
      </c>
    </row>
    <row r="1486" spans="4:13">
      <c r="D1486" s="1" t="s">
        <v>199</v>
      </c>
      <c r="E1486" s="1" t="s">
        <v>561</v>
      </c>
      <c r="H1486" s="1" t="s">
        <v>22</v>
      </c>
      <c r="I1486" s="1" t="s">
        <v>23</v>
      </c>
      <c r="L1486" s="1">
        <v>1</v>
      </c>
      <c r="M1486" s="1">
        <v>1</v>
      </c>
    </row>
    <row r="1487" spans="4:13">
      <c r="D1487" s="1" t="s">
        <v>199</v>
      </c>
      <c r="E1487" s="1" t="s">
        <v>562</v>
      </c>
      <c r="H1487" s="1" t="s">
        <v>22</v>
      </c>
      <c r="I1487" s="1" t="s">
        <v>23</v>
      </c>
      <c r="L1487" s="1">
        <v>1</v>
      </c>
      <c r="M1487" s="1">
        <v>1.2</v>
      </c>
    </row>
    <row r="1488" spans="4:13">
      <c r="D1488" s="1" t="s">
        <v>199</v>
      </c>
      <c r="E1488" s="1" t="s">
        <v>563</v>
      </c>
      <c r="H1488" s="1" t="s">
        <v>22</v>
      </c>
      <c r="I1488" s="1" t="s">
        <v>23</v>
      </c>
      <c r="L1488" s="1">
        <v>1</v>
      </c>
      <c r="M1488" s="1">
        <v>1.4</v>
      </c>
    </row>
    <row r="1489" spans="4:13">
      <c r="D1489" s="1" t="s">
        <v>199</v>
      </c>
      <c r="E1489" s="1" t="s">
        <v>564</v>
      </c>
      <c r="H1489" s="1" t="s">
        <v>22</v>
      </c>
      <c r="I1489" s="1" t="s">
        <v>23</v>
      </c>
      <c r="L1489" s="1">
        <v>1</v>
      </c>
      <c r="M1489" s="1">
        <v>1.6</v>
      </c>
    </row>
    <row r="1490" spans="4:13">
      <c r="D1490" s="1" t="s">
        <v>199</v>
      </c>
      <c r="E1490" s="1" t="s">
        <v>565</v>
      </c>
      <c r="H1490" s="1" t="s">
        <v>22</v>
      </c>
      <c r="I1490" s="1" t="s">
        <v>23</v>
      </c>
      <c r="L1490" s="1">
        <v>1</v>
      </c>
      <c r="M1490" s="1">
        <v>0.1</v>
      </c>
    </row>
    <row r="1491" spans="4:13">
      <c r="D1491" s="1" t="s">
        <v>199</v>
      </c>
      <c r="E1491" s="1" t="s">
        <v>566</v>
      </c>
      <c r="H1491" s="1" t="s">
        <v>22</v>
      </c>
      <c r="I1491" s="1" t="s">
        <v>23</v>
      </c>
      <c r="L1491" s="1">
        <v>1</v>
      </c>
      <c r="M1491" s="1">
        <v>0.3</v>
      </c>
    </row>
    <row r="1492" spans="4:13">
      <c r="D1492" s="1" t="s">
        <v>199</v>
      </c>
      <c r="E1492" s="1" t="s">
        <v>567</v>
      </c>
      <c r="H1492" s="1" t="s">
        <v>22</v>
      </c>
      <c r="I1492" s="1" t="s">
        <v>23</v>
      </c>
      <c r="L1492" s="1">
        <v>1</v>
      </c>
      <c r="M1492" s="1">
        <v>0.5</v>
      </c>
    </row>
    <row r="1493" spans="4:13">
      <c r="D1493" s="1" t="s">
        <v>199</v>
      </c>
      <c r="E1493" s="1" t="s">
        <v>568</v>
      </c>
      <c r="H1493" s="1" t="s">
        <v>22</v>
      </c>
      <c r="I1493" s="1" t="s">
        <v>23</v>
      </c>
      <c r="L1493" s="1">
        <v>1</v>
      </c>
      <c r="M1493" s="1">
        <v>0.7</v>
      </c>
    </row>
    <row r="1494" spans="4:13">
      <c r="D1494" s="1" t="s">
        <v>199</v>
      </c>
      <c r="E1494" s="1" t="s">
        <v>569</v>
      </c>
      <c r="H1494" s="1" t="s">
        <v>22</v>
      </c>
      <c r="I1494" s="1" t="s">
        <v>23</v>
      </c>
      <c r="L1494" s="1">
        <v>1</v>
      </c>
      <c r="M1494" s="1">
        <v>0.9</v>
      </c>
    </row>
    <row r="1495" spans="4:13">
      <c r="D1495" s="1" t="s">
        <v>199</v>
      </c>
      <c r="E1495" s="1" t="s">
        <v>570</v>
      </c>
      <c r="H1495" s="1" t="s">
        <v>22</v>
      </c>
      <c r="I1495" s="1" t="s">
        <v>23</v>
      </c>
      <c r="L1495" s="1">
        <v>1</v>
      </c>
      <c r="M1495" s="1">
        <v>1.1000000000000001</v>
      </c>
    </row>
    <row r="1496" spans="4:13">
      <c r="D1496" s="1" t="s">
        <v>199</v>
      </c>
      <c r="E1496" s="1" t="s">
        <v>571</v>
      </c>
      <c r="H1496" s="1" t="s">
        <v>22</v>
      </c>
      <c r="I1496" s="1" t="s">
        <v>23</v>
      </c>
      <c r="L1496" s="1">
        <v>1</v>
      </c>
      <c r="M1496" s="1">
        <v>1.3</v>
      </c>
    </row>
    <row r="1497" spans="4:13">
      <c r="D1497" s="1" t="s">
        <v>199</v>
      </c>
      <c r="E1497" s="1" t="s">
        <v>572</v>
      </c>
      <c r="H1497" s="1" t="s">
        <v>22</v>
      </c>
      <c r="I1497" s="1" t="s">
        <v>23</v>
      </c>
      <c r="L1497" s="1">
        <v>1</v>
      </c>
      <c r="M1497" s="1">
        <v>1.5</v>
      </c>
    </row>
    <row r="1498" spans="4:13">
      <c r="D1498" s="1" t="s">
        <v>199</v>
      </c>
      <c r="E1498" s="1" t="s">
        <v>573</v>
      </c>
      <c r="H1498" s="1" t="s">
        <v>22</v>
      </c>
      <c r="I1498" s="1" t="s">
        <v>23</v>
      </c>
      <c r="L1498" s="1">
        <v>1</v>
      </c>
      <c r="M1498" s="1">
        <v>1.7</v>
      </c>
    </row>
    <row r="1499" spans="4:13">
      <c r="D1499" s="1" t="s">
        <v>199</v>
      </c>
      <c r="E1499" s="1" t="s">
        <v>574</v>
      </c>
      <c r="H1499" s="1" t="s">
        <v>22</v>
      </c>
      <c r="I1499" s="1" t="s">
        <v>23</v>
      </c>
      <c r="L1499" s="1">
        <v>1</v>
      </c>
      <c r="M1499" s="1">
        <v>0</v>
      </c>
    </row>
    <row r="1500" spans="4:13">
      <c r="D1500" s="1" t="s">
        <v>199</v>
      </c>
      <c r="E1500" s="1" t="s">
        <v>575</v>
      </c>
      <c r="H1500" s="1" t="s">
        <v>22</v>
      </c>
      <c r="I1500" s="1" t="s">
        <v>23</v>
      </c>
      <c r="L1500" s="1">
        <v>1</v>
      </c>
      <c r="M1500" s="1">
        <v>0.2</v>
      </c>
    </row>
    <row r="1501" spans="4:13">
      <c r="D1501" s="1" t="s">
        <v>199</v>
      </c>
      <c r="E1501" s="1" t="s">
        <v>576</v>
      </c>
      <c r="H1501" s="1" t="s">
        <v>22</v>
      </c>
      <c r="I1501" s="1" t="s">
        <v>23</v>
      </c>
      <c r="L1501" s="1">
        <v>1</v>
      </c>
      <c r="M1501" s="1">
        <v>0.4</v>
      </c>
    </row>
    <row r="1502" spans="4:13">
      <c r="D1502" s="1" t="s">
        <v>199</v>
      </c>
      <c r="E1502" s="1" t="s">
        <v>577</v>
      </c>
      <c r="H1502" s="1" t="s">
        <v>22</v>
      </c>
      <c r="I1502" s="1" t="s">
        <v>23</v>
      </c>
      <c r="L1502" s="1">
        <v>1</v>
      </c>
      <c r="M1502" s="1">
        <v>0.6</v>
      </c>
    </row>
    <row r="1503" spans="4:13">
      <c r="D1503" s="1" t="s">
        <v>199</v>
      </c>
      <c r="E1503" s="1" t="s">
        <v>578</v>
      </c>
      <c r="H1503" s="1" t="s">
        <v>22</v>
      </c>
      <c r="I1503" s="1" t="s">
        <v>23</v>
      </c>
      <c r="L1503" s="1">
        <v>1</v>
      </c>
      <c r="M1503" s="1">
        <v>0.8</v>
      </c>
    </row>
    <row r="1504" spans="4:13">
      <c r="D1504" s="1" t="s">
        <v>199</v>
      </c>
      <c r="E1504" s="1" t="s">
        <v>579</v>
      </c>
      <c r="H1504" s="1" t="s">
        <v>22</v>
      </c>
      <c r="I1504" s="1" t="s">
        <v>23</v>
      </c>
      <c r="L1504" s="1">
        <v>1</v>
      </c>
      <c r="M1504" s="1">
        <v>1</v>
      </c>
    </row>
    <row r="1505" spans="4:13">
      <c r="D1505" s="1" t="s">
        <v>199</v>
      </c>
      <c r="E1505" s="1" t="s">
        <v>580</v>
      </c>
      <c r="H1505" s="1" t="s">
        <v>22</v>
      </c>
      <c r="I1505" s="1" t="s">
        <v>23</v>
      </c>
      <c r="L1505" s="1">
        <v>1</v>
      </c>
      <c r="M1505" s="1">
        <v>1.2</v>
      </c>
    </row>
    <row r="1506" spans="4:13">
      <c r="D1506" s="1" t="s">
        <v>199</v>
      </c>
      <c r="E1506" s="1" t="s">
        <v>581</v>
      </c>
      <c r="H1506" s="1" t="s">
        <v>22</v>
      </c>
      <c r="I1506" s="1" t="s">
        <v>23</v>
      </c>
      <c r="L1506" s="1">
        <v>1</v>
      </c>
      <c r="M1506" s="1">
        <v>1.4</v>
      </c>
    </row>
    <row r="1507" spans="4:13">
      <c r="D1507" s="1" t="s">
        <v>199</v>
      </c>
      <c r="E1507" s="1" t="s">
        <v>582</v>
      </c>
      <c r="H1507" s="1" t="s">
        <v>22</v>
      </c>
      <c r="I1507" s="1" t="s">
        <v>23</v>
      </c>
      <c r="L1507" s="1">
        <v>1</v>
      </c>
      <c r="M1507" s="1">
        <v>1.6</v>
      </c>
    </row>
    <row r="1508" spans="4:13">
      <c r="D1508" s="1" t="s">
        <v>199</v>
      </c>
      <c r="E1508" s="1" t="s">
        <v>583</v>
      </c>
      <c r="H1508" s="1" t="s">
        <v>22</v>
      </c>
      <c r="I1508" s="1" t="s">
        <v>23</v>
      </c>
      <c r="L1508" s="1">
        <v>1</v>
      </c>
      <c r="M1508" s="1">
        <v>0.3</v>
      </c>
    </row>
    <row r="1509" spans="4:13">
      <c r="D1509" s="1" t="s">
        <v>199</v>
      </c>
      <c r="E1509" s="1" t="s">
        <v>584</v>
      </c>
      <c r="H1509" s="1" t="s">
        <v>22</v>
      </c>
      <c r="I1509" s="1" t="s">
        <v>23</v>
      </c>
      <c r="L1509" s="1">
        <v>1</v>
      </c>
      <c r="M1509" s="1">
        <v>0.9</v>
      </c>
    </row>
    <row r="1510" spans="4:13">
      <c r="D1510" s="1" t="s">
        <v>199</v>
      </c>
      <c r="E1510" s="1" t="s">
        <v>585</v>
      </c>
      <c r="H1510" s="1" t="s">
        <v>22</v>
      </c>
      <c r="I1510" s="1" t="s">
        <v>23</v>
      </c>
      <c r="L1510" s="1">
        <v>1</v>
      </c>
      <c r="M1510" s="1">
        <v>0</v>
      </c>
    </row>
    <row r="1511" spans="4:13">
      <c r="D1511" s="1" t="s">
        <v>199</v>
      </c>
      <c r="E1511" s="1" t="s">
        <v>586</v>
      </c>
      <c r="H1511" s="1" t="s">
        <v>22</v>
      </c>
      <c r="I1511" s="1" t="s">
        <v>23</v>
      </c>
      <c r="L1511" s="1">
        <v>1</v>
      </c>
      <c r="M1511" s="1">
        <v>0.4</v>
      </c>
    </row>
    <row r="1512" spans="4:13">
      <c r="D1512" s="1" t="s">
        <v>199</v>
      </c>
      <c r="E1512" s="1" t="s">
        <v>587</v>
      </c>
      <c r="H1512" s="1" t="s">
        <v>22</v>
      </c>
      <c r="I1512" s="1" t="s">
        <v>23</v>
      </c>
      <c r="L1512" s="1">
        <v>1</v>
      </c>
      <c r="M1512" s="1">
        <v>0.6</v>
      </c>
    </row>
    <row r="1513" spans="4:13">
      <c r="D1513" s="1" t="s">
        <v>199</v>
      </c>
      <c r="E1513" s="1" t="s">
        <v>588</v>
      </c>
      <c r="H1513" s="1" t="s">
        <v>22</v>
      </c>
      <c r="I1513" s="1" t="s">
        <v>23</v>
      </c>
      <c r="L1513" s="1">
        <v>1</v>
      </c>
      <c r="M1513" s="1">
        <v>1.2</v>
      </c>
    </row>
    <row r="1514" spans="4:13">
      <c r="D1514" s="1" t="s">
        <v>199</v>
      </c>
      <c r="E1514" s="1" t="s">
        <v>589</v>
      </c>
      <c r="H1514" s="1" t="s">
        <v>22</v>
      </c>
      <c r="I1514" s="1" t="s">
        <v>23</v>
      </c>
      <c r="L1514" s="1">
        <v>1</v>
      </c>
      <c r="M1514" s="1">
        <v>1.6</v>
      </c>
    </row>
    <row r="1515" spans="4:13">
      <c r="D1515" s="1" t="s">
        <v>199</v>
      </c>
      <c r="E1515" s="1" t="s">
        <v>590</v>
      </c>
      <c r="H1515" s="1" t="s">
        <v>22</v>
      </c>
      <c r="I1515" s="1" t="s">
        <v>23</v>
      </c>
      <c r="L1515" s="1">
        <v>1</v>
      </c>
      <c r="M1515" s="1">
        <v>0.1</v>
      </c>
    </row>
    <row r="1516" spans="4:13">
      <c r="D1516" s="1" t="s">
        <v>199</v>
      </c>
      <c r="E1516" s="1" t="s">
        <v>591</v>
      </c>
      <c r="H1516" s="1" t="s">
        <v>22</v>
      </c>
      <c r="I1516" s="1" t="s">
        <v>23</v>
      </c>
      <c r="L1516" s="1">
        <v>1</v>
      </c>
      <c r="M1516" s="1">
        <v>0.9</v>
      </c>
    </row>
    <row r="1517" spans="4:13">
      <c r="D1517" s="1" t="s">
        <v>199</v>
      </c>
      <c r="E1517" s="1" t="s">
        <v>592</v>
      </c>
      <c r="H1517" s="1" t="s">
        <v>22</v>
      </c>
      <c r="I1517" s="1" t="s">
        <v>23</v>
      </c>
      <c r="L1517" s="1">
        <v>1</v>
      </c>
      <c r="M1517" s="1">
        <v>1.5</v>
      </c>
    </row>
    <row r="1518" spans="4:13">
      <c r="D1518" s="1" t="s">
        <v>199</v>
      </c>
      <c r="E1518" s="1" t="s">
        <v>593</v>
      </c>
      <c r="H1518" s="1" t="s">
        <v>22</v>
      </c>
      <c r="I1518" s="1" t="s">
        <v>23</v>
      </c>
      <c r="L1518" s="1">
        <v>1</v>
      </c>
      <c r="M1518" s="1">
        <v>1.7</v>
      </c>
    </row>
    <row r="1519" spans="4:13">
      <c r="D1519" s="1" t="s">
        <v>199</v>
      </c>
      <c r="E1519" s="1" t="s">
        <v>594</v>
      </c>
      <c r="H1519" s="1" t="s">
        <v>22</v>
      </c>
      <c r="I1519" s="1" t="s">
        <v>23</v>
      </c>
      <c r="L1519" s="1">
        <v>1</v>
      </c>
      <c r="M1519" s="1">
        <v>0</v>
      </c>
    </row>
    <row r="1520" spans="4:13">
      <c r="D1520" s="1" t="s">
        <v>199</v>
      </c>
      <c r="E1520" s="1" t="s">
        <v>595</v>
      </c>
      <c r="H1520" s="1" t="s">
        <v>22</v>
      </c>
      <c r="I1520" s="1" t="s">
        <v>23</v>
      </c>
      <c r="L1520" s="1">
        <v>1</v>
      </c>
      <c r="M1520" s="1">
        <v>1</v>
      </c>
    </row>
    <row r="1521" spans="4:13">
      <c r="D1521" s="1" t="s">
        <v>199</v>
      </c>
      <c r="E1521" s="1" t="s">
        <v>596</v>
      </c>
      <c r="H1521" s="1" t="s">
        <v>22</v>
      </c>
      <c r="I1521" s="1" t="s">
        <v>23</v>
      </c>
      <c r="L1521" s="1">
        <v>1</v>
      </c>
      <c r="M1521" s="1">
        <v>0.1</v>
      </c>
    </row>
    <row r="1522" spans="4:13">
      <c r="D1522" s="1" t="s">
        <v>199</v>
      </c>
      <c r="E1522" s="1" t="s">
        <v>597</v>
      </c>
      <c r="H1522" s="1" t="s">
        <v>22</v>
      </c>
      <c r="I1522" s="1" t="s">
        <v>23</v>
      </c>
      <c r="L1522" s="1">
        <v>1</v>
      </c>
      <c r="M1522" s="1">
        <v>0.3</v>
      </c>
    </row>
    <row r="1523" spans="4:13">
      <c r="D1523" s="1" t="s">
        <v>199</v>
      </c>
      <c r="E1523" s="1" t="s">
        <v>598</v>
      </c>
      <c r="H1523" s="1" t="s">
        <v>22</v>
      </c>
      <c r="I1523" s="1" t="s">
        <v>23</v>
      </c>
      <c r="L1523" s="1">
        <v>1</v>
      </c>
      <c r="M1523" s="1">
        <v>0.5</v>
      </c>
    </row>
    <row r="1524" spans="4:13">
      <c r="D1524" s="1" t="s">
        <v>199</v>
      </c>
      <c r="E1524" s="1" t="s">
        <v>599</v>
      </c>
      <c r="H1524" s="1" t="s">
        <v>22</v>
      </c>
      <c r="I1524" s="1" t="s">
        <v>23</v>
      </c>
      <c r="L1524" s="1">
        <v>1</v>
      </c>
      <c r="M1524" s="1">
        <v>0.7</v>
      </c>
    </row>
    <row r="1525" spans="4:13">
      <c r="D1525" s="1" t="s">
        <v>199</v>
      </c>
      <c r="E1525" s="1" t="s">
        <v>600</v>
      </c>
      <c r="H1525" s="1" t="s">
        <v>22</v>
      </c>
      <c r="I1525" s="1" t="s">
        <v>23</v>
      </c>
      <c r="L1525" s="1">
        <v>1</v>
      </c>
      <c r="M1525" s="1">
        <v>1.3</v>
      </c>
    </row>
    <row r="1526" spans="4:13">
      <c r="D1526" s="1" t="s">
        <v>199</v>
      </c>
      <c r="E1526" s="1" t="s">
        <v>601</v>
      </c>
      <c r="H1526" s="1" t="s">
        <v>22</v>
      </c>
      <c r="I1526" s="1" t="s">
        <v>23</v>
      </c>
      <c r="L1526" s="1">
        <v>1</v>
      </c>
      <c r="M1526" s="1">
        <v>1.7</v>
      </c>
    </row>
    <row r="1527" spans="4:13">
      <c r="D1527" s="1" t="s">
        <v>199</v>
      </c>
      <c r="E1527" s="1" t="s">
        <v>602</v>
      </c>
      <c r="H1527" s="1" t="s">
        <v>22</v>
      </c>
      <c r="I1527" s="1" t="s">
        <v>23</v>
      </c>
      <c r="L1527" s="1">
        <v>1</v>
      </c>
      <c r="M1527" s="1">
        <v>0</v>
      </c>
    </row>
    <row r="1528" spans="4:13">
      <c r="D1528" s="1" t="s">
        <v>199</v>
      </c>
      <c r="E1528" s="1" t="s">
        <v>603</v>
      </c>
      <c r="H1528" s="1" t="s">
        <v>22</v>
      </c>
      <c r="I1528" s="1" t="s">
        <v>23</v>
      </c>
      <c r="L1528" s="1">
        <v>1</v>
      </c>
      <c r="M1528" s="1">
        <v>0.4</v>
      </c>
    </row>
    <row r="1529" spans="4:13">
      <c r="D1529" s="1" t="s">
        <v>199</v>
      </c>
      <c r="E1529" s="1" t="s">
        <v>604</v>
      </c>
      <c r="H1529" s="1" t="s">
        <v>22</v>
      </c>
      <c r="I1529" s="1" t="s">
        <v>23</v>
      </c>
      <c r="L1529" s="1">
        <v>1</v>
      </c>
      <c r="M1529" s="1">
        <v>1</v>
      </c>
    </row>
    <row r="1530" spans="4:13">
      <c r="D1530" s="1" t="s">
        <v>199</v>
      </c>
      <c r="E1530" s="1" t="s">
        <v>605</v>
      </c>
      <c r="H1530" s="1" t="s">
        <v>22</v>
      </c>
      <c r="I1530" s="1" t="s">
        <v>23</v>
      </c>
      <c r="L1530" s="1">
        <v>1</v>
      </c>
      <c r="M1530" s="1">
        <v>1.6</v>
      </c>
    </row>
    <row r="1531" spans="4:13">
      <c r="D1531" s="1" t="s">
        <v>199</v>
      </c>
      <c r="E1531" s="1" t="s">
        <v>606</v>
      </c>
      <c r="H1531" s="1" t="s">
        <v>22</v>
      </c>
      <c r="I1531" s="1" t="s">
        <v>23</v>
      </c>
      <c r="L1531" s="1">
        <v>1</v>
      </c>
      <c r="M1531" s="1">
        <v>0.5</v>
      </c>
    </row>
    <row r="1532" spans="4:13">
      <c r="D1532" s="1" t="s">
        <v>199</v>
      </c>
      <c r="E1532" s="1" t="s">
        <v>607</v>
      </c>
      <c r="H1532" s="1" t="s">
        <v>22</v>
      </c>
      <c r="I1532" s="1" t="s">
        <v>23</v>
      </c>
      <c r="L1532" s="1">
        <v>1</v>
      </c>
      <c r="M1532" s="1">
        <v>0.7</v>
      </c>
    </row>
    <row r="1533" spans="4:13">
      <c r="D1533" s="1" t="s">
        <v>199</v>
      </c>
      <c r="E1533" s="1" t="s">
        <v>608</v>
      </c>
      <c r="H1533" s="1" t="s">
        <v>22</v>
      </c>
      <c r="I1533" s="1" t="s">
        <v>23</v>
      </c>
      <c r="L1533" s="1">
        <v>1</v>
      </c>
      <c r="M1533" s="1">
        <v>0.9</v>
      </c>
    </row>
    <row r="1534" spans="4:13">
      <c r="D1534" s="1" t="s">
        <v>199</v>
      </c>
      <c r="E1534" s="1" t="s">
        <v>609</v>
      </c>
      <c r="H1534" s="1" t="s">
        <v>22</v>
      </c>
      <c r="I1534" s="1" t="s">
        <v>23</v>
      </c>
      <c r="L1534" s="1">
        <v>1</v>
      </c>
      <c r="M1534" s="1">
        <v>1.1000000000000001</v>
      </c>
    </row>
    <row r="1535" spans="4:13">
      <c r="D1535" s="1" t="s">
        <v>199</v>
      </c>
      <c r="E1535" s="1" t="s">
        <v>610</v>
      </c>
      <c r="H1535" s="1" t="s">
        <v>22</v>
      </c>
      <c r="I1535" s="1" t="s">
        <v>23</v>
      </c>
      <c r="L1535" s="1">
        <v>1</v>
      </c>
      <c r="M1535" s="1">
        <v>1.3</v>
      </c>
    </row>
    <row r="1536" spans="4:13">
      <c r="D1536" s="1" t="s">
        <v>199</v>
      </c>
      <c r="E1536" s="1" t="s">
        <v>611</v>
      </c>
      <c r="H1536" s="1" t="s">
        <v>22</v>
      </c>
      <c r="I1536" s="1" t="s">
        <v>23</v>
      </c>
      <c r="L1536" s="1">
        <v>1</v>
      </c>
      <c r="M1536" s="1">
        <v>1.5</v>
      </c>
    </row>
    <row r="1537" spans="4:13">
      <c r="D1537" s="1" t="s">
        <v>199</v>
      </c>
      <c r="E1537" s="1" t="s">
        <v>612</v>
      </c>
      <c r="H1537" s="1" t="s">
        <v>22</v>
      </c>
      <c r="I1537" s="1" t="s">
        <v>23</v>
      </c>
      <c r="L1537" s="1">
        <v>1</v>
      </c>
      <c r="M1537" s="1">
        <v>1.7</v>
      </c>
    </row>
    <row r="1538" spans="4:13">
      <c r="D1538" s="1" t="s">
        <v>199</v>
      </c>
      <c r="E1538" s="1" t="s">
        <v>613</v>
      </c>
      <c r="H1538" s="1" t="s">
        <v>22</v>
      </c>
      <c r="I1538" s="1" t="s">
        <v>23</v>
      </c>
      <c r="L1538" s="1">
        <v>1</v>
      </c>
      <c r="M1538" s="1">
        <v>0.2</v>
      </c>
    </row>
    <row r="1539" spans="4:13">
      <c r="D1539" s="1" t="s">
        <v>199</v>
      </c>
      <c r="E1539" s="1" t="s">
        <v>614</v>
      </c>
      <c r="H1539" s="1" t="s">
        <v>22</v>
      </c>
      <c r="I1539" s="1" t="s">
        <v>23</v>
      </c>
      <c r="L1539" s="1">
        <v>1</v>
      </c>
      <c r="M1539" s="1">
        <v>0.4</v>
      </c>
    </row>
    <row r="1540" spans="4:13">
      <c r="D1540" s="1" t="s">
        <v>199</v>
      </c>
      <c r="E1540" s="1" t="s">
        <v>615</v>
      </c>
      <c r="H1540" s="1" t="s">
        <v>22</v>
      </c>
      <c r="I1540" s="1" t="s">
        <v>23</v>
      </c>
      <c r="L1540" s="1">
        <v>1</v>
      </c>
      <c r="M1540" s="1">
        <v>0.8</v>
      </c>
    </row>
    <row r="1541" spans="4:13">
      <c r="D1541" s="1" t="s">
        <v>199</v>
      </c>
      <c r="E1541" s="1" t="s">
        <v>616</v>
      </c>
      <c r="H1541" s="1" t="s">
        <v>22</v>
      </c>
      <c r="I1541" s="1" t="s">
        <v>23</v>
      </c>
      <c r="L1541" s="1">
        <v>1</v>
      </c>
      <c r="M1541" s="1">
        <v>1.1000000000000001</v>
      </c>
    </row>
    <row r="1542" spans="4:13">
      <c r="D1542" s="1" t="s">
        <v>199</v>
      </c>
      <c r="E1542" s="1" t="s">
        <v>617</v>
      </c>
      <c r="H1542" s="1" t="s">
        <v>22</v>
      </c>
      <c r="I1542" s="1" t="s">
        <v>23</v>
      </c>
      <c r="L1542" s="1">
        <v>1</v>
      </c>
      <c r="M1542" s="1">
        <v>1.3</v>
      </c>
    </row>
    <row r="1543" spans="4:13">
      <c r="D1543" s="1" t="s">
        <v>199</v>
      </c>
      <c r="E1543" s="1" t="s">
        <v>618</v>
      </c>
      <c r="H1543" s="1" t="s">
        <v>22</v>
      </c>
      <c r="I1543" s="1" t="s">
        <v>23</v>
      </c>
      <c r="L1543" s="1">
        <v>1</v>
      </c>
      <c r="M1543" s="1">
        <v>0</v>
      </c>
    </row>
    <row r="1544" spans="4:13">
      <c r="D1544" s="1" t="s">
        <v>199</v>
      </c>
      <c r="E1544" s="1" t="s">
        <v>619</v>
      </c>
      <c r="H1544" s="1" t="s">
        <v>22</v>
      </c>
      <c r="I1544" s="1" t="s">
        <v>23</v>
      </c>
      <c r="L1544" s="1">
        <v>1</v>
      </c>
      <c r="M1544" s="1">
        <v>0.6</v>
      </c>
    </row>
    <row r="1545" spans="4:13">
      <c r="D1545" s="1" t="s">
        <v>199</v>
      </c>
      <c r="E1545" s="1" t="s">
        <v>620</v>
      </c>
      <c r="H1545" s="1" t="s">
        <v>22</v>
      </c>
      <c r="I1545" s="1" t="s">
        <v>23</v>
      </c>
      <c r="L1545" s="1">
        <v>1</v>
      </c>
      <c r="M1545" s="1">
        <v>1.4</v>
      </c>
    </row>
    <row r="1546" spans="4:13">
      <c r="D1546" s="1" t="s">
        <v>199</v>
      </c>
      <c r="E1546" s="1" t="s">
        <v>621</v>
      </c>
      <c r="H1546" s="1" t="s">
        <v>22</v>
      </c>
      <c r="I1546" s="1" t="s">
        <v>23</v>
      </c>
      <c r="L1546" s="1">
        <v>1</v>
      </c>
      <c r="M1546" s="1">
        <v>1.6</v>
      </c>
    </row>
    <row r="1547" spans="4:13">
      <c r="D1547" s="1" t="s">
        <v>199</v>
      </c>
      <c r="E1547" s="1" t="s">
        <v>622</v>
      </c>
      <c r="H1547" s="1" t="s">
        <v>22</v>
      </c>
      <c r="I1547" s="1" t="s">
        <v>23</v>
      </c>
      <c r="L1547" s="1">
        <v>1</v>
      </c>
      <c r="M1547" s="1">
        <v>0.1</v>
      </c>
    </row>
    <row r="1548" spans="4:13">
      <c r="D1548" s="1" t="s">
        <v>199</v>
      </c>
      <c r="E1548" s="1" t="s">
        <v>623</v>
      </c>
      <c r="H1548" s="1" t="s">
        <v>22</v>
      </c>
      <c r="I1548" s="1" t="s">
        <v>23</v>
      </c>
      <c r="L1548" s="1">
        <v>1</v>
      </c>
      <c r="M1548" s="1">
        <v>0.3</v>
      </c>
    </row>
    <row r="1549" spans="4:13">
      <c r="D1549" s="1" t="s">
        <v>199</v>
      </c>
      <c r="E1549" s="1" t="s">
        <v>624</v>
      </c>
      <c r="H1549" s="1" t="s">
        <v>22</v>
      </c>
      <c r="I1549" s="1" t="s">
        <v>23</v>
      </c>
      <c r="L1549" s="1">
        <v>1</v>
      </c>
      <c r="M1549" s="1">
        <v>0.5</v>
      </c>
    </row>
    <row r="1550" spans="4:13">
      <c r="D1550" s="1" t="s">
        <v>199</v>
      </c>
      <c r="E1550" s="1" t="s">
        <v>625</v>
      </c>
      <c r="H1550" s="1" t="s">
        <v>22</v>
      </c>
      <c r="I1550" s="1" t="s">
        <v>23</v>
      </c>
      <c r="L1550" s="1">
        <v>1</v>
      </c>
      <c r="M1550" s="1">
        <v>0.9</v>
      </c>
    </row>
    <row r="1551" spans="4:13">
      <c r="D1551" s="1" t="s">
        <v>199</v>
      </c>
      <c r="E1551" s="1" t="s">
        <v>626</v>
      </c>
      <c r="H1551" s="1" t="s">
        <v>22</v>
      </c>
      <c r="I1551" s="1" t="s">
        <v>23</v>
      </c>
      <c r="L1551" s="1">
        <v>1</v>
      </c>
      <c r="M1551" s="1">
        <v>1.1000000000000001</v>
      </c>
    </row>
    <row r="1552" spans="4:13">
      <c r="D1552" s="1" t="s">
        <v>199</v>
      </c>
      <c r="E1552" s="1" t="s">
        <v>627</v>
      </c>
      <c r="H1552" s="1" t="s">
        <v>22</v>
      </c>
      <c r="I1552" s="1" t="s">
        <v>23</v>
      </c>
      <c r="L1552" s="1">
        <v>1</v>
      </c>
      <c r="M1552" s="1">
        <v>1.7</v>
      </c>
    </row>
    <row r="1553" spans="4:13">
      <c r="D1553" s="1" t="s">
        <v>199</v>
      </c>
      <c r="E1553" s="1" t="s">
        <v>628</v>
      </c>
      <c r="H1553" s="1" t="s">
        <v>22</v>
      </c>
      <c r="I1553" s="1" t="s">
        <v>23</v>
      </c>
      <c r="L1553" s="1">
        <v>1</v>
      </c>
      <c r="M1553" s="1">
        <v>0</v>
      </c>
    </row>
    <row r="1554" spans="4:13">
      <c r="D1554" s="1" t="s">
        <v>199</v>
      </c>
      <c r="E1554" s="1" t="s">
        <v>629</v>
      </c>
      <c r="H1554" s="1" t="s">
        <v>22</v>
      </c>
      <c r="I1554" s="1" t="s">
        <v>23</v>
      </c>
      <c r="L1554" s="1">
        <v>1</v>
      </c>
      <c r="M1554" s="1">
        <v>0.6</v>
      </c>
    </row>
    <row r="1555" spans="4:13">
      <c r="D1555" s="1" t="s">
        <v>199</v>
      </c>
      <c r="E1555" s="1" t="s">
        <v>630</v>
      </c>
      <c r="H1555" s="1" t="s">
        <v>22</v>
      </c>
      <c r="I1555" s="1" t="s">
        <v>23</v>
      </c>
      <c r="L1555" s="1">
        <v>1</v>
      </c>
      <c r="M1555" s="1">
        <v>1</v>
      </c>
    </row>
    <row r="1556" spans="4:13">
      <c r="D1556" s="1" t="s">
        <v>199</v>
      </c>
      <c r="E1556" s="1" t="s">
        <v>631</v>
      </c>
      <c r="H1556" s="1" t="s">
        <v>22</v>
      </c>
      <c r="I1556" s="1" t="s">
        <v>23</v>
      </c>
      <c r="L1556" s="1">
        <v>1</v>
      </c>
      <c r="M1556" s="1">
        <v>1.4</v>
      </c>
    </row>
    <row r="1557" spans="4:13">
      <c r="D1557" s="1" t="s">
        <v>199</v>
      </c>
      <c r="E1557" s="1" t="s">
        <v>632</v>
      </c>
      <c r="H1557" s="1" t="s">
        <v>22</v>
      </c>
      <c r="I1557" s="1" t="s">
        <v>23</v>
      </c>
      <c r="L1557" s="1">
        <v>1</v>
      </c>
      <c r="M1557" s="1">
        <v>1.6</v>
      </c>
    </row>
    <row r="1558" spans="4:13">
      <c r="D1558" s="1" t="s">
        <v>199</v>
      </c>
      <c r="E1558" s="1" t="s">
        <v>633</v>
      </c>
      <c r="H1558" s="1" t="s">
        <v>22</v>
      </c>
      <c r="I1558" s="1" t="s">
        <v>23</v>
      </c>
      <c r="L1558" s="1">
        <v>1</v>
      </c>
      <c r="M1558" s="1">
        <v>0.3</v>
      </c>
    </row>
    <row r="1559" spans="4:13">
      <c r="D1559" s="1" t="s">
        <v>199</v>
      </c>
      <c r="E1559" s="1" t="s">
        <v>634</v>
      </c>
      <c r="H1559" s="1" t="s">
        <v>22</v>
      </c>
      <c r="I1559" s="1" t="s">
        <v>23</v>
      </c>
      <c r="L1559" s="1">
        <v>1</v>
      </c>
      <c r="M1559" s="1">
        <v>1.7</v>
      </c>
    </row>
    <row r="1560" spans="4:13">
      <c r="D1560" s="1" t="s">
        <v>199</v>
      </c>
      <c r="E1560" s="1" t="s">
        <v>635</v>
      </c>
      <c r="H1560" s="1" t="s">
        <v>22</v>
      </c>
      <c r="I1560" s="1" t="s">
        <v>23</v>
      </c>
      <c r="L1560" s="1">
        <v>1</v>
      </c>
      <c r="M1560" s="1">
        <v>0</v>
      </c>
    </row>
    <row r="1561" spans="4:13">
      <c r="D1561" s="1" t="s">
        <v>199</v>
      </c>
      <c r="E1561" s="1" t="s">
        <v>636</v>
      </c>
      <c r="H1561" s="1" t="s">
        <v>22</v>
      </c>
      <c r="I1561" s="1" t="s">
        <v>23</v>
      </c>
      <c r="L1561" s="1">
        <v>1</v>
      </c>
      <c r="M1561" s="1">
        <v>0.6</v>
      </c>
    </row>
    <row r="1562" spans="4:13">
      <c r="D1562" s="1" t="s">
        <v>199</v>
      </c>
      <c r="E1562" s="1" t="s">
        <v>637</v>
      </c>
      <c r="H1562" s="1" t="s">
        <v>22</v>
      </c>
      <c r="I1562" s="1" t="s">
        <v>23</v>
      </c>
      <c r="L1562" s="1">
        <v>1</v>
      </c>
      <c r="M1562" s="1">
        <v>0.8</v>
      </c>
    </row>
    <row r="1563" spans="4:13">
      <c r="D1563" s="1" t="s">
        <v>199</v>
      </c>
      <c r="E1563" s="1" t="s">
        <v>638</v>
      </c>
      <c r="H1563" s="1" t="s">
        <v>22</v>
      </c>
      <c r="I1563" s="1" t="s">
        <v>23</v>
      </c>
      <c r="L1563" s="1">
        <v>1</v>
      </c>
      <c r="M1563" s="1">
        <v>1</v>
      </c>
    </row>
    <row r="1564" spans="4:13">
      <c r="D1564" s="1" t="s">
        <v>199</v>
      </c>
      <c r="E1564" s="1" t="s">
        <v>639</v>
      </c>
      <c r="H1564" s="1" t="s">
        <v>22</v>
      </c>
      <c r="I1564" s="1" t="s">
        <v>23</v>
      </c>
      <c r="L1564" s="1">
        <v>1</v>
      </c>
      <c r="M1564" s="1">
        <v>1.2</v>
      </c>
    </row>
    <row r="1565" spans="4:13">
      <c r="D1565" s="1" t="s">
        <v>199</v>
      </c>
      <c r="E1565" s="1" t="s">
        <v>640</v>
      </c>
      <c r="H1565" s="1" t="s">
        <v>22</v>
      </c>
      <c r="I1565" s="1" t="s">
        <v>23</v>
      </c>
      <c r="L1565" s="1">
        <v>1</v>
      </c>
      <c r="M1565" s="1">
        <v>1.4</v>
      </c>
    </row>
    <row r="1566" spans="4:13">
      <c r="D1566" s="1" t="s">
        <v>199</v>
      </c>
      <c r="E1566" s="1" t="s">
        <v>641</v>
      </c>
      <c r="H1566" s="1" t="s">
        <v>22</v>
      </c>
      <c r="I1566" s="1" t="s">
        <v>23</v>
      </c>
      <c r="L1566" s="1">
        <v>1</v>
      </c>
      <c r="M1566" s="1">
        <v>1.6</v>
      </c>
    </row>
    <row r="1567" spans="4:13">
      <c r="D1567" s="1" t="s">
        <v>199</v>
      </c>
      <c r="E1567" s="1" t="s">
        <v>642</v>
      </c>
      <c r="H1567" s="1" t="s">
        <v>22</v>
      </c>
      <c r="I1567" s="1" t="s">
        <v>23</v>
      </c>
      <c r="L1567" s="1">
        <v>1</v>
      </c>
      <c r="M1567" s="1">
        <v>0.1</v>
      </c>
    </row>
    <row r="1568" spans="4:13">
      <c r="D1568" s="1" t="s">
        <v>199</v>
      </c>
      <c r="E1568" s="1" t="s">
        <v>643</v>
      </c>
      <c r="H1568" s="1" t="s">
        <v>22</v>
      </c>
      <c r="I1568" s="1" t="s">
        <v>23</v>
      </c>
      <c r="L1568" s="1">
        <v>1</v>
      </c>
      <c r="M1568" s="1">
        <v>0.3</v>
      </c>
    </row>
    <row r="1569" spans="4:13">
      <c r="D1569" s="1" t="s">
        <v>199</v>
      </c>
      <c r="E1569" s="1" t="s">
        <v>644</v>
      </c>
      <c r="H1569" s="1" t="s">
        <v>22</v>
      </c>
      <c r="I1569" s="1" t="s">
        <v>23</v>
      </c>
      <c r="L1569" s="1">
        <v>1</v>
      </c>
      <c r="M1569" s="1">
        <v>0.5</v>
      </c>
    </row>
    <row r="1570" spans="4:13">
      <c r="D1570" s="1" t="s">
        <v>199</v>
      </c>
      <c r="E1570" s="1" t="s">
        <v>645</v>
      </c>
      <c r="H1570" s="1" t="s">
        <v>22</v>
      </c>
      <c r="I1570" s="1" t="s">
        <v>23</v>
      </c>
      <c r="L1570" s="1">
        <v>1</v>
      </c>
      <c r="M1570" s="1">
        <v>0.9</v>
      </c>
    </row>
    <row r="1571" spans="4:13">
      <c r="D1571" s="1" t="s">
        <v>199</v>
      </c>
      <c r="E1571" s="1" t="s">
        <v>646</v>
      </c>
      <c r="H1571" s="1" t="s">
        <v>22</v>
      </c>
      <c r="I1571" s="1" t="s">
        <v>23</v>
      </c>
      <c r="L1571" s="1">
        <v>1</v>
      </c>
      <c r="M1571" s="1">
        <v>1.1000000000000001</v>
      </c>
    </row>
    <row r="1572" spans="4:13">
      <c r="D1572" s="1" t="s">
        <v>199</v>
      </c>
      <c r="E1572" s="1" t="s">
        <v>647</v>
      </c>
      <c r="H1572" s="1" t="s">
        <v>22</v>
      </c>
      <c r="I1572" s="1" t="s">
        <v>23</v>
      </c>
      <c r="L1572" s="1">
        <v>1</v>
      </c>
      <c r="M1572" s="1">
        <v>1.5</v>
      </c>
    </row>
    <row r="1573" spans="4:13">
      <c r="D1573" s="1" t="s">
        <v>199</v>
      </c>
      <c r="E1573" s="1" t="s">
        <v>648</v>
      </c>
      <c r="H1573" s="1" t="s">
        <v>22</v>
      </c>
      <c r="I1573" s="1" t="s">
        <v>23</v>
      </c>
      <c r="L1573" s="1">
        <v>1</v>
      </c>
      <c r="M1573" s="1">
        <v>1.7</v>
      </c>
    </row>
    <row r="1574" spans="4:13">
      <c r="D1574" s="1" t="s">
        <v>199</v>
      </c>
      <c r="E1574" s="1" t="s">
        <v>649</v>
      </c>
      <c r="H1574" s="1" t="s">
        <v>22</v>
      </c>
      <c r="I1574" s="1" t="s">
        <v>29</v>
      </c>
      <c r="J1574" s="1">
        <v>0</v>
      </c>
      <c r="K1574" s="1">
        <v>2</v>
      </c>
      <c r="L1574" s="1">
        <v>1</v>
      </c>
    </row>
    <row r="1575" spans="4:13">
      <c r="D1575" s="1" t="s">
        <v>199</v>
      </c>
      <c r="E1575" s="1" t="s">
        <v>650</v>
      </c>
      <c r="H1575" s="1" t="s">
        <v>22</v>
      </c>
      <c r="I1575" s="1" t="s">
        <v>29</v>
      </c>
      <c r="J1575" s="1">
        <v>0</v>
      </c>
      <c r="K1575" s="1">
        <v>10</v>
      </c>
      <c r="L1575" s="1">
        <v>1</v>
      </c>
    </row>
    <row r="1576" spans="4:13">
      <c r="D1576" s="1" t="s">
        <v>199</v>
      </c>
      <c r="E1576" s="1" t="s">
        <v>651</v>
      </c>
      <c r="H1576" s="1" t="s">
        <v>22</v>
      </c>
      <c r="I1576" s="1" t="s">
        <v>29</v>
      </c>
      <c r="J1576" s="1">
        <v>0</v>
      </c>
      <c r="K1576" s="1">
        <v>10</v>
      </c>
      <c r="L1576" s="1">
        <v>1</v>
      </c>
    </row>
    <row r="1577" spans="4:13">
      <c r="D1577" s="1" t="s">
        <v>199</v>
      </c>
      <c r="E1577" s="1" t="s">
        <v>652</v>
      </c>
      <c r="H1577" s="1" t="s">
        <v>22</v>
      </c>
      <c r="I1577" s="1" t="s">
        <v>23</v>
      </c>
      <c r="L1577" s="1">
        <v>1</v>
      </c>
      <c r="M1577" s="1">
        <v>0</v>
      </c>
    </row>
    <row r="1578" spans="4:13">
      <c r="D1578" s="1" t="s">
        <v>199</v>
      </c>
      <c r="E1578" s="1" t="s">
        <v>653</v>
      </c>
      <c r="H1578" s="1" t="s">
        <v>22</v>
      </c>
      <c r="I1578" s="1" t="s">
        <v>23</v>
      </c>
      <c r="L1578" s="1">
        <v>1</v>
      </c>
      <c r="M1578" s="1">
        <v>0</v>
      </c>
    </row>
    <row r="1579" spans="4:13">
      <c r="D1579" s="1" t="s">
        <v>199</v>
      </c>
      <c r="E1579" s="1" t="s">
        <v>654</v>
      </c>
      <c r="H1579" s="1" t="s">
        <v>22</v>
      </c>
      <c r="I1579" s="1" t="s">
        <v>23</v>
      </c>
      <c r="L1579" s="1">
        <v>1</v>
      </c>
      <c r="M1579" s="1">
        <v>0</v>
      </c>
    </row>
    <row r="1580" spans="4:13">
      <c r="D1580" s="1" t="s">
        <v>199</v>
      </c>
      <c r="E1580" s="1" t="s">
        <v>655</v>
      </c>
      <c r="H1580" s="1" t="s">
        <v>22</v>
      </c>
      <c r="I1580" s="1" t="s">
        <v>23</v>
      </c>
      <c r="L1580" s="1">
        <v>1</v>
      </c>
      <c r="M1580" s="1">
        <v>0</v>
      </c>
    </row>
    <row r="1581" spans="4:13">
      <c r="D1581" s="1" t="s">
        <v>199</v>
      </c>
      <c r="E1581" s="1" t="s">
        <v>656</v>
      </c>
      <c r="H1581" s="1" t="s">
        <v>22</v>
      </c>
      <c r="I1581" s="1" t="s">
        <v>23</v>
      </c>
      <c r="L1581" s="1">
        <v>1</v>
      </c>
      <c r="M1581" s="1">
        <v>0</v>
      </c>
    </row>
    <row r="1582" spans="4:13">
      <c r="D1582" s="1" t="s">
        <v>199</v>
      </c>
      <c r="E1582" s="1" t="s">
        <v>657</v>
      </c>
      <c r="H1582" s="1" t="s">
        <v>22</v>
      </c>
      <c r="I1582" s="1" t="s">
        <v>23</v>
      </c>
      <c r="L1582" s="1">
        <v>1</v>
      </c>
      <c r="M1582" s="1">
        <v>0</v>
      </c>
    </row>
    <row r="1583" spans="4:13">
      <c r="D1583" s="1" t="s">
        <v>199</v>
      </c>
      <c r="E1583" s="1" t="s">
        <v>658</v>
      </c>
      <c r="H1583" s="1" t="s">
        <v>22</v>
      </c>
      <c r="I1583" s="1" t="s">
        <v>23</v>
      </c>
      <c r="L1583" s="1">
        <v>1</v>
      </c>
      <c r="M1583" s="1">
        <v>0</v>
      </c>
    </row>
    <row r="1584" spans="4:13">
      <c r="D1584" s="1" t="s">
        <v>199</v>
      </c>
      <c r="E1584" s="1" t="s">
        <v>659</v>
      </c>
      <c r="H1584" s="1" t="s">
        <v>22</v>
      </c>
      <c r="I1584" s="1" t="s">
        <v>23</v>
      </c>
      <c r="L1584" s="1">
        <v>1</v>
      </c>
      <c r="M1584" s="1">
        <v>0</v>
      </c>
    </row>
    <row r="1585" spans="4:13">
      <c r="D1585" s="1" t="s">
        <v>199</v>
      </c>
      <c r="E1585" s="1" t="s">
        <v>660</v>
      </c>
      <c r="H1585" s="1" t="s">
        <v>22</v>
      </c>
      <c r="I1585" s="1" t="s">
        <v>23</v>
      </c>
      <c r="L1585" s="1">
        <v>1</v>
      </c>
      <c r="M1585" s="1">
        <v>0</v>
      </c>
    </row>
    <row r="1586" spans="4:13">
      <c r="D1586" s="1" t="s">
        <v>199</v>
      </c>
      <c r="E1586" s="1" t="s">
        <v>661</v>
      </c>
      <c r="H1586" s="1" t="s">
        <v>22</v>
      </c>
      <c r="I1586" s="1" t="s">
        <v>23</v>
      </c>
      <c r="L1586" s="1">
        <v>1</v>
      </c>
      <c r="M1586" s="1">
        <v>0.1</v>
      </c>
    </row>
    <row r="1587" spans="4:13">
      <c r="D1587" s="1" t="s">
        <v>199</v>
      </c>
      <c r="E1587" s="1" t="s">
        <v>662</v>
      </c>
      <c r="H1587" s="1" t="s">
        <v>22</v>
      </c>
      <c r="I1587" s="1" t="s">
        <v>23</v>
      </c>
      <c r="L1587" s="1">
        <v>1</v>
      </c>
      <c r="M1587" s="1">
        <v>0.1</v>
      </c>
    </row>
    <row r="1588" spans="4:13">
      <c r="D1588" s="1" t="s">
        <v>199</v>
      </c>
      <c r="E1588" s="1" t="s">
        <v>663</v>
      </c>
      <c r="H1588" s="1" t="s">
        <v>22</v>
      </c>
      <c r="I1588" s="1" t="s">
        <v>23</v>
      </c>
      <c r="L1588" s="1">
        <v>1</v>
      </c>
      <c r="M1588" s="1">
        <v>0.1</v>
      </c>
    </row>
    <row r="1589" spans="4:13">
      <c r="D1589" s="1" t="s">
        <v>199</v>
      </c>
      <c r="E1589" s="1" t="s">
        <v>664</v>
      </c>
      <c r="H1589" s="1" t="s">
        <v>22</v>
      </c>
      <c r="I1589" s="1" t="s">
        <v>23</v>
      </c>
      <c r="L1589" s="1">
        <v>1</v>
      </c>
      <c r="M1589" s="1">
        <v>0.1</v>
      </c>
    </row>
    <row r="1590" spans="4:13">
      <c r="D1590" s="1" t="s">
        <v>199</v>
      </c>
      <c r="E1590" s="1" t="s">
        <v>665</v>
      </c>
      <c r="H1590" s="1" t="s">
        <v>22</v>
      </c>
      <c r="I1590" s="1" t="s">
        <v>23</v>
      </c>
      <c r="L1590" s="1">
        <v>1</v>
      </c>
      <c r="M1590" s="1">
        <v>0.1</v>
      </c>
    </row>
    <row r="1591" spans="4:13">
      <c r="D1591" s="1" t="s">
        <v>199</v>
      </c>
      <c r="E1591" s="1" t="s">
        <v>666</v>
      </c>
      <c r="H1591" s="1" t="s">
        <v>22</v>
      </c>
      <c r="I1591" s="1" t="s">
        <v>23</v>
      </c>
      <c r="L1591" s="1">
        <v>1</v>
      </c>
      <c r="M1591" s="1">
        <v>0.1</v>
      </c>
    </row>
    <row r="1592" spans="4:13">
      <c r="D1592" s="1" t="s">
        <v>199</v>
      </c>
      <c r="E1592" s="1" t="s">
        <v>667</v>
      </c>
      <c r="H1592" s="1" t="s">
        <v>22</v>
      </c>
      <c r="I1592" s="1" t="s">
        <v>23</v>
      </c>
      <c r="L1592" s="1">
        <v>1</v>
      </c>
      <c r="M1592" s="1">
        <v>0.1</v>
      </c>
    </row>
    <row r="1593" spans="4:13">
      <c r="D1593" s="1" t="s">
        <v>199</v>
      </c>
      <c r="E1593" s="1" t="s">
        <v>668</v>
      </c>
      <c r="H1593" s="1" t="s">
        <v>22</v>
      </c>
      <c r="I1593" s="1" t="s">
        <v>23</v>
      </c>
      <c r="L1593" s="1">
        <v>1</v>
      </c>
      <c r="M1593" s="1">
        <v>0.1</v>
      </c>
    </row>
    <row r="1594" spans="4:13">
      <c r="D1594" s="1" t="s">
        <v>199</v>
      </c>
      <c r="E1594" s="1" t="s">
        <v>669</v>
      </c>
      <c r="H1594" s="1" t="s">
        <v>22</v>
      </c>
      <c r="I1594" s="1" t="s">
        <v>23</v>
      </c>
      <c r="L1594" s="1">
        <v>1</v>
      </c>
      <c r="M1594" s="1">
        <v>0.1</v>
      </c>
    </row>
    <row r="1595" spans="4:13">
      <c r="D1595" s="1" t="s">
        <v>199</v>
      </c>
      <c r="E1595" s="1" t="s">
        <v>670</v>
      </c>
      <c r="H1595" s="1" t="s">
        <v>22</v>
      </c>
      <c r="I1595" s="1" t="s">
        <v>23</v>
      </c>
      <c r="L1595" s="1">
        <v>1</v>
      </c>
      <c r="M1595" s="1">
        <v>0.2</v>
      </c>
    </row>
    <row r="1596" spans="4:13">
      <c r="D1596" s="1" t="s">
        <v>199</v>
      </c>
      <c r="E1596" s="1" t="s">
        <v>671</v>
      </c>
      <c r="H1596" s="1" t="s">
        <v>22</v>
      </c>
      <c r="I1596" s="1" t="s">
        <v>23</v>
      </c>
      <c r="L1596" s="1">
        <v>1</v>
      </c>
      <c r="M1596" s="1">
        <v>0.2</v>
      </c>
    </row>
    <row r="1597" spans="4:13">
      <c r="D1597" s="1" t="s">
        <v>199</v>
      </c>
      <c r="E1597" s="1" t="s">
        <v>672</v>
      </c>
      <c r="H1597" s="1" t="s">
        <v>22</v>
      </c>
      <c r="I1597" s="1" t="s">
        <v>23</v>
      </c>
      <c r="L1597" s="1">
        <v>1</v>
      </c>
      <c r="M1597" s="1">
        <v>0.2</v>
      </c>
    </row>
    <row r="1598" spans="4:13">
      <c r="D1598" s="1" t="s">
        <v>199</v>
      </c>
      <c r="E1598" s="1" t="s">
        <v>673</v>
      </c>
      <c r="H1598" s="1" t="s">
        <v>22</v>
      </c>
      <c r="I1598" s="1" t="s">
        <v>23</v>
      </c>
      <c r="L1598" s="1">
        <v>1</v>
      </c>
      <c r="M1598" s="1">
        <v>0.2</v>
      </c>
    </row>
    <row r="1599" spans="4:13">
      <c r="D1599" s="1" t="s">
        <v>199</v>
      </c>
      <c r="E1599" s="1" t="s">
        <v>674</v>
      </c>
      <c r="H1599" s="1" t="s">
        <v>22</v>
      </c>
      <c r="I1599" s="1" t="s">
        <v>23</v>
      </c>
      <c r="L1599" s="1">
        <v>1</v>
      </c>
      <c r="M1599" s="1">
        <v>0.2</v>
      </c>
    </row>
    <row r="1600" spans="4:13">
      <c r="D1600" s="1" t="s">
        <v>199</v>
      </c>
      <c r="E1600" s="1" t="s">
        <v>675</v>
      </c>
      <c r="H1600" s="1" t="s">
        <v>22</v>
      </c>
      <c r="I1600" s="1" t="s">
        <v>23</v>
      </c>
      <c r="L1600" s="1">
        <v>1</v>
      </c>
      <c r="M1600" s="1">
        <v>0.2</v>
      </c>
    </row>
    <row r="1601" spans="4:13">
      <c r="D1601" s="1" t="s">
        <v>199</v>
      </c>
      <c r="E1601" s="1" t="s">
        <v>676</v>
      </c>
      <c r="H1601" s="1" t="s">
        <v>22</v>
      </c>
      <c r="I1601" s="1" t="s">
        <v>23</v>
      </c>
      <c r="L1601" s="1">
        <v>1</v>
      </c>
      <c r="M1601" s="1">
        <v>0.2</v>
      </c>
    </row>
    <row r="1602" spans="4:13">
      <c r="D1602" s="1" t="s">
        <v>199</v>
      </c>
      <c r="E1602" s="1" t="s">
        <v>677</v>
      </c>
      <c r="H1602" s="1" t="s">
        <v>22</v>
      </c>
      <c r="I1602" s="1" t="s">
        <v>23</v>
      </c>
      <c r="L1602" s="1">
        <v>1</v>
      </c>
      <c r="M1602" s="1">
        <v>0.2</v>
      </c>
    </row>
    <row r="1603" spans="4:13">
      <c r="D1603" s="1" t="s">
        <v>199</v>
      </c>
      <c r="E1603" s="1" t="s">
        <v>678</v>
      </c>
      <c r="H1603" s="1" t="s">
        <v>22</v>
      </c>
      <c r="I1603" s="1" t="s">
        <v>23</v>
      </c>
      <c r="L1603" s="1">
        <v>1</v>
      </c>
      <c r="M1603" s="1">
        <v>0.2</v>
      </c>
    </row>
    <row r="1604" spans="4:13">
      <c r="D1604" s="1" t="s">
        <v>199</v>
      </c>
      <c r="E1604" s="1" t="s">
        <v>679</v>
      </c>
      <c r="H1604" s="1" t="s">
        <v>22</v>
      </c>
      <c r="I1604" s="1" t="s">
        <v>23</v>
      </c>
      <c r="L1604" s="1">
        <v>1</v>
      </c>
      <c r="M1604" s="1">
        <v>0.3</v>
      </c>
    </row>
    <row r="1605" spans="4:13">
      <c r="D1605" s="1" t="s">
        <v>199</v>
      </c>
      <c r="E1605" s="1" t="s">
        <v>680</v>
      </c>
      <c r="H1605" s="1" t="s">
        <v>22</v>
      </c>
      <c r="I1605" s="1" t="s">
        <v>23</v>
      </c>
      <c r="L1605" s="1">
        <v>1</v>
      </c>
      <c r="M1605" s="1">
        <v>0.3</v>
      </c>
    </row>
    <row r="1606" spans="4:13">
      <c r="D1606" s="1" t="s">
        <v>199</v>
      </c>
      <c r="E1606" s="1" t="s">
        <v>681</v>
      </c>
      <c r="H1606" s="1" t="s">
        <v>22</v>
      </c>
      <c r="I1606" s="1" t="s">
        <v>23</v>
      </c>
      <c r="L1606" s="1">
        <v>1</v>
      </c>
      <c r="M1606" s="1">
        <v>0.3</v>
      </c>
    </row>
    <row r="1607" spans="4:13">
      <c r="D1607" s="1" t="s">
        <v>199</v>
      </c>
      <c r="E1607" s="1" t="s">
        <v>682</v>
      </c>
      <c r="H1607" s="1" t="s">
        <v>22</v>
      </c>
      <c r="I1607" s="1" t="s">
        <v>23</v>
      </c>
      <c r="L1607" s="1">
        <v>1</v>
      </c>
      <c r="M1607" s="1">
        <v>0.3</v>
      </c>
    </row>
    <row r="1608" spans="4:13">
      <c r="D1608" s="1" t="s">
        <v>199</v>
      </c>
      <c r="E1608" s="1" t="s">
        <v>683</v>
      </c>
      <c r="H1608" s="1" t="s">
        <v>22</v>
      </c>
      <c r="I1608" s="1" t="s">
        <v>23</v>
      </c>
      <c r="L1608" s="1">
        <v>1</v>
      </c>
      <c r="M1608" s="1">
        <v>0.3</v>
      </c>
    </row>
    <row r="1609" spans="4:13">
      <c r="D1609" s="1" t="s">
        <v>199</v>
      </c>
      <c r="E1609" s="1" t="s">
        <v>684</v>
      </c>
      <c r="H1609" s="1" t="s">
        <v>22</v>
      </c>
      <c r="I1609" s="1" t="s">
        <v>23</v>
      </c>
      <c r="L1609" s="1">
        <v>1</v>
      </c>
      <c r="M1609" s="1">
        <v>0.3</v>
      </c>
    </row>
    <row r="1610" spans="4:13">
      <c r="D1610" s="1" t="s">
        <v>199</v>
      </c>
      <c r="E1610" s="1" t="s">
        <v>685</v>
      </c>
      <c r="H1610" s="1" t="s">
        <v>22</v>
      </c>
      <c r="I1610" s="1" t="s">
        <v>23</v>
      </c>
      <c r="L1610" s="1">
        <v>1</v>
      </c>
      <c r="M1610" s="1">
        <v>0.3</v>
      </c>
    </row>
    <row r="1611" spans="4:13">
      <c r="D1611" s="1" t="s">
        <v>199</v>
      </c>
      <c r="E1611" s="1" t="s">
        <v>686</v>
      </c>
      <c r="H1611" s="1" t="s">
        <v>22</v>
      </c>
      <c r="I1611" s="1" t="s">
        <v>23</v>
      </c>
      <c r="L1611" s="1">
        <v>1</v>
      </c>
      <c r="M1611" s="1">
        <v>0.3</v>
      </c>
    </row>
    <row r="1612" spans="4:13">
      <c r="D1612" s="1" t="s">
        <v>199</v>
      </c>
      <c r="E1612" s="1" t="s">
        <v>687</v>
      </c>
      <c r="H1612" s="1" t="s">
        <v>22</v>
      </c>
      <c r="I1612" s="1" t="s">
        <v>23</v>
      </c>
      <c r="L1612" s="1">
        <v>1</v>
      </c>
      <c r="M1612" s="1">
        <v>0.3</v>
      </c>
    </row>
    <row r="1613" spans="4:13">
      <c r="D1613" s="1" t="s">
        <v>199</v>
      </c>
      <c r="E1613" s="1" t="s">
        <v>688</v>
      </c>
      <c r="H1613" s="1" t="s">
        <v>22</v>
      </c>
      <c r="I1613" s="1" t="s">
        <v>23</v>
      </c>
      <c r="L1613" s="1">
        <v>1</v>
      </c>
      <c r="M1613" s="1">
        <v>0.4</v>
      </c>
    </row>
    <row r="1614" spans="4:13">
      <c r="D1614" s="1" t="s">
        <v>199</v>
      </c>
      <c r="E1614" s="1" t="s">
        <v>689</v>
      </c>
      <c r="H1614" s="1" t="s">
        <v>22</v>
      </c>
      <c r="I1614" s="1" t="s">
        <v>23</v>
      </c>
      <c r="L1614" s="1">
        <v>1</v>
      </c>
      <c r="M1614" s="1">
        <v>0.4</v>
      </c>
    </row>
    <row r="1615" spans="4:13">
      <c r="D1615" s="1" t="s">
        <v>199</v>
      </c>
      <c r="E1615" s="1" t="s">
        <v>690</v>
      </c>
      <c r="H1615" s="1" t="s">
        <v>22</v>
      </c>
      <c r="I1615" s="1" t="s">
        <v>23</v>
      </c>
      <c r="L1615" s="1">
        <v>1</v>
      </c>
      <c r="M1615" s="1">
        <v>0.4</v>
      </c>
    </row>
    <row r="1616" spans="4:13">
      <c r="D1616" s="1" t="s">
        <v>199</v>
      </c>
      <c r="E1616" s="1" t="s">
        <v>691</v>
      </c>
      <c r="H1616" s="1" t="s">
        <v>22</v>
      </c>
      <c r="I1616" s="1" t="s">
        <v>23</v>
      </c>
      <c r="L1616" s="1">
        <v>1</v>
      </c>
      <c r="M1616" s="1">
        <v>0.4</v>
      </c>
    </row>
    <row r="1617" spans="4:13">
      <c r="D1617" s="1" t="s">
        <v>199</v>
      </c>
      <c r="E1617" s="1" t="s">
        <v>692</v>
      </c>
      <c r="H1617" s="1" t="s">
        <v>22</v>
      </c>
      <c r="I1617" s="1" t="s">
        <v>23</v>
      </c>
      <c r="L1617" s="1">
        <v>1</v>
      </c>
      <c r="M1617" s="1">
        <v>0.4</v>
      </c>
    </row>
    <row r="1618" spans="4:13">
      <c r="D1618" s="1" t="s">
        <v>199</v>
      </c>
      <c r="E1618" s="1" t="s">
        <v>693</v>
      </c>
      <c r="H1618" s="1" t="s">
        <v>22</v>
      </c>
      <c r="I1618" s="1" t="s">
        <v>23</v>
      </c>
      <c r="L1618" s="1">
        <v>1</v>
      </c>
      <c r="M1618" s="1">
        <v>0.4</v>
      </c>
    </row>
    <row r="1619" spans="4:13">
      <c r="D1619" s="1" t="s">
        <v>199</v>
      </c>
      <c r="E1619" s="1" t="s">
        <v>694</v>
      </c>
      <c r="H1619" s="1" t="s">
        <v>22</v>
      </c>
      <c r="I1619" s="1" t="s">
        <v>23</v>
      </c>
      <c r="L1619" s="1">
        <v>1</v>
      </c>
      <c r="M1619" s="1">
        <v>0.4</v>
      </c>
    </row>
    <row r="1620" spans="4:13">
      <c r="D1620" s="1" t="s">
        <v>199</v>
      </c>
      <c r="E1620" s="1" t="s">
        <v>695</v>
      </c>
      <c r="H1620" s="1" t="s">
        <v>22</v>
      </c>
      <c r="I1620" s="1" t="s">
        <v>23</v>
      </c>
      <c r="L1620" s="1">
        <v>1</v>
      </c>
      <c r="M1620" s="1">
        <v>0.4</v>
      </c>
    </row>
    <row r="1621" spans="4:13">
      <c r="D1621" s="1" t="s">
        <v>199</v>
      </c>
      <c r="E1621" s="1" t="s">
        <v>696</v>
      </c>
      <c r="H1621" s="1" t="s">
        <v>22</v>
      </c>
      <c r="I1621" s="1" t="s">
        <v>23</v>
      </c>
      <c r="L1621" s="1">
        <v>1</v>
      </c>
      <c r="M1621" s="1">
        <v>0.4</v>
      </c>
    </row>
    <row r="1622" spans="4:13">
      <c r="D1622" s="1" t="s">
        <v>199</v>
      </c>
      <c r="E1622" s="1" t="s">
        <v>697</v>
      </c>
      <c r="H1622" s="1" t="s">
        <v>22</v>
      </c>
      <c r="I1622" s="1" t="s">
        <v>23</v>
      </c>
      <c r="L1622" s="1">
        <v>1</v>
      </c>
      <c r="M1622" s="1">
        <v>0.5</v>
      </c>
    </row>
    <row r="1623" spans="4:13">
      <c r="D1623" s="1" t="s">
        <v>199</v>
      </c>
      <c r="E1623" s="1" t="s">
        <v>698</v>
      </c>
      <c r="H1623" s="1" t="s">
        <v>22</v>
      </c>
      <c r="I1623" s="1" t="s">
        <v>23</v>
      </c>
      <c r="L1623" s="1">
        <v>1</v>
      </c>
      <c r="M1623" s="1">
        <v>0.5</v>
      </c>
    </row>
    <row r="1624" spans="4:13">
      <c r="D1624" s="1" t="s">
        <v>199</v>
      </c>
      <c r="E1624" s="1" t="s">
        <v>699</v>
      </c>
      <c r="H1624" s="1" t="s">
        <v>22</v>
      </c>
      <c r="I1624" s="1" t="s">
        <v>23</v>
      </c>
      <c r="L1624" s="1">
        <v>1</v>
      </c>
      <c r="M1624" s="1">
        <v>0.5</v>
      </c>
    </row>
    <row r="1625" spans="4:13">
      <c r="D1625" s="1" t="s">
        <v>199</v>
      </c>
      <c r="E1625" s="1" t="s">
        <v>700</v>
      </c>
      <c r="H1625" s="1" t="s">
        <v>22</v>
      </c>
      <c r="I1625" s="1" t="s">
        <v>23</v>
      </c>
      <c r="L1625" s="1">
        <v>1</v>
      </c>
      <c r="M1625" s="1">
        <v>0.5</v>
      </c>
    </row>
    <row r="1626" spans="4:13">
      <c r="D1626" s="1" t="s">
        <v>199</v>
      </c>
      <c r="E1626" s="1" t="s">
        <v>701</v>
      </c>
      <c r="H1626" s="1" t="s">
        <v>22</v>
      </c>
      <c r="I1626" s="1" t="s">
        <v>23</v>
      </c>
      <c r="L1626" s="1">
        <v>1</v>
      </c>
      <c r="M1626" s="1">
        <v>0.5</v>
      </c>
    </row>
    <row r="1627" spans="4:13">
      <c r="D1627" s="1" t="s">
        <v>199</v>
      </c>
      <c r="E1627" s="1" t="s">
        <v>702</v>
      </c>
      <c r="H1627" s="1" t="s">
        <v>22</v>
      </c>
      <c r="I1627" s="1" t="s">
        <v>23</v>
      </c>
      <c r="L1627" s="1">
        <v>1</v>
      </c>
      <c r="M1627" s="1">
        <v>0.5</v>
      </c>
    </row>
    <row r="1628" spans="4:13">
      <c r="D1628" s="1" t="s">
        <v>199</v>
      </c>
      <c r="E1628" s="1" t="s">
        <v>703</v>
      </c>
      <c r="H1628" s="1" t="s">
        <v>22</v>
      </c>
      <c r="I1628" s="1" t="s">
        <v>23</v>
      </c>
      <c r="L1628" s="1">
        <v>1</v>
      </c>
      <c r="M1628" s="1">
        <v>0.5</v>
      </c>
    </row>
    <row r="1629" spans="4:13">
      <c r="D1629" s="1" t="s">
        <v>199</v>
      </c>
      <c r="E1629" s="1" t="s">
        <v>704</v>
      </c>
      <c r="H1629" s="1" t="s">
        <v>22</v>
      </c>
      <c r="I1629" s="1" t="s">
        <v>23</v>
      </c>
      <c r="L1629" s="1">
        <v>1</v>
      </c>
      <c r="M1629" s="1">
        <v>0.5</v>
      </c>
    </row>
    <row r="1630" spans="4:13">
      <c r="D1630" s="1" t="s">
        <v>199</v>
      </c>
      <c r="E1630" s="1" t="s">
        <v>705</v>
      </c>
      <c r="H1630" s="1" t="s">
        <v>22</v>
      </c>
      <c r="I1630" s="1" t="s">
        <v>23</v>
      </c>
      <c r="L1630" s="1">
        <v>1</v>
      </c>
      <c r="M1630" s="1">
        <v>0.5</v>
      </c>
    </row>
    <row r="1631" spans="4:13">
      <c r="D1631" s="1" t="s">
        <v>199</v>
      </c>
      <c r="E1631" s="1" t="s">
        <v>706</v>
      </c>
      <c r="H1631" s="1" t="s">
        <v>22</v>
      </c>
      <c r="I1631" s="1" t="s">
        <v>23</v>
      </c>
      <c r="L1631" s="1">
        <v>1</v>
      </c>
      <c r="M1631" s="1">
        <v>0.6</v>
      </c>
    </row>
    <row r="1632" spans="4:13">
      <c r="D1632" s="1" t="s">
        <v>199</v>
      </c>
      <c r="E1632" s="1" t="s">
        <v>707</v>
      </c>
      <c r="H1632" s="1" t="s">
        <v>22</v>
      </c>
      <c r="I1632" s="1" t="s">
        <v>23</v>
      </c>
      <c r="L1632" s="1">
        <v>1</v>
      </c>
      <c r="M1632" s="1">
        <v>0.6</v>
      </c>
    </row>
    <row r="1633" spans="4:13">
      <c r="D1633" s="1" t="s">
        <v>199</v>
      </c>
      <c r="E1633" s="1" t="s">
        <v>708</v>
      </c>
      <c r="H1633" s="1" t="s">
        <v>22</v>
      </c>
      <c r="I1633" s="1" t="s">
        <v>23</v>
      </c>
      <c r="L1633" s="1">
        <v>1</v>
      </c>
      <c r="M1633" s="1">
        <v>0.6</v>
      </c>
    </row>
    <row r="1634" spans="4:13">
      <c r="D1634" s="1" t="s">
        <v>199</v>
      </c>
      <c r="E1634" s="1" t="s">
        <v>709</v>
      </c>
      <c r="H1634" s="1" t="s">
        <v>22</v>
      </c>
      <c r="I1634" s="1" t="s">
        <v>23</v>
      </c>
      <c r="L1634" s="1">
        <v>1</v>
      </c>
      <c r="M1634" s="1">
        <v>0.6</v>
      </c>
    </row>
    <row r="1635" spans="4:13">
      <c r="D1635" s="1" t="s">
        <v>199</v>
      </c>
      <c r="E1635" s="1" t="s">
        <v>710</v>
      </c>
      <c r="H1635" s="1" t="s">
        <v>22</v>
      </c>
      <c r="I1635" s="1" t="s">
        <v>23</v>
      </c>
      <c r="L1635" s="1">
        <v>1</v>
      </c>
      <c r="M1635" s="1">
        <v>0.6</v>
      </c>
    </row>
    <row r="1636" spans="4:13">
      <c r="D1636" s="1" t="s">
        <v>199</v>
      </c>
      <c r="E1636" s="1" t="s">
        <v>711</v>
      </c>
      <c r="H1636" s="1" t="s">
        <v>22</v>
      </c>
      <c r="I1636" s="1" t="s">
        <v>23</v>
      </c>
      <c r="L1636" s="1">
        <v>1</v>
      </c>
      <c r="M1636" s="1">
        <v>0.6</v>
      </c>
    </row>
    <row r="1637" spans="4:13">
      <c r="D1637" s="1" t="s">
        <v>199</v>
      </c>
      <c r="E1637" s="1" t="s">
        <v>712</v>
      </c>
      <c r="H1637" s="1" t="s">
        <v>22</v>
      </c>
      <c r="I1637" s="1" t="s">
        <v>23</v>
      </c>
      <c r="L1637" s="1">
        <v>1</v>
      </c>
      <c r="M1637" s="1">
        <v>0.6</v>
      </c>
    </row>
    <row r="1638" spans="4:13">
      <c r="D1638" s="1" t="s">
        <v>199</v>
      </c>
      <c r="E1638" s="1" t="s">
        <v>713</v>
      </c>
      <c r="H1638" s="1" t="s">
        <v>22</v>
      </c>
      <c r="I1638" s="1" t="s">
        <v>23</v>
      </c>
      <c r="L1638" s="1">
        <v>1</v>
      </c>
      <c r="M1638" s="1">
        <v>0.6</v>
      </c>
    </row>
    <row r="1639" spans="4:13">
      <c r="D1639" s="1" t="s">
        <v>199</v>
      </c>
      <c r="E1639" s="1" t="s">
        <v>714</v>
      </c>
      <c r="H1639" s="1" t="s">
        <v>22</v>
      </c>
      <c r="I1639" s="1" t="s">
        <v>23</v>
      </c>
      <c r="L1639" s="1">
        <v>1</v>
      </c>
      <c r="M1639" s="1">
        <v>0.6</v>
      </c>
    </row>
    <row r="1640" spans="4:13">
      <c r="D1640" s="1" t="s">
        <v>199</v>
      </c>
      <c r="E1640" s="1" t="s">
        <v>715</v>
      </c>
      <c r="H1640" s="1" t="s">
        <v>22</v>
      </c>
      <c r="I1640" s="1" t="s">
        <v>23</v>
      </c>
      <c r="L1640" s="1">
        <v>1</v>
      </c>
      <c r="M1640" s="1">
        <v>0.7</v>
      </c>
    </row>
    <row r="1641" spans="4:13">
      <c r="D1641" s="1" t="s">
        <v>199</v>
      </c>
      <c r="E1641" s="1" t="s">
        <v>716</v>
      </c>
      <c r="H1641" s="1" t="s">
        <v>22</v>
      </c>
      <c r="I1641" s="1" t="s">
        <v>23</v>
      </c>
      <c r="L1641" s="1">
        <v>1</v>
      </c>
      <c r="M1641" s="1">
        <v>0.7</v>
      </c>
    </row>
    <row r="1642" spans="4:13">
      <c r="D1642" s="1" t="s">
        <v>199</v>
      </c>
      <c r="E1642" s="1" t="s">
        <v>717</v>
      </c>
      <c r="H1642" s="1" t="s">
        <v>22</v>
      </c>
      <c r="I1642" s="1" t="s">
        <v>23</v>
      </c>
      <c r="L1642" s="1">
        <v>1</v>
      </c>
      <c r="M1642" s="1">
        <v>0.7</v>
      </c>
    </row>
    <row r="1643" spans="4:13">
      <c r="D1643" s="1" t="s">
        <v>199</v>
      </c>
      <c r="E1643" s="1" t="s">
        <v>718</v>
      </c>
      <c r="H1643" s="1" t="s">
        <v>22</v>
      </c>
      <c r="I1643" s="1" t="s">
        <v>23</v>
      </c>
      <c r="L1643" s="1">
        <v>1</v>
      </c>
      <c r="M1643" s="1">
        <v>0.7</v>
      </c>
    </row>
    <row r="1644" spans="4:13">
      <c r="D1644" s="1" t="s">
        <v>199</v>
      </c>
      <c r="E1644" s="1" t="s">
        <v>719</v>
      </c>
      <c r="H1644" s="1" t="s">
        <v>22</v>
      </c>
      <c r="I1644" s="1" t="s">
        <v>23</v>
      </c>
      <c r="L1644" s="1">
        <v>1</v>
      </c>
      <c r="M1644" s="1">
        <v>0.7</v>
      </c>
    </row>
    <row r="1645" spans="4:13">
      <c r="D1645" s="1" t="s">
        <v>199</v>
      </c>
      <c r="E1645" s="1" t="s">
        <v>720</v>
      </c>
      <c r="H1645" s="1" t="s">
        <v>22</v>
      </c>
      <c r="I1645" s="1" t="s">
        <v>23</v>
      </c>
      <c r="L1645" s="1">
        <v>1</v>
      </c>
      <c r="M1645" s="1">
        <v>0.7</v>
      </c>
    </row>
    <row r="1646" spans="4:13">
      <c r="D1646" s="1" t="s">
        <v>199</v>
      </c>
      <c r="E1646" s="1" t="s">
        <v>721</v>
      </c>
      <c r="H1646" s="1" t="s">
        <v>22</v>
      </c>
      <c r="I1646" s="1" t="s">
        <v>23</v>
      </c>
      <c r="L1646" s="1">
        <v>1</v>
      </c>
      <c r="M1646" s="1">
        <v>0.7</v>
      </c>
    </row>
    <row r="1647" spans="4:13">
      <c r="D1647" s="1" t="s">
        <v>199</v>
      </c>
      <c r="E1647" s="1" t="s">
        <v>722</v>
      </c>
      <c r="H1647" s="1" t="s">
        <v>22</v>
      </c>
      <c r="I1647" s="1" t="s">
        <v>23</v>
      </c>
      <c r="L1647" s="1">
        <v>1</v>
      </c>
      <c r="M1647" s="1">
        <v>0.7</v>
      </c>
    </row>
    <row r="1648" spans="4:13">
      <c r="D1648" s="1" t="s">
        <v>199</v>
      </c>
      <c r="E1648" s="1" t="s">
        <v>723</v>
      </c>
      <c r="H1648" s="1" t="s">
        <v>22</v>
      </c>
      <c r="I1648" s="1" t="s">
        <v>23</v>
      </c>
      <c r="L1648" s="1">
        <v>1</v>
      </c>
      <c r="M1648" s="1">
        <v>0.7</v>
      </c>
    </row>
    <row r="1649" spans="4:13">
      <c r="D1649" s="1" t="s">
        <v>199</v>
      </c>
      <c r="E1649" s="1" t="s">
        <v>724</v>
      </c>
      <c r="H1649" s="1" t="s">
        <v>22</v>
      </c>
      <c r="I1649" s="1" t="s">
        <v>23</v>
      </c>
      <c r="L1649" s="1">
        <v>1</v>
      </c>
      <c r="M1649" s="1">
        <v>0.8</v>
      </c>
    </row>
    <row r="1650" spans="4:13">
      <c r="D1650" s="1" t="s">
        <v>199</v>
      </c>
      <c r="E1650" s="1" t="s">
        <v>725</v>
      </c>
      <c r="H1650" s="1" t="s">
        <v>22</v>
      </c>
      <c r="I1650" s="1" t="s">
        <v>23</v>
      </c>
      <c r="L1650" s="1">
        <v>1</v>
      </c>
      <c r="M1650" s="1">
        <v>0.8</v>
      </c>
    </row>
    <row r="1651" spans="4:13">
      <c r="D1651" s="1" t="s">
        <v>199</v>
      </c>
      <c r="E1651" s="1" t="s">
        <v>726</v>
      </c>
      <c r="H1651" s="1" t="s">
        <v>22</v>
      </c>
      <c r="I1651" s="1" t="s">
        <v>23</v>
      </c>
      <c r="L1651" s="1">
        <v>1</v>
      </c>
      <c r="M1651" s="1">
        <v>0.8</v>
      </c>
    </row>
    <row r="1652" spans="4:13">
      <c r="D1652" s="1" t="s">
        <v>199</v>
      </c>
      <c r="E1652" s="1" t="s">
        <v>727</v>
      </c>
      <c r="H1652" s="1" t="s">
        <v>22</v>
      </c>
      <c r="I1652" s="1" t="s">
        <v>23</v>
      </c>
      <c r="L1652" s="1">
        <v>1</v>
      </c>
      <c r="M1652" s="1">
        <v>0.8</v>
      </c>
    </row>
    <row r="1653" spans="4:13">
      <c r="D1653" s="1" t="s">
        <v>199</v>
      </c>
      <c r="E1653" s="1" t="s">
        <v>728</v>
      </c>
      <c r="H1653" s="1" t="s">
        <v>22</v>
      </c>
      <c r="I1653" s="1" t="s">
        <v>23</v>
      </c>
      <c r="L1653" s="1">
        <v>1</v>
      </c>
      <c r="M1653" s="1">
        <v>0.8</v>
      </c>
    </row>
    <row r="1654" spans="4:13">
      <c r="D1654" s="1" t="s">
        <v>199</v>
      </c>
      <c r="E1654" s="1" t="s">
        <v>729</v>
      </c>
      <c r="H1654" s="1" t="s">
        <v>22</v>
      </c>
      <c r="I1654" s="1" t="s">
        <v>23</v>
      </c>
      <c r="L1654" s="1">
        <v>1</v>
      </c>
      <c r="M1654" s="1">
        <v>0.8</v>
      </c>
    </row>
    <row r="1655" spans="4:13">
      <c r="D1655" s="1" t="s">
        <v>199</v>
      </c>
      <c r="E1655" s="1" t="s">
        <v>730</v>
      </c>
      <c r="H1655" s="1" t="s">
        <v>22</v>
      </c>
      <c r="I1655" s="1" t="s">
        <v>23</v>
      </c>
      <c r="L1655" s="1">
        <v>1</v>
      </c>
      <c r="M1655" s="1">
        <v>0.8</v>
      </c>
    </row>
    <row r="1656" spans="4:13">
      <c r="D1656" s="1" t="s">
        <v>199</v>
      </c>
      <c r="E1656" s="1" t="s">
        <v>731</v>
      </c>
      <c r="H1656" s="1" t="s">
        <v>22</v>
      </c>
      <c r="I1656" s="1" t="s">
        <v>23</v>
      </c>
      <c r="L1656" s="1">
        <v>1</v>
      </c>
      <c r="M1656" s="1">
        <v>0.8</v>
      </c>
    </row>
    <row r="1657" spans="4:13">
      <c r="D1657" s="1" t="s">
        <v>199</v>
      </c>
      <c r="E1657" s="1" t="s">
        <v>732</v>
      </c>
      <c r="H1657" s="1" t="s">
        <v>22</v>
      </c>
      <c r="I1657" s="1" t="s">
        <v>23</v>
      </c>
      <c r="L1657" s="1">
        <v>1</v>
      </c>
      <c r="M1657" s="1">
        <v>0.8</v>
      </c>
    </row>
    <row r="1658" spans="4:13">
      <c r="D1658" s="1" t="s">
        <v>199</v>
      </c>
      <c r="E1658" s="1" t="s">
        <v>733</v>
      </c>
      <c r="H1658" s="1" t="s">
        <v>22</v>
      </c>
      <c r="I1658" s="1" t="s">
        <v>23</v>
      </c>
      <c r="L1658" s="1">
        <v>1</v>
      </c>
      <c r="M1658" s="1">
        <v>0.9</v>
      </c>
    </row>
    <row r="1659" spans="4:13">
      <c r="D1659" s="1" t="s">
        <v>199</v>
      </c>
      <c r="E1659" s="1" t="s">
        <v>734</v>
      </c>
      <c r="H1659" s="1" t="s">
        <v>22</v>
      </c>
      <c r="I1659" s="1" t="s">
        <v>23</v>
      </c>
      <c r="L1659" s="1">
        <v>1</v>
      </c>
      <c r="M1659" s="1">
        <v>0.9</v>
      </c>
    </row>
    <row r="1660" spans="4:13">
      <c r="D1660" s="1" t="s">
        <v>199</v>
      </c>
      <c r="E1660" s="1" t="s">
        <v>735</v>
      </c>
      <c r="H1660" s="1" t="s">
        <v>22</v>
      </c>
      <c r="I1660" s="1" t="s">
        <v>23</v>
      </c>
      <c r="L1660" s="1">
        <v>1</v>
      </c>
      <c r="M1660" s="1">
        <v>0.9</v>
      </c>
    </row>
    <row r="1661" spans="4:13">
      <c r="D1661" s="1" t="s">
        <v>199</v>
      </c>
      <c r="E1661" s="1" t="s">
        <v>736</v>
      </c>
      <c r="H1661" s="1" t="s">
        <v>22</v>
      </c>
      <c r="I1661" s="1" t="s">
        <v>23</v>
      </c>
      <c r="L1661" s="1">
        <v>1</v>
      </c>
      <c r="M1661" s="1">
        <v>0.9</v>
      </c>
    </row>
    <row r="1662" spans="4:13">
      <c r="D1662" s="1" t="s">
        <v>199</v>
      </c>
      <c r="E1662" s="1" t="s">
        <v>737</v>
      </c>
      <c r="H1662" s="1" t="s">
        <v>22</v>
      </c>
      <c r="I1662" s="1" t="s">
        <v>23</v>
      </c>
      <c r="L1662" s="1">
        <v>1</v>
      </c>
      <c r="M1662" s="1">
        <v>0.9</v>
      </c>
    </row>
    <row r="1663" spans="4:13">
      <c r="D1663" s="1" t="s">
        <v>199</v>
      </c>
      <c r="E1663" s="1" t="s">
        <v>738</v>
      </c>
      <c r="H1663" s="1" t="s">
        <v>22</v>
      </c>
      <c r="I1663" s="1" t="s">
        <v>23</v>
      </c>
      <c r="L1663" s="1">
        <v>1</v>
      </c>
      <c r="M1663" s="1">
        <v>0.9</v>
      </c>
    </row>
    <row r="1664" spans="4:13">
      <c r="D1664" s="1" t="s">
        <v>199</v>
      </c>
      <c r="E1664" s="1" t="s">
        <v>739</v>
      </c>
      <c r="H1664" s="1" t="s">
        <v>22</v>
      </c>
      <c r="I1664" s="1" t="s">
        <v>23</v>
      </c>
      <c r="L1664" s="1">
        <v>1</v>
      </c>
      <c r="M1664" s="1">
        <v>0.9</v>
      </c>
    </row>
    <row r="1665" spans="4:13">
      <c r="D1665" s="1" t="s">
        <v>199</v>
      </c>
      <c r="E1665" s="1" t="s">
        <v>740</v>
      </c>
      <c r="H1665" s="1" t="s">
        <v>22</v>
      </c>
      <c r="I1665" s="1" t="s">
        <v>23</v>
      </c>
      <c r="L1665" s="1">
        <v>1</v>
      </c>
      <c r="M1665" s="1">
        <v>0.9</v>
      </c>
    </row>
    <row r="1666" spans="4:13">
      <c r="D1666" s="1" t="s">
        <v>199</v>
      </c>
      <c r="E1666" s="1" t="s">
        <v>741</v>
      </c>
      <c r="H1666" s="1" t="s">
        <v>22</v>
      </c>
      <c r="I1666" s="1" t="s">
        <v>23</v>
      </c>
      <c r="L1666" s="1">
        <v>1</v>
      </c>
      <c r="M1666" s="1">
        <v>0.9</v>
      </c>
    </row>
    <row r="1667" spans="4:13">
      <c r="D1667" s="1" t="s">
        <v>199</v>
      </c>
      <c r="E1667" s="1" t="s">
        <v>742</v>
      </c>
      <c r="H1667" s="1" t="s">
        <v>22</v>
      </c>
      <c r="I1667" s="1" t="s">
        <v>23</v>
      </c>
      <c r="L1667" s="1">
        <v>1</v>
      </c>
      <c r="M1667" s="1">
        <v>1</v>
      </c>
    </row>
    <row r="1668" spans="4:13">
      <c r="D1668" s="1" t="s">
        <v>199</v>
      </c>
      <c r="E1668" s="1" t="s">
        <v>743</v>
      </c>
      <c r="H1668" s="1" t="s">
        <v>22</v>
      </c>
      <c r="I1668" s="1" t="s">
        <v>23</v>
      </c>
      <c r="L1668" s="1">
        <v>1</v>
      </c>
      <c r="M1668" s="1">
        <v>1</v>
      </c>
    </row>
    <row r="1669" spans="4:13">
      <c r="D1669" s="1" t="s">
        <v>199</v>
      </c>
      <c r="E1669" s="1" t="s">
        <v>744</v>
      </c>
      <c r="H1669" s="1" t="s">
        <v>22</v>
      </c>
      <c r="I1669" s="1" t="s">
        <v>23</v>
      </c>
      <c r="L1669" s="1">
        <v>1</v>
      </c>
      <c r="M1669" s="1">
        <v>1</v>
      </c>
    </row>
    <row r="1670" spans="4:13">
      <c r="D1670" s="1" t="s">
        <v>199</v>
      </c>
      <c r="E1670" s="1" t="s">
        <v>745</v>
      </c>
      <c r="H1670" s="1" t="s">
        <v>22</v>
      </c>
      <c r="I1670" s="1" t="s">
        <v>23</v>
      </c>
      <c r="L1670" s="1">
        <v>1</v>
      </c>
      <c r="M1670" s="1">
        <v>1</v>
      </c>
    </row>
    <row r="1671" spans="4:13">
      <c r="D1671" s="1" t="s">
        <v>199</v>
      </c>
      <c r="E1671" s="1" t="s">
        <v>746</v>
      </c>
      <c r="H1671" s="1" t="s">
        <v>22</v>
      </c>
      <c r="I1671" s="1" t="s">
        <v>23</v>
      </c>
      <c r="L1671" s="1">
        <v>1</v>
      </c>
      <c r="M1671" s="1">
        <v>1</v>
      </c>
    </row>
    <row r="1672" spans="4:13">
      <c r="D1672" s="1" t="s">
        <v>199</v>
      </c>
      <c r="E1672" s="1" t="s">
        <v>747</v>
      </c>
      <c r="H1672" s="1" t="s">
        <v>22</v>
      </c>
      <c r="I1672" s="1" t="s">
        <v>23</v>
      </c>
      <c r="L1672" s="1">
        <v>1</v>
      </c>
      <c r="M1672" s="1">
        <v>1</v>
      </c>
    </row>
    <row r="1673" spans="4:13">
      <c r="D1673" s="1" t="s">
        <v>199</v>
      </c>
      <c r="E1673" s="1" t="s">
        <v>748</v>
      </c>
      <c r="H1673" s="1" t="s">
        <v>22</v>
      </c>
      <c r="I1673" s="1" t="s">
        <v>23</v>
      </c>
      <c r="L1673" s="1">
        <v>1</v>
      </c>
      <c r="M1673" s="1">
        <v>1</v>
      </c>
    </row>
    <row r="1674" spans="4:13">
      <c r="D1674" s="1" t="s">
        <v>199</v>
      </c>
      <c r="E1674" s="1" t="s">
        <v>749</v>
      </c>
      <c r="H1674" s="1" t="s">
        <v>22</v>
      </c>
      <c r="I1674" s="1" t="s">
        <v>23</v>
      </c>
      <c r="L1674" s="1">
        <v>1</v>
      </c>
      <c r="M1674" s="1">
        <v>1</v>
      </c>
    </row>
    <row r="1675" spans="4:13">
      <c r="D1675" s="1" t="s">
        <v>199</v>
      </c>
      <c r="E1675" s="1" t="s">
        <v>750</v>
      </c>
      <c r="H1675" s="1" t="s">
        <v>22</v>
      </c>
      <c r="I1675" s="1" t="s">
        <v>23</v>
      </c>
      <c r="L1675" s="1">
        <v>1</v>
      </c>
      <c r="M1675" s="1">
        <v>1</v>
      </c>
    </row>
    <row r="1676" spans="4:13">
      <c r="D1676" s="1" t="s">
        <v>199</v>
      </c>
      <c r="E1676" s="1" t="s">
        <v>751</v>
      </c>
      <c r="H1676" s="1" t="s">
        <v>22</v>
      </c>
      <c r="I1676" s="1" t="s">
        <v>23</v>
      </c>
      <c r="L1676" s="1">
        <v>1</v>
      </c>
      <c r="M1676" s="1">
        <v>1.1000000000000001</v>
      </c>
    </row>
    <row r="1677" spans="4:13">
      <c r="D1677" s="1" t="s">
        <v>199</v>
      </c>
      <c r="E1677" s="1" t="s">
        <v>752</v>
      </c>
      <c r="H1677" s="1" t="s">
        <v>22</v>
      </c>
      <c r="I1677" s="1" t="s">
        <v>23</v>
      </c>
      <c r="L1677" s="1">
        <v>1</v>
      </c>
      <c r="M1677" s="1">
        <v>1.1000000000000001</v>
      </c>
    </row>
    <row r="1678" spans="4:13">
      <c r="D1678" s="1" t="s">
        <v>199</v>
      </c>
      <c r="E1678" s="1" t="s">
        <v>753</v>
      </c>
      <c r="H1678" s="1" t="s">
        <v>22</v>
      </c>
      <c r="I1678" s="1" t="s">
        <v>23</v>
      </c>
      <c r="L1678" s="1">
        <v>1</v>
      </c>
      <c r="M1678" s="1">
        <v>1.1000000000000001</v>
      </c>
    </row>
    <row r="1679" spans="4:13">
      <c r="D1679" s="1" t="s">
        <v>199</v>
      </c>
      <c r="E1679" s="1" t="s">
        <v>754</v>
      </c>
      <c r="H1679" s="1" t="s">
        <v>22</v>
      </c>
      <c r="I1679" s="1" t="s">
        <v>23</v>
      </c>
      <c r="L1679" s="1">
        <v>1</v>
      </c>
      <c r="M1679" s="1">
        <v>1.1000000000000001</v>
      </c>
    </row>
    <row r="1680" spans="4:13">
      <c r="D1680" s="1" t="s">
        <v>199</v>
      </c>
      <c r="E1680" s="1" t="s">
        <v>755</v>
      </c>
      <c r="H1680" s="1" t="s">
        <v>22</v>
      </c>
      <c r="I1680" s="1" t="s">
        <v>23</v>
      </c>
      <c r="L1680" s="1">
        <v>1</v>
      </c>
      <c r="M1680" s="1">
        <v>1.1000000000000001</v>
      </c>
    </row>
    <row r="1681" spans="4:13">
      <c r="D1681" s="1" t="s">
        <v>199</v>
      </c>
      <c r="E1681" s="1" t="s">
        <v>756</v>
      </c>
      <c r="H1681" s="1" t="s">
        <v>22</v>
      </c>
      <c r="I1681" s="1" t="s">
        <v>23</v>
      </c>
      <c r="L1681" s="1">
        <v>1</v>
      </c>
      <c r="M1681" s="1">
        <v>1.1000000000000001</v>
      </c>
    </row>
    <row r="1682" spans="4:13">
      <c r="D1682" s="1" t="s">
        <v>199</v>
      </c>
      <c r="E1682" s="1" t="s">
        <v>757</v>
      </c>
      <c r="H1682" s="1" t="s">
        <v>22</v>
      </c>
      <c r="I1682" s="1" t="s">
        <v>23</v>
      </c>
      <c r="L1682" s="1">
        <v>1</v>
      </c>
      <c r="M1682" s="1">
        <v>1.1000000000000001</v>
      </c>
    </row>
    <row r="1683" spans="4:13">
      <c r="D1683" s="1" t="s">
        <v>199</v>
      </c>
      <c r="E1683" s="1" t="s">
        <v>758</v>
      </c>
      <c r="H1683" s="1" t="s">
        <v>22</v>
      </c>
      <c r="I1683" s="1" t="s">
        <v>23</v>
      </c>
      <c r="L1683" s="1">
        <v>1</v>
      </c>
      <c r="M1683" s="1">
        <v>1.1000000000000001</v>
      </c>
    </row>
    <row r="1684" spans="4:13">
      <c r="D1684" s="1" t="s">
        <v>199</v>
      </c>
      <c r="E1684" s="1" t="s">
        <v>759</v>
      </c>
      <c r="H1684" s="1" t="s">
        <v>22</v>
      </c>
      <c r="I1684" s="1" t="s">
        <v>23</v>
      </c>
      <c r="L1684" s="1">
        <v>1</v>
      </c>
      <c r="M1684" s="1">
        <v>1.1000000000000001</v>
      </c>
    </row>
    <row r="1685" spans="4:13">
      <c r="D1685" s="1" t="s">
        <v>199</v>
      </c>
      <c r="E1685" s="1" t="s">
        <v>760</v>
      </c>
      <c r="H1685" s="1" t="s">
        <v>22</v>
      </c>
      <c r="I1685" s="1" t="s">
        <v>23</v>
      </c>
      <c r="L1685" s="1">
        <v>1</v>
      </c>
      <c r="M1685" s="1">
        <v>1.2</v>
      </c>
    </row>
    <row r="1686" spans="4:13">
      <c r="D1686" s="1" t="s">
        <v>199</v>
      </c>
      <c r="E1686" s="1" t="s">
        <v>761</v>
      </c>
      <c r="H1686" s="1" t="s">
        <v>22</v>
      </c>
      <c r="I1686" s="1" t="s">
        <v>23</v>
      </c>
      <c r="L1686" s="1">
        <v>1</v>
      </c>
      <c r="M1686" s="1">
        <v>1.2</v>
      </c>
    </row>
    <row r="1687" spans="4:13">
      <c r="D1687" s="1" t="s">
        <v>199</v>
      </c>
      <c r="E1687" s="1" t="s">
        <v>762</v>
      </c>
      <c r="H1687" s="1" t="s">
        <v>22</v>
      </c>
      <c r="I1687" s="1" t="s">
        <v>23</v>
      </c>
      <c r="L1687" s="1">
        <v>1</v>
      </c>
      <c r="M1687" s="1">
        <v>1.2</v>
      </c>
    </row>
    <row r="1688" spans="4:13">
      <c r="D1688" s="1" t="s">
        <v>199</v>
      </c>
      <c r="E1688" s="1" t="s">
        <v>763</v>
      </c>
      <c r="H1688" s="1" t="s">
        <v>22</v>
      </c>
      <c r="I1688" s="1" t="s">
        <v>23</v>
      </c>
      <c r="L1688" s="1">
        <v>1</v>
      </c>
      <c r="M1688" s="1">
        <v>1.2</v>
      </c>
    </row>
    <row r="1689" spans="4:13">
      <c r="D1689" s="1" t="s">
        <v>199</v>
      </c>
      <c r="E1689" s="1" t="s">
        <v>764</v>
      </c>
      <c r="H1689" s="1" t="s">
        <v>22</v>
      </c>
      <c r="I1689" s="1" t="s">
        <v>23</v>
      </c>
      <c r="L1689" s="1">
        <v>1</v>
      </c>
      <c r="M1689" s="1">
        <v>1.2</v>
      </c>
    </row>
    <row r="1690" spans="4:13">
      <c r="D1690" s="1" t="s">
        <v>199</v>
      </c>
      <c r="E1690" s="1" t="s">
        <v>765</v>
      </c>
      <c r="H1690" s="1" t="s">
        <v>22</v>
      </c>
      <c r="I1690" s="1" t="s">
        <v>23</v>
      </c>
      <c r="L1690" s="1">
        <v>1</v>
      </c>
      <c r="M1690" s="1">
        <v>1.2</v>
      </c>
    </row>
    <row r="1691" spans="4:13">
      <c r="D1691" s="1" t="s">
        <v>199</v>
      </c>
      <c r="E1691" s="1" t="s">
        <v>766</v>
      </c>
      <c r="H1691" s="1" t="s">
        <v>22</v>
      </c>
      <c r="I1691" s="1" t="s">
        <v>23</v>
      </c>
      <c r="L1691" s="1">
        <v>1</v>
      </c>
      <c r="M1691" s="1">
        <v>1.2</v>
      </c>
    </row>
    <row r="1692" spans="4:13">
      <c r="D1692" s="1" t="s">
        <v>199</v>
      </c>
      <c r="E1692" s="1" t="s">
        <v>767</v>
      </c>
      <c r="H1692" s="1" t="s">
        <v>22</v>
      </c>
      <c r="I1692" s="1" t="s">
        <v>23</v>
      </c>
      <c r="L1692" s="1">
        <v>1</v>
      </c>
      <c r="M1692" s="1">
        <v>1.2</v>
      </c>
    </row>
    <row r="1693" spans="4:13">
      <c r="D1693" s="1" t="s">
        <v>199</v>
      </c>
      <c r="E1693" s="1" t="s">
        <v>768</v>
      </c>
      <c r="H1693" s="1" t="s">
        <v>22</v>
      </c>
      <c r="I1693" s="1" t="s">
        <v>23</v>
      </c>
      <c r="L1693" s="1">
        <v>1</v>
      </c>
      <c r="M1693" s="1">
        <v>1.2</v>
      </c>
    </row>
    <row r="1694" spans="4:13">
      <c r="D1694" s="1" t="s">
        <v>199</v>
      </c>
      <c r="E1694" s="1" t="s">
        <v>769</v>
      </c>
      <c r="H1694" s="1" t="s">
        <v>22</v>
      </c>
      <c r="I1694" s="1" t="s">
        <v>23</v>
      </c>
      <c r="L1694" s="1">
        <v>1</v>
      </c>
      <c r="M1694" s="1">
        <v>1.3</v>
      </c>
    </row>
    <row r="1695" spans="4:13">
      <c r="D1695" s="1" t="s">
        <v>199</v>
      </c>
      <c r="E1695" s="1" t="s">
        <v>770</v>
      </c>
      <c r="H1695" s="1" t="s">
        <v>22</v>
      </c>
      <c r="I1695" s="1" t="s">
        <v>23</v>
      </c>
      <c r="L1695" s="1">
        <v>1</v>
      </c>
      <c r="M1695" s="1">
        <v>1.3</v>
      </c>
    </row>
    <row r="1696" spans="4:13">
      <c r="D1696" s="1" t="s">
        <v>199</v>
      </c>
      <c r="E1696" s="1" t="s">
        <v>771</v>
      </c>
      <c r="H1696" s="1" t="s">
        <v>22</v>
      </c>
      <c r="I1696" s="1" t="s">
        <v>23</v>
      </c>
      <c r="L1696" s="1">
        <v>1</v>
      </c>
      <c r="M1696" s="1">
        <v>1.3</v>
      </c>
    </row>
    <row r="1697" spans="4:13">
      <c r="D1697" s="1" t="s">
        <v>199</v>
      </c>
      <c r="E1697" s="1" t="s">
        <v>772</v>
      </c>
      <c r="H1697" s="1" t="s">
        <v>22</v>
      </c>
      <c r="I1697" s="1" t="s">
        <v>23</v>
      </c>
      <c r="L1697" s="1">
        <v>1</v>
      </c>
      <c r="M1697" s="1">
        <v>1.3</v>
      </c>
    </row>
    <row r="1698" spans="4:13">
      <c r="D1698" s="1" t="s">
        <v>199</v>
      </c>
      <c r="E1698" s="1" t="s">
        <v>773</v>
      </c>
      <c r="H1698" s="1" t="s">
        <v>22</v>
      </c>
      <c r="I1698" s="1" t="s">
        <v>23</v>
      </c>
      <c r="L1698" s="1">
        <v>1</v>
      </c>
      <c r="M1698" s="1">
        <v>1.3</v>
      </c>
    </row>
    <row r="1699" spans="4:13">
      <c r="D1699" s="1" t="s">
        <v>199</v>
      </c>
      <c r="E1699" s="1" t="s">
        <v>774</v>
      </c>
      <c r="H1699" s="1" t="s">
        <v>22</v>
      </c>
      <c r="I1699" s="1" t="s">
        <v>23</v>
      </c>
      <c r="L1699" s="1">
        <v>1</v>
      </c>
      <c r="M1699" s="1">
        <v>1.3</v>
      </c>
    </row>
    <row r="1700" spans="4:13">
      <c r="D1700" s="1" t="s">
        <v>199</v>
      </c>
      <c r="E1700" s="1" t="s">
        <v>775</v>
      </c>
      <c r="H1700" s="1" t="s">
        <v>22</v>
      </c>
      <c r="I1700" s="1" t="s">
        <v>23</v>
      </c>
      <c r="L1700" s="1">
        <v>1</v>
      </c>
      <c r="M1700" s="1">
        <v>1.3</v>
      </c>
    </row>
    <row r="1701" spans="4:13">
      <c r="D1701" s="1" t="s">
        <v>199</v>
      </c>
      <c r="E1701" s="1" t="s">
        <v>776</v>
      </c>
      <c r="H1701" s="1" t="s">
        <v>22</v>
      </c>
      <c r="I1701" s="1" t="s">
        <v>23</v>
      </c>
      <c r="L1701" s="1">
        <v>1</v>
      </c>
      <c r="M1701" s="1">
        <v>1.3</v>
      </c>
    </row>
    <row r="1702" spans="4:13">
      <c r="D1702" s="1" t="s">
        <v>199</v>
      </c>
      <c r="E1702" s="1" t="s">
        <v>777</v>
      </c>
      <c r="H1702" s="1" t="s">
        <v>22</v>
      </c>
      <c r="I1702" s="1" t="s">
        <v>23</v>
      </c>
      <c r="L1702" s="1">
        <v>1</v>
      </c>
      <c r="M1702" s="1">
        <v>1.3</v>
      </c>
    </row>
    <row r="1703" spans="4:13">
      <c r="D1703" s="1" t="s">
        <v>199</v>
      </c>
      <c r="E1703" s="1" t="s">
        <v>778</v>
      </c>
      <c r="H1703" s="1" t="s">
        <v>22</v>
      </c>
      <c r="I1703" s="1" t="s">
        <v>23</v>
      </c>
      <c r="L1703" s="1">
        <v>1</v>
      </c>
      <c r="M1703" s="1">
        <v>1.4</v>
      </c>
    </row>
    <row r="1704" spans="4:13">
      <c r="D1704" s="1" t="s">
        <v>199</v>
      </c>
      <c r="E1704" s="1" t="s">
        <v>779</v>
      </c>
      <c r="H1704" s="1" t="s">
        <v>22</v>
      </c>
      <c r="I1704" s="1" t="s">
        <v>23</v>
      </c>
      <c r="L1704" s="1">
        <v>1</v>
      </c>
      <c r="M1704" s="1">
        <v>1.4</v>
      </c>
    </row>
    <row r="1705" spans="4:13">
      <c r="D1705" s="1" t="s">
        <v>199</v>
      </c>
      <c r="E1705" s="1" t="s">
        <v>780</v>
      </c>
      <c r="H1705" s="1" t="s">
        <v>22</v>
      </c>
      <c r="I1705" s="1" t="s">
        <v>23</v>
      </c>
      <c r="L1705" s="1">
        <v>1</v>
      </c>
      <c r="M1705" s="1">
        <v>1.4</v>
      </c>
    </row>
    <row r="1706" spans="4:13">
      <c r="D1706" s="1" t="s">
        <v>199</v>
      </c>
      <c r="E1706" s="1" t="s">
        <v>781</v>
      </c>
      <c r="H1706" s="1" t="s">
        <v>22</v>
      </c>
      <c r="I1706" s="1" t="s">
        <v>23</v>
      </c>
      <c r="L1706" s="1">
        <v>1</v>
      </c>
      <c r="M1706" s="1">
        <v>1.4</v>
      </c>
    </row>
    <row r="1707" spans="4:13">
      <c r="D1707" s="1" t="s">
        <v>199</v>
      </c>
      <c r="E1707" s="1" t="s">
        <v>782</v>
      </c>
      <c r="H1707" s="1" t="s">
        <v>22</v>
      </c>
      <c r="I1707" s="1" t="s">
        <v>23</v>
      </c>
      <c r="L1707" s="1">
        <v>1</v>
      </c>
      <c r="M1707" s="1">
        <v>1.4</v>
      </c>
    </row>
    <row r="1708" spans="4:13">
      <c r="D1708" s="1" t="s">
        <v>199</v>
      </c>
      <c r="E1708" s="1" t="s">
        <v>783</v>
      </c>
      <c r="H1708" s="1" t="s">
        <v>22</v>
      </c>
      <c r="I1708" s="1" t="s">
        <v>23</v>
      </c>
      <c r="L1708" s="1">
        <v>1</v>
      </c>
      <c r="M1708" s="1">
        <v>1.4</v>
      </c>
    </row>
    <row r="1709" spans="4:13">
      <c r="D1709" s="1" t="s">
        <v>199</v>
      </c>
      <c r="E1709" s="1" t="s">
        <v>784</v>
      </c>
      <c r="H1709" s="1" t="s">
        <v>22</v>
      </c>
      <c r="I1709" s="1" t="s">
        <v>23</v>
      </c>
      <c r="L1709" s="1">
        <v>1</v>
      </c>
      <c r="M1709" s="1">
        <v>1.4</v>
      </c>
    </row>
    <row r="1710" spans="4:13">
      <c r="D1710" s="1" t="s">
        <v>199</v>
      </c>
      <c r="E1710" s="1" t="s">
        <v>785</v>
      </c>
      <c r="H1710" s="1" t="s">
        <v>22</v>
      </c>
      <c r="I1710" s="1" t="s">
        <v>23</v>
      </c>
      <c r="L1710" s="1">
        <v>1</v>
      </c>
      <c r="M1710" s="1">
        <v>1.4</v>
      </c>
    </row>
    <row r="1711" spans="4:13">
      <c r="D1711" s="1" t="s">
        <v>199</v>
      </c>
      <c r="E1711" s="1" t="s">
        <v>786</v>
      </c>
      <c r="H1711" s="1" t="s">
        <v>22</v>
      </c>
      <c r="I1711" s="1" t="s">
        <v>23</v>
      </c>
      <c r="L1711" s="1">
        <v>1</v>
      </c>
      <c r="M1711" s="1">
        <v>1.4</v>
      </c>
    </row>
    <row r="1712" spans="4:13">
      <c r="D1712" s="1" t="s">
        <v>199</v>
      </c>
      <c r="E1712" s="1" t="s">
        <v>787</v>
      </c>
      <c r="H1712" s="1" t="s">
        <v>22</v>
      </c>
      <c r="I1712" s="1" t="s">
        <v>23</v>
      </c>
      <c r="L1712" s="1">
        <v>1</v>
      </c>
      <c r="M1712" s="1">
        <v>1.5</v>
      </c>
    </row>
    <row r="1713" spans="4:13">
      <c r="D1713" s="1" t="s">
        <v>199</v>
      </c>
      <c r="E1713" s="1" t="s">
        <v>788</v>
      </c>
      <c r="H1713" s="1" t="s">
        <v>22</v>
      </c>
      <c r="I1713" s="1" t="s">
        <v>23</v>
      </c>
      <c r="L1713" s="1">
        <v>1</v>
      </c>
      <c r="M1713" s="1">
        <v>1.5</v>
      </c>
    </row>
    <row r="1714" spans="4:13">
      <c r="D1714" s="1" t="s">
        <v>199</v>
      </c>
      <c r="E1714" s="1" t="s">
        <v>789</v>
      </c>
      <c r="H1714" s="1" t="s">
        <v>22</v>
      </c>
      <c r="I1714" s="1" t="s">
        <v>23</v>
      </c>
      <c r="L1714" s="1">
        <v>1</v>
      </c>
      <c r="M1714" s="1">
        <v>1.5</v>
      </c>
    </row>
    <row r="1715" spans="4:13">
      <c r="D1715" s="1" t="s">
        <v>199</v>
      </c>
      <c r="E1715" s="1" t="s">
        <v>790</v>
      </c>
      <c r="H1715" s="1" t="s">
        <v>22</v>
      </c>
      <c r="I1715" s="1" t="s">
        <v>23</v>
      </c>
      <c r="L1715" s="1">
        <v>1</v>
      </c>
      <c r="M1715" s="1">
        <v>1.5</v>
      </c>
    </row>
    <row r="1716" spans="4:13">
      <c r="D1716" s="1" t="s">
        <v>199</v>
      </c>
      <c r="E1716" s="1" t="s">
        <v>791</v>
      </c>
      <c r="H1716" s="1" t="s">
        <v>22</v>
      </c>
      <c r="I1716" s="1" t="s">
        <v>23</v>
      </c>
      <c r="L1716" s="1">
        <v>1</v>
      </c>
      <c r="M1716" s="1">
        <v>1.5</v>
      </c>
    </row>
    <row r="1717" spans="4:13">
      <c r="D1717" s="1" t="s">
        <v>199</v>
      </c>
      <c r="E1717" s="1" t="s">
        <v>792</v>
      </c>
      <c r="H1717" s="1" t="s">
        <v>22</v>
      </c>
      <c r="I1717" s="1" t="s">
        <v>23</v>
      </c>
      <c r="L1717" s="1">
        <v>1</v>
      </c>
      <c r="M1717" s="1">
        <v>1.5</v>
      </c>
    </row>
    <row r="1718" spans="4:13">
      <c r="D1718" s="1" t="s">
        <v>199</v>
      </c>
      <c r="E1718" s="1" t="s">
        <v>793</v>
      </c>
      <c r="H1718" s="1" t="s">
        <v>22</v>
      </c>
      <c r="I1718" s="1" t="s">
        <v>23</v>
      </c>
      <c r="L1718" s="1">
        <v>1</v>
      </c>
      <c r="M1718" s="1">
        <v>1.5</v>
      </c>
    </row>
    <row r="1719" spans="4:13">
      <c r="D1719" s="1" t="s">
        <v>199</v>
      </c>
      <c r="E1719" s="1" t="s">
        <v>794</v>
      </c>
      <c r="H1719" s="1" t="s">
        <v>22</v>
      </c>
      <c r="I1719" s="1" t="s">
        <v>23</v>
      </c>
      <c r="L1719" s="1">
        <v>1</v>
      </c>
      <c r="M1719" s="1">
        <v>1.5</v>
      </c>
    </row>
    <row r="1720" spans="4:13">
      <c r="D1720" s="1" t="s">
        <v>199</v>
      </c>
      <c r="E1720" s="1" t="s">
        <v>795</v>
      </c>
      <c r="H1720" s="1" t="s">
        <v>22</v>
      </c>
      <c r="I1720" s="1" t="s">
        <v>23</v>
      </c>
      <c r="L1720" s="1">
        <v>1</v>
      </c>
      <c r="M1720" s="1">
        <v>1.5</v>
      </c>
    </row>
    <row r="1721" spans="4:13">
      <c r="D1721" s="1" t="s">
        <v>199</v>
      </c>
      <c r="E1721" s="1" t="s">
        <v>796</v>
      </c>
      <c r="H1721" s="1" t="s">
        <v>22</v>
      </c>
      <c r="I1721" s="1" t="s">
        <v>23</v>
      </c>
      <c r="L1721" s="1">
        <v>1</v>
      </c>
      <c r="M1721" s="1">
        <v>0</v>
      </c>
    </row>
    <row r="1722" spans="4:13">
      <c r="D1722" s="1" t="s">
        <v>199</v>
      </c>
      <c r="E1722" s="1" t="s">
        <v>797</v>
      </c>
      <c r="H1722" s="1" t="s">
        <v>22</v>
      </c>
      <c r="I1722" s="1" t="s">
        <v>23</v>
      </c>
      <c r="L1722" s="1">
        <v>1</v>
      </c>
      <c r="M1722" s="1">
        <v>0</v>
      </c>
    </row>
    <row r="1723" spans="4:13">
      <c r="D1723" s="1" t="s">
        <v>199</v>
      </c>
      <c r="E1723" s="1" t="s">
        <v>798</v>
      </c>
      <c r="H1723" s="1" t="s">
        <v>22</v>
      </c>
      <c r="I1723" s="1" t="s">
        <v>23</v>
      </c>
      <c r="L1723" s="1">
        <v>1</v>
      </c>
      <c r="M1723" s="1">
        <v>0</v>
      </c>
    </row>
    <row r="1724" spans="4:13">
      <c r="D1724" s="1" t="s">
        <v>199</v>
      </c>
      <c r="E1724" s="1" t="s">
        <v>799</v>
      </c>
      <c r="H1724" s="1" t="s">
        <v>22</v>
      </c>
      <c r="I1724" s="1" t="s">
        <v>23</v>
      </c>
      <c r="L1724" s="1">
        <v>1</v>
      </c>
      <c r="M1724" s="1">
        <v>0</v>
      </c>
    </row>
    <row r="1725" spans="4:13">
      <c r="D1725" s="1" t="s">
        <v>199</v>
      </c>
      <c r="E1725" s="1" t="s">
        <v>800</v>
      </c>
      <c r="H1725" s="1" t="s">
        <v>22</v>
      </c>
      <c r="I1725" s="1" t="s">
        <v>23</v>
      </c>
      <c r="L1725" s="1">
        <v>1</v>
      </c>
      <c r="M1725" s="1">
        <v>0</v>
      </c>
    </row>
    <row r="1726" spans="4:13">
      <c r="D1726" s="1" t="s">
        <v>199</v>
      </c>
      <c r="E1726" s="1" t="s">
        <v>801</v>
      </c>
      <c r="H1726" s="1" t="s">
        <v>22</v>
      </c>
      <c r="I1726" s="1" t="s">
        <v>23</v>
      </c>
      <c r="L1726" s="1">
        <v>1</v>
      </c>
      <c r="M1726" s="1">
        <v>0</v>
      </c>
    </row>
    <row r="1727" spans="4:13">
      <c r="D1727" s="1" t="s">
        <v>199</v>
      </c>
      <c r="E1727" s="1" t="s">
        <v>802</v>
      </c>
      <c r="H1727" s="1" t="s">
        <v>22</v>
      </c>
      <c r="I1727" s="1" t="s">
        <v>23</v>
      </c>
      <c r="L1727" s="1">
        <v>1</v>
      </c>
      <c r="M1727" s="1">
        <v>0</v>
      </c>
    </row>
    <row r="1728" spans="4:13">
      <c r="D1728" s="1" t="s">
        <v>199</v>
      </c>
      <c r="E1728" s="1" t="s">
        <v>803</v>
      </c>
      <c r="H1728" s="1" t="s">
        <v>22</v>
      </c>
      <c r="I1728" s="1" t="s">
        <v>23</v>
      </c>
      <c r="L1728" s="1">
        <v>1</v>
      </c>
      <c r="M1728" s="1">
        <v>0</v>
      </c>
    </row>
    <row r="1729" spans="4:13">
      <c r="D1729" s="1" t="s">
        <v>199</v>
      </c>
      <c r="E1729" s="1" t="s">
        <v>804</v>
      </c>
      <c r="H1729" s="1" t="s">
        <v>22</v>
      </c>
      <c r="I1729" s="1" t="s">
        <v>23</v>
      </c>
      <c r="L1729" s="1">
        <v>1</v>
      </c>
      <c r="M1729" s="1">
        <v>0</v>
      </c>
    </row>
    <row r="1730" spans="4:13">
      <c r="D1730" s="1" t="s">
        <v>199</v>
      </c>
      <c r="E1730" s="1" t="s">
        <v>805</v>
      </c>
      <c r="H1730" s="1" t="s">
        <v>22</v>
      </c>
      <c r="I1730" s="1" t="s">
        <v>23</v>
      </c>
      <c r="L1730" s="1">
        <v>1</v>
      </c>
      <c r="M1730" s="1">
        <v>0.1</v>
      </c>
    </row>
    <row r="1731" spans="4:13">
      <c r="D1731" s="1" t="s">
        <v>199</v>
      </c>
      <c r="E1731" s="1" t="s">
        <v>806</v>
      </c>
      <c r="H1731" s="1" t="s">
        <v>22</v>
      </c>
      <c r="I1731" s="1" t="s">
        <v>23</v>
      </c>
      <c r="L1731" s="1">
        <v>1</v>
      </c>
      <c r="M1731" s="1">
        <v>0.1</v>
      </c>
    </row>
    <row r="1732" spans="4:13">
      <c r="D1732" s="1" t="s">
        <v>199</v>
      </c>
      <c r="E1732" s="1" t="s">
        <v>807</v>
      </c>
      <c r="H1732" s="1" t="s">
        <v>22</v>
      </c>
      <c r="I1732" s="1" t="s">
        <v>23</v>
      </c>
      <c r="L1732" s="1">
        <v>1</v>
      </c>
      <c r="M1732" s="1">
        <v>0.2</v>
      </c>
    </row>
    <row r="1733" spans="4:13">
      <c r="D1733" s="1" t="s">
        <v>199</v>
      </c>
      <c r="E1733" s="1" t="s">
        <v>808</v>
      </c>
      <c r="H1733" s="1" t="s">
        <v>22</v>
      </c>
      <c r="I1733" s="1" t="s">
        <v>23</v>
      </c>
      <c r="L1733" s="1">
        <v>1</v>
      </c>
      <c r="M1733" s="1">
        <v>0.2</v>
      </c>
    </row>
    <row r="1734" spans="4:13">
      <c r="D1734" s="1" t="s">
        <v>199</v>
      </c>
      <c r="E1734" s="1" t="s">
        <v>809</v>
      </c>
      <c r="H1734" s="1" t="s">
        <v>22</v>
      </c>
      <c r="I1734" s="1" t="s">
        <v>23</v>
      </c>
      <c r="L1734" s="1">
        <v>1</v>
      </c>
      <c r="M1734" s="1">
        <v>0.2</v>
      </c>
    </row>
    <row r="1735" spans="4:13">
      <c r="D1735" s="1" t="s">
        <v>199</v>
      </c>
      <c r="E1735" s="1" t="s">
        <v>810</v>
      </c>
      <c r="H1735" s="1" t="s">
        <v>22</v>
      </c>
      <c r="I1735" s="1" t="s">
        <v>23</v>
      </c>
      <c r="L1735" s="1">
        <v>1</v>
      </c>
      <c r="M1735" s="1">
        <v>0.2</v>
      </c>
    </row>
    <row r="1736" spans="4:13">
      <c r="D1736" s="1" t="s">
        <v>199</v>
      </c>
      <c r="E1736" s="1" t="s">
        <v>811</v>
      </c>
      <c r="H1736" s="1" t="s">
        <v>22</v>
      </c>
      <c r="I1736" s="1" t="s">
        <v>23</v>
      </c>
      <c r="L1736" s="1">
        <v>1</v>
      </c>
      <c r="M1736" s="1">
        <v>0.2</v>
      </c>
    </row>
    <row r="1737" spans="4:13">
      <c r="D1737" s="1" t="s">
        <v>199</v>
      </c>
      <c r="E1737" s="1" t="s">
        <v>812</v>
      </c>
      <c r="H1737" s="1" t="s">
        <v>22</v>
      </c>
      <c r="I1737" s="1" t="s">
        <v>23</v>
      </c>
      <c r="L1737" s="1">
        <v>1</v>
      </c>
      <c r="M1737" s="1">
        <v>0.3</v>
      </c>
    </row>
    <row r="1738" spans="4:13">
      <c r="D1738" s="1" t="s">
        <v>199</v>
      </c>
      <c r="E1738" s="1" t="s">
        <v>813</v>
      </c>
      <c r="H1738" s="1" t="s">
        <v>22</v>
      </c>
      <c r="I1738" s="1" t="s">
        <v>23</v>
      </c>
      <c r="L1738" s="1">
        <v>1</v>
      </c>
      <c r="M1738" s="1">
        <v>0.3</v>
      </c>
    </row>
    <row r="1739" spans="4:13">
      <c r="D1739" s="1" t="s">
        <v>199</v>
      </c>
      <c r="E1739" s="1" t="s">
        <v>814</v>
      </c>
      <c r="H1739" s="1" t="s">
        <v>22</v>
      </c>
      <c r="I1739" s="1" t="s">
        <v>23</v>
      </c>
      <c r="L1739" s="1">
        <v>1</v>
      </c>
      <c r="M1739" s="1">
        <v>0.3</v>
      </c>
    </row>
    <row r="1740" spans="4:13">
      <c r="D1740" s="1" t="s">
        <v>199</v>
      </c>
      <c r="E1740" s="1" t="s">
        <v>815</v>
      </c>
      <c r="H1740" s="1" t="s">
        <v>22</v>
      </c>
      <c r="I1740" s="1" t="s">
        <v>23</v>
      </c>
      <c r="L1740" s="1">
        <v>1</v>
      </c>
      <c r="M1740" s="1">
        <v>0.3</v>
      </c>
    </row>
    <row r="1741" spans="4:13">
      <c r="D1741" s="1" t="s">
        <v>199</v>
      </c>
      <c r="E1741" s="1" t="s">
        <v>816</v>
      </c>
      <c r="H1741" s="1" t="s">
        <v>22</v>
      </c>
      <c r="I1741" s="1" t="s">
        <v>23</v>
      </c>
      <c r="L1741" s="1">
        <v>1</v>
      </c>
      <c r="M1741" s="1">
        <v>0.4</v>
      </c>
    </row>
    <row r="1742" spans="4:13">
      <c r="D1742" s="1" t="s">
        <v>199</v>
      </c>
      <c r="E1742" s="1" t="s">
        <v>817</v>
      </c>
      <c r="H1742" s="1" t="s">
        <v>22</v>
      </c>
      <c r="I1742" s="1" t="s">
        <v>23</v>
      </c>
      <c r="L1742" s="1">
        <v>1</v>
      </c>
      <c r="M1742" s="1">
        <v>0.4</v>
      </c>
    </row>
    <row r="1743" spans="4:13">
      <c r="D1743" s="1" t="s">
        <v>199</v>
      </c>
      <c r="E1743" s="1" t="s">
        <v>818</v>
      </c>
      <c r="H1743" s="1" t="s">
        <v>22</v>
      </c>
      <c r="I1743" s="1" t="s">
        <v>23</v>
      </c>
      <c r="L1743" s="1">
        <v>1</v>
      </c>
      <c r="M1743" s="1">
        <v>0.5</v>
      </c>
    </row>
    <row r="1744" spans="4:13">
      <c r="D1744" s="1" t="s">
        <v>199</v>
      </c>
      <c r="E1744" s="1" t="s">
        <v>819</v>
      </c>
      <c r="H1744" s="1" t="s">
        <v>22</v>
      </c>
      <c r="I1744" s="1" t="s">
        <v>23</v>
      </c>
      <c r="L1744" s="1">
        <v>1</v>
      </c>
      <c r="M1744" s="1">
        <v>0.5</v>
      </c>
    </row>
    <row r="1745" spans="4:13">
      <c r="D1745" s="1" t="s">
        <v>199</v>
      </c>
      <c r="E1745" s="1" t="s">
        <v>820</v>
      </c>
      <c r="H1745" s="1" t="s">
        <v>22</v>
      </c>
      <c r="I1745" s="1" t="s">
        <v>23</v>
      </c>
      <c r="L1745" s="1">
        <v>1</v>
      </c>
      <c r="M1745" s="1">
        <v>0.5</v>
      </c>
    </row>
    <row r="1746" spans="4:13">
      <c r="D1746" s="1" t="s">
        <v>199</v>
      </c>
      <c r="E1746" s="1" t="s">
        <v>821</v>
      </c>
      <c r="H1746" s="1" t="s">
        <v>22</v>
      </c>
      <c r="I1746" s="1" t="s">
        <v>23</v>
      </c>
      <c r="L1746" s="1">
        <v>1</v>
      </c>
      <c r="M1746" s="1">
        <v>0.5</v>
      </c>
    </row>
    <row r="1747" spans="4:13">
      <c r="D1747" s="1" t="s">
        <v>199</v>
      </c>
      <c r="E1747" s="1" t="s">
        <v>822</v>
      </c>
      <c r="H1747" s="1" t="s">
        <v>22</v>
      </c>
      <c r="I1747" s="1" t="s">
        <v>23</v>
      </c>
      <c r="L1747" s="1">
        <v>1</v>
      </c>
      <c r="M1747" s="1">
        <v>0.5</v>
      </c>
    </row>
    <row r="1748" spans="4:13">
      <c r="D1748" s="1" t="s">
        <v>199</v>
      </c>
      <c r="E1748" s="1" t="s">
        <v>823</v>
      </c>
      <c r="H1748" s="1" t="s">
        <v>22</v>
      </c>
      <c r="I1748" s="1" t="s">
        <v>23</v>
      </c>
      <c r="L1748" s="1">
        <v>1</v>
      </c>
      <c r="M1748" s="1">
        <v>0.5</v>
      </c>
    </row>
    <row r="1749" spans="4:13">
      <c r="D1749" s="1" t="s">
        <v>199</v>
      </c>
      <c r="E1749" s="1" t="s">
        <v>824</v>
      </c>
      <c r="H1749" s="1" t="s">
        <v>22</v>
      </c>
      <c r="I1749" s="1" t="s">
        <v>23</v>
      </c>
      <c r="L1749" s="1">
        <v>1</v>
      </c>
      <c r="M1749" s="1">
        <v>0.6</v>
      </c>
    </row>
    <row r="1750" spans="4:13">
      <c r="D1750" s="1" t="s">
        <v>199</v>
      </c>
      <c r="E1750" s="1" t="s">
        <v>825</v>
      </c>
      <c r="H1750" s="1" t="s">
        <v>22</v>
      </c>
      <c r="I1750" s="1" t="s">
        <v>23</v>
      </c>
      <c r="L1750" s="1">
        <v>1</v>
      </c>
      <c r="M1750" s="1">
        <v>0.6</v>
      </c>
    </row>
    <row r="1751" spans="4:13">
      <c r="D1751" s="1" t="s">
        <v>199</v>
      </c>
      <c r="E1751" s="1" t="s">
        <v>826</v>
      </c>
      <c r="H1751" s="1" t="s">
        <v>22</v>
      </c>
      <c r="I1751" s="1" t="s">
        <v>23</v>
      </c>
      <c r="L1751" s="1">
        <v>1</v>
      </c>
      <c r="M1751" s="1">
        <v>0.6</v>
      </c>
    </row>
    <row r="1752" spans="4:13">
      <c r="D1752" s="1" t="s">
        <v>199</v>
      </c>
      <c r="E1752" s="1" t="s">
        <v>827</v>
      </c>
      <c r="H1752" s="1" t="s">
        <v>22</v>
      </c>
      <c r="I1752" s="1" t="s">
        <v>23</v>
      </c>
      <c r="L1752" s="1">
        <v>1</v>
      </c>
      <c r="M1752" s="1">
        <v>0.6</v>
      </c>
    </row>
    <row r="1753" spans="4:13">
      <c r="D1753" s="1" t="s">
        <v>199</v>
      </c>
      <c r="E1753" s="1" t="s">
        <v>828</v>
      </c>
      <c r="H1753" s="1" t="s">
        <v>22</v>
      </c>
      <c r="I1753" s="1" t="s">
        <v>23</v>
      </c>
      <c r="L1753" s="1">
        <v>1</v>
      </c>
      <c r="M1753" s="1">
        <v>0.7</v>
      </c>
    </row>
    <row r="1754" spans="4:13">
      <c r="D1754" s="1" t="s">
        <v>199</v>
      </c>
      <c r="E1754" s="1" t="s">
        <v>829</v>
      </c>
      <c r="H1754" s="1" t="s">
        <v>22</v>
      </c>
      <c r="I1754" s="1" t="s">
        <v>23</v>
      </c>
      <c r="L1754" s="1">
        <v>1</v>
      </c>
      <c r="M1754" s="1">
        <v>0.7</v>
      </c>
    </row>
    <row r="1755" spans="4:13">
      <c r="D1755" s="1" t="s">
        <v>199</v>
      </c>
      <c r="E1755" s="1" t="s">
        <v>830</v>
      </c>
      <c r="H1755" s="1" t="s">
        <v>22</v>
      </c>
      <c r="I1755" s="1" t="s">
        <v>23</v>
      </c>
      <c r="L1755" s="1">
        <v>1</v>
      </c>
      <c r="M1755" s="1">
        <v>0.7</v>
      </c>
    </row>
    <row r="1756" spans="4:13">
      <c r="D1756" s="1" t="s">
        <v>199</v>
      </c>
      <c r="E1756" s="1" t="s">
        <v>831</v>
      </c>
      <c r="H1756" s="1" t="s">
        <v>22</v>
      </c>
      <c r="I1756" s="1" t="s">
        <v>23</v>
      </c>
      <c r="L1756" s="1">
        <v>1</v>
      </c>
      <c r="M1756" s="1">
        <v>0.7</v>
      </c>
    </row>
    <row r="1757" spans="4:13">
      <c r="D1757" s="1" t="s">
        <v>199</v>
      </c>
      <c r="E1757" s="1" t="s">
        <v>832</v>
      </c>
      <c r="H1757" s="1" t="s">
        <v>22</v>
      </c>
      <c r="I1757" s="1" t="s">
        <v>23</v>
      </c>
      <c r="L1757" s="1">
        <v>1</v>
      </c>
      <c r="M1757" s="1">
        <v>0.7</v>
      </c>
    </row>
    <row r="1758" spans="4:13">
      <c r="D1758" s="1" t="s">
        <v>199</v>
      </c>
      <c r="E1758" s="1" t="s">
        <v>833</v>
      </c>
      <c r="H1758" s="1" t="s">
        <v>22</v>
      </c>
      <c r="I1758" s="1" t="s">
        <v>23</v>
      </c>
      <c r="L1758" s="1">
        <v>1</v>
      </c>
      <c r="M1758" s="1">
        <v>0.7</v>
      </c>
    </row>
    <row r="1759" spans="4:13">
      <c r="D1759" s="1" t="s">
        <v>199</v>
      </c>
      <c r="E1759" s="1" t="s">
        <v>834</v>
      </c>
      <c r="H1759" s="1" t="s">
        <v>22</v>
      </c>
      <c r="I1759" s="1" t="s">
        <v>23</v>
      </c>
      <c r="L1759" s="1">
        <v>1</v>
      </c>
      <c r="M1759" s="1">
        <v>0.7</v>
      </c>
    </row>
    <row r="1760" spans="4:13">
      <c r="D1760" s="1" t="s">
        <v>199</v>
      </c>
      <c r="E1760" s="1" t="s">
        <v>835</v>
      </c>
      <c r="H1760" s="1" t="s">
        <v>22</v>
      </c>
      <c r="I1760" s="1" t="s">
        <v>23</v>
      </c>
      <c r="L1760" s="1">
        <v>1</v>
      </c>
      <c r="M1760" s="1">
        <v>0.8</v>
      </c>
    </row>
    <row r="1761" spans="4:13">
      <c r="D1761" s="1" t="s">
        <v>199</v>
      </c>
      <c r="E1761" s="1" t="s">
        <v>836</v>
      </c>
      <c r="H1761" s="1" t="s">
        <v>22</v>
      </c>
      <c r="I1761" s="1" t="s">
        <v>23</v>
      </c>
      <c r="L1761" s="1">
        <v>1</v>
      </c>
      <c r="M1761" s="1">
        <v>0.8</v>
      </c>
    </row>
    <row r="1762" spans="4:13">
      <c r="D1762" s="1" t="s">
        <v>199</v>
      </c>
      <c r="E1762" s="1" t="s">
        <v>837</v>
      </c>
      <c r="H1762" s="1" t="s">
        <v>22</v>
      </c>
      <c r="I1762" s="1" t="s">
        <v>23</v>
      </c>
      <c r="L1762" s="1">
        <v>1</v>
      </c>
      <c r="M1762" s="1">
        <v>0.8</v>
      </c>
    </row>
    <row r="1763" spans="4:13">
      <c r="D1763" s="1" t="s">
        <v>199</v>
      </c>
      <c r="E1763" s="1" t="s">
        <v>838</v>
      </c>
      <c r="H1763" s="1" t="s">
        <v>22</v>
      </c>
      <c r="I1763" s="1" t="s">
        <v>23</v>
      </c>
      <c r="L1763" s="1">
        <v>1</v>
      </c>
      <c r="M1763" s="1">
        <v>0.9</v>
      </c>
    </row>
    <row r="1764" spans="4:13">
      <c r="D1764" s="1" t="s">
        <v>199</v>
      </c>
      <c r="E1764" s="1" t="s">
        <v>839</v>
      </c>
      <c r="H1764" s="1" t="s">
        <v>22</v>
      </c>
      <c r="I1764" s="1" t="s">
        <v>23</v>
      </c>
      <c r="L1764" s="1">
        <v>1</v>
      </c>
      <c r="M1764" s="1">
        <v>0.9</v>
      </c>
    </row>
    <row r="1765" spans="4:13">
      <c r="D1765" s="1" t="s">
        <v>199</v>
      </c>
      <c r="E1765" s="1" t="s">
        <v>840</v>
      </c>
      <c r="H1765" s="1" t="s">
        <v>22</v>
      </c>
      <c r="I1765" s="1" t="s">
        <v>23</v>
      </c>
      <c r="L1765" s="1">
        <v>1</v>
      </c>
      <c r="M1765" s="1">
        <v>1</v>
      </c>
    </row>
    <row r="1766" spans="4:13">
      <c r="D1766" s="1" t="s">
        <v>199</v>
      </c>
      <c r="E1766" s="1" t="s">
        <v>841</v>
      </c>
      <c r="H1766" s="1" t="s">
        <v>22</v>
      </c>
      <c r="I1766" s="1" t="s">
        <v>23</v>
      </c>
      <c r="L1766" s="1">
        <v>1</v>
      </c>
      <c r="M1766" s="1">
        <v>1</v>
      </c>
    </row>
    <row r="1767" spans="4:13">
      <c r="D1767" s="1" t="s">
        <v>199</v>
      </c>
      <c r="E1767" s="1" t="s">
        <v>842</v>
      </c>
      <c r="H1767" s="1" t="s">
        <v>22</v>
      </c>
      <c r="I1767" s="1" t="s">
        <v>23</v>
      </c>
      <c r="L1767" s="1">
        <v>1</v>
      </c>
      <c r="M1767" s="1">
        <v>1</v>
      </c>
    </row>
    <row r="1768" spans="4:13">
      <c r="D1768" s="1" t="s">
        <v>199</v>
      </c>
      <c r="E1768" s="1" t="s">
        <v>843</v>
      </c>
      <c r="H1768" s="1" t="s">
        <v>22</v>
      </c>
      <c r="I1768" s="1" t="s">
        <v>23</v>
      </c>
      <c r="L1768" s="1">
        <v>1</v>
      </c>
      <c r="M1768" s="1">
        <v>1</v>
      </c>
    </row>
    <row r="1769" spans="4:13">
      <c r="D1769" s="1" t="s">
        <v>199</v>
      </c>
      <c r="E1769" s="1" t="s">
        <v>844</v>
      </c>
      <c r="H1769" s="1" t="s">
        <v>22</v>
      </c>
      <c r="I1769" s="1" t="s">
        <v>23</v>
      </c>
      <c r="L1769" s="1">
        <v>1</v>
      </c>
      <c r="M1769" s="1">
        <v>1.1000000000000001</v>
      </c>
    </row>
    <row r="1770" spans="4:13">
      <c r="D1770" s="1" t="s">
        <v>199</v>
      </c>
      <c r="E1770" s="1" t="s">
        <v>845</v>
      </c>
      <c r="H1770" s="1" t="s">
        <v>22</v>
      </c>
      <c r="I1770" s="1" t="s">
        <v>23</v>
      </c>
      <c r="L1770" s="1">
        <v>1</v>
      </c>
      <c r="M1770" s="1">
        <v>1.1000000000000001</v>
      </c>
    </row>
    <row r="1771" spans="4:13">
      <c r="D1771" s="1" t="s">
        <v>199</v>
      </c>
      <c r="E1771" s="1" t="s">
        <v>846</v>
      </c>
      <c r="H1771" s="1" t="s">
        <v>22</v>
      </c>
      <c r="I1771" s="1" t="s">
        <v>23</v>
      </c>
      <c r="L1771" s="1">
        <v>1</v>
      </c>
      <c r="M1771" s="1">
        <v>1.1000000000000001</v>
      </c>
    </row>
    <row r="1772" spans="4:13">
      <c r="D1772" s="1" t="s">
        <v>199</v>
      </c>
      <c r="E1772" s="1" t="s">
        <v>847</v>
      </c>
      <c r="H1772" s="1" t="s">
        <v>22</v>
      </c>
      <c r="I1772" s="1" t="s">
        <v>23</v>
      </c>
      <c r="L1772" s="1">
        <v>1</v>
      </c>
      <c r="M1772" s="1">
        <v>1.1000000000000001</v>
      </c>
    </row>
    <row r="1773" spans="4:13">
      <c r="D1773" s="1" t="s">
        <v>199</v>
      </c>
      <c r="E1773" s="1" t="s">
        <v>848</v>
      </c>
      <c r="H1773" s="1" t="s">
        <v>22</v>
      </c>
      <c r="I1773" s="1" t="s">
        <v>23</v>
      </c>
      <c r="L1773" s="1">
        <v>1</v>
      </c>
      <c r="M1773" s="1">
        <v>1.1000000000000001</v>
      </c>
    </row>
    <row r="1774" spans="4:13">
      <c r="D1774" s="1" t="s">
        <v>199</v>
      </c>
      <c r="E1774" s="1" t="s">
        <v>849</v>
      </c>
      <c r="H1774" s="1" t="s">
        <v>22</v>
      </c>
      <c r="I1774" s="1" t="s">
        <v>23</v>
      </c>
      <c r="L1774" s="1">
        <v>1</v>
      </c>
      <c r="M1774" s="1">
        <v>1.1000000000000001</v>
      </c>
    </row>
    <row r="1775" spans="4:13">
      <c r="D1775" s="1" t="s">
        <v>199</v>
      </c>
      <c r="E1775" s="1" t="s">
        <v>850</v>
      </c>
      <c r="H1775" s="1" t="s">
        <v>22</v>
      </c>
      <c r="I1775" s="1" t="s">
        <v>23</v>
      </c>
      <c r="L1775" s="1">
        <v>1</v>
      </c>
      <c r="M1775" s="1">
        <v>1.2</v>
      </c>
    </row>
    <row r="1776" spans="4:13">
      <c r="D1776" s="1" t="s">
        <v>199</v>
      </c>
      <c r="E1776" s="1" t="s">
        <v>851</v>
      </c>
      <c r="H1776" s="1" t="s">
        <v>22</v>
      </c>
      <c r="I1776" s="1" t="s">
        <v>23</v>
      </c>
      <c r="L1776" s="1">
        <v>1</v>
      </c>
      <c r="M1776" s="1">
        <v>1.2</v>
      </c>
    </row>
    <row r="1777" spans="4:13">
      <c r="D1777" s="1" t="s">
        <v>199</v>
      </c>
      <c r="E1777" s="1" t="s">
        <v>852</v>
      </c>
      <c r="H1777" s="1" t="s">
        <v>22</v>
      </c>
      <c r="I1777" s="1" t="s">
        <v>23</v>
      </c>
      <c r="L1777" s="1">
        <v>1</v>
      </c>
      <c r="M1777" s="1">
        <v>1.2</v>
      </c>
    </row>
    <row r="1778" spans="4:13">
      <c r="D1778" s="1" t="s">
        <v>199</v>
      </c>
      <c r="E1778" s="1" t="s">
        <v>853</v>
      </c>
      <c r="H1778" s="1" t="s">
        <v>22</v>
      </c>
      <c r="I1778" s="1" t="s">
        <v>23</v>
      </c>
      <c r="L1778" s="1">
        <v>1</v>
      </c>
      <c r="M1778" s="1">
        <v>1.2</v>
      </c>
    </row>
    <row r="1779" spans="4:13">
      <c r="D1779" s="1" t="s">
        <v>199</v>
      </c>
      <c r="E1779" s="1" t="s">
        <v>854</v>
      </c>
      <c r="H1779" s="1" t="s">
        <v>22</v>
      </c>
      <c r="I1779" s="1" t="s">
        <v>23</v>
      </c>
      <c r="L1779" s="1">
        <v>1</v>
      </c>
      <c r="M1779" s="1">
        <v>1.2</v>
      </c>
    </row>
    <row r="1780" spans="4:13">
      <c r="D1780" s="1" t="s">
        <v>199</v>
      </c>
      <c r="E1780" s="1" t="s">
        <v>855</v>
      </c>
      <c r="H1780" s="1" t="s">
        <v>22</v>
      </c>
      <c r="I1780" s="1" t="s">
        <v>23</v>
      </c>
      <c r="L1780" s="1">
        <v>1</v>
      </c>
      <c r="M1780" s="1">
        <v>1.3</v>
      </c>
    </row>
    <row r="1781" spans="4:13">
      <c r="D1781" s="1" t="s">
        <v>199</v>
      </c>
      <c r="E1781" s="1" t="s">
        <v>856</v>
      </c>
      <c r="H1781" s="1" t="s">
        <v>22</v>
      </c>
      <c r="I1781" s="1" t="s">
        <v>23</v>
      </c>
      <c r="L1781" s="1">
        <v>1</v>
      </c>
      <c r="M1781" s="1">
        <v>1.3</v>
      </c>
    </row>
    <row r="1782" spans="4:13">
      <c r="D1782" s="1" t="s">
        <v>199</v>
      </c>
      <c r="E1782" s="1" t="s">
        <v>857</v>
      </c>
      <c r="H1782" s="1" t="s">
        <v>22</v>
      </c>
      <c r="I1782" s="1" t="s">
        <v>23</v>
      </c>
      <c r="L1782" s="1">
        <v>1</v>
      </c>
      <c r="M1782" s="1">
        <v>1.4</v>
      </c>
    </row>
    <row r="1783" spans="4:13">
      <c r="D1783" s="1" t="s">
        <v>199</v>
      </c>
      <c r="E1783" s="1" t="s">
        <v>858</v>
      </c>
      <c r="H1783" s="1" t="s">
        <v>22</v>
      </c>
      <c r="I1783" s="1" t="s">
        <v>23</v>
      </c>
      <c r="L1783" s="1">
        <v>1</v>
      </c>
      <c r="M1783" s="1">
        <v>1.4</v>
      </c>
    </row>
    <row r="1784" spans="4:13">
      <c r="D1784" s="1" t="s">
        <v>199</v>
      </c>
      <c r="E1784" s="1" t="s">
        <v>859</v>
      </c>
      <c r="H1784" s="1" t="s">
        <v>22</v>
      </c>
      <c r="I1784" s="1" t="s">
        <v>23</v>
      </c>
      <c r="L1784" s="1">
        <v>1</v>
      </c>
      <c r="M1784" s="1">
        <v>1.4</v>
      </c>
    </row>
    <row r="1785" spans="4:13">
      <c r="D1785" s="1" t="s">
        <v>199</v>
      </c>
      <c r="E1785" s="1" t="s">
        <v>860</v>
      </c>
      <c r="H1785" s="1" t="s">
        <v>22</v>
      </c>
      <c r="I1785" s="1" t="s">
        <v>23</v>
      </c>
      <c r="L1785" s="1">
        <v>1</v>
      </c>
      <c r="M1785" s="1">
        <v>1.4</v>
      </c>
    </row>
    <row r="1786" spans="4:13">
      <c r="D1786" s="1" t="s">
        <v>199</v>
      </c>
      <c r="E1786" s="1" t="s">
        <v>861</v>
      </c>
      <c r="H1786" s="1" t="s">
        <v>22</v>
      </c>
      <c r="I1786" s="1" t="s">
        <v>23</v>
      </c>
      <c r="L1786" s="1">
        <v>1</v>
      </c>
      <c r="M1786" s="1">
        <v>1.4</v>
      </c>
    </row>
    <row r="1787" spans="4:13">
      <c r="D1787" s="1" t="s">
        <v>199</v>
      </c>
      <c r="E1787" s="1" t="s">
        <v>862</v>
      </c>
      <c r="H1787" s="1" t="s">
        <v>22</v>
      </c>
      <c r="I1787" s="1" t="s">
        <v>23</v>
      </c>
      <c r="L1787" s="1">
        <v>1</v>
      </c>
      <c r="M1787" s="1">
        <v>1.4</v>
      </c>
    </row>
    <row r="1788" spans="4:13">
      <c r="D1788" s="1" t="s">
        <v>199</v>
      </c>
      <c r="E1788" s="1" t="s">
        <v>863</v>
      </c>
      <c r="H1788" s="1" t="s">
        <v>22</v>
      </c>
      <c r="I1788" s="1" t="s">
        <v>23</v>
      </c>
      <c r="L1788" s="1">
        <v>1</v>
      </c>
      <c r="M1788" s="1">
        <v>1.4</v>
      </c>
    </row>
    <row r="1789" spans="4:13">
      <c r="D1789" s="1" t="s">
        <v>199</v>
      </c>
      <c r="E1789" s="1" t="s">
        <v>864</v>
      </c>
      <c r="H1789" s="1" t="s">
        <v>22</v>
      </c>
      <c r="I1789" s="1" t="s">
        <v>23</v>
      </c>
      <c r="L1789" s="1">
        <v>1</v>
      </c>
      <c r="M1789" s="1">
        <v>1.5</v>
      </c>
    </row>
    <row r="1790" spans="4:13">
      <c r="D1790" s="1" t="s">
        <v>199</v>
      </c>
      <c r="E1790" s="1" t="s">
        <v>865</v>
      </c>
      <c r="H1790" s="1" t="s">
        <v>22</v>
      </c>
      <c r="I1790" s="1" t="s">
        <v>23</v>
      </c>
      <c r="L1790" s="1">
        <v>1</v>
      </c>
      <c r="M1790" s="1">
        <v>1.5</v>
      </c>
    </row>
    <row r="1791" spans="4:13">
      <c r="D1791" s="1" t="s">
        <v>199</v>
      </c>
      <c r="E1791" s="1" t="s">
        <v>866</v>
      </c>
      <c r="H1791" s="1" t="s">
        <v>22</v>
      </c>
      <c r="I1791" s="1" t="s">
        <v>23</v>
      </c>
      <c r="L1791" s="1">
        <v>1</v>
      </c>
      <c r="M1791" s="1">
        <v>1.5</v>
      </c>
    </row>
    <row r="1792" spans="4:13">
      <c r="D1792" s="1" t="s">
        <v>199</v>
      </c>
      <c r="E1792" s="1" t="s">
        <v>867</v>
      </c>
      <c r="H1792" s="1" t="s">
        <v>22</v>
      </c>
      <c r="I1792" s="1" t="s">
        <v>23</v>
      </c>
      <c r="L1792" s="1">
        <v>1</v>
      </c>
      <c r="M1792" s="1">
        <v>1.5</v>
      </c>
    </row>
    <row r="1793" spans="4:13">
      <c r="D1793" s="1" t="s">
        <v>199</v>
      </c>
      <c r="E1793" s="1" t="s">
        <v>868</v>
      </c>
      <c r="H1793" s="1" t="s">
        <v>22</v>
      </c>
      <c r="I1793" s="1" t="s">
        <v>23</v>
      </c>
      <c r="L1793" s="1">
        <v>1</v>
      </c>
      <c r="M1793" s="1">
        <v>1.5</v>
      </c>
    </row>
    <row r="1794" spans="4:13">
      <c r="D1794" s="1" t="s">
        <v>199</v>
      </c>
      <c r="E1794" s="1" t="s">
        <v>869</v>
      </c>
      <c r="H1794" s="1" t="s">
        <v>22</v>
      </c>
      <c r="I1794" s="1" t="s">
        <v>23</v>
      </c>
      <c r="L1794" s="1">
        <v>1</v>
      </c>
      <c r="M1794" s="1">
        <v>1.5</v>
      </c>
    </row>
    <row r="1795" spans="4:13">
      <c r="D1795" s="1" t="s">
        <v>199</v>
      </c>
      <c r="E1795" s="1" t="s">
        <v>870</v>
      </c>
      <c r="H1795" s="1" t="s">
        <v>22</v>
      </c>
      <c r="I1795" s="1" t="s">
        <v>23</v>
      </c>
      <c r="L1795" s="1">
        <v>1</v>
      </c>
      <c r="M1795" s="1">
        <v>1.5</v>
      </c>
    </row>
    <row r="1796" spans="4:13">
      <c r="D1796" s="1" t="s">
        <v>199</v>
      </c>
      <c r="E1796" s="1" t="s">
        <v>871</v>
      </c>
      <c r="H1796" s="1" t="s">
        <v>25</v>
      </c>
      <c r="I1796" s="1" t="s">
        <v>23</v>
      </c>
      <c r="M1796" s="1" t="b">
        <v>1</v>
      </c>
    </row>
    <row r="1797" spans="4:13">
      <c r="D1797" s="1" t="s">
        <v>199</v>
      </c>
      <c r="E1797" s="1" t="s">
        <v>872</v>
      </c>
      <c r="F1797" s="1" t="s">
        <v>147</v>
      </c>
      <c r="G1797" s="1" t="s">
        <v>148</v>
      </c>
      <c r="H1797" s="1" t="s">
        <v>22</v>
      </c>
      <c r="I1797" s="1" t="s">
        <v>23</v>
      </c>
      <c r="J1797" s="1">
        <v>0</v>
      </c>
      <c r="K1797" s="1">
        <v>34121416.351331003</v>
      </c>
      <c r="L1797" s="1">
        <v>3.4121416351331</v>
      </c>
      <c r="M1797" s="1">
        <v>1706.07081756655</v>
      </c>
    </row>
    <row r="1798" spans="4:13">
      <c r="D1798" s="1" t="s">
        <v>199</v>
      </c>
      <c r="E1798" s="1" t="s">
        <v>873</v>
      </c>
      <c r="F1798" s="1" t="s">
        <v>874</v>
      </c>
      <c r="G1798" s="1" t="s">
        <v>874</v>
      </c>
      <c r="H1798" s="1" t="s">
        <v>22</v>
      </c>
      <c r="I1798" s="1" t="s">
        <v>23</v>
      </c>
      <c r="L1798" s="1">
        <v>1</v>
      </c>
      <c r="M1798" s="1">
        <v>6000</v>
      </c>
    </row>
    <row r="1799" spans="4:13">
      <c r="D1799" s="1" t="s">
        <v>199</v>
      </c>
      <c r="E1799" s="1" t="s">
        <v>875</v>
      </c>
      <c r="H1799" s="1" t="s">
        <v>63</v>
      </c>
      <c r="I1799" s="1" t="s">
        <v>23</v>
      </c>
      <c r="M1799" s="1">
        <v>0</v>
      </c>
    </row>
    <row r="1800" spans="4:13">
      <c r="D1800" s="1" t="s">
        <v>199</v>
      </c>
      <c r="E1800" s="1" t="s">
        <v>876</v>
      </c>
      <c r="H1800" s="1" t="s">
        <v>22</v>
      </c>
      <c r="I1800" s="1" t="s">
        <v>29</v>
      </c>
      <c r="J1800" s="1">
        <v>0</v>
      </c>
      <c r="K1800" s="1">
        <v>3</v>
      </c>
      <c r="L1800" s="1">
        <v>1</v>
      </c>
    </row>
    <row r="1801" spans="4:13">
      <c r="D1801" s="1" t="s">
        <v>199</v>
      </c>
      <c r="E1801" s="1" t="s">
        <v>877</v>
      </c>
      <c r="H1801" s="1" t="s">
        <v>22</v>
      </c>
      <c r="I1801" s="1" t="s">
        <v>23</v>
      </c>
      <c r="J1801" s="1">
        <v>0</v>
      </c>
      <c r="K1801" s="1">
        <v>3</v>
      </c>
      <c r="L1801" s="1">
        <v>1</v>
      </c>
      <c r="M1801" s="1">
        <v>1.05</v>
      </c>
    </row>
    <row r="1802" spans="4:13">
      <c r="D1802" s="1" t="s">
        <v>199</v>
      </c>
      <c r="E1802" s="1" t="s">
        <v>878</v>
      </c>
      <c r="F1802" s="1" t="s">
        <v>879</v>
      </c>
      <c r="G1802" s="1" t="s">
        <v>880</v>
      </c>
      <c r="H1802" s="1" t="s">
        <v>22</v>
      </c>
      <c r="I1802" s="1" t="s">
        <v>29</v>
      </c>
      <c r="J1802" s="1">
        <v>0</v>
      </c>
      <c r="K1802" s="1">
        <v>107.6391041670972</v>
      </c>
      <c r="L1802" s="1">
        <v>0.10763910416709721</v>
      </c>
    </row>
    <row r="1803" spans="4:13">
      <c r="D1803" s="1" t="s">
        <v>199</v>
      </c>
      <c r="E1803" s="1" t="s">
        <v>881</v>
      </c>
      <c r="F1803" s="1" t="s">
        <v>879</v>
      </c>
      <c r="G1803" s="1" t="s">
        <v>880</v>
      </c>
      <c r="H1803" s="1" t="s">
        <v>22</v>
      </c>
      <c r="I1803" s="1" t="s">
        <v>29</v>
      </c>
      <c r="J1803" s="1">
        <v>0</v>
      </c>
      <c r="K1803" s="1">
        <v>107.6391041670972</v>
      </c>
      <c r="L1803" s="1">
        <v>0.10763910416709721</v>
      </c>
    </row>
    <row r="1804" spans="4:13">
      <c r="D1804" s="1" t="s">
        <v>199</v>
      </c>
      <c r="E1804" s="1" t="s">
        <v>882</v>
      </c>
      <c r="H1804" s="1" t="s">
        <v>22</v>
      </c>
      <c r="I1804" s="1" t="s">
        <v>29</v>
      </c>
      <c r="L1804" s="1">
        <v>1</v>
      </c>
    </row>
    <row r="1805" spans="4:13">
      <c r="D1805" s="1" t="s">
        <v>199</v>
      </c>
      <c r="E1805" s="1" t="s">
        <v>883</v>
      </c>
      <c r="H1805" s="1" t="s">
        <v>22</v>
      </c>
      <c r="I1805" s="1" t="s">
        <v>29</v>
      </c>
      <c r="L1805" s="1">
        <v>1</v>
      </c>
    </row>
    <row r="1806" spans="4:13">
      <c r="D1806" s="1" t="s">
        <v>199</v>
      </c>
      <c r="E1806" s="1" t="s">
        <v>884</v>
      </c>
      <c r="H1806" s="1" t="s">
        <v>22</v>
      </c>
      <c r="I1806" s="1" t="s">
        <v>29</v>
      </c>
      <c r="L1806" s="1">
        <v>1</v>
      </c>
    </row>
    <row r="1807" spans="4:13">
      <c r="D1807" s="1" t="s">
        <v>199</v>
      </c>
      <c r="E1807" s="1" t="s">
        <v>885</v>
      </c>
      <c r="H1807" s="1" t="s">
        <v>22</v>
      </c>
      <c r="I1807" s="1" t="s">
        <v>29</v>
      </c>
      <c r="L1807" s="1">
        <v>1</v>
      </c>
    </row>
    <row r="1808" spans="4:13">
      <c r="D1808" s="1" t="s">
        <v>199</v>
      </c>
      <c r="E1808" s="1" t="s">
        <v>886</v>
      </c>
      <c r="F1808" s="1" t="s">
        <v>45</v>
      </c>
      <c r="G1808" s="1" t="s">
        <v>46</v>
      </c>
      <c r="H1808" s="1" t="s">
        <v>22</v>
      </c>
      <c r="I1808" s="1" t="s">
        <v>29</v>
      </c>
      <c r="J1808" s="1">
        <v>-6.3932502128443591</v>
      </c>
      <c r="K1808" s="1">
        <v>358.61435929656</v>
      </c>
      <c r="L1808" s="1">
        <v>114.79148749423418</v>
      </c>
    </row>
    <row r="1809" spans="4:13">
      <c r="D1809" s="1" t="s">
        <v>199</v>
      </c>
      <c r="E1809" s="1" t="s">
        <v>887</v>
      </c>
      <c r="F1809" s="1" t="s">
        <v>45</v>
      </c>
      <c r="G1809" s="1" t="s">
        <v>46</v>
      </c>
      <c r="H1809" s="1" t="s">
        <v>22</v>
      </c>
      <c r="I1809" s="1" t="s">
        <v>29</v>
      </c>
      <c r="J1809" s="1">
        <v>-6.3932502128443591</v>
      </c>
      <c r="K1809" s="1">
        <v>358.61435929656</v>
      </c>
      <c r="L1809" s="1">
        <v>114.79148749423418</v>
      </c>
    </row>
    <row r="1810" spans="4:13">
      <c r="D1810" s="1" t="s">
        <v>199</v>
      </c>
      <c r="E1810" s="1" t="s">
        <v>888</v>
      </c>
      <c r="F1810" s="1" t="s">
        <v>45</v>
      </c>
      <c r="G1810" s="1" t="s">
        <v>46</v>
      </c>
      <c r="H1810" s="1" t="s">
        <v>22</v>
      </c>
      <c r="I1810" s="1" t="s">
        <v>29</v>
      </c>
      <c r="J1810" s="1">
        <v>-6.3932502128443591</v>
      </c>
      <c r="K1810" s="1">
        <v>358.61435929656</v>
      </c>
      <c r="L1810" s="1">
        <v>114.79148749423418</v>
      </c>
    </row>
    <row r="1811" spans="4:13">
      <c r="D1811" s="1" t="s">
        <v>199</v>
      </c>
      <c r="E1811" s="1" t="s">
        <v>889</v>
      </c>
      <c r="F1811" s="1" t="s">
        <v>52</v>
      </c>
      <c r="G1811" s="1" t="s">
        <v>53</v>
      </c>
      <c r="H1811" s="1" t="s">
        <v>22</v>
      </c>
      <c r="I1811" s="1" t="s">
        <v>29</v>
      </c>
      <c r="J1811" s="1">
        <v>-7936641438.6555996</v>
      </c>
      <c r="K1811" s="1">
        <v>7936641438.6555996</v>
      </c>
      <c r="L1811" s="1">
        <v>7936.6414386555998</v>
      </c>
    </row>
    <row r="1812" spans="4:13">
      <c r="D1812" s="1" t="s">
        <v>199</v>
      </c>
      <c r="E1812" s="1" t="s">
        <v>890</v>
      </c>
      <c r="F1812" s="1" t="s">
        <v>56</v>
      </c>
      <c r="G1812" s="1" t="s">
        <v>57</v>
      </c>
      <c r="H1812" s="1" t="s">
        <v>22</v>
      </c>
      <c r="I1812" s="1" t="s">
        <v>29</v>
      </c>
      <c r="J1812" s="1">
        <v>4.9312830828271128</v>
      </c>
      <c r="K1812" s="1">
        <v>623.66227223989961</v>
      </c>
      <c r="L1812" s="1">
        <v>50.713895374744951</v>
      </c>
    </row>
    <row r="1813" spans="4:13">
      <c r="D1813" s="1" t="s">
        <v>199</v>
      </c>
      <c r="E1813" s="1" t="s">
        <v>891</v>
      </c>
      <c r="F1813" s="1" t="s">
        <v>56</v>
      </c>
      <c r="G1813" s="1" t="s">
        <v>57</v>
      </c>
      <c r="H1813" s="1" t="s">
        <v>22</v>
      </c>
      <c r="I1813" s="1" t="s">
        <v>29</v>
      </c>
      <c r="J1813" s="1">
        <v>4.9312830828271128</v>
      </c>
      <c r="K1813" s="1">
        <v>623.66227223989961</v>
      </c>
      <c r="L1813" s="1">
        <v>50.713895374744951</v>
      </c>
    </row>
    <row r="1814" spans="4:13">
      <c r="D1814" s="1" t="s">
        <v>199</v>
      </c>
      <c r="E1814" s="1" t="s">
        <v>892</v>
      </c>
      <c r="H1814" s="1" t="s">
        <v>22</v>
      </c>
      <c r="I1814" s="1" t="s">
        <v>23</v>
      </c>
      <c r="J1814" s="1">
        <v>0.5</v>
      </c>
      <c r="K1814" s="1">
        <v>2</v>
      </c>
      <c r="L1814" s="1">
        <v>1</v>
      </c>
      <c r="M1814" s="1">
        <v>1</v>
      </c>
    </row>
    <row r="1815" spans="4:13">
      <c r="D1815" s="1" t="s">
        <v>199</v>
      </c>
      <c r="E1815" s="1" t="s">
        <v>893</v>
      </c>
      <c r="H1815" s="1" t="s">
        <v>25</v>
      </c>
      <c r="I1815" s="1" t="s">
        <v>23</v>
      </c>
      <c r="M1815" s="1" t="b">
        <v>0</v>
      </c>
    </row>
    <row r="1816" spans="4:13">
      <c r="D1816" s="1" t="s">
        <v>199</v>
      </c>
      <c r="E1816" s="1" t="s">
        <v>894</v>
      </c>
      <c r="H1816" s="1" t="s">
        <v>22</v>
      </c>
      <c r="I1816" s="1" t="s">
        <v>23</v>
      </c>
      <c r="J1816" s="1">
        <v>0.5</v>
      </c>
      <c r="K1816" s="1">
        <v>2</v>
      </c>
      <c r="L1816" s="1">
        <v>1</v>
      </c>
      <c r="M1816" s="1">
        <v>1</v>
      </c>
    </row>
    <row r="1817" spans="4:13">
      <c r="D1817" s="1" t="s">
        <v>199</v>
      </c>
      <c r="E1817" s="1" t="s">
        <v>895</v>
      </c>
      <c r="H1817" s="1" t="s">
        <v>25</v>
      </c>
      <c r="I1817" s="1" t="s">
        <v>23</v>
      </c>
      <c r="M1817" s="1" t="b">
        <v>0</v>
      </c>
    </row>
    <row r="1818" spans="4:13">
      <c r="D1818" s="1" t="s">
        <v>199</v>
      </c>
      <c r="E1818" s="1" t="s">
        <v>896</v>
      </c>
      <c r="H1818" s="1" t="s">
        <v>22</v>
      </c>
      <c r="I1818" s="1" t="s">
        <v>23</v>
      </c>
      <c r="J1818" s="1">
        <v>0.5</v>
      </c>
      <c r="K1818" s="1">
        <v>2</v>
      </c>
      <c r="L1818" s="1">
        <v>1</v>
      </c>
      <c r="M1818" s="1">
        <v>1</v>
      </c>
    </row>
    <row r="1819" spans="4:13">
      <c r="D1819" s="1" t="s">
        <v>199</v>
      </c>
      <c r="E1819" s="1" t="s">
        <v>897</v>
      </c>
      <c r="H1819" s="1" t="s">
        <v>25</v>
      </c>
      <c r="I1819" s="1" t="s">
        <v>23</v>
      </c>
      <c r="M1819" s="1" t="b">
        <v>1</v>
      </c>
    </row>
    <row r="1820" spans="4:13">
      <c r="D1820" s="1" t="s">
        <v>199</v>
      </c>
      <c r="E1820" s="1" t="s">
        <v>898</v>
      </c>
      <c r="H1820" s="1" t="s">
        <v>22</v>
      </c>
      <c r="I1820" s="1" t="s">
        <v>23</v>
      </c>
      <c r="L1820" s="1">
        <v>1</v>
      </c>
      <c r="M1820" s="1">
        <v>1.1172202</v>
      </c>
    </row>
    <row r="1821" spans="4:13">
      <c r="D1821" s="1" t="s">
        <v>199</v>
      </c>
      <c r="E1821" s="1" t="s">
        <v>899</v>
      </c>
      <c r="H1821" s="1" t="s">
        <v>22</v>
      </c>
      <c r="I1821" s="1" t="s">
        <v>23</v>
      </c>
      <c r="L1821" s="1">
        <v>1</v>
      </c>
      <c r="M1821" s="1">
        <v>0.87132120000000002</v>
      </c>
    </row>
    <row r="1822" spans="4:13">
      <c r="D1822" s="1" t="s">
        <v>199</v>
      </c>
      <c r="E1822" s="1" t="s">
        <v>900</v>
      </c>
      <c r="H1822" s="1" t="s">
        <v>22</v>
      </c>
      <c r="I1822" s="1" t="s">
        <v>23</v>
      </c>
      <c r="L1822" s="1">
        <v>1</v>
      </c>
      <c r="M1822" s="1">
        <v>1.0089676999999999</v>
      </c>
    </row>
    <row r="1823" spans="4:13">
      <c r="D1823" s="1" t="s">
        <v>199</v>
      </c>
      <c r="E1823" s="1" t="s">
        <v>901</v>
      </c>
      <c r="H1823" s="1" t="s">
        <v>22</v>
      </c>
      <c r="I1823" s="1" t="s">
        <v>23</v>
      </c>
      <c r="L1823" s="1">
        <v>1</v>
      </c>
      <c r="M1823" s="1">
        <v>0.98033800000000004</v>
      </c>
    </row>
    <row r="1824" spans="4:13">
      <c r="D1824" s="1" t="s">
        <v>199</v>
      </c>
      <c r="E1824" s="1" t="s">
        <v>902</v>
      </c>
      <c r="H1824" s="1" t="s">
        <v>22</v>
      </c>
      <c r="I1824" s="1" t="s">
        <v>23</v>
      </c>
      <c r="L1824" s="1">
        <v>1</v>
      </c>
      <c r="M1824" s="1">
        <v>0.60685299999999998</v>
      </c>
    </row>
    <row r="1825" spans="4:13">
      <c r="D1825" s="1" t="s">
        <v>199</v>
      </c>
      <c r="E1825" s="1" t="s">
        <v>903</v>
      </c>
      <c r="H1825" s="1" t="s">
        <v>22</v>
      </c>
      <c r="I1825" s="1" t="s">
        <v>23</v>
      </c>
      <c r="L1825" s="1">
        <v>1</v>
      </c>
      <c r="M1825" s="1">
        <v>0.65223129999999996</v>
      </c>
    </row>
    <row r="1826" spans="4:13">
      <c r="D1826" s="1" t="s">
        <v>199</v>
      </c>
      <c r="E1826" s="1" t="s">
        <v>904</v>
      </c>
      <c r="H1826" s="1" t="s">
        <v>22</v>
      </c>
      <c r="I1826" s="1" t="s">
        <v>23</v>
      </c>
      <c r="L1826" s="1">
        <v>1</v>
      </c>
      <c r="M1826" s="1">
        <v>-0.13990669999999999</v>
      </c>
    </row>
    <row r="1827" spans="4:13">
      <c r="D1827" s="1" t="s">
        <v>199</v>
      </c>
      <c r="E1827" s="1" t="s">
        <v>905</v>
      </c>
      <c r="H1827" s="1" t="s">
        <v>22</v>
      </c>
      <c r="I1827" s="1" t="s">
        <v>23</v>
      </c>
      <c r="L1827" s="1">
        <v>1</v>
      </c>
      <c r="M1827" s="1">
        <v>-0.18227769999999999</v>
      </c>
    </row>
    <row r="1828" spans="4:13">
      <c r="D1828" s="1" t="s">
        <v>199</v>
      </c>
      <c r="E1828" s="1" t="s">
        <v>906</v>
      </c>
      <c r="H1828" s="1" t="s">
        <v>22</v>
      </c>
      <c r="I1828" s="1" t="s">
        <v>23</v>
      </c>
      <c r="J1828" s="1">
        <v>0.5</v>
      </c>
      <c r="K1828" s="1">
        <v>2</v>
      </c>
      <c r="L1828" s="1">
        <v>1</v>
      </c>
      <c r="M1828" s="1">
        <v>1</v>
      </c>
    </row>
    <row r="1829" spans="4:13">
      <c r="D1829" s="1" t="s">
        <v>199</v>
      </c>
      <c r="E1829" s="1" t="s">
        <v>907</v>
      </c>
      <c r="H1829" s="1" t="s">
        <v>25</v>
      </c>
      <c r="I1829" s="1" t="s">
        <v>23</v>
      </c>
      <c r="M1829" s="1" t="b">
        <v>1</v>
      </c>
    </row>
    <row r="1830" spans="4:13">
      <c r="D1830" s="1" t="s">
        <v>199</v>
      </c>
      <c r="E1830" s="1" t="s">
        <v>908</v>
      </c>
      <c r="H1830" s="1" t="s">
        <v>22</v>
      </c>
      <c r="I1830" s="1" t="s">
        <v>29</v>
      </c>
      <c r="J1830" s="1">
        <v>0.1</v>
      </c>
      <c r="K1830" s="1">
        <v>10</v>
      </c>
      <c r="L1830" s="1">
        <v>5.05</v>
      </c>
    </row>
    <row r="1831" spans="4:13">
      <c r="D1831" s="1" t="s">
        <v>199</v>
      </c>
      <c r="E1831" s="1" t="s">
        <v>909</v>
      </c>
      <c r="H1831" s="1" t="s">
        <v>22</v>
      </c>
      <c r="I1831" s="1" t="s">
        <v>29</v>
      </c>
      <c r="J1831" s="1">
        <v>0.1</v>
      </c>
      <c r="K1831" s="1">
        <v>10</v>
      </c>
      <c r="L1831" s="1">
        <v>5.05</v>
      </c>
    </row>
    <row r="1832" spans="4:13">
      <c r="D1832" s="1" t="s">
        <v>199</v>
      </c>
      <c r="E1832" s="1" t="s">
        <v>910</v>
      </c>
      <c r="H1832" s="1" t="s">
        <v>22</v>
      </c>
      <c r="I1832" s="1" t="s">
        <v>29</v>
      </c>
      <c r="J1832" s="1">
        <v>0.1</v>
      </c>
      <c r="K1832" s="1">
        <v>10</v>
      </c>
      <c r="L1832" s="1">
        <v>5.05</v>
      </c>
    </row>
    <row r="1833" spans="4:13">
      <c r="D1833" s="1" t="s">
        <v>199</v>
      </c>
      <c r="E1833" s="1" t="s">
        <v>911</v>
      </c>
      <c r="H1833" s="1" t="s">
        <v>22</v>
      </c>
      <c r="I1833" s="1" t="s">
        <v>29</v>
      </c>
      <c r="J1833" s="1">
        <v>0.1</v>
      </c>
      <c r="K1833" s="1">
        <v>10</v>
      </c>
      <c r="L1833" s="1">
        <v>5.05</v>
      </c>
    </row>
    <row r="1834" spans="4:13">
      <c r="D1834" s="1" t="s">
        <v>199</v>
      </c>
      <c r="E1834" s="1" t="s">
        <v>912</v>
      </c>
      <c r="H1834" s="1" t="s">
        <v>22</v>
      </c>
      <c r="I1834" s="1" t="s">
        <v>29</v>
      </c>
      <c r="J1834" s="1">
        <v>0.1</v>
      </c>
      <c r="K1834" s="1">
        <v>10</v>
      </c>
      <c r="L1834" s="1">
        <v>5.05</v>
      </c>
    </row>
    <row r="1835" spans="4:13">
      <c r="D1835" s="1" t="s">
        <v>199</v>
      </c>
      <c r="E1835" s="1" t="s">
        <v>913</v>
      </c>
      <c r="H1835" s="1" t="s">
        <v>22</v>
      </c>
      <c r="I1835" s="1" t="s">
        <v>29</v>
      </c>
      <c r="J1835" s="1">
        <v>0.1</v>
      </c>
      <c r="K1835" s="1">
        <v>10</v>
      </c>
      <c r="L1835" s="1">
        <v>5.05</v>
      </c>
    </row>
    <row r="1836" spans="4:13">
      <c r="D1836" s="1" t="s">
        <v>199</v>
      </c>
      <c r="E1836" s="1" t="s">
        <v>914</v>
      </c>
      <c r="H1836" s="1" t="s">
        <v>22</v>
      </c>
      <c r="I1836" s="1" t="s">
        <v>29</v>
      </c>
      <c r="J1836" s="1">
        <v>0.1</v>
      </c>
      <c r="K1836" s="1">
        <v>10</v>
      </c>
      <c r="L1836" s="1">
        <v>5.05</v>
      </c>
    </row>
    <row r="1837" spans="4:13">
      <c r="D1837" s="1" t="s">
        <v>199</v>
      </c>
      <c r="E1837" s="1" t="s">
        <v>915</v>
      </c>
      <c r="H1837" s="1" t="s">
        <v>181</v>
      </c>
      <c r="I1837" s="1" t="s">
        <v>23</v>
      </c>
      <c r="J1837" s="1">
        <v>1</v>
      </c>
      <c r="K1837" s="1">
        <v>2</v>
      </c>
      <c r="M1837" s="1" t="s">
        <v>916</v>
      </c>
    </row>
    <row r="1838" spans="4:13">
      <c r="D1838" s="1" t="s">
        <v>199</v>
      </c>
      <c r="E1838" s="1" t="s">
        <v>917</v>
      </c>
      <c r="H1838" s="1" t="s">
        <v>22</v>
      </c>
      <c r="I1838" s="1" t="s">
        <v>23</v>
      </c>
      <c r="L1838" s="1">
        <v>1</v>
      </c>
      <c r="M1838" s="1">
        <v>9.9999999999999995E-7</v>
      </c>
    </row>
    <row r="1839" spans="4:13">
      <c r="D1839" s="1" t="s">
        <v>199</v>
      </c>
      <c r="E1839" s="1" t="s">
        <v>918</v>
      </c>
      <c r="H1839" s="1" t="s">
        <v>22</v>
      </c>
      <c r="I1839" s="1" t="s">
        <v>23</v>
      </c>
      <c r="L1839" s="1">
        <v>1</v>
      </c>
      <c r="M1839" s="1">
        <v>3.4856456179999999</v>
      </c>
    </row>
    <row r="1840" spans="4:13">
      <c r="D1840" s="1" t="s">
        <v>199</v>
      </c>
      <c r="E1840" s="1" t="s">
        <v>919</v>
      </c>
      <c r="H1840" s="1" t="s">
        <v>22</v>
      </c>
      <c r="I1840" s="1" t="s">
        <v>23</v>
      </c>
      <c r="L1840" s="1">
        <v>1</v>
      </c>
      <c r="M1840" s="1">
        <v>2.9632862709999999</v>
      </c>
    </row>
    <row r="1841" spans="4:13">
      <c r="D1841" s="1" t="s">
        <v>199</v>
      </c>
      <c r="E1841" s="1" t="s">
        <v>47</v>
      </c>
      <c r="H1841" s="1" t="s">
        <v>25</v>
      </c>
      <c r="I1841" s="1" t="s">
        <v>23</v>
      </c>
      <c r="M1841" s="1" t="b">
        <v>0</v>
      </c>
    </row>
    <row r="1842" spans="4:13">
      <c r="D1842" s="1" t="s">
        <v>199</v>
      </c>
      <c r="E1842" s="1" t="s">
        <v>920</v>
      </c>
      <c r="H1842" s="1" t="s">
        <v>22</v>
      </c>
      <c r="I1842" s="1" t="s">
        <v>23</v>
      </c>
      <c r="J1842" s="1">
        <v>-1</v>
      </c>
      <c r="K1842" s="1">
        <v>1</v>
      </c>
      <c r="L1842" s="1">
        <v>1</v>
      </c>
      <c r="M1842" s="1">
        <v>0</v>
      </c>
    </row>
    <row r="1843" spans="4:13">
      <c r="D1843" s="1" t="s">
        <v>199</v>
      </c>
      <c r="E1843" s="1" t="s">
        <v>921</v>
      </c>
      <c r="H1843" s="1" t="s">
        <v>22</v>
      </c>
      <c r="I1843" s="1" t="s">
        <v>23</v>
      </c>
      <c r="J1843" s="1">
        <v>-1</v>
      </c>
      <c r="K1843" s="1">
        <v>1</v>
      </c>
      <c r="L1843" s="1">
        <v>1</v>
      </c>
      <c r="M1843" s="1">
        <v>0</v>
      </c>
    </row>
    <row r="1844" spans="4:13">
      <c r="D1844" s="1" t="s">
        <v>199</v>
      </c>
      <c r="E1844" s="1" t="s">
        <v>922</v>
      </c>
      <c r="F1844" s="1" t="s">
        <v>56</v>
      </c>
      <c r="G1844" s="1" t="s">
        <v>57</v>
      </c>
      <c r="H1844" s="1" t="s">
        <v>22</v>
      </c>
      <c r="I1844" s="1" t="s">
        <v>29</v>
      </c>
      <c r="J1844" s="1">
        <v>4.9312830828271128</v>
      </c>
      <c r="K1844" s="1">
        <v>623.66227223989961</v>
      </c>
      <c r="L1844" s="1">
        <v>50.713895374744951</v>
      </c>
    </row>
    <row r="1845" spans="4:13">
      <c r="D1845" s="1" t="s">
        <v>199</v>
      </c>
      <c r="E1845" s="1" t="s">
        <v>923</v>
      </c>
      <c r="H1845" s="1" t="s">
        <v>22</v>
      </c>
      <c r="I1845" s="1" t="s">
        <v>29</v>
      </c>
      <c r="J1845" s="1">
        <v>0.9</v>
      </c>
      <c r="K1845" s="1">
        <v>10</v>
      </c>
      <c r="L1845" s="1">
        <v>1.01</v>
      </c>
    </row>
    <row r="1846" spans="4:13">
      <c r="D1846" s="1" t="s">
        <v>199</v>
      </c>
      <c r="E1846" s="1" t="s">
        <v>924</v>
      </c>
      <c r="F1846" s="1" t="s">
        <v>56</v>
      </c>
      <c r="G1846" s="1" t="s">
        <v>57</v>
      </c>
      <c r="H1846" s="1" t="s">
        <v>22</v>
      </c>
      <c r="I1846" s="1" t="s">
        <v>29</v>
      </c>
      <c r="J1846" s="1">
        <v>4.9312830828271128</v>
      </c>
      <c r="K1846" s="1">
        <v>623.66227223989961</v>
      </c>
      <c r="L1846" s="1">
        <v>50.713895374744951</v>
      </c>
    </row>
    <row r="1847" spans="4:13">
      <c r="D1847" s="1" t="s">
        <v>199</v>
      </c>
      <c r="E1847" s="1" t="s">
        <v>925</v>
      </c>
      <c r="H1847" s="1" t="s">
        <v>22</v>
      </c>
      <c r="I1847" s="1" t="s">
        <v>29</v>
      </c>
      <c r="J1847" s="1">
        <v>0.9</v>
      </c>
      <c r="K1847" s="1">
        <v>10</v>
      </c>
      <c r="L1847" s="1">
        <v>1.01</v>
      </c>
    </row>
    <row r="1848" spans="4:13">
      <c r="D1848" s="1" t="s">
        <v>199</v>
      </c>
      <c r="E1848" s="1" t="s">
        <v>926</v>
      </c>
      <c r="H1848" s="1" t="s">
        <v>22</v>
      </c>
      <c r="I1848" s="1" t="s">
        <v>29</v>
      </c>
      <c r="J1848" s="1">
        <v>34000</v>
      </c>
      <c r="K1848" s="1">
        <v>4300000</v>
      </c>
      <c r="L1848" s="1">
        <v>349660</v>
      </c>
    </row>
    <row r="1849" spans="4:13">
      <c r="D1849" s="1" t="s">
        <v>199</v>
      </c>
      <c r="E1849" s="1" t="s">
        <v>927</v>
      </c>
      <c r="H1849" s="1" t="s">
        <v>22</v>
      </c>
      <c r="I1849" s="1" t="s">
        <v>29</v>
      </c>
      <c r="J1849" s="1">
        <v>-3.94</v>
      </c>
      <c r="K1849" s="1">
        <v>3.66</v>
      </c>
      <c r="L1849" s="1">
        <v>1</v>
      </c>
    </row>
    <row r="1850" spans="4:13">
      <c r="D1850" s="1" t="s">
        <v>199</v>
      </c>
      <c r="E1850" s="1" t="s">
        <v>928</v>
      </c>
      <c r="H1850" s="1" t="s">
        <v>22</v>
      </c>
      <c r="I1850" s="1" t="s">
        <v>29</v>
      </c>
      <c r="J1850" s="1">
        <v>0</v>
      </c>
      <c r="K1850" s="1">
        <v>100</v>
      </c>
      <c r="L1850" s="1">
        <v>1</v>
      </c>
    </row>
    <row r="1851" spans="4:13">
      <c r="D1851" s="1" t="s">
        <v>199</v>
      </c>
      <c r="E1851" s="1" t="s">
        <v>929</v>
      </c>
      <c r="H1851" s="1" t="s">
        <v>22</v>
      </c>
      <c r="I1851" s="1" t="s">
        <v>29</v>
      </c>
      <c r="J1851" s="1">
        <v>-3.94</v>
      </c>
      <c r="K1851" s="1">
        <v>3.66</v>
      </c>
      <c r="L1851" s="1">
        <v>1</v>
      </c>
    </row>
    <row r="1852" spans="4:13">
      <c r="D1852" s="1" t="s">
        <v>199</v>
      </c>
      <c r="E1852" s="1" t="s">
        <v>930</v>
      </c>
      <c r="H1852" s="1" t="s">
        <v>22</v>
      </c>
      <c r="I1852" s="1" t="s">
        <v>29</v>
      </c>
      <c r="J1852" s="1">
        <v>34000</v>
      </c>
      <c r="K1852" s="1">
        <v>4300000</v>
      </c>
      <c r="L1852" s="1">
        <v>349660</v>
      </c>
    </row>
    <row r="1853" spans="4:13">
      <c r="D1853" s="1" t="s">
        <v>199</v>
      </c>
      <c r="E1853" s="1" t="s">
        <v>931</v>
      </c>
      <c r="H1853" s="1" t="s">
        <v>22</v>
      </c>
      <c r="I1853" s="1" t="s">
        <v>29</v>
      </c>
      <c r="J1853" s="1">
        <v>-3.94</v>
      </c>
      <c r="K1853" s="1">
        <v>3.66</v>
      </c>
      <c r="L1853" s="1">
        <v>1</v>
      </c>
    </row>
    <row r="1854" spans="4:13">
      <c r="D1854" s="1" t="s">
        <v>199</v>
      </c>
      <c r="E1854" s="1" t="s">
        <v>932</v>
      </c>
      <c r="H1854" s="1" t="s">
        <v>22</v>
      </c>
      <c r="I1854" s="1" t="s">
        <v>29</v>
      </c>
      <c r="J1854" s="1">
        <v>0</v>
      </c>
      <c r="K1854" s="1">
        <v>100</v>
      </c>
      <c r="L1854" s="1">
        <v>1</v>
      </c>
    </row>
    <row r="1855" spans="4:13">
      <c r="D1855" s="1" t="s">
        <v>199</v>
      </c>
      <c r="E1855" s="1" t="s">
        <v>933</v>
      </c>
      <c r="H1855" s="1" t="s">
        <v>22</v>
      </c>
      <c r="I1855" s="1" t="s">
        <v>29</v>
      </c>
      <c r="J1855" s="1">
        <v>-3.94</v>
      </c>
      <c r="K1855" s="1">
        <v>3.66</v>
      </c>
      <c r="L1855" s="1">
        <v>1</v>
      </c>
    </row>
    <row r="1856" spans="4:13">
      <c r="D1856" s="1" t="s">
        <v>199</v>
      </c>
      <c r="E1856" s="1" t="s">
        <v>934</v>
      </c>
      <c r="H1856" s="1" t="s">
        <v>22</v>
      </c>
      <c r="I1856" s="1" t="s">
        <v>29</v>
      </c>
      <c r="J1856" s="1">
        <v>34000</v>
      </c>
      <c r="K1856" s="1">
        <v>4300000</v>
      </c>
      <c r="L1856" s="1">
        <v>349660</v>
      </c>
    </row>
    <row r="1857" spans="4:13">
      <c r="D1857" s="1" t="s">
        <v>199</v>
      </c>
      <c r="E1857" s="1" t="s">
        <v>935</v>
      </c>
      <c r="H1857" s="1" t="s">
        <v>22</v>
      </c>
      <c r="I1857" s="1" t="s">
        <v>29</v>
      </c>
      <c r="J1857" s="1">
        <v>-3.94</v>
      </c>
      <c r="K1857" s="1">
        <v>3.66</v>
      </c>
      <c r="L1857" s="1">
        <v>1</v>
      </c>
    </row>
    <row r="1858" spans="4:13">
      <c r="D1858" s="1" t="s">
        <v>199</v>
      </c>
      <c r="E1858" s="1" t="s">
        <v>936</v>
      </c>
      <c r="H1858" s="1" t="s">
        <v>22</v>
      </c>
      <c r="I1858" s="1" t="s">
        <v>29</v>
      </c>
      <c r="J1858" s="1">
        <v>0</v>
      </c>
      <c r="K1858" s="1">
        <v>100</v>
      </c>
      <c r="L1858" s="1">
        <v>1</v>
      </c>
    </row>
    <row r="1859" spans="4:13">
      <c r="D1859" s="1" t="s">
        <v>199</v>
      </c>
      <c r="E1859" s="1" t="s">
        <v>937</v>
      </c>
      <c r="H1859" s="1" t="s">
        <v>22</v>
      </c>
      <c r="I1859" s="1" t="s">
        <v>29</v>
      </c>
      <c r="J1859" s="1">
        <v>-3.94</v>
      </c>
      <c r="K1859" s="1">
        <v>3.66</v>
      </c>
      <c r="L1859" s="1">
        <v>1</v>
      </c>
    </row>
    <row r="1860" spans="4:13">
      <c r="D1860" s="1" t="s">
        <v>199</v>
      </c>
      <c r="E1860" s="1" t="s">
        <v>938</v>
      </c>
      <c r="H1860" s="1" t="s">
        <v>22</v>
      </c>
      <c r="I1860" s="1" t="s">
        <v>29</v>
      </c>
      <c r="J1860" s="1">
        <v>34000</v>
      </c>
      <c r="K1860" s="1">
        <v>4300000</v>
      </c>
      <c r="L1860" s="1">
        <v>349660</v>
      </c>
    </row>
    <row r="1861" spans="4:13">
      <c r="D1861" s="1" t="s">
        <v>199</v>
      </c>
      <c r="E1861" s="1" t="s">
        <v>939</v>
      </c>
      <c r="H1861" s="1" t="s">
        <v>22</v>
      </c>
      <c r="I1861" s="1" t="s">
        <v>29</v>
      </c>
      <c r="J1861" s="1">
        <v>-3.94</v>
      </c>
      <c r="K1861" s="1">
        <v>3.66</v>
      </c>
      <c r="L1861" s="1">
        <v>1</v>
      </c>
    </row>
    <row r="1862" spans="4:13">
      <c r="D1862" s="1" t="s">
        <v>199</v>
      </c>
      <c r="E1862" s="1" t="s">
        <v>940</v>
      </c>
      <c r="H1862" s="1" t="s">
        <v>22</v>
      </c>
      <c r="I1862" s="1" t="s">
        <v>29</v>
      </c>
      <c r="J1862" s="1">
        <v>0</v>
      </c>
      <c r="K1862" s="1">
        <v>100</v>
      </c>
      <c r="L1862" s="1">
        <v>1</v>
      </c>
    </row>
    <row r="1863" spans="4:13">
      <c r="D1863" s="1" t="s">
        <v>199</v>
      </c>
      <c r="E1863" s="1" t="s">
        <v>941</v>
      </c>
      <c r="H1863" s="1" t="s">
        <v>22</v>
      </c>
      <c r="I1863" s="1" t="s">
        <v>29</v>
      </c>
      <c r="J1863" s="1">
        <v>-3.94</v>
      </c>
      <c r="K1863" s="1">
        <v>3.66</v>
      </c>
      <c r="L1863" s="1">
        <v>1</v>
      </c>
    </row>
    <row r="1864" spans="4:13">
      <c r="D1864" s="1" t="s">
        <v>199</v>
      </c>
      <c r="E1864" s="1" t="s">
        <v>942</v>
      </c>
      <c r="H1864" s="1" t="s">
        <v>25</v>
      </c>
      <c r="I1864" s="1" t="s">
        <v>23</v>
      </c>
      <c r="M1864" s="1" t="b">
        <v>0</v>
      </c>
    </row>
    <row r="1865" spans="4:13">
      <c r="D1865" s="1" t="s">
        <v>199</v>
      </c>
      <c r="E1865" s="1" t="s">
        <v>943</v>
      </c>
      <c r="H1865" s="1" t="s">
        <v>25</v>
      </c>
      <c r="I1865" s="1" t="s">
        <v>23</v>
      </c>
      <c r="M1865" s="1" t="b">
        <v>0</v>
      </c>
    </row>
    <row r="1866" spans="4:13">
      <c r="D1866" s="1" t="s">
        <v>199</v>
      </c>
      <c r="E1866" s="1" t="s">
        <v>944</v>
      </c>
      <c r="F1866" s="1" t="s">
        <v>147</v>
      </c>
      <c r="G1866" s="1" t="s">
        <v>148</v>
      </c>
      <c r="H1866" s="1" t="s">
        <v>22</v>
      </c>
      <c r="I1866" s="1" t="s">
        <v>23</v>
      </c>
      <c r="J1866" s="1">
        <v>0</v>
      </c>
      <c r="K1866" s="1">
        <v>34121416.351331003</v>
      </c>
      <c r="L1866" s="1">
        <v>3.4121416351331</v>
      </c>
      <c r="M1866" s="1">
        <v>170607.08175665501</v>
      </c>
    </row>
    <row r="1867" spans="4:13">
      <c r="D1867" s="1" t="s">
        <v>199</v>
      </c>
      <c r="E1867" s="1" t="s">
        <v>945</v>
      </c>
      <c r="H1867" s="1" t="s">
        <v>25</v>
      </c>
      <c r="I1867" s="1" t="s">
        <v>23</v>
      </c>
      <c r="M1867" s="1" t="b">
        <v>0</v>
      </c>
    </row>
    <row r="1868" spans="4:13">
      <c r="D1868" s="1" t="s">
        <v>199</v>
      </c>
      <c r="E1868" s="1" t="s">
        <v>946</v>
      </c>
      <c r="F1868" s="1" t="s">
        <v>147</v>
      </c>
      <c r="G1868" s="1" t="s">
        <v>148</v>
      </c>
      <c r="H1868" s="1" t="s">
        <v>22</v>
      </c>
      <c r="I1868" s="1" t="s">
        <v>23</v>
      </c>
      <c r="J1868" s="1">
        <v>0</v>
      </c>
      <c r="K1868" s="1">
        <v>34121416.351331003</v>
      </c>
      <c r="L1868" s="1">
        <v>3.4121416351331</v>
      </c>
      <c r="M1868" s="1">
        <v>170607.08175665501</v>
      </c>
    </row>
    <row r="1869" spans="4:13">
      <c r="D1869" s="1" t="s">
        <v>199</v>
      </c>
      <c r="E1869" s="1" t="s">
        <v>947</v>
      </c>
      <c r="H1869" s="1" t="s">
        <v>25</v>
      </c>
      <c r="I1869" s="1" t="s">
        <v>23</v>
      </c>
      <c r="M1869" s="1" t="b">
        <v>0</v>
      </c>
    </row>
    <row r="1870" spans="4:13">
      <c r="D1870" s="1" t="s">
        <v>199</v>
      </c>
      <c r="E1870" s="1" t="s">
        <v>948</v>
      </c>
      <c r="F1870" s="1" t="s">
        <v>147</v>
      </c>
      <c r="G1870" s="1" t="s">
        <v>148</v>
      </c>
      <c r="H1870" s="1" t="s">
        <v>22</v>
      </c>
      <c r="I1870" s="1" t="s">
        <v>23</v>
      </c>
      <c r="J1870" s="1">
        <v>0</v>
      </c>
      <c r="K1870" s="1">
        <v>34121416.351331003</v>
      </c>
      <c r="L1870" s="1">
        <v>3.4121416351331</v>
      </c>
      <c r="M1870" s="1">
        <v>341214.16351331002</v>
      </c>
    </row>
    <row r="1871" spans="4:13">
      <c r="D1871" s="1" t="s">
        <v>199</v>
      </c>
      <c r="E1871" s="1" t="s">
        <v>949</v>
      </c>
      <c r="H1871" s="1" t="s">
        <v>181</v>
      </c>
      <c r="I1871" s="1" t="s">
        <v>23</v>
      </c>
      <c r="J1871" s="1">
        <v>1</v>
      </c>
      <c r="K1871" s="1">
        <v>19</v>
      </c>
      <c r="M1871" s="1" t="s">
        <v>950</v>
      </c>
    </row>
    <row r="1872" spans="4:13">
      <c r="D1872" s="1" t="s">
        <v>199</v>
      </c>
      <c r="E1872" s="1" t="s">
        <v>951</v>
      </c>
      <c r="H1872" s="1" t="s">
        <v>181</v>
      </c>
      <c r="I1872" s="1" t="s">
        <v>23</v>
      </c>
      <c r="J1872" s="1">
        <v>1</v>
      </c>
      <c r="K1872" s="1">
        <v>8</v>
      </c>
      <c r="M1872" s="1" t="s">
        <v>952</v>
      </c>
    </row>
    <row r="1873" spans="4:12">
      <c r="D1873" s="1" t="s">
        <v>199</v>
      </c>
      <c r="E1873" s="1" t="s">
        <v>953</v>
      </c>
      <c r="F1873" s="1" t="s">
        <v>874</v>
      </c>
      <c r="G1873" s="1" t="s">
        <v>874</v>
      </c>
      <c r="H1873" s="1" t="s">
        <v>22</v>
      </c>
      <c r="I1873" s="1" t="s">
        <v>29</v>
      </c>
      <c r="L1873" s="1">
        <v>1</v>
      </c>
    </row>
    <row r="1874" spans="4:12">
      <c r="D1874" s="1" t="s">
        <v>199</v>
      </c>
      <c r="E1874" s="1" t="s">
        <v>954</v>
      </c>
      <c r="F1874" s="1">
        <v>1</v>
      </c>
      <c r="G1874" s="1">
        <v>1</v>
      </c>
      <c r="H1874" s="1" t="s">
        <v>22</v>
      </c>
      <c r="I1874" s="1" t="s">
        <v>65</v>
      </c>
      <c r="J1874" s="1">
        <v>0</v>
      </c>
      <c r="L1874" s="1">
        <v>1</v>
      </c>
    </row>
    <row r="1875" spans="4:12">
      <c r="D1875" s="1" t="s">
        <v>199</v>
      </c>
      <c r="E1875" s="1" t="s">
        <v>955</v>
      </c>
      <c r="F1875" s="1">
        <v>1</v>
      </c>
      <c r="G1875" s="1">
        <v>1</v>
      </c>
      <c r="H1875" s="1" t="s">
        <v>22</v>
      </c>
      <c r="I1875" s="1" t="s">
        <v>65</v>
      </c>
      <c r="J1875" s="1">
        <v>0</v>
      </c>
      <c r="L1875" s="1">
        <v>1</v>
      </c>
    </row>
    <row r="1876" spans="4:12">
      <c r="D1876" s="1" t="s">
        <v>199</v>
      </c>
      <c r="E1876" s="1" t="s">
        <v>956</v>
      </c>
      <c r="F1876" s="1">
        <v>1</v>
      </c>
      <c r="G1876" s="1">
        <v>1</v>
      </c>
      <c r="H1876" s="1" t="s">
        <v>22</v>
      </c>
      <c r="I1876" s="1" t="s">
        <v>65</v>
      </c>
      <c r="J1876" s="1">
        <v>0</v>
      </c>
      <c r="L1876" s="1">
        <v>1</v>
      </c>
    </row>
    <row r="1877" spans="4:12">
      <c r="D1877" s="1" t="s">
        <v>199</v>
      </c>
      <c r="E1877" s="1" t="s">
        <v>957</v>
      </c>
      <c r="H1877" s="1" t="s">
        <v>22</v>
      </c>
      <c r="I1877" s="1" t="s">
        <v>65</v>
      </c>
      <c r="L1877" s="1">
        <v>1</v>
      </c>
    </row>
    <row r="1878" spans="4:12">
      <c r="D1878" s="1" t="s">
        <v>199</v>
      </c>
      <c r="E1878" s="1" t="s">
        <v>958</v>
      </c>
      <c r="H1878" s="1" t="s">
        <v>22</v>
      </c>
      <c r="I1878" s="1" t="s">
        <v>65</v>
      </c>
      <c r="L1878" s="1">
        <v>1</v>
      </c>
    </row>
    <row r="1879" spans="4:12">
      <c r="D1879" s="1" t="s">
        <v>199</v>
      </c>
      <c r="E1879" s="1" t="s">
        <v>959</v>
      </c>
      <c r="H1879" s="1" t="s">
        <v>22</v>
      </c>
      <c r="I1879" s="1" t="s">
        <v>65</v>
      </c>
      <c r="L1879" s="1">
        <v>1</v>
      </c>
    </row>
    <row r="1880" spans="4:12">
      <c r="D1880" s="1" t="s">
        <v>199</v>
      </c>
      <c r="E1880" s="1" t="s">
        <v>960</v>
      </c>
      <c r="H1880" s="1" t="s">
        <v>22</v>
      </c>
      <c r="I1880" s="1" t="s">
        <v>65</v>
      </c>
      <c r="L1880" s="1">
        <v>1</v>
      </c>
    </row>
    <row r="1881" spans="4:12">
      <c r="D1881" s="1" t="s">
        <v>199</v>
      </c>
      <c r="E1881" s="1" t="s">
        <v>961</v>
      </c>
      <c r="H1881" s="1" t="s">
        <v>22</v>
      </c>
      <c r="I1881" s="1" t="s">
        <v>65</v>
      </c>
      <c r="L1881" s="1">
        <v>1</v>
      </c>
    </row>
    <row r="1882" spans="4:12">
      <c r="D1882" s="1" t="s">
        <v>199</v>
      </c>
      <c r="E1882" s="1" t="s">
        <v>962</v>
      </c>
      <c r="H1882" s="1" t="s">
        <v>22</v>
      </c>
      <c r="I1882" s="1" t="s">
        <v>65</v>
      </c>
      <c r="L1882" s="1">
        <v>1</v>
      </c>
    </row>
    <row r="1883" spans="4:12">
      <c r="D1883" s="1" t="s">
        <v>199</v>
      </c>
      <c r="E1883" s="1" t="s">
        <v>963</v>
      </c>
      <c r="H1883" s="1" t="s">
        <v>22</v>
      </c>
      <c r="I1883" s="1" t="s">
        <v>65</v>
      </c>
      <c r="L1883" s="1">
        <v>1</v>
      </c>
    </row>
    <row r="1884" spans="4:12">
      <c r="D1884" s="1" t="s">
        <v>199</v>
      </c>
      <c r="E1884" s="1" t="s">
        <v>964</v>
      </c>
      <c r="H1884" s="1" t="s">
        <v>25</v>
      </c>
      <c r="I1884" s="1" t="s">
        <v>65</v>
      </c>
    </row>
    <row r="1885" spans="4:12">
      <c r="D1885" s="1" t="s">
        <v>199</v>
      </c>
      <c r="E1885" s="1" t="s">
        <v>965</v>
      </c>
      <c r="H1885" s="1" t="s">
        <v>22</v>
      </c>
      <c r="I1885" s="1" t="s">
        <v>65</v>
      </c>
      <c r="L1885" s="1">
        <v>1</v>
      </c>
    </row>
    <row r="1886" spans="4:12">
      <c r="D1886" s="1" t="s">
        <v>199</v>
      </c>
      <c r="E1886" s="1" t="s">
        <v>966</v>
      </c>
      <c r="H1886" s="1" t="s">
        <v>22</v>
      </c>
      <c r="I1886" s="1" t="s">
        <v>65</v>
      </c>
      <c r="L1886" s="1">
        <v>1</v>
      </c>
    </row>
    <row r="1887" spans="4:12">
      <c r="D1887" s="1" t="s">
        <v>199</v>
      </c>
      <c r="E1887" s="1" t="s">
        <v>967</v>
      </c>
      <c r="F1887" s="1" t="s">
        <v>147</v>
      </c>
      <c r="G1887" s="1" t="s">
        <v>148</v>
      </c>
      <c r="H1887" s="1" t="s">
        <v>22</v>
      </c>
      <c r="I1887" s="1" t="s">
        <v>65</v>
      </c>
      <c r="L1887" s="1">
        <v>3.4121416351331</v>
      </c>
    </row>
    <row r="1888" spans="4:12">
      <c r="D1888" s="1" t="s">
        <v>199</v>
      </c>
      <c r="E1888" s="1" t="s">
        <v>968</v>
      </c>
      <c r="F1888" s="1" t="s">
        <v>874</v>
      </c>
      <c r="G1888" s="1" t="s">
        <v>874</v>
      </c>
      <c r="H1888" s="1" t="s">
        <v>22</v>
      </c>
      <c r="I1888" s="1" t="s">
        <v>65</v>
      </c>
      <c r="L1888" s="1">
        <v>1</v>
      </c>
    </row>
    <row r="1889" spans="4:12">
      <c r="D1889" s="1" t="s">
        <v>199</v>
      </c>
      <c r="E1889" s="1" t="s">
        <v>969</v>
      </c>
      <c r="H1889" s="1" t="s">
        <v>22</v>
      </c>
      <c r="I1889" s="1" t="s">
        <v>65</v>
      </c>
      <c r="L1889" s="1">
        <v>1</v>
      </c>
    </row>
    <row r="1890" spans="4:12">
      <c r="D1890" s="1" t="s">
        <v>199</v>
      </c>
      <c r="E1890" s="1" t="s">
        <v>970</v>
      </c>
      <c r="H1890" s="1" t="s">
        <v>22</v>
      </c>
      <c r="I1890" s="1" t="s">
        <v>65</v>
      </c>
      <c r="L1890" s="1">
        <v>1</v>
      </c>
    </row>
    <row r="1891" spans="4:12">
      <c r="D1891" s="1" t="s">
        <v>199</v>
      </c>
      <c r="E1891" s="1" t="s">
        <v>971</v>
      </c>
      <c r="H1891" s="1" t="s">
        <v>22</v>
      </c>
      <c r="I1891" s="1" t="s">
        <v>65</v>
      </c>
      <c r="L1891" s="1">
        <v>1</v>
      </c>
    </row>
    <row r="1892" spans="4:12">
      <c r="D1892" s="1" t="s">
        <v>199</v>
      </c>
      <c r="E1892" s="1" t="s">
        <v>972</v>
      </c>
      <c r="F1892" s="1" t="s">
        <v>147</v>
      </c>
      <c r="G1892" s="1" t="s">
        <v>148</v>
      </c>
      <c r="H1892" s="1" t="s">
        <v>22</v>
      </c>
      <c r="I1892" s="1" t="s">
        <v>65</v>
      </c>
      <c r="L1892" s="1">
        <v>3.4121416351331</v>
      </c>
    </row>
    <row r="1893" spans="4:12">
      <c r="D1893" s="1" t="s">
        <v>199</v>
      </c>
      <c r="E1893" s="1" t="s">
        <v>973</v>
      </c>
      <c r="F1893" s="1" t="s">
        <v>147</v>
      </c>
      <c r="G1893" s="1" t="s">
        <v>148</v>
      </c>
      <c r="H1893" s="1" t="s">
        <v>22</v>
      </c>
      <c r="I1893" s="1" t="s">
        <v>65</v>
      </c>
      <c r="L1893" s="1">
        <v>3.4121416351331</v>
      </c>
    </row>
    <row r="1894" spans="4:12">
      <c r="D1894" s="1" t="s">
        <v>199</v>
      </c>
      <c r="E1894" s="1" t="s">
        <v>974</v>
      </c>
      <c r="F1894" s="1" t="s">
        <v>147</v>
      </c>
      <c r="G1894" s="1" t="s">
        <v>148</v>
      </c>
      <c r="H1894" s="1" t="s">
        <v>22</v>
      </c>
      <c r="I1894" s="1" t="s">
        <v>65</v>
      </c>
      <c r="L1894" s="1">
        <v>3.4121416351331</v>
      </c>
    </row>
    <row r="1895" spans="4:12">
      <c r="D1895" s="1" t="s">
        <v>199</v>
      </c>
      <c r="E1895" s="1" t="s">
        <v>975</v>
      </c>
      <c r="F1895" s="1" t="s">
        <v>35</v>
      </c>
      <c r="G1895" s="1" t="s">
        <v>36</v>
      </c>
      <c r="H1895" s="1" t="s">
        <v>22</v>
      </c>
      <c r="I1895" s="1" t="s">
        <v>65</v>
      </c>
      <c r="J1895" s="1">
        <v>-459.67</v>
      </c>
      <c r="L1895" s="1">
        <v>80.329999999999984</v>
      </c>
    </row>
    <row r="1896" spans="4:12">
      <c r="D1896" s="1" t="s">
        <v>199</v>
      </c>
      <c r="E1896" s="1" t="s">
        <v>976</v>
      </c>
      <c r="F1896" s="1" t="s">
        <v>35</v>
      </c>
      <c r="G1896" s="1" t="s">
        <v>36</v>
      </c>
      <c r="H1896" s="1" t="s">
        <v>22</v>
      </c>
      <c r="I1896" s="1" t="s">
        <v>65</v>
      </c>
      <c r="J1896" s="1">
        <v>-459.67</v>
      </c>
      <c r="L1896" s="1">
        <v>80.329999999999984</v>
      </c>
    </row>
    <row r="1897" spans="4:12">
      <c r="D1897" s="1" t="s">
        <v>199</v>
      </c>
      <c r="E1897" s="1" t="s">
        <v>977</v>
      </c>
      <c r="F1897" s="1" t="s">
        <v>35</v>
      </c>
      <c r="G1897" s="1" t="s">
        <v>36</v>
      </c>
      <c r="H1897" s="1" t="s">
        <v>22</v>
      </c>
      <c r="I1897" s="1" t="s">
        <v>65</v>
      </c>
      <c r="J1897" s="1">
        <v>-459.67</v>
      </c>
      <c r="L1897" s="1">
        <v>80.329999999999984</v>
      </c>
    </row>
    <row r="1898" spans="4:12">
      <c r="D1898" s="1" t="s">
        <v>199</v>
      </c>
      <c r="E1898" s="1" t="s">
        <v>978</v>
      </c>
      <c r="F1898" s="1" t="s">
        <v>35</v>
      </c>
      <c r="G1898" s="1" t="s">
        <v>36</v>
      </c>
      <c r="H1898" s="1" t="s">
        <v>22</v>
      </c>
      <c r="I1898" s="1" t="s">
        <v>65</v>
      </c>
      <c r="J1898" s="1">
        <v>-459.67</v>
      </c>
      <c r="L1898" s="1">
        <v>80.329999999999984</v>
      </c>
    </row>
    <row r="1899" spans="4:12">
      <c r="D1899" s="1" t="s">
        <v>199</v>
      </c>
      <c r="E1899" s="1" t="s">
        <v>979</v>
      </c>
      <c r="F1899" s="1" t="s">
        <v>35</v>
      </c>
      <c r="G1899" s="1" t="s">
        <v>36</v>
      </c>
      <c r="H1899" s="1" t="s">
        <v>22</v>
      </c>
      <c r="I1899" s="1" t="s">
        <v>65</v>
      </c>
      <c r="J1899" s="1">
        <v>-459.67</v>
      </c>
      <c r="L1899" s="1">
        <v>80.329999999999984</v>
      </c>
    </row>
    <row r="1900" spans="4:12">
      <c r="D1900" s="1" t="s">
        <v>199</v>
      </c>
      <c r="E1900" s="1" t="s">
        <v>980</v>
      </c>
      <c r="F1900" s="1" t="s">
        <v>35</v>
      </c>
      <c r="G1900" s="1" t="s">
        <v>36</v>
      </c>
      <c r="H1900" s="1" t="s">
        <v>22</v>
      </c>
      <c r="I1900" s="1" t="s">
        <v>65</v>
      </c>
      <c r="J1900" s="1">
        <v>-459.67</v>
      </c>
      <c r="L1900" s="1">
        <v>80.329999999999984</v>
      </c>
    </row>
    <row r="1901" spans="4:12">
      <c r="D1901" s="1" t="s">
        <v>199</v>
      </c>
      <c r="E1901" s="1" t="s">
        <v>981</v>
      </c>
      <c r="F1901" s="1" t="s">
        <v>35</v>
      </c>
      <c r="G1901" s="1" t="s">
        <v>36</v>
      </c>
      <c r="H1901" s="1" t="s">
        <v>22</v>
      </c>
      <c r="I1901" s="1" t="s">
        <v>65</v>
      </c>
      <c r="J1901" s="1">
        <v>-459.67</v>
      </c>
      <c r="L1901" s="1">
        <v>80.329999999999984</v>
      </c>
    </row>
    <row r="1902" spans="4:12">
      <c r="D1902" s="1" t="s">
        <v>199</v>
      </c>
      <c r="E1902" s="1" t="s">
        <v>982</v>
      </c>
      <c r="F1902" s="1" t="s">
        <v>35</v>
      </c>
      <c r="G1902" s="1" t="s">
        <v>36</v>
      </c>
      <c r="H1902" s="1" t="s">
        <v>22</v>
      </c>
      <c r="I1902" s="1" t="s">
        <v>65</v>
      </c>
      <c r="J1902" s="1">
        <v>-459.67</v>
      </c>
      <c r="L1902" s="1">
        <v>80.329999999999984</v>
      </c>
    </row>
    <row r="1903" spans="4:12">
      <c r="D1903" s="1" t="s">
        <v>199</v>
      </c>
      <c r="E1903" s="1" t="s">
        <v>983</v>
      </c>
      <c r="F1903" s="1" t="s">
        <v>41</v>
      </c>
      <c r="G1903" s="1" t="s">
        <v>42</v>
      </c>
      <c r="H1903" s="1" t="s">
        <v>22</v>
      </c>
      <c r="I1903" s="1" t="s">
        <v>65</v>
      </c>
      <c r="L1903" s="1">
        <v>1.8</v>
      </c>
    </row>
    <row r="1904" spans="4:12">
      <c r="D1904" s="1" t="s">
        <v>199</v>
      </c>
      <c r="E1904" s="1" t="s">
        <v>984</v>
      </c>
      <c r="F1904" s="1" t="s">
        <v>41</v>
      </c>
      <c r="G1904" s="1" t="s">
        <v>42</v>
      </c>
      <c r="H1904" s="1" t="s">
        <v>22</v>
      </c>
      <c r="I1904" s="1" t="s">
        <v>65</v>
      </c>
      <c r="L1904" s="1">
        <v>1.8</v>
      </c>
    </row>
    <row r="1905" spans="4:12">
      <c r="D1905" s="1" t="s">
        <v>199</v>
      </c>
      <c r="E1905" s="1" t="s">
        <v>985</v>
      </c>
      <c r="F1905" s="1" t="s">
        <v>41</v>
      </c>
      <c r="G1905" s="1" t="s">
        <v>42</v>
      </c>
      <c r="H1905" s="1" t="s">
        <v>22</v>
      </c>
      <c r="I1905" s="1" t="s">
        <v>65</v>
      </c>
      <c r="L1905" s="1">
        <v>1.8</v>
      </c>
    </row>
    <row r="1906" spans="4:12">
      <c r="D1906" s="1" t="s">
        <v>199</v>
      </c>
      <c r="E1906" s="1" t="s">
        <v>986</v>
      </c>
      <c r="F1906" s="1" t="s">
        <v>41</v>
      </c>
      <c r="G1906" s="1" t="s">
        <v>42</v>
      </c>
      <c r="H1906" s="1" t="s">
        <v>22</v>
      </c>
      <c r="I1906" s="1" t="s">
        <v>65</v>
      </c>
      <c r="L1906" s="1">
        <v>1.8</v>
      </c>
    </row>
    <row r="1907" spans="4:12">
      <c r="D1907" s="1" t="s">
        <v>199</v>
      </c>
      <c r="E1907" s="1" t="s">
        <v>987</v>
      </c>
      <c r="H1907" s="1" t="s">
        <v>22</v>
      </c>
      <c r="I1907" s="1" t="s">
        <v>65</v>
      </c>
      <c r="L1907" s="1">
        <v>1</v>
      </c>
    </row>
    <row r="1908" spans="4:12">
      <c r="D1908" s="1" t="s">
        <v>199</v>
      </c>
      <c r="E1908" s="1" t="s">
        <v>988</v>
      </c>
      <c r="H1908" s="1" t="s">
        <v>22</v>
      </c>
      <c r="I1908" s="1" t="s">
        <v>65</v>
      </c>
      <c r="L1908" s="1">
        <v>1</v>
      </c>
    </row>
    <row r="1909" spans="4:12">
      <c r="D1909" s="1" t="s">
        <v>199</v>
      </c>
      <c r="E1909" s="1" t="s">
        <v>989</v>
      </c>
      <c r="H1909" s="1" t="s">
        <v>22</v>
      </c>
      <c r="I1909" s="1" t="s">
        <v>65</v>
      </c>
      <c r="L1909" s="1">
        <v>1</v>
      </c>
    </row>
    <row r="1910" spans="4:12">
      <c r="D1910" s="1" t="s">
        <v>199</v>
      </c>
      <c r="E1910" s="1" t="s">
        <v>990</v>
      </c>
      <c r="H1910" s="1" t="s">
        <v>22</v>
      </c>
      <c r="I1910" s="1" t="s">
        <v>65</v>
      </c>
      <c r="L1910" s="1">
        <v>1</v>
      </c>
    </row>
    <row r="1911" spans="4:12">
      <c r="D1911" s="1" t="s">
        <v>199</v>
      </c>
      <c r="E1911" s="1" t="s">
        <v>991</v>
      </c>
      <c r="F1911" s="1" t="s">
        <v>118</v>
      </c>
      <c r="G1911" s="1" t="s">
        <v>119</v>
      </c>
      <c r="H1911" s="1" t="s">
        <v>22</v>
      </c>
      <c r="I1911" s="1" t="s">
        <v>120</v>
      </c>
      <c r="J1911" s="1">
        <v>0</v>
      </c>
      <c r="L1911" s="1">
        <v>2.20462262185</v>
      </c>
    </row>
    <row r="1912" spans="4:12">
      <c r="D1912" s="1" t="s">
        <v>199</v>
      </c>
      <c r="E1912" s="1" t="s">
        <v>992</v>
      </c>
      <c r="F1912" s="1" t="s">
        <v>52</v>
      </c>
      <c r="G1912" s="1" t="s">
        <v>53</v>
      </c>
      <c r="H1912" s="1" t="s">
        <v>22</v>
      </c>
      <c r="I1912" s="1" t="s">
        <v>65</v>
      </c>
      <c r="L1912" s="1">
        <v>7936.6414386555998</v>
      </c>
    </row>
    <row r="1913" spans="4:12">
      <c r="D1913" s="1" t="s">
        <v>199</v>
      </c>
      <c r="E1913" s="1" t="s">
        <v>993</v>
      </c>
      <c r="F1913" s="1" t="s">
        <v>52</v>
      </c>
      <c r="G1913" s="1" t="s">
        <v>53</v>
      </c>
      <c r="H1913" s="1" t="s">
        <v>22</v>
      </c>
      <c r="I1913" s="1" t="s">
        <v>65</v>
      </c>
      <c r="L1913" s="1">
        <v>7936.6414386555998</v>
      </c>
    </row>
    <row r="1914" spans="4:12">
      <c r="D1914" s="1" t="s">
        <v>199</v>
      </c>
      <c r="E1914" s="1" t="s">
        <v>994</v>
      </c>
      <c r="F1914" s="1" t="s">
        <v>52</v>
      </c>
      <c r="G1914" s="1" t="s">
        <v>53</v>
      </c>
      <c r="H1914" s="1" t="s">
        <v>22</v>
      </c>
      <c r="I1914" s="1" t="s">
        <v>65</v>
      </c>
      <c r="L1914" s="1">
        <v>7936.6414386555998</v>
      </c>
    </row>
    <row r="1915" spans="4:12">
      <c r="D1915" s="1" t="s">
        <v>199</v>
      </c>
      <c r="E1915" s="1" t="s">
        <v>995</v>
      </c>
      <c r="F1915" s="1" t="s">
        <v>52</v>
      </c>
      <c r="G1915" s="1" t="s">
        <v>53</v>
      </c>
      <c r="H1915" s="1" t="s">
        <v>22</v>
      </c>
      <c r="I1915" s="1" t="s">
        <v>65</v>
      </c>
      <c r="L1915" s="1">
        <v>7936.6414386555998</v>
      </c>
    </row>
    <row r="1916" spans="4:12">
      <c r="D1916" s="1" t="s">
        <v>199</v>
      </c>
      <c r="E1916" s="1" t="s">
        <v>996</v>
      </c>
      <c r="H1916" s="1" t="s">
        <v>22</v>
      </c>
      <c r="I1916" s="1" t="s">
        <v>120</v>
      </c>
      <c r="L1916" s="1">
        <v>1</v>
      </c>
    </row>
    <row r="1917" spans="4:12">
      <c r="D1917" s="1" t="s">
        <v>199</v>
      </c>
      <c r="E1917" s="1" t="s">
        <v>997</v>
      </c>
      <c r="H1917" s="1" t="s">
        <v>22</v>
      </c>
      <c r="I1917" s="1" t="s">
        <v>65</v>
      </c>
      <c r="L1917" s="1">
        <v>1</v>
      </c>
    </row>
    <row r="1918" spans="4:12">
      <c r="D1918" s="1" t="s">
        <v>199</v>
      </c>
      <c r="E1918" s="1" t="s">
        <v>998</v>
      </c>
      <c r="F1918" s="1" t="s">
        <v>56</v>
      </c>
      <c r="G1918" s="1" t="s">
        <v>57</v>
      </c>
      <c r="H1918" s="1" t="s">
        <v>22</v>
      </c>
      <c r="I1918" s="1" t="s">
        <v>65</v>
      </c>
      <c r="L1918" s="1">
        <v>1.4503773773020921E-4</v>
      </c>
    </row>
    <row r="1919" spans="4:12">
      <c r="D1919" s="1" t="s">
        <v>199</v>
      </c>
      <c r="E1919" s="1" t="s">
        <v>999</v>
      </c>
      <c r="F1919" s="1" t="s">
        <v>56</v>
      </c>
      <c r="G1919" s="1" t="s">
        <v>57</v>
      </c>
      <c r="H1919" s="1" t="s">
        <v>22</v>
      </c>
      <c r="I1919" s="1" t="s">
        <v>65</v>
      </c>
      <c r="L1919" s="1">
        <v>1.4503773773020921E-4</v>
      </c>
    </row>
    <row r="1920" spans="4:12">
      <c r="D1920" s="1" t="s">
        <v>199</v>
      </c>
      <c r="E1920" s="1" t="s">
        <v>1000</v>
      </c>
      <c r="F1920" s="1" t="s">
        <v>56</v>
      </c>
      <c r="G1920" s="1" t="s">
        <v>57</v>
      </c>
      <c r="H1920" s="1" t="s">
        <v>22</v>
      </c>
      <c r="I1920" s="1" t="s">
        <v>65</v>
      </c>
      <c r="L1920" s="1">
        <v>1.4503773773020921E-4</v>
      </c>
    </row>
    <row r="1921" spans="4:13">
      <c r="D1921" s="1" t="s">
        <v>199</v>
      </c>
      <c r="E1921" s="1" t="s">
        <v>1001</v>
      </c>
      <c r="F1921" s="1" t="s">
        <v>56</v>
      </c>
      <c r="G1921" s="1" t="s">
        <v>57</v>
      </c>
      <c r="H1921" s="1" t="s">
        <v>22</v>
      </c>
      <c r="I1921" s="1" t="s">
        <v>65</v>
      </c>
      <c r="L1921" s="1">
        <v>1.4503773773020921E-4</v>
      </c>
    </row>
    <row r="1922" spans="4:13">
      <c r="D1922" s="1" t="s">
        <v>199</v>
      </c>
      <c r="E1922" s="1" t="s">
        <v>1002</v>
      </c>
      <c r="F1922" s="1" t="s">
        <v>124</v>
      </c>
      <c r="G1922" s="1" t="s">
        <v>125</v>
      </c>
      <c r="H1922" s="1" t="s">
        <v>22</v>
      </c>
      <c r="I1922" s="1" t="s">
        <v>120</v>
      </c>
      <c r="L1922" s="1">
        <v>35.314666699999997</v>
      </c>
    </row>
    <row r="1923" spans="4:13">
      <c r="D1923" s="1" t="s">
        <v>199</v>
      </c>
      <c r="E1923" s="1" t="s">
        <v>1003</v>
      </c>
      <c r="H1923" s="1" t="s">
        <v>22</v>
      </c>
      <c r="I1923" s="1" t="s">
        <v>65</v>
      </c>
      <c r="L1923" s="1">
        <v>1</v>
      </c>
    </row>
    <row r="1924" spans="4:13">
      <c r="D1924" s="1" t="s">
        <v>199</v>
      </c>
      <c r="E1924" s="1" t="s">
        <v>1004</v>
      </c>
      <c r="H1924" s="1" t="s">
        <v>22</v>
      </c>
      <c r="I1924" s="1" t="s">
        <v>65</v>
      </c>
      <c r="L1924" s="1">
        <v>1</v>
      </c>
    </row>
    <row r="1925" spans="4:13">
      <c r="D1925" s="1" t="s">
        <v>199</v>
      </c>
      <c r="E1925" s="1" t="s">
        <v>1005</v>
      </c>
      <c r="H1925" s="1" t="s">
        <v>22</v>
      </c>
      <c r="I1925" s="1" t="s">
        <v>65</v>
      </c>
      <c r="L1925" s="1">
        <v>1</v>
      </c>
    </row>
    <row r="1926" spans="4:13">
      <c r="D1926" s="1" t="s">
        <v>199</v>
      </c>
      <c r="E1926" s="1" t="s">
        <v>1006</v>
      </c>
      <c r="H1926" s="1" t="s">
        <v>22</v>
      </c>
      <c r="I1926" s="1" t="s">
        <v>65</v>
      </c>
      <c r="L1926" s="1">
        <v>1</v>
      </c>
    </row>
    <row r="1927" spans="4:13">
      <c r="D1927" s="1" t="s">
        <v>199</v>
      </c>
      <c r="E1927" s="1" t="s">
        <v>1007</v>
      </c>
      <c r="H1927" s="1" t="s">
        <v>25</v>
      </c>
      <c r="I1927" s="1" t="s">
        <v>23</v>
      </c>
      <c r="M1927" s="1" t="b">
        <v>1</v>
      </c>
    </row>
    <row r="1928" spans="4:13">
      <c r="D1928" s="1" t="s">
        <v>199</v>
      </c>
      <c r="E1928" s="1" t="s">
        <v>1008</v>
      </c>
      <c r="H1928" s="1" t="s">
        <v>25</v>
      </c>
      <c r="I1928" s="1" t="s">
        <v>23</v>
      </c>
      <c r="M1928" s="1" t="b">
        <v>1</v>
      </c>
    </row>
    <row r="1929" spans="4:13">
      <c r="D1929" s="1" t="s">
        <v>199</v>
      </c>
      <c r="E1929" s="1" t="s">
        <v>1009</v>
      </c>
      <c r="H1929" s="1" t="s">
        <v>25</v>
      </c>
      <c r="I1929" s="1" t="s">
        <v>23</v>
      </c>
      <c r="M1929" s="1" t="b">
        <v>1</v>
      </c>
    </row>
    <row r="1930" spans="4:13">
      <c r="D1930" s="1" t="s">
        <v>199</v>
      </c>
      <c r="E1930" s="1" t="s">
        <v>1010</v>
      </c>
      <c r="H1930" s="1" t="s">
        <v>25</v>
      </c>
      <c r="I1930" s="1" t="s">
        <v>23</v>
      </c>
      <c r="M1930" s="1" t="b">
        <v>0</v>
      </c>
    </row>
    <row r="1931" spans="4:13">
      <c r="D1931" s="1" t="s">
        <v>199</v>
      </c>
      <c r="E1931" s="1" t="s">
        <v>1011</v>
      </c>
      <c r="H1931" s="1" t="s">
        <v>25</v>
      </c>
      <c r="I1931" s="1" t="s">
        <v>23</v>
      </c>
      <c r="M1931" s="1" t="b">
        <v>0</v>
      </c>
    </row>
    <row r="1932" spans="4:13">
      <c r="D1932" s="1" t="s">
        <v>199</v>
      </c>
      <c r="E1932" s="1" t="s">
        <v>1012</v>
      </c>
      <c r="H1932" s="1" t="s">
        <v>25</v>
      </c>
      <c r="I1932" s="1" t="s">
        <v>23</v>
      </c>
      <c r="M1932" s="1" t="b">
        <v>0</v>
      </c>
    </row>
    <row r="1933" spans="4:13">
      <c r="D1933" s="1" t="s">
        <v>199</v>
      </c>
      <c r="E1933" s="1" t="s">
        <v>1013</v>
      </c>
      <c r="H1933" s="1" t="s">
        <v>25</v>
      </c>
      <c r="I1933" s="1" t="s">
        <v>23</v>
      </c>
      <c r="M1933" s="1" t="b">
        <v>0</v>
      </c>
    </row>
    <row r="1934" spans="4:13">
      <c r="D1934" s="1" t="s">
        <v>1014</v>
      </c>
      <c r="E1934" s="1" t="s">
        <v>1015</v>
      </c>
      <c r="F1934" s="1" t="s">
        <v>176</v>
      </c>
      <c r="G1934" s="1" t="s">
        <v>177</v>
      </c>
      <c r="H1934" s="1" t="s">
        <v>22</v>
      </c>
      <c r="I1934" s="1" t="s">
        <v>23</v>
      </c>
      <c r="J1934" s="1">
        <v>0</v>
      </c>
      <c r="L1934" s="1">
        <v>39.370078740157467</v>
      </c>
      <c r="M1934" s="1">
        <v>0.24803149606299205</v>
      </c>
    </row>
    <row r="1935" spans="4:13">
      <c r="D1935" s="1" t="s">
        <v>1014</v>
      </c>
      <c r="E1935" s="1" t="s">
        <v>1016</v>
      </c>
      <c r="F1935" s="1" t="s">
        <v>176</v>
      </c>
      <c r="G1935" s="1" t="s">
        <v>177</v>
      </c>
      <c r="H1935" s="1" t="s">
        <v>22</v>
      </c>
      <c r="I1935" s="1" t="s">
        <v>23</v>
      </c>
      <c r="L1935" s="1">
        <v>39.370078740157467</v>
      </c>
      <c r="M1935" s="1">
        <v>0</v>
      </c>
    </row>
    <row r="1936" spans="4:13">
      <c r="D1936" s="1" t="s">
        <v>1014</v>
      </c>
      <c r="E1936" s="1" t="s">
        <v>1017</v>
      </c>
      <c r="F1936" s="1" t="s">
        <v>41</v>
      </c>
      <c r="G1936" s="1" t="s">
        <v>42</v>
      </c>
      <c r="H1936" s="1" t="s">
        <v>22</v>
      </c>
      <c r="I1936" s="1" t="s">
        <v>23</v>
      </c>
      <c r="J1936" s="1">
        <v>0</v>
      </c>
      <c r="K1936" s="1">
        <v>27</v>
      </c>
      <c r="L1936" s="1">
        <v>1.8</v>
      </c>
      <c r="M1936" s="1">
        <v>0.9</v>
      </c>
    </row>
    <row r="1937" spans="4:13">
      <c r="D1937" s="1" t="s">
        <v>1014</v>
      </c>
      <c r="E1937" s="1" t="s">
        <v>1018</v>
      </c>
      <c r="H1937" s="1" t="s">
        <v>25</v>
      </c>
      <c r="I1937" s="1" t="s">
        <v>23</v>
      </c>
      <c r="M1937" s="1" t="b">
        <v>0</v>
      </c>
    </row>
    <row r="1938" spans="4:13">
      <c r="D1938" s="1" t="s">
        <v>1014</v>
      </c>
      <c r="E1938" s="1" t="s">
        <v>1019</v>
      </c>
      <c r="F1938" s="1" t="s">
        <v>41</v>
      </c>
      <c r="G1938" s="1" t="s">
        <v>42</v>
      </c>
      <c r="H1938" s="1" t="s">
        <v>22</v>
      </c>
      <c r="I1938" s="1" t="s">
        <v>23</v>
      </c>
      <c r="J1938" s="1">
        <v>0</v>
      </c>
      <c r="K1938" s="1">
        <v>27</v>
      </c>
      <c r="L1938" s="1">
        <v>1.8</v>
      </c>
      <c r="M1938" s="1">
        <v>0.9</v>
      </c>
    </row>
    <row r="1939" spans="4:13">
      <c r="D1939" s="1" t="s">
        <v>1014</v>
      </c>
      <c r="E1939" s="1" t="s">
        <v>1020</v>
      </c>
      <c r="F1939" s="1" t="s">
        <v>176</v>
      </c>
      <c r="G1939" s="1" t="s">
        <v>177</v>
      </c>
      <c r="H1939" s="1" t="s">
        <v>22</v>
      </c>
      <c r="I1939" s="1" t="s">
        <v>23</v>
      </c>
      <c r="L1939" s="1">
        <v>39.370078740157467</v>
      </c>
      <c r="M1939" s="1">
        <v>0.8748031496062989</v>
      </c>
    </row>
    <row r="1940" spans="4:13">
      <c r="D1940" s="1" t="s">
        <v>1014</v>
      </c>
      <c r="E1940" s="1" t="s">
        <v>1021</v>
      </c>
      <c r="F1940" s="1" t="s">
        <v>176</v>
      </c>
      <c r="G1940" s="1" t="s">
        <v>177</v>
      </c>
      <c r="H1940" s="1" t="s">
        <v>22</v>
      </c>
      <c r="I1940" s="1" t="s">
        <v>23</v>
      </c>
      <c r="L1940" s="1">
        <v>39.370078740157467</v>
      </c>
      <c r="M1940" s="1">
        <v>1.5157480314960625</v>
      </c>
    </row>
    <row r="1941" spans="4:13">
      <c r="D1941" s="1" t="s">
        <v>1014</v>
      </c>
      <c r="E1941" s="1" t="s">
        <v>1022</v>
      </c>
      <c r="F1941" s="1" t="s">
        <v>143</v>
      </c>
      <c r="G1941" s="1" t="s">
        <v>144</v>
      </c>
      <c r="H1941" s="1" t="s">
        <v>22</v>
      </c>
      <c r="I1941" s="1" t="s">
        <v>23</v>
      </c>
      <c r="J1941" s="1">
        <v>0</v>
      </c>
      <c r="K1941" s="1">
        <v>9.9937434836636016E-3</v>
      </c>
      <c r="L1941" s="1">
        <v>5.6782633429906824</v>
      </c>
      <c r="M1941" s="1">
        <v>2.4984358709159E-4</v>
      </c>
    </row>
    <row r="1942" spans="4:13">
      <c r="D1942" s="1" t="s">
        <v>1014</v>
      </c>
      <c r="E1942" s="1" t="s">
        <v>1023</v>
      </c>
      <c r="F1942" s="1" t="s">
        <v>35</v>
      </c>
      <c r="G1942" s="1" t="s">
        <v>36</v>
      </c>
      <c r="H1942" s="1" t="s">
        <v>22</v>
      </c>
      <c r="I1942" s="1" t="s">
        <v>23</v>
      </c>
      <c r="J1942" s="1">
        <v>-99.670000000000016</v>
      </c>
      <c r="K1942" s="1">
        <v>211.99999999999994</v>
      </c>
      <c r="L1942" s="1">
        <v>80.329999999999984</v>
      </c>
      <c r="M1942" s="1">
        <v>85.999999999999943</v>
      </c>
    </row>
    <row r="1943" spans="4:13">
      <c r="D1943" s="1" t="s">
        <v>1014</v>
      </c>
      <c r="E1943" s="1" t="s">
        <v>1024</v>
      </c>
      <c r="F1943" s="1" t="s">
        <v>35</v>
      </c>
      <c r="G1943" s="1" t="s">
        <v>36</v>
      </c>
      <c r="H1943" s="1" t="s">
        <v>22</v>
      </c>
      <c r="I1943" s="1" t="s">
        <v>23</v>
      </c>
      <c r="J1943" s="1">
        <v>-99.670000000000016</v>
      </c>
      <c r="K1943" s="1">
        <v>211.99999999999994</v>
      </c>
      <c r="L1943" s="1">
        <v>80.329999999999984</v>
      </c>
      <c r="M1943" s="1">
        <v>94.999999999999943</v>
      </c>
    </row>
    <row r="1944" spans="4:13">
      <c r="D1944" s="1" t="s">
        <v>1014</v>
      </c>
      <c r="E1944" s="1" t="s">
        <v>1025</v>
      </c>
      <c r="F1944" s="1" t="s">
        <v>41</v>
      </c>
      <c r="G1944" s="1" t="s">
        <v>42</v>
      </c>
      <c r="H1944" s="1" t="s">
        <v>22</v>
      </c>
      <c r="I1944" s="1" t="s">
        <v>23</v>
      </c>
      <c r="J1944" s="1">
        <v>0</v>
      </c>
      <c r="K1944" s="1">
        <v>36</v>
      </c>
      <c r="L1944" s="1">
        <v>1.8</v>
      </c>
      <c r="M1944" s="1">
        <v>3.6</v>
      </c>
    </row>
    <row r="1945" spans="4:13">
      <c r="D1945" s="1" t="s">
        <v>1014</v>
      </c>
      <c r="E1945" s="1" t="s">
        <v>163</v>
      </c>
      <c r="H1945" s="1" t="s">
        <v>22</v>
      </c>
      <c r="I1945" s="1" t="s">
        <v>23</v>
      </c>
      <c r="J1945" s="1">
        <v>0</v>
      </c>
      <c r="K1945" s="1">
        <v>1</v>
      </c>
      <c r="L1945" s="1">
        <v>0.1</v>
      </c>
      <c r="M1945" s="1">
        <v>0.2</v>
      </c>
    </row>
    <row r="1946" spans="4:13">
      <c r="D1946" s="1" t="s">
        <v>1014</v>
      </c>
      <c r="E1946" s="1" t="s">
        <v>1026</v>
      </c>
      <c r="H1946" s="1" t="s">
        <v>22</v>
      </c>
      <c r="I1946" s="1" t="s">
        <v>23</v>
      </c>
      <c r="J1946" s="1">
        <v>0.5</v>
      </c>
      <c r="K1946" s="1">
        <v>2</v>
      </c>
      <c r="L1946" s="1">
        <v>1</v>
      </c>
      <c r="M1946" s="1">
        <v>1</v>
      </c>
    </row>
    <row r="1947" spans="4:13">
      <c r="D1947" s="1" t="s">
        <v>1014</v>
      </c>
      <c r="E1947" s="1" t="s">
        <v>1027</v>
      </c>
      <c r="H1947" s="1" t="s">
        <v>22</v>
      </c>
      <c r="I1947" s="1" t="s">
        <v>23</v>
      </c>
      <c r="J1947" s="1">
        <v>0.5</v>
      </c>
      <c r="K1947" s="1">
        <v>2</v>
      </c>
      <c r="L1947" s="1">
        <v>1</v>
      </c>
      <c r="M1947" s="1">
        <v>1</v>
      </c>
    </row>
    <row r="1948" spans="4:13">
      <c r="D1948" s="1" t="s">
        <v>1014</v>
      </c>
      <c r="E1948" s="1" t="s">
        <v>1028</v>
      </c>
      <c r="H1948" s="1" t="s">
        <v>25</v>
      </c>
      <c r="I1948" s="1" t="s">
        <v>23</v>
      </c>
      <c r="M1948" s="1" t="b">
        <v>1</v>
      </c>
    </row>
    <row r="1949" spans="4:13">
      <c r="D1949" s="1" t="s">
        <v>1014</v>
      </c>
      <c r="E1949" s="1" t="s">
        <v>1029</v>
      </c>
      <c r="H1949" s="1" t="s">
        <v>25</v>
      </c>
      <c r="I1949" s="1" t="s">
        <v>23</v>
      </c>
      <c r="M1949" s="1" t="b">
        <v>1</v>
      </c>
    </row>
    <row r="1950" spans="4:13">
      <c r="D1950" s="1" t="s">
        <v>1014</v>
      </c>
      <c r="E1950" s="1" t="s">
        <v>1030</v>
      </c>
      <c r="H1950" s="1" t="s">
        <v>22</v>
      </c>
      <c r="I1950" s="1" t="s">
        <v>23</v>
      </c>
      <c r="J1950" s="1">
        <v>0.5</v>
      </c>
      <c r="K1950" s="1">
        <v>2</v>
      </c>
      <c r="L1950" s="1">
        <v>1</v>
      </c>
      <c r="M1950" s="1">
        <v>1</v>
      </c>
    </row>
    <row r="1951" spans="4:13">
      <c r="D1951" s="1" t="s">
        <v>1014</v>
      </c>
      <c r="E1951" s="1" t="s">
        <v>1031</v>
      </c>
      <c r="H1951" s="1" t="s">
        <v>25</v>
      </c>
      <c r="I1951" s="1" t="s">
        <v>23</v>
      </c>
      <c r="M1951" s="1" t="b">
        <v>1</v>
      </c>
    </row>
    <row r="1952" spans="4:13">
      <c r="D1952" s="1" t="s">
        <v>1014</v>
      </c>
      <c r="E1952" s="1" t="s">
        <v>1032</v>
      </c>
      <c r="H1952" s="1" t="s">
        <v>22</v>
      </c>
      <c r="I1952" s="1" t="s">
        <v>23</v>
      </c>
      <c r="J1952" s="1">
        <v>0.5</v>
      </c>
      <c r="K1952" s="1">
        <v>2</v>
      </c>
      <c r="L1952" s="1">
        <v>1</v>
      </c>
      <c r="M1952" s="1">
        <v>1</v>
      </c>
    </row>
    <row r="1953" spans="4:13">
      <c r="D1953" s="1" t="s">
        <v>1014</v>
      </c>
      <c r="E1953" s="1" t="s">
        <v>1033</v>
      </c>
      <c r="H1953" s="1" t="s">
        <v>25</v>
      </c>
      <c r="I1953" s="1" t="s">
        <v>23</v>
      </c>
      <c r="M1953" s="1" t="b">
        <v>1</v>
      </c>
    </row>
    <row r="1954" spans="4:13">
      <c r="D1954" s="1" t="s">
        <v>1014</v>
      </c>
      <c r="E1954" s="1" t="s">
        <v>1034</v>
      </c>
      <c r="H1954" s="1" t="s">
        <v>22</v>
      </c>
      <c r="I1954" s="1" t="s">
        <v>23</v>
      </c>
      <c r="J1954" s="1">
        <v>0.5</v>
      </c>
      <c r="K1954" s="1">
        <v>2</v>
      </c>
      <c r="L1954" s="1">
        <v>1</v>
      </c>
      <c r="M1954" s="1">
        <v>1</v>
      </c>
    </row>
    <row r="1955" spans="4:13">
      <c r="D1955" s="1" t="s">
        <v>1014</v>
      </c>
      <c r="E1955" s="1" t="s">
        <v>1035</v>
      </c>
      <c r="H1955" s="1" t="s">
        <v>25</v>
      </c>
      <c r="I1955" s="1" t="s">
        <v>23</v>
      </c>
      <c r="M1955" s="1" t="b">
        <v>1</v>
      </c>
    </row>
    <row r="1956" spans="4:13">
      <c r="D1956" s="1" t="s">
        <v>1014</v>
      </c>
      <c r="E1956" s="1" t="s">
        <v>1036</v>
      </c>
      <c r="H1956" s="1" t="s">
        <v>22</v>
      </c>
      <c r="I1956" s="1" t="s">
        <v>23</v>
      </c>
      <c r="J1956" s="1">
        <v>0.5</v>
      </c>
      <c r="K1956" s="1">
        <v>2</v>
      </c>
      <c r="L1956" s="1">
        <v>1</v>
      </c>
      <c r="M1956" s="1">
        <v>1</v>
      </c>
    </row>
    <row r="1957" spans="4:13">
      <c r="D1957" s="1" t="s">
        <v>1014</v>
      </c>
      <c r="E1957" s="1" t="s">
        <v>1037</v>
      </c>
      <c r="H1957" s="1" t="s">
        <v>25</v>
      </c>
      <c r="I1957" s="1" t="s">
        <v>23</v>
      </c>
      <c r="M1957" s="1" t="b">
        <v>1</v>
      </c>
    </row>
    <row r="1958" spans="4:13">
      <c r="D1958" s="1" t="s">
        <v>1014</v>
      </c>
      <c r="E1958" s="1" t="s">
        <v>1038</v>
      </c>
      <c r="H1958" s="1" t="s">
        <v>22</v>
      </c>
      <c r="I1958" s="1" t="s">
        <v>23</v>
      </c>
      <c r="J1958" s="1">
        <v>0.5</v>
      </c>
      <c r="K1958" s="1">
        <v>2</v>
      </c>
      <c r="L1958" s="1">
        <v>1</v>
      </c>
      <c r="M1958" s="1">
        <v>1</v>
      </c>
    </row>
    <row r="1959" spans="4:13">
      <c r="D1959" s="1" t="s">
        <v>1014</v>
      </c>
      <c r="E1959" s="1" t="s">
        <v>1039</v>
      </c>
      <c r="H1959" s="1" t="s">
        <v>25</v>
      </c>
      <c r="I1959" s="1" t="s">
        <v>23</v>
      </c>
      <c r="M1959" s="1" t="b">
        <v>1</v>
      </c>
    </row>
    <row r="1960" spans="4:13">
      <c r="D1960" s="1" t="s">
        <v>1014</v>
      </c>
      <c r="E1960" s="1" t="s">
        <v>1040</v>
      </c>
      <c r="F1960" s="1" t="s">
        <v>1041</v>
      </c>
      <c r="G1960" s="1" t="s">
        <v>1042</v>
      </c>
      <c r="H1960" s="1" t="s">
        <v>22</v>
      </c>
      <c r="I1960" s="1" t="s">
        <v>23</v>
      </c>
      <c r="J1960" s="1">
        <v>1.7611018362408509E-2</v>
      </c>
      <c r="K1960" s="1">
        <v>88.055091812042548</v>
      </c>
      <c r="L1960" s="1">
        <v>0.17611018362408509</v>
      </c>
      <c r="M1960" s="1">
        <v>0</v>
      </c>
    </row>
    <row r="1961" spans="4:13">
      <c r="D1961" s="1" t="s">
        <v>1014</v>
      </c>
      <c r="E1961" s="1" t="s">
        <v>1043</v>
      </c>
      <c r="F1961" s="1" t="s">
        <v>1044</v>
      </c>
      <c r="G1961" s="1" t="s">
        <v>1045</v>
      </c>
      <c r="H1961" s="1" t="s">
        <v>22</v>
      </c>
      <c r="I1961" s="1" t="s">
        <v>23</v>
      </c>
      <c r="L1961" s="1">
        <v>57.29577951308238</v>
      </c>
      <c r="M1961" s="1">
        <v>30.000000000000028</v>
      </c>
    </row>
    <row r="1962" spans="4:13">
      <c r="D1962" s="1" t="s">
        <v>1014</v>
      </c>
      <c r="E1962" s="1" t="s">
        <v>1046</v>
      </c>
      <c r="F1962" s="1" t="s">
        <v>1044</v>
      </c>
      <c r="G1962" s="1" t="s">
        <v>1045</v>
      </c>
      <c r="H1962" s="1" t="s">
        <v>22</v>
      </c>
      <c r="I1962" s="1" t="s">
        <v>23</v>
      </c>
      <c r="L1962" s="1">
        <v>57.29577951308238</v>
      </c>
      <c r="M1962" s="1">
        <v>30.000000000000028</v>
      </c>
    </row>
    <row r="1963" spans="4:13">
      <c r="D1963" s="1" t="s">
        <v>1014</v>
      </c>
      <c r="E1963" s="1" t="s">
        <v>1047</v>
      </c>
      <c r="H1963" s="1" t="s">
        <v>22</v>
      </c>
      <c r="I1963" s="1" t="s">
        <v>29</v>
      </c>
      <c r="J1963" s="1">
        <v>0.1</v>
      </c>
      <c r="K1963" s="1">
        <v>10</v>
      </c>
      <c r="L1963" s="1">
        <v>5.05</v>
      </c>
    </row>
    <row r="1964" spans="4:13">
      <c r="D1964" s="1" t="s">
        <v>1014</v>
      </c>
      <c r="E1964" s="1" t="s">
        <v>1048</v>
      </c>
      <c r="H1964" s="1" t="s">
        <v>22</v>
      </c>
      <c r="I1964" s="1" t="s">
        <v>29</v>
      </c>
      <c r="J1964" s="1">
        <v>0.1</v>
      </c>
      <c r="K1964" s="1">
        <v>10</v>
      </c>
      <c r="L1964" s="1">
        <v>5.05</v>
      </c>
    </row>
    <row r="1965" spans="4:13">
      <c r="D1965" s="1" t="s">
        <v>1014</v>
      </c>
      <c r="E1965" s="1" t="s">
        <v>1049</v>
      </c>
      <c r="H1965" s="1" t="s">
        <v>22</v>
      </c>
      <c r="I1965" s="1" t="s">
        <v>29</v>
      </c>
      <c r="J1965" s="1">
        <v>0.1</v>
      </c>
      <c r="K1965" s="1">
        <v>10</v>
      </c>
      <c r="L1965" s="1">
        <v>5.05</v>
      </c>
    </row>
    <row r="1966" spans="4:13">
      <c r="D1966" s="1" t="s">
        <v>1014</v>
      </c>
      <c r="E1966" s="1" t="s">
        <v>1050</v>
      </c>
      <c r="H1966" s="1" t="s">
        <v>22</v>
      </c>
      <c r="I1966" s="1" t="s">
        <v>29</v>
      </c>
      <c r="J1966" s="1">
        <v>0.1</v>
      </c>
      <c r="K1966" s="1">
        <v>10</v>
      </c>
      <c r="L1966" s="1">
        <v>5.05</v>
      </c>
    </row>
    <row r="1967" spans="4:13">
      <c r="D1967" s="1" t="s">
        <v>1014</v>
      </c>
      <c r="E1967" s="1" t="s">
        <v>1051</v>
      </c>
      <c r="H1967" s="1" t="s">
        <v>22</v>
      </c>
      <c r="I1967" s="1" t="s">
        <v>29</v>
      </c>
      <c r="J1967" s="1">
        <v>0.1</v>
      </c>
      <c r="K1967" s="1">
        <v>10</v>
      </c>
      <c r="L1967" s="1">
        <v>5.05</v>
      </c>
    </row>
    <row r="1968" spans="4:13">
      <c r="D1968" s="1" t="s">
        <v>1014</v>
      </c>
      <c r="E1968" s="1" t="s">
        <v>1052</v>
      </c>
      <c r="H1968" s="1" t="s">
        <v>22</v>
      </c>
      <c r="I1968" s="1" t="s">
        <v>29</v>
      </c>
      <c r="J1968" s="1">
        <v>0.1</v>
      </c>
      <c r="K1968" s="1">
        <v>10</v>
      </c>
      <c r="L1968" s="1">
        <v>5.05</v>
      </c>
    </row>
    <row r="1969" spans="4:13">
      <c r="D1969" s="1" t="s">
        <v>1014</v>
      </c>
      <c r="E1969" s="1" t="s">
        <v>1053</v>
      </c>
      <c r="H1969" s="1" t="s">
        <v>22</v>
      </c>
      <c r="I1969" s="1" t="s">
        <v>29</v>
      </c>
      <c r="J1969" s="1">
        <v>0.1</v>
      </c>
      <c r="K1969" s="1">
        <v>10</v>
      </c>
      <c r="L1969" s="1">
        <v>5.05</v>
      </c>
    </row>
    <row r="1970" spans="4:13">
      <c r="D1970" s="1" t="s">
        <v>1014</v>
      </c>
      <c r="E1970" s="1" t="s">
        <v>1054</v>
      </c>
      <c r="F1970" s="1" t="s">
        <v>147</v>
      </c>
      <c r="G1970" s="1" t="s">
        <v>148</v>
      </c>
      <c r="H1970" s="1" t="s">
        <v>22</v>
      </c>
      <c r="I1970" s="1" t="s">
        <v>23</v>
      </c>
      <c r="J1970" s="1">
        <v>0</v>
      </c>
      <c r="K1970" s="1">
        <v>68242832.702662006</v>
      </c>
      <c r="L1970" s="1">
        <v>3.4121416351331</v>
      </c>
      <c r="M1970" s="1">
        <v>3412141.6351331002</v>
      </c>
    </row>
    <row r="1971" spans="4:13">
      <c r="D1971" s="1" t="s">
        <v>1014</v>
      </c>
      <c r="E1971" s="1" t="s">
        <v>1055</v>
      </c>
      <c r="H1971" s="1" t="s">
        <v>25</v>
      </c>
      <c r="I1971" s="1" t="s">
        <v>23</v>
      </c>
      <c r="M1971" s="1" t="b">
        <v>0</v>
      </c>
    </row>
    <row r="1972" spans="4:13">
      <c r="D1972" s="1" t="s">
        <v>1014</v>
      </c>
      <c r="E1972" s="1" t="s">
        <v>1056</v>
      </c>
      <c r="F1972" s="1" t="s">
        <v>56</v>
      </c>
      <c r="G1972" s="1" t="s">
        <v>57</v>
      </c>
      <c r="H1972" s="1" t="s">
        <v>22</v>
      </c>
      <c r="I1972" s="1" t="s">
        <v>23</v>
      </c>
      <c r="L1972" s="1">
        <v>1.4503773773020921E-4</v>
      </c>
      <c r="M1972" s="1">
        <v>0.72518868865104602</v>
      </c>
    </row>
    <row r="1973" spans="4:13">
      <c r="D1973" s="1" t="s">
        <v>1014</v>
      </c>
      <c r="E1973" s="1" t="s">
        <v>1057</v>
      </c>
      <c r="H1973" s="1" t="s">
        <v>25</v>
      </c>
      <c r="I1973" s="1" t="s">
        <v>23</v>
      </c>
      <c r="M1973" s="1" t="b">
        <v>0</v>
      </c>
    </row>
    <row r="1974" spans="4:13">
      <c r="D1974" s="1" t="s">
        <v>1014</v>
      </c>
      <c r="E1974" s="1" t="s">
        <v>1058</v>
      </c>
      <c r="F1974" s="1" t="s">
        <v>56</v>
      </c>
      <c r="G1974" s="1" t="s">
        <v>57</v>
      </c>
      <c r="H1974" s="1" t="s">
        <v>22</v>
      </c>
      <c r="I1974" s="1" t="s">
        <v>29</v>
      </c>
      <c r="J1974" s="1">
        <v>4.9312830828271128</v>
      </c>
      <c r="K1974" s="1">
        <v>623.66227223989961</v>
      </c>
      <c r="L1974" s="1">
        <v>50.713895374744951</v>
      </c>
    </row>
    <row r="1975" spans="4:13">
      <c r="D1975" s="1" t="s">
        <v>1014</v>
      </c>
      <c r="E1975" s="1" t="s">
        <v>1059</v>
      </c>
      <c r="F1975" s="1" t="s">
        <v>45</v>
      </c>
      <c r="G1975" s="1" t="s">
        <v>46</v>
      </c>
      <c r="H1975" s="1" t="s">
        <v>22</v>
      </c>
      <c r="I1975" s="1" t="s">
        <v>29</v>
      </c>
      <c r="J1975" s="1">
        <v>-6.3932502128443591</v>
      </c>
      <c r="K1975" s="1">
        <v>358.61435929656</v>
      </c>
      <c r="L1975" s="1">
        <v>114.79148749423418</v>
      </c>
    </row>
    <row r="1976" spans="4:13">
      <c r="D1976" s="1" t="s">
        <v>1014</v>
      </c>
      <c r="E1976" s="1" t="s">
        <v>1060</v>
      </c>
      <c r="F1976" s="1" t="s">
        <v>56</v>
      </c>
      <c r="G1976" s="1" t="s">
        <v>57</v>
      </c>
      <c r="H1976" s="1" t="s">
        <v>22</v>
      </c>
      <c r="I1976" s="1" t="s">
        <v>29</v>
      </c>
      <c r="J1976" s="1">
        <v>4.9312830828271128</v>
      </c>
      <c r="K1976" s="1">
        <v>623.66227223989961</v>
      </c>
      <c r="L1976" s="1">
        <v>50.713895374744951</v>
      </c>
    </row>
    <row r="1977" spans="4:13">
      <c r="D1977" s="1" t="s">
        <v>1014</v>
      </c>
      <c r="E1977" s="1" t="s">
        <v>1061</v>
      </c>
      <c r="H1977" s="1" t="s">
        <v>22</v>
      </c>
      <c r="I1977" s="1" t="s">
        <v>29</v>
      </c>
      <c r="L1977" s="1">
        <v>1</v>
      </c>
    </row>
    <row r="1978" spans="4:13">
      <c r="D1978" s="1" t="s">
        <v>1014</v>
      </c>
      <c r="E1978" s="1" t="s">
        <v>1062</v>
      </c>
      <c r="F1978" s="1" t="s">
        <v>176</v>
      </c>
      <c r="G1978" s="1" t="s">
        <v>177</v>
      </c>
      <c r="H1978" s="1" t="s">
        <v>22</v>
      </c>
      <c r="I1978" s="1" t="s">
        <v>23</v>
      </c>
      <c r="J1978" s="1">
        <v>0</v>
      </c>
      <c r="L1978" s="1">
        <v>39.370078740157467</v>
      </c>
      <c r="M1978" s="1">
        <v>0.19685039370078733</v>
      </c>
    </row>
    <row r="1979" spans="4:13">
      <c r="D1979" s="1" t="s">
        <v>1014</v>
      </c>
      <c r="E1979" s="1" t="s">
        <v>1063</v>
      </c>
      <c r="F1979" s="1" t="s">
        <v>176</v>
      </c>
      <c r="G1979" s="1" t="s">
        <v>177</v>
      </c>
      <c r="H1979" s="1" t="s">
        <v>22</v>
      </c>
      <c r="I1979" s="1" t="s">
        <v>23</v>
      </c>
      <c r="J1979" s="1">
        <v>0</v>
      </c>
      <c r="L1979" s="1">
        <v>39.370078740157467</v>
      </c>
      <c r="M1979" s="1">
        <v>0.78740157480314932</v>
      </c>
    </row>
    <row r="1980" spans="4:13">
      <c r="D1980" s="1" t="s">
        <v>1014</v>
      </c>
      <c r="E1980" s="1" t="s">
        <v>1064</v>
      </c>
      <c r="F1980" s="1" t="s">
        <v>176</v>
      </c>
      <c r="G1980" s="1" t="s">
        <v>177</v>
      </c>
      <c r="H1980" s="1" t="s">
        <v>22</v>
      </c>
      <c r="I1980" s="1" t="s">
        <v>23</v>
      </c>
      <c r="J1980" s="1">
        <v>0</v>
      </c>
      <c r="L1980" s="1">
        <v>39.370078740157467</v>
      </c>
      <c r="M1980" s="1">
        <v>0.39370078740157466</v>
      </c>
    </row>
    <row r="1981" spans="4:13">
      <c r="D1981" s="1" t="s">
        <v>1014</v>
      </c>
      <c r="E1981" s="1" t="s">
        <v>1065</v>
      </c>
      <c r="F1981" s="1" t="s">
        <v>56</v>
      </c>
      <c r="G1981" s="1" t="s">
        <v>57</v>
      </c>
      <c r="H1981" s="1" t="s">
        <v>22</v>
      </c>
      <c r="I1981" s="1" t="s">
        <v>29</v>
      </c>
      <c r="J1981" s="1">
        <v>4.9312830828271128</v>
      </c>
      <c r="K1981" s="1">
        <v>623.66227223989961</v>
      </c>
      <c r="L1981" s="1">
        <v>50.713895374744951</v>
      </c>
    </row>
    <row r="1982" spans="4:13">
      <c r="D1982" s="1" t="s">
        <v>1014</v>
      </c>
      <c r="E1982" s="1" t="s">
        <v>1066</v>
      </c>
      <c r="H1982" s="1" t="s">
        <v>25</v>
      </c>
      <c r="I1982" s="1" t="s">
        <v>23</v>
      </c>
      <c r="M1982" s="1" t="b">
        <v>0</v>
      </c>
    </row>
    <row r="1983" spans="4:13">
      <c r="D1983" s="1" t="s">
        <v>1014</v>
      </c>
      <c r="E1983" s="1" t="s">
        <v>1067</v>
      </c>
      <c r="F1983" s="1" t="s">
        <v>176</v>
      </c>
      <c r="G1983" s="1" t="s">
        <v>177</v>
      </c>
      <c r="H1983" s="1" t="s">
        <v>22</v>
      </c>
      <c r="I1983" s="1" t="s">
        <v>23</v>
      </c>
      <c r="J1983" s="1">
        <v>0</v>
      </c>
      <c r="L1983" s="1">
        <v>39.370078740157467</v>
      </c>
      <c r="M1983" s="1">
        <v>0</v>
      </c>
    </row>
    <row r="1984" spans="4:13">
      <c r="D1984" s="1" t="s">
        <v>1014</v>
      </c>
      <c r="E1984" s="1" t="s">
        <v>1068</v>
      </c>
      <c r="F1984" s="1" t="s">
        <v>176</v>
      </c>
      <c r="G1984" s="1" t="s">
        <v>177</v>
      </c>
      <c r="H1984" s="1" t="s">
        <v>22</v>
      </c>
      <c r="I1984" s="1" t="s">
        <v>23</v>
      </c>
      <c r="J1984" s="1">
        <v>0</v>
      </c>
      <c r="L1984" s="1">
        <v>39.370078740157467</v>
      </c>
      <c r="M1984" s="1">
        <v>4.7244094488188955</v>
      </c>
    </row>
    <row r="1985" spans="4:13">
      <c r="D1985" s="1" t="s">
        <v>1014</v>
      </c>
      <c r="E1985" s="1" t="s">
        <v>47</v>
      </c>
      <c r="H1985" s="1" t="s">
        <v>25</v>
      </c>
      <c r="I1985" s="1" t="s">
        <v>23</v>
      </c>
      <c r="M1985" s="1" t="b">
        <v>0</v>
      </c>
    </row>
    <row r="1986" spans="4:13">
      <c r="D1986" s="1" t="s">
        <v>1014</v>
      </c>
      <c r="E1986" s="1" t="s">
        <v>1069</v>
      </c>
      <c r="H1986" s="1" t="s">
        <v>25</v>
      </c>
      <c r="I1986" s="1" t="s">
        <v>23</v>
      </c>
      <c r="M1986" s="1" t="b">
        <v>0</v>
      </c>
    </row>
    <row r="1987" spans="4:13">
      <c r="D1987" s="1" t="s">
        <v>1014</v>
      </c>
      <c r="E1987" s="1" t="s">
        <v>920</v>
      </c>
      <c r="H1987" s="1" t="s">
        <v>22</v>
      </c>
      <c r="I1987" s="1" t="s">
        <v>23</v>
      </c>
      <c r="J1987" s="1">
        <v>0</v>
      </c>
      <c r="K1987" s="1">
        <v>1</v>
      </c>
      <c r="L1987" s="1">
        <v>1</v>
      </c>
      <c r="M1987" s="1">
        <v>0</v>
      </c>
    </row>
    <row r="1988" spans="4:13">
      <c r="D1988" s="1" t="s">
        <v>1014</v>
      </c>
      <c r="E1988" s="1" t="s">
        <v>921</v>
      </c>
      <c r="H1988" s="1" t="s">
        <v>22</v>
      </c>
      <c r="I1988" s="1" t="s">
        <v>23</v>
      </c>
      <c r="J1988" s="1">
        <v>0</v>
      </c>
      <c r="K1988" s="1">
        <v>1</v>
      </c>
      <c r="L1988" s="1">
        <v>1</v>
      </c>
      <c r="M1988" s="1">
        <v>1</v>
      </c>
    </row>
    <row r="1989" spans="4:13">
      <c r="D1989" s="1" t="s">
        <v>1014</v>
      </c>
      <c r="E1989" s="1" t="s">
        <v>1070</v>
      </c>
      <c r="F1989" s="1" t="s">
        <v>1071</v>
      </c>
      <c r="G1989" s="1" t="s">
        <v>1072</v>
      </c>
      <c r="H1989" s="1" t="s">
        <v>22</v>
      </c>
      <c r="I1989" s="1" t="s">
        <v>23</v>
      </c>
      <c r="J1989" s="1">
        <v>5.7778931654299819E-4</v>
      </c>
      <c r="K1989" s="1">
        <v>0.57778931654299814</v>
      </c>
      <c r="L1989" s="1">
        <v>0.57778931654299814</v>
      </c>
      <c r="M1989" s="1">
        <v>2.1672877263527863E-2</v>
      </c>
    </row>
    <row r="1990" spans="4:13">
      <c r="D1990" s="1" t="s">
        <v>1014</v>
      </c>
      <c r="E1990" s="1" t="s">
        <v>1073</v>
      </c>
      <c r="H1990" s="1" t="s">
        <v>22</v>
      </c>
      <c r="I1990" s="1" t="s">
        <v>23</v>
      </c>
      <c r="J1990" s="1">
        <v>0.5</v>
      </c>
      <c r="K1990" s="1">
        <v>1</v>
      </c>
      <c r="L1990" s="1">
        <v>1</v>
      </c>
      <c r="M1990" s="1">
        <v>1</v>
      </c>
    </row>
    <row r="1991" spans="4:13">
      <c r="D1991" s="1" t="s">
        <v>1014</v>
      </c>
      <c r="E1991" s="1" t="s">
        <v>1074</v>
      </c>
      <c r="H1991" s="1" t="s">
        <v>25</v>
      </c>
      <c r="I1991" s="1" t="s">
        <v>23</v>
      </c>
      <c r="M1991" s="1" t="b">
        <v>0</v>
      </c>
    </row>
    <row r="1992" spans="4:13">
      <c r="D1992" s="1" t="s">
        <v>1014</v>
      </c>
      <c r="E1992" s="1" t="s">
        <v>1075</v>
      </c>
      <c r="H1992" s="1" t="s">
        <v>25</v>
      </c>
      <c r="I1992" s="1" t="s">
        <v>23</v>
      </c>
      <c r="M1992" s="1" t="b">
        <v>0</v>
      </c>
    </row>
    <row r="1993" spans="4:13">
      <c r="D1993" s="1" t="s">
        <v>1014</v>
      </c>
      <c r="E1993" s="1" t="s">
        <v>1076</v>
      </c>
      <c r="F1993" s="1" t="s">
        <v>118</v>
      </c>
      <c r="G1993" s="1" t="s">
        <v>119</v>
      </c>
      <c r="H1993" s="1" t="s">
        <v>22</v>
      </c>
      <c r="I1993" s="1" t="s">
        <v>23</v>
      </c>
      <c r="J1993" s="1">
        <v>0</v>
      </c>
      <c r="K1993" s="1">
        <v>6613.8678655499998</v>
      </c>
      <c r="L1993" s="1">
        <v>2.20462262185</v>
      </c>
      <c r="M1993" s="1">
        <v>440.92452437000003</v>
      </c>
    </row>
    <row r="1994" spans="4:13">
      <c r="D1994" s="1" t="s">
        <v>1014</v>
      </c>
      <c r="E1994" s="1" t="s">
        <v>1077</v>
      </c>
      <c r="H1994" s="1" t="s">
        <v>25</v>
      </c>
      <c r="I1994" s="1" t="s">
        <v>23</v>
      </c>
      <c r="M1994" s="1" t="b">
        <v>0</v>
      </c>
    </row>
    <row r="1995" spans="4:13">
      <c r="D1995" s="1" t="s">
        <v>1014</v>
      </c>
      <c r="E1995" s="1" t="s">
        <v>1078</v>
      </c>
      <c r="H1995" s="1" t="s">
        <v>22</v>
      </c>
      <c r="I1995" s="1" t="s">
        <v>23</v>
      </c>
      <c r="J1995" s="1">
        <v>0</v>
      </c>
      <c r="K1995" s="1">
        <v>1</v>
      </c>
      <c r="L1995" s="1">
        <v>1</v>
      </c>
      <c r="M1995" s="1">
        <v>0.03</v>
      </c>
    </row>
    <row r="1996" spans="4:13">
      <c r="D1996" s="1" t="s">
        <v>1014</v>
      </c>
      <c r="E1996" s="1" t="s">
        <v>1079</v>
      </c>
      <c r="H1996" s="1" t="s">
        <v>25</v>
      </c>
      <c r="I1996" s="1" t="s">
        <v>23</v>
      </c>
      <c r="M1996" s="1" t="b">
        <v>0</v>
      </c>
    </row>
    <row r="1997" spans="4:13">
      <c r="D1997" s="1" t="s">
        <v>1014</v>
      </c>
      <c r="E1997" s="1" t="s">
        <v>1080</v>
      </c>
      <c r="H1997" s="1" t="s">
        <v>22</v>
      </c>
      <c r="I1997" s="1" t="s">
        <v>23</v>
      </c>
      <c r="J1997" s="1">
        <v>0</v>
      </c>
      <c r="K1997" s="1">
        <v>1</v>
      </c>
      <c r="L1997" s="1">
        <v>1</v>
      </c>
      <c r="M1997" s="1">
        <v>0.5</v>
      </c>
    </row>
    <row r="1998" spans="4:13">
      <c r="D1998" s="1" t="s">
        <v>1014</v>
      </c>
      <c r="E1998" s="1" t="s">
        <v>1081</v>
      </c>
      <c r="H1998" s="1" t="s">
        <v>22</v>
      </c>
      <c r="I1998" s="1" t="s">
        <v>23</v>
      </c>
      <c r="J1998" s="1">
        <v>0</v>
      </c>
      <c r="K1998" s="1">
        <v>1</v>
      </c>
      <c r="L1998" s="1">
        <v>1</v>
      </c>
      <c r="M1998" s="1">
        <v>0.2</v>
      </c>
    </row>
    <row r="1999" spans="4:13">
      <c r="D1999" s="1" t="s">
        <v>1014</v>
      </c>
      <c r="E1999" s="1" t="s">
        <v>1082</v>
      </c>
      <c r="H1999" s="1" t="s">
        <v>22</v>
      </c>
      <c r="I1999" s="1" t="s">
        <v>23</v>
      </c>
      <c r="J1999" s="1">
        <v>0</v>
      </c>
      <c r="K1999" s="1">
        <v>1</v>
      </c>
      <c r="L1999" s="1">
        <v>1</v>
      </c>
      <c r="M1999" s="1">
        <v>0.2</v>
      </c>
    </row>
    <row r="2000" spans="4:13">
      <c r="D2000" s="1" t="s">
        <v>1014</v>
      </c>
      <c r="E2000" s="1" t="s">
        <v>1083</v>
      </c>
      <c r="H2000" s="1" t="s">
        <v>181</v>
      </c>
      <c r="I2000" s="1" t="s">
        <v>23</v>
      </c>
      <c r="J2000" s="1">
        <v>1</v>
      </c>
      <c r="K2000" s="1">
        <v>94</v>
      </c>
      <c r="M2000" s="1" t="s">
        <v>952</v>
      </c>
    </row>
    <row r="2001" spans="4:13">
      <c r="D2001" s="1" t="s">
        <v>1014</v>
      </c>
      <c r="E2001" s="1" t="s">
        <v>1084</v>
      </c>
      <c r="H2001" s="1" t="s">
        <v>181</v>
      </c>
      <c r="I2001" s="1" t="s">
        <v>23</v>
      </c>
      <c r="J2001" s="1">
        <v>1</v>
      </c>
      <c r="K2001" s="1">
        <v>3</v>
      </c>
      <c r="M2001" s="1" t="s">
        <v>1085</v>
      </c>
    </row>
    <row r="2002" spans="4:13">
      <c r="D2002" s="1" t="s">
        <v>1014</v>
      </c>
      <c r="E2002" s="1" t="s">
        <v>1086</v>
      </c>
      <c r="H2002" s="1" t="s">
        <v>181</v>
      </c>
      <c r="I2002" s="1" t="s">
        <v>23</v>
      </c>
      <c r="J2002" s="1">
        <v>1</v>
      </c>
      <c r="K2002" s="1">
        <v>54</v>
      </c>
      <c r="M2002" s="1" t="s">
        <v>1087</v>
      </c>
    </row>
    <row r="2003" spans="4:13">
      <c r="D2003" s="1" t="s">
        <v>1014</v>
      </c>
      <c r="E2003" s="1" t="s">
        <v>1088</v>
      </c>
      <c r="H2003" s="1" t="s">
        <v>25</v>
      </c>
      <c r="I2003" s="1" t="s">
        <v>23</v>
      </c>
      <c r="M2003" s="1" t="b">
        <v>0</v>
      </c>
    </row>
    <row r="2004" spans="4:13">
      <c r="D2004" s="1" t="s">
        <v>1014</v>
      </c>
      <c r="E2004" s="1" t="s">
        <v>1089</v>
      </c>
      <c r="F2004" s="1" t="s">
        <v>35</v>
      </c>
      <c r="G2004" s="1" t="s">
        <v>36</v>
      </c>
      <c r="H2004" s="1" t="s">
        <v>22</v>
      </c>
      <c r="I2004" s="1" t="s">
        <v>29</v>
      </c>
      <c r="J2004" s="1">
        <v>-31.018000000000029</v>
      </c>
      <c r="K2004" s="1">
        <v>256.99999999999994</v>
      </c>
      <c r="L2004" s="1">
        <v>80.329999999999984</v>
      </c>
    </row>
    <row r="2005" spans="4:13">
      <c r="D2005" s="1" t="s">
        <v>1014</v>
      </c>
      <c r="E2005" s="1" t="s">
        <v>1090</v>
      </c>
      <c r="F2005" s="1" t="s">
        <v>35</v>
      </c>
      <c r="G2005" s="1" t="s">
        <v>36</v>
      </c>
      <c r="H2005" s="1" t="s">
        <v>22</v>
      </c>
      <c r="I2005" s="1" t="s">
        <v>29</v>
      </c>
      <c r="J2005" s="1">
        <v>-31.018000000000029</v>
      </c>
      <c r="K2005" s="1">
        <v>256.99999999999994</v>
      </c>
      <c r="L2005" s="1">
        <v>80.329999999999984</v>
      </c>
    </row>
    <row r="2006" spans="4:13">
      <c r="D2006" s="1" t="s">
        <v>1014</v>
      </c>
      <c r="E2006" s="1" t="s">
        <v>1091</v>
      </c>
      <c r="F2006" s="1" t="s">
        <v>35</v>
      </c>
      <c r="G2006" s="1" t="s">
        <v>36</v>
      </c>
      <c r="H2006" s="1" t="s">
        <v>22</v>
      </c>
      <c r="I2006" s="1" t="s">
        <v>29</v>
      </c>
      <c r="J2006" s="1">
        <v>-31.018000000000029</v>
      </c>
      <c r="K2006" s="1">
        <v>256.99999999999994</v>
      </c>
      <c r="L2006" s="1">
        <v>80.329999999999984</v>
      </c>
    </row>
    <row r="2007" spans="4:13">
      <c r="D2007" s="1" t="s">
        <v>1014</v>
      </c>
      <c r="E2007" s="1" t="s">
        <v>1092</v>
      </c>
      <c r="F2007" s="1" t="s">
        <v>35</v>
      </c>
      <c r="G2007" s="1" t="s">
        <v>36</v>
      </c>
      <c r="H2007" s="1" t="s">
        <v>22</v>
      </c>
      <c r="I2007" s="1" t="s">
        <v>29</v>
      </c>
      <c r="J2007" s="1">
        <v>-31.018000000000029</v>
      </c>
      <c r="K2007" s="1">
        <v>256.99999999999994</v>
      </c>
      <c r="L2007" s="1">
        <v>80.329999999999984</v>
      </c>
    </row>
    <row r="2008" spans="4:13">
      <c r="D2008" s="1" t="s">
        <v>1014</v>
      </c>
      <c r="E2008" s="1" t="s">
        <v>1093</v>
      </c>
      <c r="F2008" s="1" t="s">
        <v>45</v>
      </c>
      <c r="G2008" s="1" t="s">
        <v>46</v>
      </c>
      <c r="H2008" s="1" t="s">
        <v>22</v>
      </c>
      <c r="I2008" s="1" t="s">
        <v>29</v>
      </c>
      <c r="J2008" s="1">
        <v>-6.3932502128443591</v>
      </c>
      <c r="K2008" s="1">
        <v>358.61435929656</v>
      </c>
      <c r="L2008" s="1">
        <v>114.79148749423418</v>
      </c>
    </row>
    <row r="2009" spans="4:13">
      <c r="D2009" s="1" t="s">
        <v>1014</v>
      </c>
      <c r="E2009" s="1" t="s">
        <v>1094</v>
      </c>
      <c r="F2009" s="1" t="s">
        <v>45</v>
      </c>
      <c r="G2009" s="1" t="s">
        <v>46</v>
      </c>
      <c r="H2009" s="1" t="s">
        <v>22</v>
      </c>
      <c r="I2009" s="1" t="s">
        <v>29</v>
      </c>
      <c r="J2009" s="1">
        <v>-6.3932502128443591</v>
      </c>
      <c r="K2009" s="1">
        <v>358.61435929656</v>
      </c>
      <c r="L2009" s="1">
        <v>114.79148749423418</v>
      </c>
    </row>
    <row r="2010" spans="4:13">
      <c r="D2010" s="1" t="s">
        <v>1014</v>
      </c>
      <c r="E2010" s="1" t="s">
        <v>1095</v>
      </c>
      <c r="F2010" s="1" t="s">
        <v>45</v>
      </c>
      <c r="G2010" s="1" t="s">
        <v>46</v>
      </c>
      <c r="H2010" s="1" t="s">
        <v>22</v>
      </c>
      <c r="I2010" s="1" t="s">
        <v>29</v>
      </c>
      <c r="J2010" s="1">
        <v>-6.3932502128443591</v>
      </c>
      <c r="K2010" s="1">
        <v>358.61435929656</v>
      </c>
      <c r="L2010" s="1">
        <v>114.79148749423418</v>
      </c>
    </row>
    <row r="2011" spans="4:13">
      <c r="D2011" s="1" t="s">
        <v>1014</v>
      </c>
      <c r="E2011" s="1" t="s">
        <v>1096</v>
      </c>
      <c r="F2011" s="1" t="s">
        <v>45</v>
      </c>
      <c r="G2011" s="1" t="s">
        <v>46</v>
      </c>
      <c r="H2011" s="1" t="s">
        <v>22</v>
      </c>
      <c r="I2011" s="1" t="s">
        <v>29</v>
      </c>
      <c r="J2011" s="1">
        <v>-6.3932502128443591</v>
      </c>
      <c r="K2011" s="1">
        <v>358.61435929656</v>
      </c>
      <c r="L2011" s="1">
        <v>114.79148749423418</v>
      </c>
    </row>
    <row r="2012" spans="4:13">
      <c r="D2012" s="1" t="s">
        <v>1014</v>
      </c>
      <c r="E2012" s="1" t="s">
        <v>1097</v>
      </c>
      <c r="F2012" s="1" t="s">
        <v>45</v>
      </c>
      <c r="G2012" s="1" t="s">
        <v>46</v>
      </c>
      <c r="H2012" s="1" t="s">
        <v>22</v>
      </c>
      <c r="I2012" s="1" t="s">
        <v>29</v>
      </c>
      <c r="J2012" s="1">
        <v>-6.3932502128443591</v>
      </c>
      <c r="K2012" s="1">
        <v>358.61435929656</v>
      </c>
      <c r="L2012" s="1">
        <v>114.79148749423418</v>
      </c>
    </row>
    <row r="2013" spans="4:13">
      <c r="D2013" s="1" t="s">
        <v>1014</v>
      </c>
      <c r="E2013" s="1" t="s">
        <v>1098</v>
      </c>
      <c r="F2013" s="1" t="s">
        <v>45</v>
      </c>
      <c r="G2013" s="1" t="s">
        <v>46</v>
      </c>
      <c r="H2013" s="1" t="s">
        <v>22</v>
      </c>
      <c r="I2013" s="1" t="s">
        <v>29</v>
      </c>
      <c r="J2013" s="1">
        <v>-6.3932502128443591</v>
      </c>
      <c r="K2013" s="1">
        <v>358.61435929656</v>
      </c>
      <c r="L2013" s="1">
        <v>114.79148749423418</v>
      </c>
    </row>
    <row r="2014" spans="4:13">
      <c r="D2014" s="1" t="s">
        <v>1014</v>
      </c>
      <c r="E2014" s="1" t="s">
        <v>1099</v>
      </c>
      <c r="F2014" s="1" t="s">
        <v>45</v>
      </c>
      <c r="G2014" s="1" t="s">
        <v>46</v>
      </c>
      <c r="H2014" s="1" t="s">
        <v>22</v>
      </c>
      <c r="I2014" s="1" t="s">
        <v>29</v>
      </c>
      <c r="J2014" s="1">
        <v>-6.3932502128443591</v>
      </c>
      <c r="K2014" s="1">
        <v>358.61435929656</v>
      </c>
      <c r="L2014" s="1">
        <v>114.79148749423418</v>
      </c>
    </row>
    <row r="2015" spans="4:13">
      <c r="D2015" s="1" t="s">
        <v>1014</v>
      </c>
      <c r="E2015" s="1" t="s">
        <v>1100</v>
      </c>
      <c r="F2015" s="1" t="s">
        <v>45</v>
      </c>
      <c r="G2015" s="1" t="s">
        <v>46</v>
      </c>
      <c r="H2015" s="1" t="s">
        <v>22</v>
      </c>
      <c r="I2015" s="1" t="s">
        <v>29</v>
      </c>
      <c r="J2015" s="1">
        <v>-6.3932502128443591</v>
      </c>
      <c r="K2015" s="1">
        <v>358.61435929656</v>
      </c>
      <c r="L2015" s="1">
        <v>114.79148749423418</v>
      </c>
    </row>
    <row r="2016" spans="4:13">
      <c r="D2016" s="1" t="s">
        <v>1014</v>
      </c>
      <c r="E2016" s="1" t="s">
        <v>1101</v>
      </c>
      <c r="F2016" s="1" t="s">
        <v>45</v>
      </c>
      <c r="G2016" s="1" t="s">
        <v>46</v>
      </c>
      <c r="H2016" s="1" t="s">
        <v>22</v>
      </c>
      <c r="I2016" s="1" t="s">
        <v>29</v>
      </c>
      <c r="J2016" s="1">
        <v>-6.3932502128443591</v>
      </c>
      <c r="K2016" s="1">
        <v>358.61435929656</v>
      </c>
      <c r="L2016" s="1">
        <v>114.79148749423418</v>
      </c>
    </row>
    <row r="2017" spans="4:12">
      <c r="D2017" s="1" t="s">
        <v>1014</v>
      </c>
      <c r="E2017" s="1" t="s">
        <v>1102</v>
      </c>
      <c r="F2017" s="1" t="s">
        <v>45</v>
      </c>
      <c r="G2017" s="1" t="s">
        <v>46</v>
      </c>
      <c r="H2017" s="1" t="s">
        <v>22</v>
      </c>
      <c r="I2017" s="1" t="s">
        <v>29</v>
      </c>
      <c r="J2017" s="1">
        <v>-6.3932502128443591</v>
      </c>
      <c r="K2017" s="1">
        <v>358.61435929656</v>
      </c>
      <c r="L2017" s="1">
        <v>114.79148749423418</v>
      </c>
    </row>
    <row r="2018" spans="4:12">
      <c r="D2018" s="1" t="s">
        <v>1014</v>
      </c>
      <c r="E2018" s="1" t="s">
        <v>1103</v>
      </c>
      <c r="H2018" s="1" t="s">
        <v>22</v>
      </c>
      <c r="I2018" s="1" t="s">
        <v>29</v>
      </c>
      <c r="J2018" s="1">
        <v>-3.94</v>
      </c>
      <c r="K2018" s="1">
        <v>3.66</v>
      </c>
      <c r="L2018" s="1">
        <v>1</v>
      </c>
    </row>
    <row r="2019" spans="4:12">
      <c r="D2019" s="1" t="s">
        <v>1014</v>
      </c>
      <c r="E2019" s="1" t="s">
        <v>1104</v>
      </c>
      <c r="F2019" s="1" t="s">
        <v>35</v>
      </c>
      <c r="G2019" s="1" t="s">
        <v>36</v>
      </c>
      <c r="H2019" s="1" t="s">
        <v>22</v>
      </c>
      <c r="I2019" s="1" t="s">
        <v>29</v>
      </c>
      <c r="J2019" s="1">
        <v>-99.670000000000016</v>
      </c>
      <c r="K2019" s="1">
        <v>440.33</v>
      </c>
      <c r="L2019" s="1">
        <v>80.329999999999984</v>
      </c>
    </row>
    <row r="2020" spans="4:12">
      <c r="D2020" s="1" t="s">
        <v>1014</v>
      </c>
      <c r="E2020" s="1" t="s">
        <v>1105</v>
      </c>
      <c r="F2020" s="1" t="s">
        <v>35</v>
      </c>
      <c r="G2020" s="1" t="s">
        <v>36</v>
      </c>
      <c r="H2020" s="1" t="s">
        <v>22</v>
      </c>
      <c r="I2020" s="1" t="s">
        <v>29</v>
      </c>
      <c r="J2020" s="1">
        <v>-99.670000000000016</v>
      </c>
      <c r="K2020" s="1">
        <v>440.33</v>
      </c>
      <c r="L2020" s="1">
        <v>80.329999999999984</v>
      </c>
    </row>
    <row r="2021" spans="4:12">
      <c r="D2021" s="1" t="s">
        <v>1014</v>
      </c>
      <c r="E2021" s="1" t="s">
        <v>1106</v>
      </c>
      <c r="F2021" s="1" t="s">
        <v>35</v>
      </c>
      <c r="G2021" s="1" t="s">
        <v>36</v>
      </c>
      <c r="H2021" s="1" t="s">
        <v>22</v>
      </c>
      <c r="I2021" s="1" t="s">
        <v>29</v>
      </c>
      <c r="J2021" s="1">
        <v>-99.670000000000016</v>
      </c>
      <c r="K2021" s="1">
        <v>440.33</v>
      </c>
      <c r="L2021" s="1">
        <v>80.329999999999984</v>
      </c>
    </row>
    <row r="2022" spans="4:12">
      <c r="D2022" s="1" t="s">
        <v>1014</v>
      </c>
      <c r="E2022" s="1" t="s">
        <v>1107</v>
      </c>
      <c r="F2022" s="1" t="s">
        <v>35</v>
      </c>
      <c r="G2022" s="1" t="s">
        <v>36</v>
      </c>
      <c r="H2022" s="1" t="s">
        <v>22</v>
      </c>
      <c r="I2022" s="1" t="s">
        <v>29</v>
      </c>
      <c r="J2022" s="1">
        <v>-99.670000000000016</v>
      </c>
      <c r="K2022" s="1">
        <v>440.33</v>
      </c>
      <c r="L2022" s="1">
        <v>80.329999999999984</v>
      </c>
    </row>
    <row r="2023" spans="4:12">
      <c r="D2023" s="1" t="s">
        <v>1014</v>
      </c>
      <c r="E2023" s="1" t="s">
        <v>1108</v>
      </c>
      <c r="F2023" s="1" t="s">
        <v>35</v>
      </c>
      <c r="G2023" s="1" t="s">
        <v>36</v>
      </c>
      <c r="H2023" s="1" t="s">
        <v>22</v>
      </c>
      <c r="I2023" s="1" t="s">
        <v>29</v>
      </c>
      <c r="J2023" s="1">
        <v>-99.670000000000016</v>
      </c>
      <c r="K2023" s="1">
        <v>440.33</v>
      </c>
      <c r="L2023" s="1">
        <v>80.329999999999984</v>
      </c>
    </row>
    <row r="2024" spans="4:12">
      <c r="D2024" s="1" t="s">
        <v>1014</v>
      </c>
      <c r="E2024" s="1" t="s">
        <v>1109</v>
      </c>
      <c r="F2024" s="1" t="s">
        <v>35</v>
      </c>
      <c r="G2024" s="1" t="s">
        <v>36</v>
      </c>
      <c r="H2024" s="1" t="s">
        <v>22</v>
      </c>
      <c r="I2024" s="1" t="s">
        <v>29</v>
      </c>
      <c r="J2024" s="1">
        <v>-99.670000000000016</v>
      </c>
      <c r="K2024" s="1">
        <v>440.33</v>
      </c>
      <c r="L2024" s="1">
        <v>80.329999999999984</v>
      </c>
    </row>
    <row r="2025" spans="4:12">
      <c r="D2025" s="1" t="s">
        <v>1014</v>
      </c>
      <c r="E2025" s="1" t="s">
        <v>1110</v>
      </c>
      <c r="F2025" s="1" t="s">
        <v>35</v>
      </c>
      <c r="G2025" s="1" t="s">
        <v>36</v>
      </c>
      <c r="H2025" s="1" t="s">
        <v>22</v>
      </c>
      <c r="I2025" s="1" t="s">
        <v>29</v>
      </c>
      <c r="J2025" s="1">
        <v>-99.670000000000016</v>
      </c>
      <c r="K2025" s="1">
        <v>440.33</v>
      </c>
      <c r="L2025" s="1">
        <v>80.329999999999984</v>
      </c>
    </row>
    <row r="2026" spans="4:12">
      <c r="D2026" s="1" t="s">
        <v>1014</v>
      </c>
      <c r="E2026" s="1" t="s">
        <v>1111</v>
      </c>
      <c r="F2026" s="1" t="s">
        <v>35</v>
      </c>
      <c r="G2026" s="1" t="s">
        <v>36</v>
      </c>
      <c r="H2026" s="1" t="s">
        <v>22</v>
      </c>
      <c r="I2026" s="1" t="s">
        <v>29</v>
      </c>
      <c r="J2026" s="1">
        <v>-99.670000000000016</v>
      </c>
      <c r="K2026" s="1">
        <v>440.33</v>
      </c>
      <c r="L2026" s="1">
        <v>80.329999999999984</v>
      </c>
    </row>
    <row r="2027" spans="4:12">
      <c r="D2027" s="1" t="s">
        <v>1014</v>
      </c>
      <c r="E2027" s="1" t="s">
        <v>1112</v>
      </c>
      <c r="F2027" s="1" t="s">
        <v>35</v>
      </c>
      <c r="G2027" s="1" t="s">
        <v>36</v>
      </c>
      <c r="H2027" s="1" t="s">
        <v>22</v>
      </c>
      <c r="I2027" s="1" t="s">
        <v>29</v>
      </c>
      <c r="J2027" s="1">
        <v>-99.670000000000016</v>
      </c>
      <c r="K2027" s="1">
        <v>440.33</v>
      </c>
      <c r="L2027" s="1">
        <v>80.329999999999984</v>
      </c>
    </row>
    <row r="2028" spans="4:12">
      <c r="D2028" s="1" t="s">
        <v>1014</v>
      </c>
      <c r="E2028" s="1" t="s">
        <v>1113</v>
      </c>
      <c r="F2028" s="1" t="s">
        <v>35</v>
      </c>
      <c r="G2028" s="1" t="s">
        <v>36</v>
      </c>
      <c r="H2028" s="1" t="s">
        <v>22</v>
      </c>
      <c r="I2028" s="1" t="s">
        <v>29</v>
      </c>
      <c r="J2028" s="1">
        <v>-99.670000000000016</v>
      </c>
      <c r="K2028" s="1">
        <v>440.33</v>
      </c>
      <c r="L2028" s="1">
        <v>80.329999999999984</v>
      </c>
    </row>
    <row r="2029" spans="4:12">
      <c r="D2029" s="1" t="s">
        <v>1014</v>
      </c>
      <c r="E2029" s="1" t="s">
        <v>1114</v>
      </c>
      <c r="F2029" s="1" t="s">
        <v>35</v>
      </c>
      <c r="G2029" s="1" t="s">
        <v>36</v>
      </c>
      <c r="H2029" s="1" t="s">
        <v>22</v>
      </c>
      <c r="I2029" s="1" t="s">
        <v>29</v>
      </c>
      <c r="J2029" s="1">
        <v>-31.018000000000029</v>
      </c>
      <c r="K2029" s="1">
        <v>256.99999999999994</v>
      </c>
      <c r="L2029" s="1">
        <v>80.329999999999984</v>
      </c>
    </row>
    <row r="2030" spans="4:12">
      <c r="D2030" s="1" t="s">
        <v>1014</v>
      </c>
      <c r="E2030" s="1" t="s">
        <v>1115</v>
      </c>
      <c r="F2030" s="1" t="s">
        <v>35</v>
      </c>
      <c r="G2030" s="1" t="s">
        <v>36</v>
      </c>
      <c r="H2030" s="1" t="s">
        <v>22</v>
      </c>
      <c r="I2030" s="1" t="s">
        <v>29</v>
      </c>
      <c r="J2030" s="1">
        <v>-31.018000000000029</v>
      </c>
      <c r="K2030" s="1">
        <v>256.99999999999994</v>
      </c>
      <c r="L2030" s="1">
        <v>80.329999999999984</v>
      </c>
    </row>
    <row r="2031" spans="4:12">
      <c r="D2031" s="1" t="s">
        <v>1014</v>
      </c>
      <c r="E2031" s="1" t="s">
        <v>1116</v>
      </c>
      <c r="F2031" s="1" t="s">
        <v>35</v>
      </c>
      <c r="G2031" s="1" t="s">
        <v>36</v>
      </c>
      <c r="H2031" s="1" t="s">
        <v>22</v>
      </c>
      <c r="I2031" s="1" t="s">
        <v>29</v>
      </c>
      <c r="J2031" s="1">
        <v>-31.018000000000029</v>
      </c>
      <c r="K2031" s="1">
        <v>256.99999999999994</v>
      </c>
      <c r="L2031" s="1">
        <v>80.329999999999984</v>
      </c>
    </row>
    <row r="2032" spans="4:12">
      <c r="D2032" s="1" t="s">
        <v>1014</v>
      </c>
      <c r="E2032" s="1" t="s">
        <v>1117</v>
      </c>
      <c r="F2032" s="1" t="s">
        <v>35</v>
      </c>
      <c r="G2032" s="1" t="s">
        <v>36</v>
      </c>
      <c r="H2032" s="1" t="s">
        <v>22</v>
      </c>
      <c r="I2032" s="1" t="s">
        <v>29</v>
      </c>
      <c r="J2032" s="1">
        <v>-31.018000000000029</v>
      </c>
      <c r="K2032" s="1">
        <v>256.99999999999994</v>
      </c>
      <c r="L2032" s="1">
        <v>80.329999999999984</v>
      </c>
    </row>
    <row r="2033" spans="4:12">
      <c r="D2033" s="1" t="s">
        <v>1014</v>
      </c>
      <c r="E2033" s="1" t="s">
        <v>1118</v>
      </c>
      <c r="F2033" s="1" t="s">
        <v>35</v>
      </c>
      <c r="G2033" s="1" t="s">
        <v>36</v>
      </c>
      <c r="H2033" s="1" t="s">
        <v>22</v>
      </c>
      <c r="I2033" s="1" t="s">
        <v>29</v>
      </c>
      <c r="J2033" s="1">
        <v>-31.018000000000029</v>
      </c>
      <c r="K2033" s="1">
        <v>256.99999999999994</v>
      </c>
      <c r="L2033" s="1">
        <v>80.329999999999984</v>
      </c>
    </row>
    <row r="2034" spans="4:12">
      <c r="D2034" s="1" t="s">
        <v>1014</v>
      </c>
      <c r="E2034" s="1" t="s">
        <v>1119</v>
      </c>
      <c r="F2034" s="1" t="s">
        <v>35</v>
      </c>
      <c r="G2034" s="1" t="s">
        <v>36</v>
      </c>
      <c r="H2034" s="1" t="s">
        <v>22</v>
      </c>
      <c r="I2034" s="1" t="s">
        <v>29</v>
      </c>
      <c r="J2034" s="1">
        <v>-31.018000000000029</v>
      </c>
      <c r="K2034" s="1">
        <v>256.99999999999994</v>
      </c>
      <c r="L2034" s="1">
        <v>80.329999999999984</v>
      </c>
    </row>
    <row r="2035" spans="4:12">
      <c r="D2035" s="1" t="s">
        <v>1014</v>
      </c>
      <c r="E2035" s="1" t="s">
        <v>1120</v>
      </c>
      <c r="F2035" s="1" t="s">
        <v>35</v>
      </c>
      <c r="G2035" s="1" t="s">
        <v>36</v>
      </c>
      <c r="H2035" s="1" t="s">
        <v>22</v>
      </c>
      <c r="I2035" s="1" t="s">
        <v>29</v>
      </c>
      <c r="J2035" s="1">
        <v>-31.018000000000029</v>
      </c>
      <c r="K2035" s="1">
        <v>256.99999999999994</v>
      </c>
      <c r="L2035" s="1">
        <v>80.329999999999984</v>
      </c>
    </row>
    <row r="2036" spans="4:12">
      <c r="D2036" s="1" t="s">
        <v>1014</v>
      </c>
      <c r="E2036" s="1" t="s">
        <v>1121</v>
      </c>
      <c r="F2036" s="1" t="s">
        <v>35</v>
      </c>
      <c r="G2036" s="1" t="s">
        <v>36</v>
      </c>
      <c r="H2036" s="1" t="s">
        <v>22</v>
      </c>
      <c r="I2036" s="1" t="s">
        <v>29</v>
      </c>
      <c r="J2036" s="1">
        <v>-31.018000000000029</v>
      </c>
      <c r="K2036" s="1">
        <v>256.99999999999994</v>
      </c>
      <c r="L2036" s="1">
        <v>80.329999999999984</v>
      </c>
    </row>
    <row r="2037" spans="4:12">
      <c r="D2037" s="1" t="s">
        <v>1014</v>
      </c>
      <c r="E2037" s="1" t="s">
        <v>1122</v>
      </c>
      <c r="F2037" s="1" t="s">
        <v>35</v>
      </c>
      <c r="G2037" s="1" t="s">
        <v>36</v>
      </c>
      <c r="H2037" s="1" t="s">
        <v>22</v>
      </c>
      <c r="I2037" s="1" t="s">
        <v>29</v>
      </c>
      <c r="J2037" s="1">
        <v>-31.018000000000029</v>
      </c>
      <c r="K2037" s="1">
        <v>256.99999999999994</v>
      </c>
      <c r="L2037" s="1">
        <v>80.329999999999984</v>
      </c>
    </row>
    <row r="2038" spans="4:12">
      <c r="D2038" s="1" t="s">
        <v>1014</v>
      </c>
      <c r="E2038" s="1" t="s">
        <v>1123</v>
      </c>
      <c r="F2038" s="1" t="s">
        <v>35</v>
      </c>
      <c r="G2038" s="1" t="s">
        <v>36</v>
      </c>
      <c r="H2038" s="1" t="s">
        <v>22</v>
      </c>
      <c r="I2038" s="1" t="s">
        <v>29</v>
      </c>
      <c r="J2038" s="1">
        <v>-31.018000000000029</v>
      </c>
      <c r="K2038" s="1">
        <v>256.99999999999994</v>
      </c>
      <c r="L2038" s="1">
        <v>80.329999999999984</v>
      </c>
    </row>
    <row r="2039" spans="4:12">
      <c r="D2039" s="1" t="s">
        <v>1014</v>
      </c>
      <c r="E2039" s="1" t="s">
        <v>1124</v>
      </c>
      <c r="F2039" s="1" t="s">
        <v>35</v>
      </c>
      <c r="G2039" s="1" t="s">
        <v>36</v>
      </c>
      <c r="H2039" s="1" t="s">
        <v>22</v>
      </c>
      <c r="I2039" s="1" t="s">
        <v>29</v>
      </c>
      <c r="J2039" s="1">
        <v>-31.018000000000029</v>
      </c>
      <c r="K2039" s="1">
        <v>256.99999999999994</v>
      </c>
      <c r="L2039" s="1">
        <v>80.329999999999984</v>
      </c>
    </row>
    <row r="2040" spans="4:12">
      <c r="D2040" s="1" t="s">
        <v>1014</v>
      </c>
      <c r="E2040" s="1" t="s">
        <v>1125</v>
      </c>
      <c r="F2040" s="1" t="s">
        <v>35</v>
      </c>
      <c r="G2040" s="1" t="s">
        <v>36</v>
      </c>
      <c r="H2040" s="1" t="s">
        <v>22</v>
      </c>
      <c r="I2040" s="1" t="s">
        <v>29</v>
      </c>
      <c r="J2040" s="1">
        <v>-31.018000000000029</v>
      </c>
      <c r="K2040" s="1">
        <v>256.99999999999994</v>
      </c>
      <c r="L2040" s="1">
        <v>80.329999999999984</v>
      </c>
    </row>
    <row r="2041" spans="4:12">
      <c r="D2041" s="1" t="s">
        <v>1014</v>
      </c>
      <c r="E2041" s="1" t="s">
        <v>1126</v>
      </c>
      <c r="F2041" s="1" t="s">
        <v>35</v>
      </c>
      <c r="G2041" s="1" t="s">
        <v>36</v>
      </c>
      <c r="H2041" s="1" t="s">
        <v>22</v>
      </c>
      <c r="I2041" s="1" t="s">
        <v>29</v>
      </c>
      <c r="J2041" s="1">
        <v>-99.670000000000016</v>
      </c>
      <c r="K2041" s="1">
        <v>440.33</v>
      </c>
      <c r="L2041" s="1">
        <v>80.329999999999984</v>
      </c>
    </row>
    <row r="2042" spans="4:12">
      <c r="D2042" s="1" t="s">
        <v>1014</v>
      </c>
      <c r="E2042" s="1" t="s">
        <v>1127</v>
      </c>
      <c r="F2042" s="1" t="s">
        <v>35</v>
      </c>
      <c r="G2042" s="1" t="s">
        <v>36</v>
      </c>
      <c r="H2042" s="1" t="s">
        <v>22</v>
      </c>
      <c r="I2042" s="1" t="s">
        <v>29</v>
      </c>
      <c r="J2042" s="1">
        <v>-99.670000000000016</v>
      </c>
      <c r="K2042" s="1">
        <v>440.33</v>
      </c>
      <c r="L2042" s="1">
        <v>80.329999999999984</v>
      </c>
    </row>
    <row r="2043" spans="4:12">
      <c r="D2043" s="1" t="s">
        <v>1014</v>
      </c>
      <c r="E2043" s="1" t="s">
        <v>1128</v>
      </c>
      <c r="F2043" s="1" t="s">
        <v>35</v>
      </c>
      <c r="G2043" s="1" t="s">
        <v>36</v>
      </c>
      <c r="H2043" s="1" t="s">
        <v>22</v>
      </c>
      <c r="I2043" s="1" t="s">
        <v>29</v>
      </c>
      <c r="J2043" s="1">
        <v>-99.670000000000016</v>
      </c>
      <c r="K2043" s="1">
        <v>440.33</v>
      </c>
      <c r="L2043" s="1">
        <v>80.329999999999984</v>
      </c>
    </row>
    <row r="2044" spans="4:12">
      <c r="D2044" s="1" t="s">
        <v>1014</v>
      </c>
      <c r="E2044" s="1" t="s">
        <v>1129</v>
      </c>
      <c r="F2044" s="1" t="s">
        <v>35</v>
      </c>
      <c r="G2044" s="1" t="s">
        <v>36</v>
      </c>
      <c r="H2044" s="1" t="s">
        <v>22</v>
      </c>
      <c r="I2044" s="1" t="s">
        <v>29</v>
      </c>
      <c r="J2044" s="1">
        <v>-99.670000000000016</v>
      </c>
      <c r="K2044" s="1">
        <v>440.33</v>
      </c>
      <c r="L2044" s="1">
        <v>80.329999999999984</v>
      </c>
    </row>
    <row r="2045" spans="4:12">
      <c r="D2045" s="1" t="s">
        <v>1014</v>
      </c>
      <c r="E2045" s="1" t="s">
        <v>1130</v>
      </c>
      <c r="F2045" s="1" t="s">
        <v>35</v>
      </c>
      <c r="G2045" s="1" t="s">
        <v>36</v>
      </c>
      <c r="H2045" s="1" t="s">
        <v>22</v>
      </c>
      <c r="I2045" s="1" t="s">
        <v>29</v>
      </c>
      <c r="J2045" s="1">
        <v>-99.670000000000016</v>
      </c>
      <c r="K2045" s="1">
        <v>440.33</v>
      </c>
      <c r="L2045" s="1">
        <v>80.329999999999984</v>
      </c>
    </row>
    <row r="2046" spans="4:12">
      <c r="D2046" s="1" t="s">
        <v>1014</v>
      </c>
      <c r="E2046" s="1" t="s">
        <v>1131</v>
      </c>
      <c r="F2046" s="1" t="s">
        <v>35</v>
      </c>
      <c r="G2046" s="1" t="s">
        <v>36</v>
      </c>
      <c r="H2046" s="1" t="s">
        <v>22</v>
      </c>
      <c r="I2046" s="1" t="s">
        <v>29</v>
      </c>
      <c r="J2046" s="1">
        <v>-99.670000000000016</v>
      </c>
      <c r="K2046" s="1">
        <v>440.33</v>
      </c>
      <c r="L2046" s="1">
        <v>80.329999999999984</v>
      </c>
    </row>
    <row r="2047" spans="4:12">
      <c r="D2047" s="1" t="s">
        <v>1014</v>
      </c>
      <c r="E2047" s="1" t="s">
        <v>1132</v>
      </c>
      <c r="F2047" s="1" t="s">
        <v>35</v>
      </c>
      <c r="G2047" s="1" t="s">
        <v>36</v>
      </c>
      <c r="H2047" s="1" t="s">
        <v>22</v>
      </c>
      <c r="I2047" s="1" t="s">
        <v>29</v>
      </c>
      <c r="J2047" s="1">
        <v>-99.670000000000016</v>
      </c>
      <c r="K2047" s="1">
        <v>440.33</v>
      </c>
      <c r="L2047" s="1">
        <v>80.329999999999984</v>
      </c>
    </row>
    <row r="2048" spans="4:12">
      <c r="D2048" s="1" t="s">
        <v>1014</v>
      </c>
      <c r="E2048" s="1" t="s">
        <v>1133</v>
      </c>
      <c r="F2048" s="1" t="s">
        <v>35</v>
      </c>
      <c r="G2048" s="1" t="s">
        <v>36</v>
      </c>
      <c r="H2048" s="1" t="s">
        <v>22</v>
      </c>
      <c r="I2048" s="1" t="s">
        <v>29</v>
      </c>
      <c r="J2048" s="1">
        <v>-99.670000000000016</v>
      </c>
      <c r="K2048" s="1">
        <v>440.33</v>
      </c>
      <c r="L2048" s="1">
        <v>80.329999999999984</v>
      </c>
    </row>
    <row r="2049" spans="4:12">
      <c r="D2049" s="1" t="s">
        <v>1014</v>
      </c>
      <c r="E2049" s="1" t="s">
        <v>1134</v>
      </c>
      <c r="F2049" s="1" t="s">
        <v>35</v>
      </c>
      <c r="G2049" s="1" t="s">
        <v>36</v>
      </c>
      <c r="H2049" s="1" t="s">
        <v>22</v>
      </c>
      <c r="I2049" s="1" t="s">
        <v>29</v>
      </c>
      <c r="J2049" s="1">
        <v>-99.670000000000016</v>
      </c>
      <c r="K2049" s="1">
        <v>440.33</v>
      </c>
      <c r="L2049" s="1">
        <v>80.329999999999984</v>
      </c>
    </row>
    <row r="2050" spans="4:12">
      <c r="D2050" s="1" t="s">
        <v>1014</v>
      </c>
      <c r="E2050" s="1" t="s">
        <v>1135</v>
      </c>
      <c r="F2050" s="1" t="s">
        <v>35</v>
      </c>
      <c r="G2050" s="1" t="s">
        <v>36</v>
      </c>
      <c r="H2050" s="1" t="s">
        <v>22</v>
      </c>
      <c r="I2050" s="1" t="s">
        <v>29</v>
      </c>
      <c r="J2050" s="1">
        <v>-99.670000000000016</v>
      </c>
      <c r="K2050" s="1">
        <v>440.33</v>
      </c>
      <c r="L2050" s="1">
        <v>80.329999999999984</v>
      </c>
    </row>
    <row r="2051" spans="4:12">
      <c r="D2051" s="1" t="s">
        <v>1014</v>
      </c>
      <c r="E2051" s="1" t="s">
        <v>1136</v>
      </c>
      <c r="F2051" s="1" t="s">
        <v>35</v>
      </c>
      <c r="G2051" s="1" t="s">
        <v>36</v>
      </c>
      <c r="H2051" s="1" t="s">
        <v>22</v>
      </c>
      <c r="I2051" s="1" t="s">
        <v>29</v>
      </c>
      <c r="J2051" s="1">
        <v>-31.018000000000029</v>
      </c>
      <c r="K2051" s="1">
        <v>256.99999999999994</v>
      </c>
      <c r="L2051" s="1">
        <v>80.329999999999984</v>
      </c>
    </row>
    <row r="2052" spans="4:12">
      <c r="D2052" s="1" t="s">
        <v>1014</v>
      </c>
      <c r="E2052" s="1" t="s">
        <v>1137</v>
      </c>
      <c r="F2052" s="1" t="s">
        <v>35</v>
      </c>
      <c r="G2052" s="1" t="s">
        <v>36</v>
      </c>
      <c r="H2052" s="1" t="s">
        <v>22</v>
      </c>
      <c r="I2052" s="1" t="s">
        <v>29</v>
      </c>
      <c r="J2052" s="1">
        <v>-31.018000000000029</v>
      </c>
      <c r="K2052" s="1">
        <v>256.99999999999994</v>
      </c>
      <c r="L2052" s="1">
        <v>80.329999999999984</v>
      </c>
    </row>
    <row r="2053" spans="4:12">
      <c r="D2053" s="1" t="s">
        <v>1014</v>
      </c>
      <c r="E2053" s="1" t="s">
        <v>1138</v>
      </c>
      <c r="F2053" s="1" t="s">
        <v>35</v>
      </c>
      <c r="G2053" s="1" t="s">
        <v>36</v>
      </c>
      <c r="H2053" s="1" t="s">
        <v>22</v>
      </c>
      <c r="I2053" s="1" t="s">
        <v>29</v>
      </c>
      <c r="J2053" s="1">
        <v>-31.018000000000029</v>
      </c>
      <c r="K2053" s="1">
        <v>256.99999999999994</v>
      </c>
      <c r="L2053" s="1">
        <v>80.329999999999984</v>
      </c>
    </row>
    <row r="2054" spans="4:12">
      <c r="D2054" s="1" t="s">
        <v>1014</v>
      </c>
      <c r="E2054" s="1" t="s">
        <v>1139</v>
      </c>
      <c r="F2054" s="1" t="s">
        <v>35</v>
      </c>
      <c r="G2054" s="1" t="s">
        <v>36</v>
      </c>
      <c r="H2054" s="1" t="s">
        <v>22</v>
      </c>
      <c r="I2054" s="1" t="s">
        <v>29</v>
      </c>
      <c r="J2054" s="1">
        <v>-31.018000000000029</v>
      </c>
      <c r="K2054" s="1">
        <v>256.99999999999994</v>
      </c>
      <c r="L2054" s="1">
        <v>80.329999999999984</v>
      </c>
    </row>
    <row r="2055" spans="4:12">
      <c r="D2055" s="1" t="s">
        <v>1014</v>
      </c>
      <c r="E2055" s="1" t="s">
        <v>1140</v>
      </c>
      <c r="F2055" s="1" t="s">
        <v>35</v>
      </c>
      <c r="G2055" s="1" t="s">
        <v>36</v>
      </c>
      <c r="H2055" s="1" t="s">
        <v>22</v>
      </c>
      <c r="I2055" s="1" t="s">
        <v>29</v>
      </c>
      <c r="J2055" s="1">
        <v>-31.018000000000029</v>
      </c>
      <c r="K2055" s="1">
        <v>256.99999999999994</v>
      </c>
      <c r="L2055" s="1">
        <v>80.329999999999984</v>
      </c>
    </row>
    <row r="2056" spans="4:12">
      <c r="D2056" s="1" t="s">
        <v>1014</v>
      </c>
      <c r="E2056" s="1" t="s">
        <v>1141</v>
      </c>
      <c r="F2056" s="1" t="s">
        <v>35</v>
      </c>
      <c r="G2056" s="1" t="s">
        <v>36</v>
      </c>
      <c r="H2056" s="1" t="s">
        <v>22</v>
      </c>
      <c r="I2056" s="1" t="s">
        <v>29</v>
      </c>
      <c r="J2056" s="1">
        <v>-31.018000000000029</v>
      </c>
      <c r="K2056" s="1">
        <v>256.99999999999994</v>
      </c>
      <c r="L2056" s="1">
        <v>80.329999999999984</v>
      </c>
    </row>
    <row r="2057" spans="4:12">
      <c r="D2057" s="1" t="s">
        <v>1014</v>
      </c>
      <c r="E2057" s="1" t="s">
        <v>1142</v>
      </c>
      <c r="F2057" s="1" t="s">
        <v>35</v>
      </c>
      <c r="G2057" s="1" t="s">
        <v>36</v>
      </c>
      <c r="H2057" s="1" t="s">
        <v>22</v>
      </c>
      <c r="I2057" s="1" t="s">
        <v>29</v>
      </c>
      <c r="J2057" s="1">
        <v>-31.018000000000029</v>
      </c>
      <c r="K2057" s="1">
        <v>256.99999999999994</v>
      </c>
      <c r="L2057" s="1">
        <v>80.329999999999984</v>
      </c>
    </row>
    <row r="2058" spans="4:12">
      <c r="D2058" s="1" t="s">
        <v>1014</v>
      </c>
      <c r="E2058" s="1" t="s">
        <v>1143</v>
      </c>
      <c r="F2058" s="1" t="s">
        <v>35</v>
      </c>
      <c r="G2058" s="1" t="s">
        <v>36</v>
      </c>
      <c r="H2058" s="1" t="s">
        <v>22</v>
      </c>
      <c r="I2058" s="1" t="s">
        <v>29</v>
      </c>
      <c r="J2058" s="1">
        <v>-31.018000000000029</v>
      </c>
      <c r="K2058" s="1">
        <v>256.99999999999994</v>
      </c>
      <c r="L2058" s="1">
        <v>80.329999999999984</v>
      </c>
    </row>
    <row r="2059" spans="4:12">
      <c r="D2059" s="1" t="s">
        <v>1014</v>
      </c>
      <c r="E2059" s="1" t="s">
        <v>1144</v>
      </c>
      <c r="F2059" s="1" t="s">
        <v>35</v>
      </c>
      <c r="G2059" s="1" t="s">
        <v>36</v>
      </c>
      <c r="H2059" s="1" t="s">
        <v>22</v>
      </c>
      <c r="I2059" s="1" t="s">
        <v>29</v>
      </c>
      <c r="J2059" s="1">
        <v>-31.018000000000029</v>
      </c>
      <c r="K2059" s="1">
        <v>256.99999999999994</v>
      </c>
      <c r="L2059" s="1">
        <v>80.329999999999984</v>
      </c>
    </row>
    <row r="2060" spans="4:12">
      <c r="D2060" s="1" t="s">
        <v>1014</v>
      </c>
      <c r="E2060" s="1" t="s">
        <v>1145</v>
      </c>
      <c r="F2060" s="1" t="s">
        <v>35</v>
      </c>
      <c r="G2060" s="1" t="s">
        <v>36</v>
      </c>
      <c r="H2060" s="1" t="s">
        <v>22</v>
      </c>
      <c r="I2060" s="1" t="s">
        <v>29</v>
      </c>
      <c r="J2060" s="1">
        <v>-31.018000000000029</v>
      </c>
      <c r="K2060" s="1">
        <v>256.99999999999994</v>
      </c>
      <c r="L2060" s="1">
        <v>80.329999999999984</v>
      </c>
    </row>
    <row r="2061" spans="4:12">
      <c r="D2061" s="1" t="s">
        <v>1014</v>
      </c>
      <c r="E2061" s="1" t="s">
        <v>1146</v>
      </c>
      <c r="F2061" s="1" t="s">
        <v>35</v>
      </c>
      <c r="G2061" s="1" t="s">
        <v>36</v>
      </c>
      <c r="H2061" s="1" t="s">
        <v>22</v>
      </c>
      <c r="I2061" s="1" t="s">
        <v>29</v>
      </c>
      <c r="J2061" s="1">
        <v>-31.018000000000029</v>
      </c>
      <c r="K2061" s="1">
        <v>256.99999999999994</v>
      </c>
      <c r="L2061" s="1">
        <v>80.329999999999984</v>
      </c>
    </row>
    <row r="2062" spans="4:12">
      <c r="D2062" s="1" t="s">
        <v>1014</v>
      </c>
      <c r="E2062" s="1" t="s">
        <v>1147</v>
      </c>
      <c r="F2062" s="1" t="s">
        <v>35</v>
      </c>
      <c r="G2062" s="1" t="s">
        <v>36</v>
      </c>
      <c r="H2062" s="1" t="s">
        <v>22</v>
      </c>
      <c r="I2062" s="1" t="s">
        <v>29</v>
      </c>
      <c r="J2062" s="1">
        <v>-31.018000000000029</v>
      </c>
      <c r="K2062" s="1">
        <v>256.99999999999994</v>
      </c>
      <c r="L2062" s="1">
        <v>80.329999999999984</v>
      </c>
    </row>
    <row r="2063" spans="4:12">
      <c r="D2063" s="1" t="s">
        <v>1014</v>
      </c>
      <c r="E2063" s="1" t="s">
        <v>1148</v>
      </c>
      <c r="F2063" s="1" t="s">
        <v>35</v>
      </c>
      <c r="G2063" s="1" t="s">
        <v>36</v>
      </c>
      <c r="H2063" s="1" t="s">
        <v>22</v>
      </c>
      <c r="I2063" s="1" t="s">
        <v>29</v>
      </c>
      <c r="J2063" s="1">
        <v>-99.670000000000016</v>
      </c>
      <c r="K2063" s="1">
        <v>440.33</v>
      </c>
      <c r="L2063" s="1">
        <v>80.329999999999984</v>
      </c>
    </row>
    <row r="2064" spans="4:12">
      <c r="D2064" s="1" t="s">
        <v>1014</v>
      </c>
      <c r="E2064" s="1" t="s">
        <v>1149</v>
      </c>
      <c r="F2064" s="1" t="s">
        <v>35</v>
      </c>
      <c r="G2064" s="1" t="s">
        <v>36</v>
      </c>
      <c r="H2064" s="1" t="s">
        <v>22</v>
      </c>
      <c r="I2064" s="1" t="s">
        <v>29</v>
      </c>
      <c r="J2064" s="1">
        <v>-99.670000000000016</v>
      </c>
      <c r="K2064" s="1">
        <v>440.33</v>
      </c>
      <c r="L2064" s="1">
        <v>80.329999999999984</v>
      </c>
    </row>
    <row r="2065" spans="4:12">
      <c r="D2065" s="1" t="s">
        <v>1014</v>
      </c>
      <c r="E2065" s="1" t="s">
        <v>1150</v>
      </c>
      <c r="F2065" s="1" t="s">
        <v>35</v>
      </c>
      <c r="G2065" s="1" t="s">
        <v>36</v>
      </c>
      <c r="H2065" s="1" t="s">
        <v>22</v>
      </c>
      <c r="I2065" s="1" t="s">
        <v>29</v>
      </c>
      <c r="J2065" s="1">
        <v>-99.670000000000016</v>
      </c>
      <c r="K2065" s="1">
        <v>440.33</v>
      </c>
      <c r="L2065" s="1">
        <v>80.329999999999984</v>
      </c>
    </row>
    <row r="2066" spans="4:12">
      <c r="D2066" s="1" t="s">
        <v>1014</v>
      </c>
      <c r="E2066" s="1" t="s">
        <v>1151</v>
      </c>
      <c r="F2066" s="1" t="s">
        <v>35</v>
      </c>
      <c r="G2066" s="1" t="s">
        <v>36</v>
      </c>
      <c r="H2066" s="1" t="s">
        <v>22</v>
      </c>
      <c r="I2066" s="1" t="s">
        <v>29</v>
      </c>
      <c r="J2066" s="1">
        <v>-99.670000000000016</v>
      </c>
      <c r="K2066" s="1">
        <v>440.33</v>
      </c>
      <c r="L2066" s="1">
        <v>80.329999999999984</v>
      </c>
    </row>
    <row r="2067" spans="4:12">
      <c r="D2067" s="1" t="s">
        <v>1014</v>
      </c>
      <c r="E2067" s="1" t="s">
        <v>1152</v>
      </c>
      <c r="F2067" s="1" t="s">
        <v>35</v>
      </c>
      <c r="G2067" s="1" t="s">
        <v>36</v>
      </c>
      <c r="H2067" s="1" t="s">
        <v>22</v>
      </c>
      <c r="I2067" s="1" t="s">
        <v>29</v>
      </c>
      <c r="J2067" s="1">
        <v>-99.670000000000016</v>
      </c>
      <c r="K2067" s="1">
        <v>440.33</v>
      </c>
      <c r="L2067" s="1">
        <v>80.329999999999984</v>
      </c>
    </row>
    <row r="2068" spans="4:12">
      <c r="D2068" s="1" t="s">
        <v>1014</v>
      </c>
      <c r="E2068" s="1" t="s">
        <v>1153</v>
      </c>
      <c r="F2068" s="1" t="s">
        <v>35</v>
      </c>
      <c r="G2068" s="1" t="s">
        <v>36</v>
      </c>
      <c r="H2068" s="1" t="s">
        <v>22</v>
      </c>
      <c r="I2068" s="1" t="s">
        <v>29</v>
      </c>
      <c r="J2068" s="1">
        <v>-99.670000000000016</v>
      </c>
      <c r="K2068" s="1">
        <v>440.33</v>
      </c>
      <c r="L2068" s="1">
        <v>80.329999999999984</v>
      </c>
    </row>
    <row r="2069" spans="4:12">
      <c r="D2069" s="1" t="s">
        <v>1014</v>
      </c>
      <c r="E2069" s="1" t="s">
        <v>1154</v>
      </c>
      <c r="F2069" s="1" t="s">
        <v>35</v>
      </c>
      <c r="G2069" s="1" t="s">
        <v>36</v>
      </c>
      <c r="H2069" s="1" t="s">
        <v>22</v>
      </c>
      <c r="I2069" s="1" t="s">
        <v>29</v>
      </c>
      <c r="J2069" s="1">
        <v>-99.670000000000016</v>
      </c>
      <c r="K2069" s="1">
        <v>440.33</v>
      </c>
      <c r="L2069" s="1">
        <v>80.329999999999984</v>
      </c>
    </row>
    <row r="2070" spans="4:12">
      <c r="D2070" s="1" t="s">
        <v>1014</v>
      </c>
      <c r="E2070" s="1" t="s">
        <v>1155</v>
      </c>
      <c r="F2070" s="1" t="s">
        <v>35</v>
      </c>
      <c r="G2070" s="1" t="s">
        <v>36</v>
      </c>
      <c r="H2070" s="1" t="s">
        <v>22</v>
      </c>
      <c r="I2070" s="1" t="s">
        <v>29</v>
      </c>
      <c r="J2070" s="1">
        <v>-99.670000000000016</v>
      </c>
      <c r="K2070" s="1">
        <v>440.33</v>
      </c>
      <c r="L2070" s="1">
        <v>80.329999999999984</v>
      </c>
    </row>
    <row r="2071" spans="4:12">
      <c r="D2071" s="1" t="s">
        <v>1014</v>
      </c>
      <c r="E2071" s="1" t="s">
        <v>1156</v>
      </c>
      <c r="F2071" s="1" t="s">
        <v>35</v>
      </c>
      <c r="G2071" s="1" t="s">
        <v>36</v>
      </c>
      <c r="H2071" s="1" t="s">
        <v>22</v>
      </c>
      <c r="I2071" s="1" t="s">
        <v>29</v>
      </c>
      <c r="J2071" s="1">
        <v>-99.670000000000016</v>
      </c>
      <c r="K2071" s="1">
        <v>440.33</v>
      </c>
      <c r="L2071" s="1">
        <v>80.329999999999984</v>
      </c>
    </row>
    <row r="2072" spans="4:12">
      <c r="D2072" s="1" t="s">
        <v>1014</v>
      </c>
      <c r="E2072" s="1" t="s">
        <v>1157</v>
      </c>
      <c r="F2072" s="1" t="s">
        <v>35</v>
      </c>
      <c r="G2072" s="1" t="s">
        <v>36</v>
      </c>
      <c r="H2072" s="1" t="s">
        <v>22</v>
      </c>
      <c r="I2072" s="1" t="s">
        <v>29</v>
      </c>
      <c r="J2072" s="1">
        <v>-99.670000000000016</v>
      </c>
      <c r="K2072" s="1">
        <v>440.33</v>
      </c>
      <c r="L2072" s="1">
        <v>80.329999999999984</v>
      </c>
    </row>
    <row r="2073" spans="4:12">
      <c r="D2073" s="1" t="s">
        <v>1014</v>
      </c>
      <c r="E2073" s="1" t="s">
        <v>1158</v>
      </c>
      <c r="F2073" s="1" t="s">
        <v>35</v>
      </c>
      <c r="G2073" s="1" t="s">
        <v>36</v>
      </c>
      <c r="H2073" s="1" t="s">
        <v>22</v>
      </c>
      <c r="I2073" s="1" t="s">
        <v>29</v>
      </c>
      <c r="J2073" s="1">
        <v>-99.670000000000016</v>
      </c>
      <c r="K2073" s="1">
        <v>440.33</v>
      </c>
      <c r="L2073" s="1">
        <v>80.329999999999984</v>
      </c>
    </row>
    <row r="2074" spans="4:12">
      <c r="D2074" s="1" t="s">
        <v>1014</v>
      </c>
      <c r="E2074" s="1" t="s">
        <v>1159</v>
      </c>
      <c r="F2074" s="1" t="s">
        <v>35</v>
      </c>
      <c r="G2074" s="1" t="s">
        <v>36</v>
      </c>
      <c r="H2074" s="1" t="s">
        <v>22</v>
      </c>
      <c r="I2074" s="1" t="s">
        <v>29</v>
      </c>
      <c r="J2074" s="1">
        <v>-99.670000000000016</v>
      </c>
      <c r="K2074" s="1">
        <v>440.33</v>
      </c>
      <c r="L2074" s="1">
        <v>80.329999999999984</v>
      </c>
    </row>
    <row r="2075" spans="4:12">
      <c r="D2075" s="1" t="s">
        <v>1014</v>
      </c>
      <c r="E2075" s="1" t="s">
        <v>1160</v>
      </c>
      <c r="F2075" s="1" t="s">
        <v>35</v>
      </c>
      <c r="G2075" s="1" t="s">
        <v>36</v>
      </c>
      <c r="H2075" s="1" t="s">
        <v>22</v>
      </c>
      <c r="I2075" s="1" t="s">
        <v>29</v>
      </c>
      <c r="J2075" s="1">
        <v>-99.670000000000016</v>
      </c>
      <c r="K2075" s="1">
        <v>440.33</v>
      </c>
      <c r="L2075" s="1">
        <v>80.329999999999984</v>
      </c>
    </row>
    <row r="2076" spans="4:12">
      <c r="D2076" s="1" t="s">
        <v>1014</v>
      </c>
      <c r="E2076" s="1" t="s">
        <v>1161</v>
      </c>
      <c r="F2076" s="1" t="s">
        <v>35</v>
      </c>
      <c r="G2076" s="1" t="s">
        <v>36</v>
      </c>
      <c r="H2076" s="1" t="s">
        <v>22</v>
      </c>
      <c r="I2076" s="1" t="s">
        <v>29</v>
      </c>
      <c r="J2076" s="1">
        <v>-99.670000000000016</v>
      </c>
      <c r="K2076" s="1">
        <v>440.33</v>
      </c>
      <c r="L2076" s="1">
        <v>80.329999999999984</v>
      </c>
    </row>
    <row r="2077" spans="4:12">
      <c r="D2077" s="1" t="s">
        <v>1014</v>
      </c>
      <c r="E2077" s="1" t="s">
        <v>1162</v>
      </c>
      <c r="F2077" s="1" t="s">
        <v>35</v>
      </c>
      <c r="G2077" s="1" t="s">
        <v>36</v>
      </c>
      <c r="H2077" s="1" t="s">
        <v>22</v>
      </c>
      <c r="I2077" s="1" t="s">
        <v>29</v>
      </c>
      <c r="J2077" s="1">
        <v>-99.670000000000016</v>
      </c>
      <c r="K2077" s="1">
        <v>440.33</v>
      </c>
      <c r="L2077" s="1">
        <v>80.329999999999984</v>
      </c>
    </row>
    <row r="2078" spans="4:12">
      <c r="D2078" s="1" t="s">
        <v>1014</v>
      </c>
      <c r="E2078" s="1" t="s">
        <v>1163</v>
      </c>
      <c r="F2078" s="1" t="s">
        <v>35</v>
      </c>
      <c r="G2078" s="1" t="s">
        <v>36</v>
      </c>
      <c r="H2078" s="1" t="s">
        <v>22</v>
      </c>
      <c r="I2078" s="1" t="s">
        <v>29</v>
      </c>
      <c r="J2078" s="1">
        <v>-99.670000000000016</v>
      </c>
      <c r="K2078" s="1">
        <v>440.33</v>
      </c>
      <c r="L2078" s="1">
        <v>80.329999999999984</v>
      </c>
    </row>
    <row r="2079" spans="4:12">
      <c r="D2079" s="1" t="s">
        <v>1014</v>
      </c>
      <c r="E2079" s="1" t="s">
        <v>1164</v>
      </c>
      <c r="F2079" s="1" t="s">
        <v>35</v>
      </c>
      <c r="G2079" s="1" t="s">
        <v>36</v>
      </c>
      <c r="H2079" s="1" t="s">
        <v>22</v>
      </c>
      <c r="I2079" s="1" t="s">
        <v>29</v>
      </c>
      <c r="J2079" s="1">
        <v>-99.670000000000016</v>
      </c>
      <c r="K2079" s="1">
        <v>440.33</v>
      </c>
      <c r="L2079" s="1">
        <v>80.329999999999984</v>
      </c>
    </row>
    <row r="2080" spans="4:12">
      <c r="D2080" s="1" t="s">
        <v>1014</v>
      </c>
      <c r="E2080" s="1" t="s">
        <v>1165</v>
      </c>
      <c r="F2080" s="1" t="s">
        <v>35</v>
      </c>
      <c r="G2080" s="1" t="s">
        <v>36</v>
      </c>
      <c r="H2080" s="1" t="s">
        <v>22</v>
      </c>
      <c r="I2080" s="1" t="s">
        <v>29</v>
      </c>
      <c r="J2080" s="1">
        <v>-99.670000000000016</v>
      </c>
      <c r="K2080" s="1">
        <v>440.33</v>
      </c>
      <c r="L2080" s="1">
        <v>80.329999999999984</v>
      </c>
    </row>
    <row r="2081" spans="4:12">
      <c r="D2081" s="1" t="s">
        <v>1014</v>
      </c>
      <c r="E2081" s="1" t="s">
        <v>1166</v>
      </c>
      <c r="F2081" s="1" t="s">
        <v>35</v>
      </c>
      <c r="G2081" s="1" t="s">
        <v>36</v>
      </c>
      <c r="H2081" s="1" t="s">
        <v>22</v>
      </c>
      <c r="I2081" s="1" t="s">
        <v>29</v>
      </c>
      <c r="J2081" s="1">
        <v>-99.670000000000016</v>
      </c>
      <c r="K2081" s="1">
        <v>440.33</v>
      </c>
      <c r="L2081" s="1">
        <v>80.329999999999984</v>
      </c>
    </row>
    <row r="2082" spans="4:12">
      <c r="D2082" s="1" t="s">
        <v>1014</v>
      </c>
      <c r="E2082" s="1" t="s">
        <v>1167</v>
      </c>
      <c r="F2082" s="1" t="s">
        <v>35</v>
      </c>
      <c r="G2082" s="1" t="s">
        <v>36</v>
      </c>
      <c r="H2082" s="1" t="s">
        <v>22</v>
      </c>
      <c r="I2082" s="1" t="s">
        <v>29</v>
      </c>
      <c r="J2082" s="1">
        <v>-99.670000000000016</v>
      </c>
      <c r="K2082" s="1">
        <v>440.33</v>
      </c>
      <c r="L2082" s="1">
        <v>80.329999999999984</v>
      </c>
    </row>
    <row r="2083" spans="4:12">
      <c r="D2083" s="1" t="s">
        <v>1014</v>
      </c>
      <c r="E2083" s="1" t="s">
        <v>1168</v>
      </c>
      <c r="F2083" s="1" t="s">
        <v>35</v>
      </c>
      <c r="G2083" s="1" t="s">
        <v>36</v>
      </c>
      <c r="H2083" s="1" t="s">
        <v>22</v>
      </c>
      <c r="I2083" s="1" t="s">
        <v>29</v>
      </c>
      <c r="J2083" s="1">
        <v>-31.018000000000029</v>
      </c>
      <c r="K2083" s="1">
        <v>256.99999999999994</v>
      </c>
      <c r="L2083" s="1">
        <v>80.329999999999984</v>
      </c>
    </row>
    <row r="2084" spans="4:12">
      <c r="D2084" s="1" t="s">
        <v>1014</v>
      </c>
      <c r="E2084" s="1" t="s">
        <v>1169</v>
      </c>
      <c r="F2084" s="1" t="s">
        <v>35</v>
      </c>
      <c r="G2084" s="1" t="s">
        <v>36</v>
      </c>
      <c r="H2084" s="1" t="s">
        <v>22</v>
      </c>
      <c r="I2084" s="1" t="s">
        <v>29</v>
      </c>
      <c r="J2084" s="1">
        <v>-31.018000000000029</v>
      </c>
      <c r="K2084" s="1">
        <v>256.99999999999994</v>
      </c>
      <c r="L2084" s="1">
        <v>80.329999999999984</v>
      </c>
    </row>
    <row r="2085" spans="4:12">
      <c r="D2085" s="1" t="s">
        <v>1014</v>
      </c>
      <c r="E2085" s="1" t="s">
        <v>1170</v>
      </c>
      <c r="F2085" s="1" t="s">
        <v>35</v>
      </c>
      <c r="G2085" s="1" t="s">
        <v>36</v>
      </c>
      <c r="H2085" s="1" t="s">
        <v>22</v>
      </c>
      <c r="I2085" s="1" t="s">
        <v>29</v>
      </c>
      <c r="J2085" s="1">
        <v>-31.018000000000029</v>
      </c>
      <c r="K2085" s="1">
        <v>256.99999999999994</v>
      </c>
      <c r="L2085" s="1">
        <v>80.329999999999984</v>
      </c>
    </row>
    <row r="2086" spans="4:12">
      <c r="D2086" s="1" t="s">
        <v>1014</v>
      </c>
      <c r="E2086" s="1" t="s">
        <v>1171</v>
      </c>
      <c r="F2086" s="1" t="s">
        <v>35</v>
      </c>
      <c r="G2086" s="1" t="s">
        <v>36</v>
      </c>
      <c r="H2086" s="1" t="s">
        <v>22</v>
      </c>
      <c r="I2086" s="1" t="s">
        <v>29</v>
      </c>
      <c r="J2086" s="1">
        <v>-31.018000000000029</v>
      </c>
      <c r="K2086" s="1">
        <v>256.99999999999994</v>
      </c>
      <c r="L2086" s="1">
        <v>80.329999999999984</v>
      </c>
    </row>
    <row r="2087" spans="4:12">
      <c r="D2087" s="1" t="s">
        <v>1014</v>
      </c>
      <c r="E2087" s="1" t="s">
        <v>1172</v>
      </c>
      <c r="F2087" s="1" t="s">
        <v>35</v>
      </c>
      <c r="G2087" s="1" t="s">
        <v>36</v>
      </c>
      <c r="H2087" s="1" t="s">
        <v>22</v>
      </c>
      <c r="I2087" s="1" t="s">
        <v>29</v>
      </c>
      <c r="J2087" s="1">
        <v>-31.018000000000029</v>
      </c>
      <c r="K2087" s="1">
        <v>256.99999999999994</v>
      </c>
      <c r="L2087" s="1">
        <v>80.329999999999984</v>
      </c>
    </row>
    <row r="2088" spans="4:12">
      <c r="D2088" s="1" t="s">
        <v>1014</v>
      </c>
      <c r="E2088" s="1" t="s">
        <v>1173</v>
      </c>
      <c r="F2088" s="1" t="s">
        <v>35</v>
      </c>
      <c r="G2088" s="1" t="s">
        <v>36</v>
      </c>
      <c r="H2088" s="1" t="s">
        <v>22</v>
      </c>
      <c r="I2088" s="1" t="s">
        <v>29</v>
      </c>
      <c r="J2088" s="1">
        <v>-31.018000000000029</v>
      </c>
      <c r="K2088" s="1">
        <v>256.99999999999994</v>
      </c>
      <c r="L2088" s="1">
        <v>80.329999999999984</v>
      </c>
    </row>
    <row r="2089" spans="4:12">
      <c r="D2089" s="1" t="s">
        <v>1014</v>
      </c>
      <c r="E2089" s="1" t="s">
        <v>1174</v>
      </c>
      <c r="F2089" s="1" t="s">
        <v>35</v>
      </c>
      <c r="G2089" s="1" t="s">
        <v>36</v>
      </c>
      <c r="H2089" s="1" t="s">
        <v>22</v>
      </c>
      <c r="I2089" s="1" t="s">
        <v>29</v>
      </c>
      <c r="J2089" s="1">
        <v>-31.018000000000029</v>
      </c>
      <c r="K2089" s="1">
        <v>256.99999999999994</v>
      </c>
      <c r="L2089" s="1">
        <v>80.329999999999984</v>
      </c>
    </row>
    <row r="2090" spans="4:12">
      <c r="D2090" s="1" t="s">
        <v>1014</v>
      </c>
      <c r="E2090" s="1" t="s">
        <v>1175</v>
      </c>
      <c r="F2090" s="1" t="s">
        <v>35</v>
      </c>
      <c r="G2090" s="1" t="s">
        <v>36</v>
      </c>
      <c r="H2090" s="1" t="s">
        <v>22</v>
      </c>
      <c r="I2090" s="1" t="s">
        <v>29</v>
      </c>
      <c r="J2090" s="1">
        <v>-31.018000000000029</v>
      </c>
      <c r="K2090" s="1">
        <v>256.99999999999994</v>
      </c>
      <c r="L2090" s="1">
        <v>80.329999999999984</v>
      </c>
    </row>
    <row r="2091" spans="4:12">
      <c r="D2091" s="1" t="s">
        <v>1014</v>
      </c>
      <c r="E2091" s="1" t="s">
        <v>1176</v>
      </c>
      <c r="F2091" s="1" t="s">
        <v>35</v>
      </c>
      <c r="G2091" s="1" t="s">
        <v>36</v>
      </c>
      <c r="H2091" s="1" t="s">
        <v>22</v>
      </c>
      <c r="I2091" s="1" t="s">
        <v>29</v>
      </c>
      <c r="J2091" s="1">
        <v>-31.018000000000029</v>
      </c>
      <c r="K2091" s="1">
        <v>256.99999999999994</v>
      </c>
      <c r="L2091" s="1">
        <v>80.329999999999984</v>
      </c>
    </row>
    <row r="2092" spans="4:12">
      <c r="D2092" s="1" t="s">
        <v>1014</v>
      </c>
      <c r="E2092" s="1" t="s">
        <v>1177</v>
      </c>
      <c r="F2092" s="1" t="s">
        <v>35</v>
      </c>
      <c r="G2092" s="1" t="s">
        <v>36</v>
      </c>
      <c r="H2092" s="1" t="s">
        <v>22</v>
      </c>
      <c r="I2092" s="1" t="s">
        <v>29</v>
      </c>
      <c r="J2092" s="1">
        <v>-31.018000000000029</v>
      </c>
      <c r="K2092" s="1">
        <v>256.99999999999994</v>
      </c>
      <c r="L2092" s="1">
        <v>80.329999999999984</v>
      </c>
    </row>
    <row r="2093" spans="4:12">
      <c r="D2093" s="1" t="s">
        <v>1014</v>
      </c>
      <c r="E2093" s="1" t="s">
        <v>1178</v>
      </c>
      <c r="F2093" s="1" t="s">
        <v>35</v>
      </c>
      <c r="G2093" s="1" t="s">
        <v>36</v>
      </c>
      <c r="H2093" s="1" t="s">
        <v>22</v>
      </c>
      <c r="I2093" s="1" t="s">
        <v>29</v>
      </c>
      <c r="J2093" s="1">
        <v>-31.018000000000029</v>
      </c>
      <c r="K2093" s="1">
        <v>256.99999999999994</v>
      </c>
      <c r="L2093" s="1">
        <v>80.329999999999984</v>
      </c>
    </row>
    <row r="2094" spans="4:12">
      <c r="D2094" s="1" t="s">
        <v>1014</v>
      </c>
      <c r="E2094" s="1" t="s">
        <v>1179</v>
      </c>
      <c r="F2094" s="1" t="s">
        <v>35</v>
      </c>
      <c r="G2094" s="1" t="s">
        <v>36</v>
      </c>
      <c r="H2094" s="1" t="s">
        <v>22</v>
      </c>
      <c r="I2094" s="1" t="s">
        <v>29</v>
      </c>
      <c r="J2094" s="1">
        <v>-31.018000000000029</v>
      </c>
      <c r="K2094" s="1">
        <v>256.99999999999994</v>
      </c>
      <c r="L2094" s="1">
        <v>80.329999999999984</v>
      </c>
    </row>
    <row r="2095" spans="4:12">
      <c r="D2095" s="1" t="s">
        <v>1014</v>
      </c>
      <c r="E2095" s="1" t="s">
        <v>1180</v>
      </c>
      <c r="F2095" s="1" t="s">
        <v>35</v>
      </c>
      <c r="G2095" s="1" t="s">
        <v>36</v>
      </c>
      <c r="H2095" s="1" t="s">
        <v>22</v>
      </c>
      <c r="I2095" s="1" t="s">
        <v>29</v>
      </c>
      <c r="J2095" s="1">
        <v>-31.018000000000029</v>
      </c>
      <c r="K2095" s="1">
        <v>256.99999999999994</v>
      </c>
      <c r="L2095" s="1">
        <v>80.329999999999984</v>
      </c>
    </row>
    <row r="2096" spans="4:12">
      <c r="D2096" s="1" t="s">
        <v>1014</v>
      </c>
      <c r="E2096" s="1" t="s">
        <v>1181</v>
      </c>
      <c r="F2096" s="1" t="s">
        <v>35</v>
      </c>
      <c r="G2096" s="1" t="s">
        <v>36</v>
      </c>
      <c r="H2096" s="1" t="s">
        <v>22</v>
      </c>
      <c r="I2096" s="1" t="s">
        <v>29</v>
      </c>
      <c r="J2096" s="1">
        <v>-31.018000000000029</v>
      </c>
      <c r="K2096" s="1">
        <v>256.99999999999994</v>
      </c>
      <c r="L2096" s="1">
        <v>80.329999999999984</v>
      </c>
    </row>
    <row r="2097" spans="4:12">
      <c r="D2097" s="1" t="s">
        <v>1014</v>
      </c>
      <c r="E2097" s="1" t="s">
        <v>1182</v>
      </c>
      <c r="F2097" s="1" t="s">
        <v>35</v>
      </c>
      <c r="G2097" s="1" t="s">
        <v>36</v>
      </c>
      <c r="H2097" s="1" t="s">
        <v>22</v>
      </c>
      <c r="I2097" s="1" t="s">
        <v>29</v>
      </c>
      <c r="J2097" s="1">
        <v>-31.018000000000029</v>
      </c>
      <c r="K2097" s="1">
        <v>256.99999999999994</v>
      </c>
      <c r="L2097" s="1">
        <v>80.329999999999984</v>
      </c>
    </row>
    <row r="2098" spans="4:12">
      <c r="D2098" s="1" t="s">
        <v>1014</v>
      </c>
      <c r="E2098" s="1" t="s">
        <v>1183</v>
      </c>
      <c r="F2098" s="1" t="s">
        <v>35</v>
      </c>
      <c r="G2098" s="1" t="s">
        <v>36</v>
      </c>
      <c r="H2098" s="1" t="s">
        <v>22</v>
      </c>
      <c r="I2098" s="1" t="s">
        <v>29</v>
      </c>
      <c r="J2098" s="1">
        <v>-31.018000000000029</v>
      </c>
      <c r="K2098" s="1">
        <v>256.99999999999994</v>
      </c>
      <c r="L2098" s="1">
        <v>80.329999999999984</v>
      </c>
    </row>
    <row r="2099" spans="4:12">
      <c r="D2099" s="1" t="s">
        <v>1014</v>
      </c>
      <c r="E2099" s="1" t="s">
        <v>1184</v>
      </c>
      <c r="F2099" s="1" t="s">
        <v>35</v>
      </c>
      <c r="G2099" s="1" t="s">
        <v>36</v>
      </c>
      <c r="H2099" s="1" t="s">
        <v>22</v>
      </c>
      <c r="I2099" s="1" t="s">
        <v>29</v>
      </c>
      <c r="J2099" s="1">
        <v>-31.018000000000029</v>
      </c>
      <c r="K2099" s="1">
        <v>256.99999999999994</v>
      </c>
      <c r="L2099" s="1">
        <v>80.329999999999984</v>
      </c>
    </row>
    <row r="2100" spans="4:12">
      <c r="D2100" s="1" t="s">
        <v>1014</v>
      </c>
      <c r="E2100" s="1" t="s">
        <v>1185</v>
      </c>
      <c r="F2100" s="1" t="s">
        <v>35</v>
      </c>
      <c r="G2100" s="1" t="s">
        <v>36</v>
      </c>
      <c r="H2100" s="1" t="s">
        <v>22</v>
      </c>
      <c r="I2100" s="1" t="s">
        <v>29</v>
      </c>
      <c r="J2100" s="1">
        <v>-31.018000000000029</v>
      </c>
      <c r="K2100" s="1">
        <v>256.99999999999994</v>
      </c>
      <c r="L2100" s="1">
        <v>80.329999999999984</v>
      </c>
    </row>
    <row r="2101" spans="4:12">
      <c r="D2101" s="1" t="s">
        <v>1014</v>
      </c>
      <c r="E2101" s="1" t="s">
        <v>1186</v>
      </c>
      <c r="F2101" s="1" t="s">
        <v>35</v>
      </c>
      <c r="G2101" s="1" t="s">
        <v>36</v>
      </c>
      <c r="H2101" s="1" t="s">
        <v>22</v>
      </c>
      <c r="I2101" s="1" t="s">
        <v>29</v>
      </c>
      <c r="J2101" s="1">
        <v>-31.018000000000029</v>
      </c>
      <c r="K2101" s="1">
        <v>256.99999999999994</v>
      </c>
      <c r="L2101" s="1">
        <v>80.329999999999984</v>
      </c>
    </row>
    <row r="2102" spans="4:12">
      <c r="D2102" s="1" t="s">
        <v>1014</v>
      </c>
      <c r="E2102" s="1" t="s">
        <v>1187</v>
      </c>
      <c r="F2102" s="1" t="s">
        <v>35</v>
      </c>
      <c r="G2102" s="1" t="s">
        <v>36</v>
      </c>
      <c r="H2102" s="1" t="s">
        <v>22</v>
      </c>
      <c r="I2102" s="1" t="s">
        <v>29</v>
      </c>
      <c r="J2102" s="1">
        <v>-31.018000000000029</v>
      </c>
      <c r="K2102" s="1">
        <v>256.99999999999994</v>
      </c>
      <c r="L2102" s="1">
        <v>80.329999999999984</v>
      </c>
    </row>
    <row r="2103" spans="4:12">
      <c r="D2103" s="1" t="s">
        <v>1014</v>
      </c>
      <c r="E2103" s="1" t="s">
        <v>1188</v>
      </c>
      <c r="F2103" s="1" t="s">
        <v>35</v>
      </c>
      <c r="G2103" s="1" t="s">
        <v>36</v>
      </c>
      <c r="H2103" s="1" t="s">
        <v>22</v>
      </c>
      <c r="I2103" s="1" t="s">
        <v>29</v>
      </c>
      <c r="J2103" s="1">
        <v>-31.018000000000029</v>
      </c>
      <c r="K2103" s="1">
        <v>256.99999999999994</v>
      </c>
      <c r="L2103" s="1">
        <v>80.329999999999984</v>
      </c>
    </row>
    <row r="2104" spans="4:12">
      <c r="D2104" s="1" t="s">
        <v>1014</v>
      </c>
      <c r="E2104" s="1" t="s">
        <v>1189</v>
      </c>
      <c r="F2104" s="1" t="s">
        <v>35</v>
      </c>
      <c r="G2104" s="1" t="s">
        <v>36</v>
      </c>
      <c r="H2104" s="1" t="s">
        <v>22</v>
      </c>
      <c r="I2104" s="1" t="s">
        <v>29</v>
      </c>
      <c r="J2104" s="1">
        <v>-31.018000000000029</v>
      </c>
      <c r="K2104" s="1">
        <v>256.99999999999994</v>
      </c>
      <c r="L2104" s="1">
        <v>80.329999999999984</v>
      </c>
    </row>
    <row r="2105" spans="4:12">
      <c r="D2105" s="1" t="s">
        <v>1014</v>
      </c>
      <c r="E2105" s="1" t="s">
        <v>1190</v>
      </c>
      <c r="F2105" s="1" t="s">
        <v>35</v>
      </c>
      <c r="G2105" s="1" t="s">
        <v>36</v>
      </c>
      <c r="H2105" s="1" t="s">
        <v>22</v>
      </c>
      <c r="I2105" s="1" t="s">
        <v>29</v>
      </c>
      <c r="J2105" s="1">
        <v>-99.670000000000016</v>
      </c>
      <c r="K2105" s="1">
        <v>440.33</v>
      </c>
      <c r="L2105" s="1">
        <v>80.329999999999984</v>
      </c>
    </row>
    <row r="2106" spans="4:12">
      <c r="D2106" s="1" t="s">
        <v>1014</v>
      </c>
      <c r="E2106" s="1" t="s">
        <v>1191</v>
      </c>
      <c r="F2106" s="1" t="s">
        <v>35</v>
      </c>
      <c r="G2106" s="1" t="s">
        <v>36</v>
      </c>
      <c r="H2106" s="1" t="s">
        <v>22</v>
      </c>
      <c r="I2106" s="1" t="s">
        <v>29</v>
      </c>
      <c r="J2106" s="1">
        <v>-99.670000000000016</v>
      </c>
      <c r="K2106" s="1">
        <v>440.33</v>
      </c>
      <c r="L2106" s="1">
        <v>80.329999999999984</v>
      </c>
    </row>
    <row r="2107" spans="4:12">
      <c r="D2107" s="1" t="s">
        <v>1014</v>
      </c>
      <c r="E2107" s="1" t="s">
        <v>1192</v>
      </c>
      <c r="F2107" s="1" t="s">
        <v>35</v>
      </c>
      <c r="G2107" s="1" t="s">
        <v>36</v>
      </c>
      <c r="H2107" s="1" t="s">
        <v>22</v>
      </c>
      <c r="I2107" s="1" t="s">
        <v>29</v>
      </c>
      <c r="J2107" s="1">
        <v>-99.670000000000016</v>
      </c>
      <c r="K2107" s="1">
        <v>440.33</v>
      </c>
      <c r="L2107" s="1">
        <v>80.329999999999984</v>
      </c>
    </row>
    <row r="2108" spans="4:12">
      <c r="D2108" s="1" t="s">
        <v>1014</v>
      </c>
      <c r="E2108" s="1" t="s">
        <v>1193</v>
      </c>
      <c r="F2108" s="1" t="s">
        <v>35</v>
      </c>
      <c r="G2108" s="1" t="s">
        <v>36</v>
      </c>
      <c r="H2108" s="1" t="s">
        <v>22</v>
      </c>
      <c r="I2108" s="1" t="s">
        <v>29</v>
      </c>
      <c r="J2108" s="1">
        <v>-99.670000000000016</v>
      </c>
      <c r="K2108" s="1">
        <v>440.33</v>
      </c>
      <c r="L2108" s="1">
        <v>80.329999999999984</v>
      </c>
    </row>
    <row r="2109" spans="4:12">
      <c r="D2109" s="1" t="s">
        <v>1014</v>
      </c>
      <c r="E2109" s="1" t="s">
        <v>1194</v>
      </c>
      <c r="F2109" s="1" t="s">
        <v>35</v>
      </c>
      <c r="G2109" s="1" t="s">
        <v>36</v>
      </c>
      <c r="H2109" s="1" t="s">
        <v>22</v>
      </c>
      <c r="I2109" s="1" t="s">
        <v>29</v>
      </c>
      <c r="J2109" s="1">
        <v>-99.670000000000016</v>
      </c>
      <c r="K2109" s="1">
        <v>440.33</v>
      </c>
      <c r="L2109" s="1">
        <v>80.329999999999984</v>
      </c>
    </row>
    <row r="2110" spans="4:12">
      <c r="D2110" s="1" t="s">
        <v>1014</v>
      </c>
      <c r="E2110" s="1" t="s">
        <v>1195</v>
      </c>
      <c r="F2110" s="1" t="s">
        <v>35</v>
      </c>
      <c r="G2110" s="1" t="s">
        <v>36</v>
      </c>
      <c r="H2110" s="1" t="s">
        <v>22</v>
      </c>
      <c r="I2110" s="1" t="s">
        <v>29</v>
      </c>
      <c r="J2110" s="1">
        <v>-99.670000000000016</v>
      </c>
      <c r="K2110" s="1">
        <v>440.33</v>
      </c>
      <c r="L2110" s="1">
        <v>80.329999999999984</v>
      </c>
    </row>
    <row r="2111" spans="4:12">
      <c r="D2111" s="1" t="s">
        <v>1014</v>
      </c>
      <c r="E2111" s="1" t="s">
        <v>1196</v>
      </c>
      <c r="F2111" s="1" t="s">
        <v>35</v>
      </c>
      <c r="G2111" s="1" t="s">
        <v>36</v>
      </c>
      <c r="H2111" s="1" t="s">
        <v>22</v>
      </c>
      <c r="I2111" s="1" t="s">
        <v>29</v>
      </c>
      <c r="J2111" s="1">
        <v>-99.670000000000016</v>
      </c>
      <c r="K2111" s="1">
        <v>440.33</v>
      </c>
      <c r="L2111" s="1">
        <v>80.329999999999984</v>
      </c>
    </row>
    <row r="2112" spans="4:12">
      <c r="D2112" s="1" t="s">
        <v>1014</v>
      </c>
      <c r="E2112" s="1" t="s">
        <v>1197</v>
      </c>
      <c r="F2112" s="1" t="s">
        <v>35</v>
      </c>
      <c r="G2112" s="1" t="s">
        <v>36</v>
      </c>
      <c r="H2112" s="1" t="s">
        <v>22</v>
      </c>
      <c r="I2112" s="1" t="s">
        <v>29</v>
      </c>
      <c r="J2112" s="1">
        <v>-99.670000000000016</v>
      </c>
      <c r="K2112" s="1">
        <v>440.33</v>
      </c>
      <c r="L2112" s="1">
        <v>80.329999999999984</v>
      </c>
    </row>
    <row r="2113" spans="4:12">
      <c r="D2113" s="1" t="s">
        <v>1014</v>
      </c>
      <c r="E2113" s="1" t="s">
        <v>1198</v>
      </c>
      <c r="F2113" s="1" t="s">
        <v>35</v>
      </c>
      <c r="G2113" s="1" t="s">
        <v>36</v>
      </c>
      <c r="H2113" s="1" t="s">
        <v>22</v>
      </c>
      <c r="I2113" s="1" t="s">
        <v>29</v>
      </c>
      <c r="J2113" s="1">
        <v>-99.670000000000016</v>
      </c>
      <c r="K2113" s="1">
        <v>440.33</v>
      </c>
      <c r="L2113" s="1">
        <v>80.329999999999984</v>
      </c>
    </row>
    <row r="2114" spans="4:12">
      <c r="D2114" s="1" t="s">
        <v>1014</v>
      </c>
      <c r="E2114" s="1" t="s">
        <v>1199</v>
      </c>
      <c r="F2114" s="1" t="s">
        <v>35</v>
      </c>
      <c r="G2114" s="1" t="s">
        <v>36</v>
      </c>
      <c r="H2114" s="1" t="s">
        <v>22</v>
      </c>
      <c r="I2114" s="1" t="s">
        <v>29</v>
      </c>
      <c r="J2114" s="1">
        <v>-99.670000000000016</v>
      </c>
      <c r="K2114" s="1">
        <v>440.33</v>
      </c>
      <c r="L2114" s="1">
        <v>80.329999999999984</v>
      </c>
    </row>
    <row r="2115" spans="4:12">
      <c r="D2115" s="1" t="s">
        <v>1014</v>
      </c>
      <c r="E2115" s="1" t="s">
        <v>1200</v>
      </c>
      <c r="F2115" s="1" t="s">
        <v>35</v>
      </c>
      <c r="G2115" s="1" t="s">
        <v>36</v>
      </c>
      <c r="H2115" s="1" t="s">
        <v>22</v>
      </c>
      <c r="I2115" s="1" t="s">
        <v>29</v>
      </c>
      <c r="J2115" s="1">
        <v>-99.670000000000016</v>
      </c>
      <c r="K2115" s="1">
        <v>440.33</v>
      </c>
      <c r="L2115" s="1">
        <v>80.329999999999984</v>
      </c>
    </row>
    <row r="2116" spans="4:12">
      <c r="D2116" s="1" t="s">
        <v>1014</v>
      </c>
      <c r="E2116" s="1" t="s">
        <v>1201</v>
      </c>
      <c r="F2116" s="1" t="s">
        <v>35</v>
      </c>
      <c r="G2116" s="1" t="s">
        <v>36</v>
      </c>
      <c r="H2116" s="1" t="s">
        <v>22</v>
      </c>
      <c r="I2116" s="1" t="s">
        <v>29</v>
      </c>
      <c r="J2116" s="1">
        <v>-99.670000000000016</v>
      </c>
      <c r="K2116" s="1">
        <v>440.33</v>
      </c>
      <c r="L2116" s="1">
        <v>80.329999999999984</v>
      </c>
    </row>
    <row r="2117" spans="4:12">
      <c r="D2117" s="1" t="s">
        <v>1014</v>
      </c>
      <c r="E2117" s="1" t="s">
        <v>1202</v>
      </c>
      <c r="F2117" s="1" t="s">
        <v>35</v>
      </c>
      <c r="G2117" s="1" t="s">
        <v>36</v>
      </c>
      <c r="H2117" s="1" t="s">
        <v>22</v>
      </c>
      <c r="I2117" s="1" t="s">
        <v>29</v>
      </c>
      <c r="J2117" s="1">
        <v>-99.670000000000016</v>
      </c>
      <c r="K2117" s="1">
        <v>440.33</v>
      </c>
      <c r="L2117" s="1">
        <v>80.329999999999984</v>
      </c>
    </row>
    <row r="2118" spans="4:12">
      <c r="D2118" s="1" t="s">
        <v>1014</v>
      </c>
      <c r="E2118" s="1" t="s">
        <v>1203</v>
      </c>
      <c r="F2118" s="1" t="s">
        <v>35</v>
      </c>
      <c r="G2118" s="1" t="s">
        <v>36</v>
      </c>
      <c r="H2118" s="1" t="s">
        <v>22</v>
      </c>
      <c r="I2118" s="1" t="s">
        <v>29</v>
      </c>
      <c r="J2118" s="1">
        <v>-99.670000000000016</v>
      </c>
      <c r="K2118" s="1">
        <v>440.33</v>
      </c>
      <c r="L2118" s="1">
        <v>80.329999999999984</v>
      </c>
    </row>
    <row r="2119" spans="4:12">
      <c r="D2119" s="1" t="s">
        <v>1014</v>
      </c>
      <c r="E2119" s="1" t="s">
        <v>1204</v>
      </c>
      <c r="F2119" s="1" t="s">
        <v>35</v>
      </c>
      <c r="G2119" s="1" t="s">
        <v>36</v>
      </c>
      <c r="H2119" s="1" t="s">
        <v>22</v>
      </c>
      <c r="I2119" s="1" t="s">
        <v>29</v>
      </c>
      <c r="J2119" s="1">
        <v>-99.670000000000016</v>
      </c>
      <c r="K2119" s="1">
        <v>440.33</v>
      </c>
      <c r="L2119" s="1">
        <v>80.329999999999984</v>
      </c>
    </row>
    <row r="2120" spans="4:12">
      <c r="D2120" s="1" t="s">
        <v>1014</v>
      </c>
      <c r="E2120" s="1" t="s">
        <v>1205</v>
      </c>
      <c r="F2120" s="1" t="s">
        <v>35</v>
      </c>
      <c r="G2120" s="1" t="s">
        <v>36</v>
      </c>
      <c r="H2120" s="1" t="s">
        <v>22</v>
      </c>
      <c r="I2120" s="1" t="s">
        <v>29</v>
      </c>
      <c r="J2120" s="1">
        <v>-99.670000000000016</v>
      </c>
      <c r="K2120" s="1">
        <v>440.33</v>
      </c>
      <c r="L2120" s="1">
        <v>80.329999999999984</v>
      </c>
    </row>
    <row r="2121" spans="4:12">
      <c r="D2121" s="1" t="s">
        <v>1014</v>
      </c>
      <c r="E2121" s="1" t="s">
        <v>1206</v>
      </c>
      <c r="F2121" s="1" t="s">
        <v>35</v>
      </c>
      <c r="G2121" s="1" t="s">
        <v>36</v>
      </c>
      <c r="H2121" s="1" t="s">
        <v>22</v>
      </c>
      <c r="I2121" s="1" t="s">
        <v>29</v>
      </c>
      <c r="J2121" s="1">
        <v>-99.670000000000016</v>
      </c>
      <c r="K2121" s="1">
        <v>440.33</v>
      </c>
      <c r="L2121" s="1">
        <v>80.329999999999984</v>
      </c>
    </row>
    <row r="2122" spans="4:12">
      <c r="D2122" s="1" t="s">
        <v>1014</v>
      </c>
      <c r="E2122" s="1" t="s">
        <v>1207</v>
      </c>
      <c r="F2122" s="1" t="s">
        <v>35</v>
      </c>
      <c r="G2122" s="1" t="s">
        <v>36</v>
      </c>
      <c r="H2122" s="1" t="s">
        <v>22</v>
      </c>
      <c r="I2122" s="1" t="s">
        <v>29</v>
      </c>
      <c r="J2122" s="1">
        <v>-99.670000000000016</v>
      </c>
      <c r="K2122" s="1">
        <v>440.33</v>
      </c>
      <c r="L2122" s="1">
        <v>80.329999999999984</v>
      </c>
    </row>
    <row r="2123" spans="4:12">
      <c r="D2123" s="1" t="s">
        <v>1014</v>
      </c>
      <c r="E2123" s="1" t="s">
        <v>1208</v>
      </c>
      <c r="F2123" s="1" t="s">
        <v>35</v>
      </c>
      <c r="G2123" s="1" t="s">
        <v>36</v>
      </c>
      <c r="H2123" s="1" t="s">
        <v>22</v>
      </c>
      <c r="I2123" s="1" t="s">
        <v>29</v>
      </c>
      <c r="J2123" s="1">
        <v>-99.670000000000016</v>
      </c>
      <c r="K2123" s="1">
        <v>440.33</v>
      </c>
      <c r="L2123" s="1">
        <v>80.329999999999984</v>
      </c>
    </row>
    <row r="2124" spans="4:12">
      <c r="D2124" s="1" t="s">
        <v>1014</v>
      </c>
      <c r="E2124" s="1" t="s">
        <v>1209</v>
      </c>
      <c r="F2124" s="1" t="s">
        <v>35</v>
      </c>
      <c r="G2124" s="1" t="s">
        <v>36</v>
      </c>
      <c r="H2124" s="1" t="s">
        <v>22</v>
      </c>
      <c r="I2124" s="1" t="s">
        <v>29</v>
      </c>
      <c r="J2124" s="1">
        <v>-99.670000000000016</v>
      </c>
      <c r="K2124" s="1">
        <v>440.33</v>
      </c>
      <c r="L2124" s="1">
        <v>80.329999999999984</v>
      </c>
    </row>
    <row r="2125" spans="4:12">
      <c r="D2125" s="1" t="s">
        <v>1014</v>
      </c>
      <c r="E2125" s="1" t="s">
        <v>1210</v>
      </c>
      <c r="F2125" s="1" t="s">
        <v>35</v>
      </c>
      <c r="G2125" s="1" t="s">
        <v>36</v>
      </c>
      <c r="H2125" s="1" t="s">
        <v>22</v>
      </c>
      <c r="I2125" s="1" t="s">
        <v>29</v>
      </c>
      <c r="J2125" s="1">
        <v>-31.018000000000029</v>
      </c>
      <c r="K2125" s="1">
        <v>256.99999999999994</v>
      </c>
      <c r="L2125" s="1">
        <v>80.329999999999984</v>
      </c>
    </row>
    <row r="2126" spans="4:12">
      <c r="D2126" s="1" t="s">
        <v>1014</v>
      </c>
      <c r="E2126" s="1" t="s">
        <v>1211</v>
      </c>
      <c r="F2126" s="1" t="s">
        <v>35</v>
      </c>
      <c r="G2126" s="1" t="s">
        <v>36</v>
      </c>
      <c r="H2126" s="1" t="s">
        <v>22</v>
      </c>
      <c r="I2126" s="1" t="s">
        <v>29</v>
      </c>
      <c r="J2126" s="1">
        <v>-31.018000000000029</v>
      </c>
      <c r="K2126" s="1">
        <v>256.99999999999994</v>
      </c>
      <c r="L2126" s="1">
        <v>80.329999999999984</v>
      </c>
    </row>
    <row r="2127" spans="4:12">
      <c r="D2127" s="1" t="s">
        <v>1014</v>
      </c>
      <c r="E2127" s="1" t="s">
        <v>1212</v>
      </c>
      <c r="F2127" s="1" t="s">
        <v>35</v>
      </c>
      <c r="G2127" s="1" t="s">
        <v>36</v>
      </c>
      <c r="H2127" s="1" t="s">
        <v>22</v>
      </c>
      <c r="I2127" s="1" t="s">
        <v>29</v>
      </c>
      <c r="J2127" s="1">
        <v>-31.018000000000029</v>
      </c>
      <c r="K2127" s="1">
        <v>256.99999999999994</v>
      </c>
      <c r="L2127" s="1">
        <v>80.329999999999984</v>
      </c>
    </row>
    <row r="2128" spans="4:12">
      <c r="D2128" s="1" t="s">
        <v>1014</v>
      </c>
      <c r="E2128" s="1" t="s">
        <v>1213</v>
      </c>
      <c r="F2128" s="1" t="s">
        <v>35</v>
      </c>
      <c r="G2128" s="1" t="s">
        <v>36</v>
      </c>
      <c r="H2128" s="1" t="s">
        <v>22</v>
      </c>
      <c r="I2128" s="1" t="s">
        <v>29</v>
      </c>
      <c r="J2128" s="1">
        <v>-31.018000000000029</v>
      </c>
      <c r="K2128" s="1">
        <v>256.99999999999994</v>
      </c>
      <c r="L2128" s="1">
        <v>80.329999999999984</v>
      </c>
    </row>
    <row r="2129" spans="4:12">
      <c r="D2129" s="1" t="s">
        <v>1014</v>
      </c>
      <c r="E2129" s="1" t="s">
        <v>1214</v>
      </c>
      <c r="F2129" s="1" t="s">
        <v>35</v>
      </c>
      <c r="G2129" s="1" t="s">
        <v>36</v>
      </c>
      <c r="H2129" s="1" t="s">
        <v>22</v>
      </c>
      <c r="I2129" s="1" t="s">
        <v>29</v>
      </c>
      <c r="J2129" s="1">
        <v>-31.018000000000029</v>
      </c>
      <c r="K2129" s="1">
        <v>256.99999999999994</v>
      </c>
      <c r="L2129" s="1">
        <v>80.329999999999984</v>
      </c>
    </row>
    <row r="2130" spans="4:12">
      <c r="D2130" s="1" t="s">
        <v>1014</v>
      </c>
      <c r="E2130" s="1" t="s">
        <v>1215</v>
      </c>
      <c r="F2130" s="1" t="s">
        <v>35</v>
      </c>
      <c r="G2130" s="1" t="s">
        <v>36</v>
      </c>
      <c r="H2130" s="1" t="s">
        <v>22</v>
      </c>
      <c r="I2130" s="1" t="s">
        <v>29</v>
      </c>
      <c r="J2130" s="1">
        <v>-31.018000000000029</v>
      </c>
      <c r="K2130" s="1">
        <v>256.99999999999994</v>
      </c>
      <c r="L2130" s="1">
        <v>80.329999999999984</v>
      </c>
    </row>
    <row r="2131" spans="4:12">
      <c r="D2131" s="1" t="s">
        <v>1014</v>
      </c>
      <c r="E2131" s="1" t="s">
        <v>1216</v>
      </c>
      <c r="F2131" s="1" t="s">
        <v>35</v>
      </c>
      <c r="G2131" s="1" t="s">
        <v>36</v>
      </c>
      <c r="H2131" s="1" t="s">
        <v>22</v>
      </c>
      <c r="I2131" s="1" t="s">
        <v>29</v>
      </c>
      <c r="J2131" s="1">
        <v>-31.018000000000029</v>
      </c>
      <c r="K2131" s="1">
        <v>256.99999999999994</v>
      </c>
      <c r="L2131" s="1">
        <v>80.329999999999984</v>
      </c>
    </row>
    <row r="2132" spans="4:12">
      <c r="D2132" s="1" t="s">
        <v>1014</v>
      </c>
      <c r="E2132" s="1" t="s">
        <v>1217</v>
      </c>
      <c r="F2132" s="1" t="s">
        <v>35</v>
      </c>
      <c r="G2132" s="1" t="s">
        <v>36</v>
      </c>
      <c r="H2132" s="1" t="s">
        <v>22</v>
      </c>
      <c r="I2132" s="1" t="s">
        <v>29</v>
      </c>
      <c r="J2132" s="1">
        <v>-31.018000000000029</v>
      </c>
      <c r="K2132" s="1">
        <v>256.99999999999994</v>
      </c>
      <c r="L2132" s="1">
        <v>80.329999999999984</v>
      </c>
    </row>
    <row r="2133" spans="4:12">
      <c r="D2133" s="1" t="s">
        <v>1014</v>
      </c>
      <c r="E2133" s="1" t="s">
        <v>1218</v>
      </c>
      <c r="F2133" s="1" t="s">
        <v>35</v>
      </c>
      <c r="G2133" s="1" t="s">
        <v>36</v>
      </c>
      <c r="H2133" s="1" t="s">
        <v>22</v>
      </c>
      <c r="I2133" s="1" t="s">
        <v>29</v>
      </c>
      <c r="J2133" s="1">
        <v>-31.018000000000029</v>
      </c>
      <c r="K2133" s="1">
        <v>256.99999999999994</v>
      </c>
      <c r="L2133" s="1">
        <v>80.329999999999984</v>
      </c>
    </row>
    <row r="2134" spans="4:12">
      <c r="D2134" s="1" t="s">
        <v>1014</v>
      </c>
      <c r="E2134" s="1" t="s">
        <v>1219</v>
      </c>
      <c r="F2134" s="1" t="s">
        <v>35</v>
      </c>
      <c r="G2134" s="1" t="s">
        <v>36</v>
      </c>
      <c r="H2134" s="1" t="s">
        <v>22</v>
      </c>
      <c r="I2134" s="1" t="s">
        <v>29</v>
      </c>
      <c r="J2134" s="1">
        <v>-31.018000000000029</v>
      </c>
      <c r="K2134" s="1">
        <v>256.99999999999994</v>
      </c>
      <c r="L2134" s="1">
        <v>80.329999999999984</v>
      </c>
    </row>
    <row r="2135" spans="4:12">
      <c r="D2135" s="1" t="s">
        <v>1014</v>
      </c>
      <c r="E2135" s="1" t="s">
        <v>1220</v>
      </c>
      <c r="F2135" s="1" t="s">
        <v>35</v>
      </c>
      <c r="G2135" s="1" t="s">
        <v>36</v>
      </c>
      <c r="H2135" s="1" t="s">
        <v>22</v>
      </c>
      <c r="I2135" s="1" t="s">
        <v>29</v>
      </c>
      <c r="J2135" s="1">
        <v>-31.018000000000029</v>
      </c>
      <c r="K2135" s="1">
        <v>256.99999999999994</v>
      </c>
      <c r="L2135" s="1">
        <v>80.329999999999984</v>
      </c>
    </row>
    <row r="2136" spans="4:12">
      <c r="D2136" s="1" t="s">
        <v>1014</v>
      </c>
      <c r="E2136" s="1" t="s">
        <v>1221</v>
      </c>
      <c r="F2136" s="1" t="s">
        <v>35</v>
      </c>
      <c r="G2136" s="1" t="s">
        <v>36</v>
      </c>
      <c r="H2136" s="1" t="s">
        <v>22</v>
      </c>
      <c r="I2136" s="1" t="s">
        <v>29</v>
      </c>
      <c r="J2136" s="1">
        <v>-31.018000000000029</v>
      </c>
      <c r="K2136" s="1">
        <v>256.99999999999994</v>
      </c>
      <c r="L2136" s="1">
        <v>80.329999999999984</v>
      </c>
    </row>
    <row r="2137" spans="4:12">
      <c r="D2137" s="1" t="s">
        <v>1014</v>
      </c>
      <c r="E2137" s="1" t="s">
        <v>1222</v>
      </c>
      <c r="F2137" s="1" t="s">
        <v>35</v>
      </c>
      <c r="G2137" s="1" t="s">
        <v>36</v>
      </c>
      <c r="H2137" s="1" t="s">
        <v>22</v>
      </c>
      <c r="I2137" s="1" t="s">
        <v>29</v>
      </c>
      <c r="J2137" s="1">
        <v>-31.018000000000029</v>
      </c>
      <c r="K2137" s="1">
        <v>256.99999999999994</v>
      </c>
      <c r="L2137" s="1">
        <v>80.329999999999984</v>
      </c>
    </row>
    <row r="2138" spans="4:12">
      <c r="D2138" s="1" t="s">
        <v>1014</v>
      </c>
      <c r="E2138" s="1" t="s">
        <v>1223</v>
      </c>
      <c r="F2138" s="1" t="s">
        <v>35</v>
      </c>
      <c r="G2138" s="1" t="s">
        <v>36</v>
      </c>
      <c r="H2138" s="1" t="s">
        <v>22</v>
      </c>
      <c r="I2138" s="1" t="s">
        <v>29</v>
      </c>
      <c r="J2138" s="1">
        <v>-31.018000000000029</v>
      </c>
      <c r="K2138" s="1">
        <v>256.99999999999994</v>
      </c>
      <c r="L2138" s="1">
        <v>80.329999999999984</v>
      </c>
    </row>
    <row r="2139" spans="4:12">
      <c r="D2139" s="1" t="s">
        <v>1014</v>
      </c>
      <c r="E2139" s="1" t="s">
        <v>1224</v>
      </c>
      <c r="F2139" s="1" t="s">
        <v>35</v>
      </c>
      <c r="G2139" s="1" t="s">
        <v>36</v>
      </c>
      <c r="H2139" s="1" t="s">
        <v>22</v>
      </c>
      <c r="I2139" s="1" t="s">
        <v>29</v>
      </c>
      <c r="J2139" s="1">
        <v>-31.018000000000029</v>
      </c>
      <c r="K2139" s="1">
        <v>256.99999999999994</v>
      </c>
      <c r="L2139" s="1">
        <v>80.329999999999984</v>
      </c>
    </row>
    <row r="2140" spans="4:12">
      <c r="D2140" s="1" t="s">
        <v>1014</v>
      </c>
      <c r="E2140" s="1" t="s">
        <v>1225</v>
      </c>
      <c r="F2140" s="1" t="s">
        <v>35</v>
      </c>
      <c r="G2140" s="1" t="s">
        <v>36</v>
      </c>
      <c r="H2140" s="1" t="s">
        <v>22</v>
      </c>
      <c r="I2140" s="1" t="s">
        <v>29</v>
      </c>
      <c r="J2140" s="1">
        <v>-31.018000000000029</v>
      </c>
      <c r="K2140" s="1">
        <v>256.99999999999994</v>
      </c>
      <c r="L2140" s="1">
        <v>80.329999999999984</v>
      </c>
    </row>
    <row r="2141" spans="4:12">
      <c r="D2141" s="1" t="s">
        <v>1014</v>
      </c>
      <c r="E2141" s="1" t="s">
        <v>1226</v>
      </c>
      <c r="F2141" s="1" t="s">
        <v>35</v>
      </c>
      <c r="G2141" s="1" t="s">
        <v>36</v>
      </c>
      <c r="H2141" s="1" t="s">
        <v>22</v>
      </c>
      <c r="I2141" s="1" t="s">
        <v>29</v>
      </c>
      <c r="J2141" s="1">
        <v>-31.018000000000029</v>
      </c>
      <c r="K2141" s="1">
        <v>256.99999999999994</v>
      </c>
      <c r="L2141" s="1">
        <v>80.329999999999984</v>
      </c>
    </row>
    <row r="2142" spans="4:12">
      <c r="D2142" s="1" t="s">
        <v>1014</v>
      </c>
      <c r="E2142" s="1" t="s">
        <v>1227</v>
      </c>
      <c r="F2142" s="1" t="s">
        <v>35</v>
      </c>
      <c r="G2142" s="1" t="s">
        <v>36</v>
      </c>
      <c r="H2142" s="1" t="s">
        <v>22</v>
      </c>
      <c r="I2142" s="1" t="s">
        <v>29</v>
      </c>
      <c r="J2142" s="1">
        <v>-31.018000000000029</v>
      </c>
      <c r="K2142" s="1">
        <v>256.99999999999994</v>
      </c>
      <c r="L2142" s="1">
        <v>80.329999999999984</v>
      </c>
    </row>
    <row r="2143" spans="4:12">
      <c r="D2143" s="1" t="s">
        <v>1014</v>
      </c>
      <c r="E2143" s="1" t="s">
        <v>1228</v>
      </c>
      <c r="F2143" s="1" t="s">
        <v>35</v>
      </c>
      <c r="G2143" s="1" t="s">
        <v>36</v>
      </c>
      <c r="H2143" s="1" t="s">
        <v>22</v>
      </c>
      <c r="I2143" s="1" t="s">
        <v>29</v>
      </c>
      <c r="J2143" s="1">
        <v>-31.018000000000029</v>
      </c>
      <c r="K2143" s="1">
        <v>256.99999999999994</v>
      </c>
      <c r="L2143" s="1">
        <v>80.329999999999984</v>
      </c>
    </row>
    <row r="2144" spans="4:12">
      <c r="D2144" s="1" t="s">
        <v>1014</v>
      </c>
      <c r="E2144" s="1" t="s">
        <v>1229</v>
      </c>
      <c r="F2144" s="1" t="s">
        <v>35</v>
      </c>
      <c r="G2144" s="1" t="s">
        <v>36</v>
      </c>
      <c r="H2144" s="1" t="s">
        <v>22</v>
      </c>
      <c r="I2144" s="1" t="s">
        <v>29</v>
      </c>
      <c r="J2144" s="1">
        <v>-31.018000000000029</v>
      </c>
      <c r="K2144" s="1">
        <v>256.99999999999994</v>
      </c>
      <c r="L2144" s="1">
        <v>80.329999999999984</v>
      </c>
    </row>
    <row r="2145" spans="4:12">
      <c r="D2145" s="1" t="s">
        <v>1014</v>
      </c>
      <c r="E2145" s="1" t="s">
        <v>1230</v>
      </c>
      <c r="F2145" s="1" t="s">
        <v>35</v>
      </c>
      <c r="G2145" s="1" t="s">
        <v>36</v>
      </c>
      <c r="H2145" s="1" t="s">
        <v>22</v>
      </c>
      <c r="I2145" s="1" t="s">
        <v>29</v>
      </c>
      <c r="J2145" s="1">
        <v>-31.018000000000029</v>
      </c>
      <c r="K2145" s="1">
        <v>256.99999999999994</v>
      </c>
      <c r="L2145" s="1">
        <v>80.329999999999984</v>
      </c>
    </row>
    <row r="2146" spans="4:12">
      <c r="D2146" s="1" t="s">
        <v>1014</v>
      </c>
      <c r="E2146" s="1" t="s">
        <v>1231</v>
      </c>
      <c r="F2146" s="1" t="s">
        <v>35</v>
      </c>
      <c r="G2146" s="1" t="s">
        <v>36</v>
      </c>
      <c r="H2146" s="1" t="s">
        <v>22</v>
      </c>
      <c r="I2146" s="1" t="s">
        <v>29</v>
      </c>
      <c r="J2146" s="1">
        <v>-31.018000000000029</v>
      </c>
      <c r="K2146" s="1">
        <v>256.99999999999994</v>
      </c>
      <c r="L2146" s="1">
        <v>80.329999999999984</v>
      </c>
    </row>
    <row r="2147" spans="4:12">
      <c r="D2147" s="1" t="s">
        <v>1014</v>
      </c>
      <c r="E2147" s="1" t="s">
        <v>1232</v>
      </c>
      <c r="H2147" s="1" t="s">
        <v>22</v>
      </c>
      <c r="I2147" s="1" t="s">
        <v>29</v>
      </c>
      <c r="J2147" s="1">
        <v>-5</v>
      </c>
      <c r="K2147" s="1">
        <v>5</v>
      </c>
      <c r="L2147" s="1">
        <v>1</v>
      </c>
    </row>
    <row r="2148" spans="4:12">
      <c r="D2148" s="1" t="s">
        <v>1014</v>
      </c>
      <c r="E2148" s="1" t="s">
        <v>1233</v>
      </c>
      <c r="H2148" s="1" t="s">
        <v>22</v>
      </c>
      <c r="I2148" s="1" t="s">
        <v>29</v>
      </c>
      <c r="L2148" s="1">
        <v>1</v>
      </c>
    </row>
    <row r="2149" spans="4:12">
      <c r="D2149" s="1" t="s">
        <v>1014</v>
      </c>
      <c r="E2149" s="1" t="s">
        <v>1234</v>
      </c>
      <c r="F2149" s="1" t="s">
        <v>35</v>
      </c>
      <c r="G2149" s="1" t="s">
        <v>36</v>
      </c>
      <c r="H2149" s="1" t="s">
        <v>22</v>
      </c>
      <c r="I2149" s="1" t="s">
        <v>29</v>
      </c>
      <c r="J2149" s="1">
        <v>-99.670000000000016</v>
      </c>
      <c r="K2149" s="1">
        <v>440.33</v>
      </c>
      <c r="L2149" s="1">
        <v>80.329999999999984</v>
      </c>
    </row>
    <row r="2150" spans="4:12">
      <c r="D2150" s="1" t="s">
        <v>1014</v>
      </c>
      <c r="E2150" s="1" t="s">
        <v>1235</v>
      </c>
      <c r="F2150" s="1" t="s">
        <v>35</v>
      </c>
      <c r="G2150" s="1" t="s">
        <v>36</v>
      </c>
      <c r="H2150" s="1" t="s">
        <v>22</v>
      </c>
      <c r="I2150" s="1" t="s">
        <v>29</v>
      </c>
      <c r="J2150" s="1">
        <v>-99.670000000000016</v>
      </c>
      <c r="K2150" s="1">
        <v>440.33</v>
      </c>
      <c r="L2150" s="1">
        <v>80.329999999999984</v>
      </c>
    </row>
    <row r="2151" spans="4:12">
      <c r="D2151" s="1" t="s">
        <v>1014</v>
      </c>
      <c r="E2151" s="1" t="s">
        <v>1236</v>
      </c>
      <c r="F2151" s="1" t="s">
        <v>35</v>
      </c>
      <c r="G2151" s="1" t="s">
        <v>36</v>
      </c>
      <c r="H2151" s="1" t="s">
        <v>22</v>
      </c>
      <c r="I2151" s="1" t="s">
        <v>29</v>
      </c>
      <c r="J2151" s="1">
        <v>-99.670000000000016</v>
      </c>
      <c r="K2151" s="1">
        <v>440.33</v>
      </c>
      <c r="L2151" s="1">
        <v>80.329999999999984</v>
      </c>
    </row>
    <row r="2152" spans="4:12">
      <c r="D2152" s="1" t="s">
        <v>1014</v>
      </c>
      <c r="E2152" s="1" t="s">
        <v>1237</v>
      </c>
      <c r="F2152" s="1" t="s">
        <v>35</v>
      </c>
      <c r="G2152" s="1" t="s">
        <v>36</v>
      </c>
      <c r="H2152" s="1" t="s">
        <v>22</v>
      </c>
      <c r="I2152" s="1" t="s">
        <v>29</v>
      </c>
      <c r="J2152" s="1">
        <v>-99.670000000000016</v>
      </c>
      <c r="K2152" s="1">
        <v>440.33</v>
      </c>
      <c r="L2152" s="1">
        <v>80.329999999999984</v>
      </c>
    </row>
    <row r="2153" spans="4:12">
      <c r="D2153" s="1" t="s">
        <v>1014</v>
      </c>
      <c r="E2153" s="1" t="s">
        <v>1238</v>
      </c>
      <c r="F2153" s="1" t="s">
        <v>35</v>
      </c>
      <c r="G2153" s="1" t="s">
        <v>36</v>
      </c>
      <c r="H2153" s="1" t="s">
        <v>22</v>
      </c>
      <c r="I2153" s="1" t="s">
        <v>29</v>
      </c>
      <c r="J2153" s="1">
        <v>-99.670000000000016</v>
      </c>
      <c r="K2153" s="1">
        <v>440.33</v>
      </c>
      <c r="L2153" s="1">
        <v>80.329999999999984</v>
      </c>
    </row>
    <row r="2154" spans="4:12">
      <c r="D2154" s="1" t="s">
        <v>1014</v>
      </c>
      <c r="E2154" s="1" t="s">
        <v>1239</v>
      </c>
      <c r="F2154" s="1" t="s">
        <v>35</v>
      </c>
      <c r="G2154" s="1" t="s">
        <v>36</v>
      </c>
      <c r="H2154" s="1" t="s">
        <v>22</v>
      </c>
      <c r="I2154" s="1" t="s">
        <v>29</v>
      </c>
      <c r="J2154" s="1">
        <v>-99.670000000000016</v>
      </c>
      <c r="K2154" s="1">
        <v>440.33</v>
      </c>
      <c r="L2154" s="1">
        <v>80.329999999999984</v>
      </c>
    </row>
    <row r="2155" spans="4:12">
      <c r="D2155" s="1" t="s">
        <v>1014</v>
      </c>
      <c r="E2155" s="1" t="s">
        <v>1240</v>
      </c>
      <c r="F2155" s="1" t="s">
        <v>35</v>
      </c>
      <c r="G2155" s="1" t="s">
        <v>36</v>
      </c>
      <c r="H2155" s="1" t="s">
        <v>22</v>
      </c>
      <c r="I2155" s="1" t="s">
        <v>29</v>
      </c>
      <c r="J2155" s="1">
        <v>-99.670000000000016</v>
      </c>
      <c r="K2155" s="1">
        <v>440.33</v>
      </c>
      <c r="L2155" s="1">
        <v>80.329999999999984</v>
      </c>
    </row>
    <row r="2156" spans="4:12">
      <c r="D2156" s="1" t="s">
        <v>1014</v>
      </c>
      <c r="E2156" s="1" t="s">
        <v>1241</v>
      </c>
      <c r="F2156" s="1" t="s">
        <v>35</v>
      </c>
      <c r="G2156" s="1" t="s">
        <v>36</v>
      </c>
      <c r="H2156" s="1" t="s">
        <v>22</v>
      </c>
      <c r="I2156" s="1" t="s">
        <v>29</v>
      </c>
      <c r="J2156" s="1">
        <v>-99.670000000000016</v>
      </c>
      <c r="K2156" s="1">
        <v>440.33</v>
      </c>
      <c r="L2156" s="1">
        <v>80.329999999999984</v>
      </c>
    </row>
    <row r="2157" spans="4:12">
      <c r="D2157" s="1" t="s">
        <v>1014</v>
      </c>
      <c r="E2157" s="1" t="s">
        <v>1242</v>
      </c>
      <c r="F2157" s="1" t="s">
        <v>35</v>
      </c>
      <c r="G2157" s="1" t="s">
        <v>36</v>
      </c>
      <c r="H2157" s="1" t="s">
        <v>22</v>
      </c>
      <c r="I2157" s="1" t="s">
        <v>29</v>
      </c>
      <c r="J2157" s="1">
        <v>-99.670000000000016</v>
      </c>
      <c r="K2157" s="1">
        <v>440.33</v>
      </c>
      <c r="L2157" s="1">
        <v>80.329999999999984</v>
      </c>
    </row>
    <row r="2158" spans="4:12">
      <c r="D2158" s="1" t="s">
        <v>1014</v>
      </c>
      <c r="E2158" s="1" t="s">
        <v>1243</v>
      </c>
      <c r="F2158" s="1" t="s">
        <v>35</v>
      </c>
      <c r="G2158" s="1" t="s">
        <v>36</v>
      </c>
      <c r="H2158" s="1" t="s">
        <v>22</v>
      </c>
      <c r="I2158" s="1" t="s">
        <v>29</v>
      </c>
      <c r="J2158" s="1">
        <v>-99.670000000000016</v>
      </c>
      <c r="K2158" s="1">
        <v>440.33</v>
      </c>
      <c r="L2158" s="1">
        <v>80.329999999999984</v>
      </c>
    </row>
    <row r="2159" spans="4:12">
      <c r="D2159" s="1" t="s">
        <v>1014</v>
      </c>
      <c r="E2159" s="1" t="s">
        <v>1244</v>
      </c>
      <c r="F2159" s="1" t="s">
        <v>35</v>
      </c>
      <c r="G2159" s="1" t="s">
        <v>36</v>
      </c>
      <c r="H2159" s="1" t="s">
        <v>22</v>
      </c>
      <c r="I2159" s="1" t="s">
        <v>29</v>
      </c>
      <c r="J2159" s="1">
        <v>-99.670000000000016</v>
      </c>
      <c r="K2159" s="1">
        <v>440.33</v>
      </c>
      <c r="L2159" s="1">
        <v>80.329999999999984</v>
      </c>
    </row>
    <row r="2160" spans="4:12">
      <c r="D2160" s="1" t="s">
        <v>1014</v>
      </c>
      <c r="E2160" s="1" t="s">
        <v>1245</v>
      </c>
      <c r="F2160" s="1" t="s">
        <v>35</v>
      </c>
      <c r="G2160" s="1" t="s">
        <v>36</v>
      </c>
      <c r="H2160" s="1" t="s">
        <v>22</v>
      </c>
      <c r="I2160" s="1" t="s">
        <v>29</v>
      </c>
      <c r="J2160" s="1">
        <v>-99.670000000000016</v>
      </c>
      <c r="K2160" s="1">
        <v>440.33</v>
      </c>
      <c r="L2160" s="1">
        <v>80.329999999999984</v>
      </c>
    </row>
    <row r="2161" spans="4:12">
      <c r="D2161" s="1" t="s">
        <v>1014</v>
      </c>
      <c r="E2161" s="1" t="s">
        <v>1246</v>
      </c>
      <c r="F2161" s="1" t="s">
        <v>35</v>
      </c>
      <c r="G2161" s="1" t="s">
        <v>36</v>
      </c>
      <c r="H2161" s="1" t="s">
        <v>22</v>
      </c>
      <c r="I2161" s="1" t="s">
        <v>29</v>
      </c>
      <c r="J2161" s="1">
        <v>-99.670000000000016</v>
      </c>
      <c r="K2161" s="1">
        <v>440.33</v>
      </c>
      <c r="L2161" s="1">
        <v>80.329999999999984</v>
      </c>
    </row>
    <row r="2162" spans="4:12">
      <c r="D2162" s="1" t="s">
        <v>1014</v>
      </c>
      <c r="E2162" s="1" t="s">
        <v>1247</v>
      </c>
      <c r="F2162" s="1" t="s">
        <v>35</v>
      </c>
      <c r="G2162" s="1" t="s">
        <v>36</v>
      </c>
      <c r="H2162" s="1" t="s">
        <v>22</v>
      </c>
      <c r="I2162" s="1" t="s">
        <v>29</v>
      </c>
      <c r="J2162" s="1">
        <v>-99.670000000000016</v>
      </c>
      <c r="K2162" s="1">
        <v>440.33</v>
      </c>
      <c r="L2162" s="1">
        <v>80.329999999999984</v>
      </c>
    </row>
    <row r="2163" spans="4:12">
      <c r="D2163" s="1" t="s">
        <v>1014</v>
      </c>
      <c r="E2163" s="1" t="s">
        <v>1248</v>
      </c>
      <c r="F2163" s="1" t="s">
        <v>35</v>
      </c>
      <c r="G2163" s="1" t="s">
        <v>36</v>
      </c>
      <c r="H2163" s="1" t="s">
        <v>22</v>
      </c>
      <c r="I2163" s="1" t="s">
        <v>29</v>
      </c>
      <c r="J2163" s="1">
        <v>-99.670000000000016</v>
      </c>
      <c r="K2163" s="1">
        <v>440.33</v>
      </c>
      <c r="L2163" s="1">
        <v>80.329999999999984</v>
      </c>
    </row>
    <row r="2164" spans="4:12">
      <c r="D2164" s="1" t="s">
        <v>1014</v>
      </c>
      <c r="E2164" s="1" t="s">
        <v>1249</v>
      </c>
      <c r="F2164" s="1" t="s">
        <v>35</v>
      </c>
      <c r="G2164" s="1" t="s">
        <v>36</v>
      </c>
      <c r="H2164" s="1" t="s">
        <v>22</v>
      </c>
      <c r="I2164" s="1" t="s">
        <v>29</v>
      </c>
      <c r="J2164" s="1">
        <v>-99.670000000000016</v>
      </c>
      <c r="K2164" s="1">
        <v>440.33</v>
      </c>
      <c r="L2164" s="1">
        <v>80.329999999999984</v>
      </c>
    </row>
    <row r="2165" spans="4:12">
      <c r="D2165" s="1" t="s">
        <v>1014</v>
      </c>
      <c r="E2165" s="1" t="s">
        <v>1250</v>
      </c>
      <c r="F2165" s="1" t="s">
        <v>35</v>
      </c>
      <c r="G2165" s="1" t="s">
        <v>36</v>
      </c>
      <c r="H2165" s="1" t="s">
        <v>22</v>
      </c>
      <c r="I2165" s="1" t="s">
        <v>29</v>
      </c>
      <c r="J2165" s="1">
        <v>-99.670000000000016</v>
      </c>
      <c r="K2165" s="1">
        <v>440.33</v>
      </c>
      <c r="L2165" s="1">
        <v>80.329999999999984</v>
      </c>
    </row>
    <row r="2166" spans="4:12">
      <c r="D2166" s="1" t="s">
        <v>1014</v>
      </c>
      <c r="E2166" s="1" t="s">
        <v>1251</v>
      </c>
      <c r="F2166" s="1" t="s">
        <v>35</v>
      </c>
      <c r="G2166" s="1" t="s">
        <v>36</v>
      </c>
      <c r="H2166" s="1" t="s">
        <v>22</v>
      </c>
      <c r="I2166" s="1" t="s">
        <v>29</v>
      </c>
      <c r="J2166" s="1">
        <v>-99.670000000000016</v>
      </c>
      <c r="K2166" s="1">
        <v>440.33</v>
      </c>
      <c r="L2166" s="1">
        <v>80.329999999999984</v>
      </c>
    </row>
    <row r="2167" spans="4:12">
      <c r="D2167" s="1" t="s">
        <v>1014</v>
      </c>
      <c r="E2167" s="1" t="s">
        <v>1252</v>
      </c>
      <c r="F2167" s="1" t="s">
        <v>35</v>
      </c>
      <c r="G2167" s="1" t="s">
        <v>36</v>
      </c>
      <c r="H2167" s="1" t="s">
        <v>22</v>
      </c>
      <c r="I2167" s="1" t="s">
        <v>29</v>
      </c>
      <c r="J2167" s="1">
        <v>-99.670000000000016</v>
      </c>
      <c r="K2167" s="1">
        <v>440.33</v>
      </c>
      <c r="L2167" s="1">
        <v>80.329999999999984</v>
      </c>
    </row>
    <row r="2168" spans="4:12">
      <c r="D2168" s="1" t="s">
        <v>1014</v>
      </c>
      <c r="E2168" s="1" t="s">
        <v>1253</v>
      </c>
      <c r="F2168" s="1" t="s">
        <v>35</v>
      </c>
      <c r="G2168" s="1" t="s">
        <v>36</v>
      </c>
      <c r="H2168" s="1" t="s">
        <v>22</v>
      </c>
      <c r="I2168" s="1" t="s">
        <v>29</v>
      </c>
      <c r="J2168" s="1">
        <v>-99.670000000000016</v>
      </c>
      <c r="K2168" s="1">
        <v>440.33</v>
      </c>
      <c r="L2168" s="1">
        <v>80.329999999999984</v>
      </c>
    </row>
    <row r="2169" spans="4:12">
      <c r="D2169" s="1" t="s">
        <v>1014</v>
      </c>
      <c r="E2169" s="1" t="s">
        <v>1254</v>
      </c>
      <c r="F2169" s="1" t="s">
        <v>35</v>
      </c>
      <c r="G2169" s="1" t="s">
        <v>36</v>
      </c>
      <c r="H2169" s="1" t="s">
        <v>22</v>
      </c>
      <c r="I2169" s="1" t="s">
        <v>29</v>
      </c>
      <c r="J2169" s="1">
        <v>-99.670000000000016</v>
      </c>
      <c r="K2169" s="1">
        <v>440.33</v>
      </c>
      <c r="L2169" s="1">
        <v>80.329999999999984</v>
      </c>
    </row>
    <row r="2170" spans="4:12">
      <c r="D2170" s="1" t="s">
        <v>1014</v>
      </c>
      <c r="E2170" s="1" t="s">
        <v>1255</v>
      </c>
      <c r="F2170" s="1" t="s">
        <v>35</v>
      </c>
      <c r="G2170" s="1" t="s">
        <v>36</v>
      </c>
      <c r="H2170" s="1" t="s">
        <v>22</v>
      </c>
      <c r="I2170" s="1" t="s">
        <v>29</v>
      </c>
      <c r="J2170" s="1">
        <v>-99.670000000000016</v>
      </c>
      <c r="K2170" s="1">
        <v>440.33</v>
      </c>
      <c r="L2170" s="1">
        <v>80.329999999999984</v>
      </c>
    </row>
    <row r="2171" spans="4:12">
      <c r="D2171" s="1" t="s">
        <v>1014</v>
      </c>
      <c r="E2171" s="1" t="s">
        <v>1256</v>
      </c>
      <c r="F2171" s="1" t="s">
        <v>35</v>
      </c>
      <c r="G2171" s="1" t="s">
        <v>36</v>
      </c>
      <c r="H2171" s="1" t="s">
        <v>22</v>
      </c>
      <c r="I2171" s="1" t="s">
        <v>29</v>
      </c>
      <c r="J2171" s="1">
        <v>-99.670000000000016</v>
      </c>
      <c r="K2171" s="1">
        <v>440.33</v>
      </c>
      <c r="L2171" s="1">
        <v>80.329999999999984</v>
      </c>
    </row>
    <row r="2172" spans="4:12">
      <c r="D2172" s="1" t="s">
        <v>1014</v>
      </c>
      <c r="E2172" s="1" t="s">
        <v>1257</v>
      </c>
      <c r="F2172" s="1" t="s">
        <v>35</v>
      </c>
      <c r="G2172" s="1" t="s">
        <v>36</v>
      </c>
      <c r="H2172" s="1" t="s">
        <v>22</v>
      </c>
      <c r="I2172" s="1" t="s">
        <v>29</v>
      </c>
      <c r="J2172" s="1">
        <v>-99.670000000000016</v>
      </c>
      <c r="K2172" s="1">
        <v>440.33</v>
      </c>
      <c r="L2172" s="1">
        <v>80.329999999999984</v>
      </c>
    </row>
    <row r="2173" spans="4:12">
      <c r="D2173" s="1" t="s">
        <v>1014</v>
      </c>
      <c r="E2173" s="1" t="s">
        <v>1258</v>
      </c>
      <c r="F2173" s="1" t="s">
        <v>35</v>
      </c>
      <c r="G2173" s="1" t="s">
        <v>36</v>
      </c>
      <c r="H2173" s="1" t="s">
        <v>22</v>
      </c>
      <c r="I2173" s="1" t="s">
        <v>29</v>
      </c>
      <c r="J2173" s="1">
        <v>-99.670000000000016</v>
      </c>
      <c r="K2173" s="1">
        <v>440.33</v>
      </c>
      <c r="L2173" s="1">
        <v>80.329999999999984</v>
      </c>
    </row>
    <row r="2174" spans="4:12">
      <c r="D2174" s="1" t="s">
        <v>1014</v>
      </c>
      <c r="E2174" s="1" t="s">
        <v>1259</v>
      </c>
      <c r="F2174" s="1" t="s">
        <v>35</v>
      </c>
      <c r="G2174" s="1" t="s">
        <v>36</v>
      </c>
      <c r="H2174" s="1" t="s">
        <v>22</v>
      </c>
      <c r="I2174" s="1" t="s">
        <v>29</v>
      </c>
      <c r="J2174" s="1">
        <v>-99.670000000000016</v>
      </c>
      <c r="K2174" s="1">
        <v>440.33</v>
      </c>
      <c r="L2174" s="1">
        <v>80.329999999999984</v>
      </c>
    </row>
    <row r="2175" spans="4:12">
      <c r="D2175" s="1" t="s">
        <v>1014</v>
      </c>
      <c r="E2175" s="1" t="s">
        <v>1260</v>
      </c>
      <c r="F2175" s="1" t="s">
        <v>35</v>
      </c>
      <c r="G2175" s="1" t="s">
        <v>36</v>
      </c>
      <c r="H2175" s="1" t="s">
        <v>22</v>
      </c>
      <c r="I2175" s="1" t="s">
        <v>29</v>
      </c>
      <c r="J2175" s="1">
        <v>-99.670000000000016</v>
      </c>
      <c r="K2175" s="1">
        <v>440.33</v>
      </c>
      <c r="L2175" s="1">
        <v>80.329999999999984</v>
      </c>
    </row>
    <row r="2176" spans="4:12">
      <c r="D2176" s="1" t="s">
        <v>1014</v>
      </c>
      <c r="E2176" s="1" t="s">
        <v>1261</v>
      </c>
      <c r="F2176" s="1" t="s">
        <v>35</v>
      </c>
      <c r="G2176" s="1" t="s">
        <v>36</v>
      </c>
      <c r="H2176" s="1" t="s">
        <v>22</v>
      </c>
      <c r="I2176" s="1" t="s">
        <v>29</v>
      </c>
      <c r="J2176" s="1">
        <v>-99.670000000000016</v>
      </c>
      <c r="K2176" s="1">
        <v>440.33</v>
      </c>
      <c r="L2176" s="1">
        <v>80.329999999999984</v>
      </c>
    </row>
    <row r="2177" spans="4:12">
      <c r="D2177" s="1" t="s">
        <v>1014</v>
      </c>
      <c r="E2177" s="1" t="s">
        <v>1262</v>
      </c>
      <c r="F2177" s="1" t="s">
        <v>35</v>
      </c>
      <c r="G2177" s="1" t="s">
        <v>36</v>
      </c>
      <c r="H2177" s="1" t="s">
        <v>22</v>
      </c>
      <c r="I2177" s="1" t="s">
        <v>29</v>
      </c>
      <c r="J2177" s="1">
        <v>-99.670000000000016</v>
      </c>
      <c r="K2177" s="1">
        <v>440.33</v>
      </c>
      <c r="L2177" s="1">
        <v>80.329999999999984</v>
      </c>
    </row>
    <row r="2178" spans="4:12">
      <c r="D2178" s="1" t="s">
        <v>1014</v>
      </c>
      <c r="E2178" s="1" t="s">
        <v>1263</v>
      </c>
      <c r="F2178" s="1" t="s">
        <v>35</v>
      </c>
      <c r="G2178" s="1" t="s">
        <v>36</v>
      </c>
      <c r="H2178" s="1" t="s">
        <v>22</v>
      </c>
      <c r="I2178" s="1" t="s">
        <v>29</v>
      </c>
      <c r="J2178" s="1">
        <v>-99.670000000000016</v>
      </c>
      <c r="K2178" s="1">
        <v>440.33</v>
      </c>
      <c r="L2178" s="1">
        <v>80.329999999999984</v>
      </c>
    </row>
    <row r="2179" spans="4:12">
      <c r="D2179" s="1" t="s">
        <v>1014</v>
      </c>
      <c r="E2179" s="1" t="s">
        <v>1264</v>
      </c>
      <c r="F2179" s="1" t="s">
        <v>35</v>
      </c>
      <c r="G2179" s="1" t="s">
        <v>36</v>
      </c>
      <c r="H2179" s="1" t="s">
        <v>22</v>
      </c>
      <c r="I2179" s="1" t="s">
        <v>29</v>
      </c>
      <c r="J2179" s="1">
        <v>-99.670000000000016</v>
      </c>
      <c r="K2179" s="1">
        <v>440.33</v>
      </c>
      <c r="L2179" s="1">
        <v>80.329999999999984</v>
      </c>
    </row>
    <row r="2180" spans="4:12">
      <c r="D2180" s="1" t="s">
        <v>1014</v>
      </c>
      <c r="E2180" s="1" t="s">
        <v>1265</v>
      </c>
      <c r="F2180" s="1" t="s">
        <v>35</v>
      </c>
      <c r="G2180" s="1" t="s">
        <v>36</v>
      </c>
      <c r="H2180" s="1" t="s">
        <v>22</v>
      </c>
      <c r="I2180" s="1" t="s">
        <v>29</v>
      </c>
      <c r="J2180" s="1">
        <v>-99.670000000000016</v>
      </c>
      <c r="K2180" s="1">
        <v>440.33</v>
      </c>
      <c r="L2180" s="1">
        <v>80.329999999999984</v>
      </c>
    </row>
    <row r="2181" spans="4:12">
      <c r="D2181" s="1" t="s">
        <v>1014</v>
      </c>
      <c r="E2181" s="1" t="s">
        <v>1266</v>
      </c>
      <c r="F2181" s="1" t="s">
        <v>35</v>
      </c>
      <c r="G2181" s="1" t="s">
        <v>36</v>
      </c>
      <c r="H2181" s="1" t="s">
        <v>22</v>
      </c>
      <c r="I2181" s="1" t="s">
        <v>29</v>
      </c>
      <c r="J2181" s="1">
        <v>-99.670000000000016</v>
      </c>
      <c r="K2181" s="1">
        <v>440.33</v>
      </c>
      <c r="L2181" s="1">
        <v>80.329999999999984</v>
      </c>
    </row>
    <row r="2182" spans="4:12">
      <c r="D2182" s="1" t="s">
        <v>1014</v>
      </c>
      <c r="E2182" s="1" t="s">
        <v>1267</v>
      </c>
      <c r="F2182" s="1" t="s">
        <v>35</v>
      </c>
      <c r="G2182" s="1" t="s">
        <v>36</v>
      </c>
      <c r="H2182" s="1" t="s">
        <v>22</v>
      </c>
      <c r="I2182" s="1" t="s">
        <v>29</v>
      </c>
      <c r="J2182" s="1">
        <v>-99.670000000000016</v>
      </c>
      <c r="K2182" s="1">
        <v>440.33</v>
      </c>
      <c r="L2182" s="1">
        <v>80.329999999999984</v>
      </c>
    </row>
    <row r="2183" spans="4:12">
      <c r="D2183" s="1" t="s">
        <v>1014</v>
      </c>
      <c r="E2183" s="1" t="s">
        <v>1268</v>
      </c>
      <c r="F2183" s="1" t="s">
        <v>35</v>
      </c>
      <c r="G2183" s="1" t="s">
        <v>36</v>
      </c>
      <c r="H2183" s="1" t="s">
        <v>22</v>
      </c>
      <c r="I2183" s="1" t="s">
        <v>29</v>
      </c>
      <c r="J2183" s="1">
        <v>-99.670000000000016</v>
      </c>
      <c r="K2183" s="1">
        <v>440.33</v>
      </c>
      <c r="L2183" s="1">
        <v>80.329999999999984</v>
      </c>
    </row>
    <row r="2184" spans="4:12">
      <c r="D2184" s="1" t="s">
        <v>1014</v>
      </c>
      <c r="E2184" s="1" t="s">
        <v>1269</v>
      </c>
      <c r="F2184" s="1" t="s">
        <v>35</v>
      </c>
      <c r="G2184" s="1" t="s">
        <v>36</v>
      </c>
      <c r="H2184" s="1" t="s">
        <v>22</v>
      </c>
      <c r="I2184" s="1" t="s">
        <v>29</v>
      </c>
      <c r="J2184" s="1">
        <v>-99.670000000000016</v>
      </c>
      <c r="K2184" s="1">
        <v>440.33</v>
      </c>
      <c r="L2184" s="1">
        <v>80.329999999999984</v>
      </c>
    </row>
    <row r="2185" spans="4:12">
      <c r="D2185" s="1" t="s">
        <v>1014</v>
      </c>
      <c r="E2185" s="1" t="s">
        <v>1270</v>
      </c>
      <c r="F2185" s="1" t="s">
        <v>35</v>
      </c>
      <c r="G2185" s="1" t="s">
        <v>36</v>
      </c>
      <c r="H2185" s="1" t="s">
        <v>22</v>
      </c>
      <c r="I2185" s="1" t="s">
        <v>29</v>
      </c>
      <c r="J2185" s="1">
        <v>-99.670000000000016</v>
      </c>
      <c r="K2185" s="1">
        <v>440.33</v>
      </c>
      <c r="L2185" s="1">
        <v>80.329999999999984</v>
      </c>
    </row>
    <row r="2186" spans="4:12">
      <c r="D2186" s="1" t="s">
        <v>1014</v>
      </c>
      <c r="E2186" s="1" t="s">
        <v>1271</v>
      </c>
      <c r="F2186" s="1" t="s">
        <v>35</v>
      </c>
      <c r="G2186" s="1" t="s">
        <v>36</v>
      </c>
      <c r="H2186" s="1" t="s">
        <v>22</v>
      </c>
      <c r="I2186" s="1" t="s">
        <v>29</v>
      </c>
      <c r="J2186" s="1">
        <v>-99.670000000000016</v>
      </c>
      <c r="K2186" s="1">
        <v>440.33</v>
      </c>
      <c r="L2186" s="1">
        <v>80.329999999999984</v>
      </c>
    </row>
    <row r="2187" spans="4:12">
      <c r="D2187" s="1" t="s">
        <v>1014</v>
      </c>
      <c r="E2187" s="1" t="s">
        <v>1272</v>
      </c>
      <c r="F2187" s="1" t="s">
        <v>35</v>
      </c>
      <c r="G2187" s="1" t="s">
        <v>36</v>
      </c>
      <c r="H2187" s="1" t="s">
        <v>22</v>
      </c>
      <c r="I2187" s="1" t="s">
        <v>29</v>
      </c>
      <c r="J2187" s="1">
        <v>-99.670000000000016</v>
      </c>
      <c r="K2187" s="1">
        <v>440.33</v>
      </c>
      <c r="L2187" s="1">
        <v>80.329999999999984</v>
      </c>
    </row>
    <row r="2188" spans="4:12">
      <c r="D2188" s="1" t="s">
        <v>1014</v>
      </c>
      <c r="E2188" s="1" t="s">
        <v>1273</v>
      </c>
      <c r="F2188" s="1" t="s">
        <v>35</v>
      </c>
      <c r="G2188" s="1" t="s">
        <v>36</v>
      </c>
      <c r="H2188" s="1" t="s">
        <v>22</v>
      </c>
      <c r="I2188" s="1" t="s">
        <v>29</v>
      </c>
      <c r="J2188" s="1">
        <v>-99.670000000000016</v>
      </c>
      <c r="K2188" s="1">
        <v>440.33</v>
      </c>
      <c r="L2188" s="1">
        <v>80.329999999999984</v>
      </c>
    </row>
    <row r="2189" spans="4:12">
      <c r="D2189" s="1" t="s">
        <v>1014</v>
      </c>
      <c r="E2189" s="1" t="s">
        <v>1274</v>
      </c>
      <c r="F2189" s="1" t="s">
        <v>35</v>
      </c>
      <c r="G2189" s="1" t="s">
        <v>36</v>
      </c>
      <c r="H2189" s="1" t="s">
        <v>22</v>
      </c>
      <c r="I2189" s="1" t="s">
        <v>29</v>
      </c>
      <c r="J2189" s="1">
        <v>-99.670000000000016</v>
      </c>
      <c r="K2189" s="1">
        <v>440.33</v>
      </c>
      <c r="L2189" s="1">
        <v>80.329999999999984</v>
      </c>
    </row>
    <row r="2190" spans="4:12">
      <c r="D2190" s="1" t="s">
        <v>1014</v>
      </c>
      <c r="E2190" s="1" t="s">
        <v>1275</v>
      </c>
      <c r="F2190" s="1" t="s">
        <v>35</v>
      </c>
      <c r="G2190" s="1" t="s">
        <v>36</v>
      </c>
      <c r="H2190" s="1" t="s">
        <v>22</v>
      </c>
      <c r="I2190" s="1" t="s">
        <v>29</v>
      </c>
      <c r="J2190" s="1">
        <v>-99.670000000000016</v>
      </c>
      <c r="K2190" s="1">
        <v>440.33</v>
      </c>
      <c r="L2190" s="1">
        <v>80.329999999999984</v>
      </c>
    </row>
    <row r="2191" spans="4:12">
      <c r="D2191" s="1" t="s">
        <v>1014</v>
      </c>
      <c r="E2191" s="1" t="s">
        <v>1276</v>
      </c>
      <c r="F2191" s="1" t="s">
        <v>35</v>
      </c>
      <c r="G2191" s="1" t="s">
        <v>36</v>
      </c>
      <c r="H2191" s="1" t="s">
        <v>22</v>
      </c>
      <c r="I2191" s="1" t="s">
        <v>29</v>
      </c>
      <c r="J2191" s="1">
        <v>-99.670000000000016</v>
      </c>
      <c r="K2191" s="1">
        <v>440.33</v>
      </c>
      <c r="L2191" s="1">
        <v>80.329999999999984</v>
      </c>
    </row>
    <row r="2192" spans="4:12">
      <c r="D2192" s="1" t="s">
        <v>1014</v>
      </c>
      <c r="E2192" s="1" t="s">
        <v>1277</v>
      </c>
      <c r="F2192" s="1" t="s">
        <v>35</v>
      </c>
      <c r="G2192" s="1" t="s">
        <v>36</v>
      </c>
      <c r="H2192" s="1" t="s">
        <v>22</v>
      </c>
      <c r="I2192" s="1" t="s">
        <v>29</v>
      </c>
      <c r="J2192" s="1">
        <v>-99.670000000000016</v>
      </c>
      <c r="K2192" s="1">
        <v>440.33</v>
      </c>
      <c r="L2192" s="1">
        <v>80.329999999999984</v>
      </c>
    </row>
    <row r="2193" spans="4:12">
      <c r="D2193" s="1" t="s">
        <v>1014</v>
      </c>
      <c r="E2193" s="1" t="s">
        <v>1278</v>
      </c>
      <c r="F2193" s="1" t="s">
        <v>35</v>
      </c>
      <c r="G2193" s="1" t="s">
        <v>36</v>
      </c>
      <c r="H2193" s="1" t="s">
        <v>22</v>
      </c>
      <c r="I2193" s="1" t="s">
        <v>29</v>
      </c>
      <c r="J2193" s="1">
        <v>-99.670000000000016</v>
      </c>
      <c r="K2193" s="1">
        <v>440.33</v>
      </c>
      <c r="L2193" s="1">
        <v>80.329999999999984</v>
      </c>
    </row>
    <row r="2194" spans="4:12">
      <c r="D2194" s="1" t="s">
        <v>1014</v>
      </c>
      <c r="E2194" s="1" t="s">
        <v>1279</v>
      </c>
      <c r="F2194" s="1" t="s">
        <v>35</v>
      </c>
      <c r="G2194" s="1" t="s">
        <v>36</v>
      </c>
      <c r="H2194" s="1" t="s">
        <v>22</v>
      </c>
      <c r="I2194" s="1" t="s">
        <v>29</v>
      </c>
      <c r="J2194" s="1">
        <v>-99.670000000000016</v>
      </c>
      <c r="K2194" s="1">
        <v>440.33</v>
      </c>
      <c r="L2194" s="1">
        <v>80.329999999999984</v>
      </c>
    </row>
    <row r="2195" spans="4:12">
      <c r="D2195" s="1" t="s">
        <v>1014</v>
      </c>
      <c r="E2195" s="1" t="s">
        <v>1280</v>
      </c>
      <c r="F2195" s="1" t="s">
        <v>35</v>
      </c>
      <c r="G2195" s="1" t="s">
        <v>36</v>
      </c>
      <c r="H2195" s="1" t="s">
        <v>22</v>
      </c>
      <c r="I2195" s="1" t="s">
        <v>29</v>
      </c>
      <c r="J2195" s="1">
        <v>-99.670000000000016</v>
      </c>
      <c r="K2195" s="1">
        <v>440.33</v>
      </c>
      <c r="L2195" s="1">
        <v>80.329999999999984</v>
      </c>
    </row>
    <row r="2196" spans="4:12">
      <c r="D2196" s="1" t="s">
        <v>1014</v>
      </c>
      <c r="E2196" s="1" t="s">
        <v>1281</v>
      </c>
      <c r="F2196" s="1" t="s">
        <v>35</v>
      </c>
      <c r="G2196" s="1" t="s">
        <v>36</v>
      </c>
      <c r="H2196" s="1" t="s">
        <v>22</v>
      </c>
      <c r="I2196" s="1" t="s">
        <v>29</v>
      </c>
      <c r="J2196" s="1">
        <v>-99.670000000000016</v>
      </c>
      <c r="K2196" s="1">
        <v>440.33</v>
      </c>
      <c r="L2196" s="1">
        <v>80.329999999999984</v>
      </c>
    </row>
    <row r="2197" spans="4:12">
      <c r="D2197" s="1" t="s">
        <v>1014</v>
      </c>
      <c r="E2197" s="1" t="s">
        <v>1282</v>
      </c>
      <c r="F2197" s="1" t="s">
        <v>35</v>
      </c>
      <c r="G2197" s="1" t="s">
        <v>36</v>
      </c>
      <c r="H2197" s="1" t="s">
        <v>22</v>
      </c>
      <c r="I2197" s="1" t="s">
        <v>29</v>
      </c>
      <c r="J2197" s="1">
        <v>-99.670000000000016</v>
      </c>
      <c r="K2197" s="1">
        <v>440.33</v>
      </c>
      <c r="L2197" s="1">
        <v>80.329999999999984</v>
      </c>
    </row>
    <row r="2198" spans="4:12">
      <c r="D2198" s="1" t="s">
        <v>1014</v>
      </c>
      <c r="E2198" s="1" t="s">
        <v>1283</v>
      </c>
      <c r="F2198" s="1" t="s">
        <v>35</v>
      </c>
      <c r="G2198" s="1" t="s">
        <v>36</v>
      </c>
      <c r="H2198" s="1" t="s">
        <v>22</v>
      </c>
      <c r="I2198" s="1" t="s">
        <v>29</v>
      </c>
      <c r="J2198" s="1">
        <v>-99.670000000000016</v>
      </c>
      <c r="K2198" s="1">
        <v>440.33</v>
      </c>
      <c r="L2198" s="1">
        <v>80.329999999999984</v>
      </c>
    </row>
    <row r="2199" spans="4:12">
      <c r="D2199" s="1" t="s">
        <v>1014</v>
      </c>
      <c r="E2199" s="1" t="s">
        <v>1284</v>
      </c>
      <c r="F2199" s="1" t="s">
        <v>35</v>
      </c>
      <c r="G2199" s="1" t="s">
        <v>36</v>
      </c>
      <c r="H2199" s="1" t="s">
        <v>22</v>
      </c>
      <c r="I2199" s="1" t="s">
        <v>29</v>
      </c>
      <c r="J2199" s="1">
        <v>-99.670000000000016</v>
      </c>
      <c r="K2199" s="1">
        <v>440.33</v>
      </c>
      <c r="L2199" s="1">
        <v>80.329999999999984</v>
      </c>
    </row>
    <row r="2200" spans="4:12">
      <c r="D2200" s="1" t="s">
        <v>1014</v>
      </c>
      <c r="E2200" s="1" t="s">
        <v>1285</v>
      </c>
      <c r="F2200" s="1" t="s">
        <v>35</v>
      </c>
      <c r="G2200" s="1" t="s">
        <v>36</v>
      </c>
      <c r="H2200" s="1" t="s">
        <v>22</v>
      </c>
      <c r="I2200" s="1" t="s">
        <v>29</v>
      </c>
      <c r="J2200" s="1">
        <v>-99.670000000000016</v>
      </c>
      <c r="K2200" s="1">
        <v>440.33</v>
      </c>
      <c r="L2200" s="1">
        <v>80.329999999999984</v>
      </c>
    </row>
    <row r="2201" spans="4:12">
      <c r="D2201" s="1" t="s">
        <v>1014</v>
      </c>
      <c r="E2201" s="1" t="s">
        <v>1286</v>
      </c>
      <c r="F2201" s="1" t="s">
        <v>35</v>
      </c>
      <c r="G2201" s="1" t="s">
        <v>36</v>
      </c>
      <c r="H2201" s="1" t="s">
        <v>22</v>
      </c>
      <c r="I2201" s="1" t="s">
        <v>29</v>
      </c>
      <c r="J2201" s="1">
        <v>-99.670000000000016</v>
      </c>
      <c r="K2201" s="1">
        <v>440.33</v>
      </c>
      <c r="L2201" s="1">
        <v>80.329999999999984</v>
      </c>
    </row>
    <row r="2202" spans="4:12">
      <c r="D2202" s="1" t="s">
        <v>1014</v>
      </c>
      <c r="E2202" s="1" t="s">
        <v>1287</v>
      </c>
      <c r="F2202" s="1" t="s">
        <v>35</v>
      </c>
      <c r="G2202" s="1" t="s">
        <v>36</v>
      </c>
      <c r="H2202" s="1" t="s">
        <v>22</v>
      </c>
      <c r="I2202" s="1" t="s">
        <v>29</v>
      </c>
      <c r="J2202" s="1">
        <v>-99.670000000000016</v>
      </c>
      <c r="K2202" s="1">
        <v>440.33</v>
      </c>
      <c r="L2202" s="1">
        <v>80.329999999999984</v>
      </c>
    </row>
    <row r="2203" spans="4:12">
      <c r="D2203" s="1" t="s">
        <v>1014</v>
      </c>
      <c r="E2203" s="1" t="s">
        <v>1288</v>
      </c>
      <c r="F2203" s="1" t="s">
        <v>35</v>
      </c>
      <c r="G2203" s="1" t="s">
        <v>36</v>
      </c>
      <c r="H2203" s="1" t="s">
        <v>22</v>
      </c>
      <c r="I2203" s="1" t="s">
        <v>29</v>
      </c>
      <c r="J2203" s="1">
        <v>-99.670000000000016</v>
      </c>
      <c r="K2203" s="1">
        <v>440.33</v>
      </c>
      <c r="L2203" s="1">
        <v>80.329999999999984</v>
      </c>
    </row>
    <row r="2204" spans="4:12">
      <c r="D2204" s="1" t="s">
        <v>1014</v>
      </c>
      <c r="E2204" s="1" t="s">
        <v>1289</v>
      </c>
      <c r="F2204" s="1" t="s">
        <v>35</v>
      </c>
      <c r="G2204" s="1" t="s">
        <v>36</v>
      </c>
      <c r="H2204" s="1" t="s">
        <v>22</v>
      </c>
      <c r="I2204" s="1" t="s">
        <v>29</v>
      </c>
      <c r="J2204" s="1">
        <v>-99.670000000000016</v>
      </c>
      <c r="K2204" s="1">
        <v>440.33</v>
      </c>
      <c r="L2204" s="1">
        <v>80.329999999999984</v>
      </c>
    </row>
    <row r="2205" spans="4:12">
      <c r="D2205" s="1" t="s">
        <v>1014</v>
      </c>
      <c r="E2205" s="1" t="s">
        <v>1290</v>
      </c>
      <c r="F2205" s="1" t="s">
        <v>35</v>
      </c>
      <c r="G2205" s="1" t="s">
        <v>36</v>
      </c>
      <c r="H2205" s="1" t="s">
        <v>22</v>
      </c>
      <c r="I2205" s="1" t="s">
        <v>29</v>
      </c>
      <c r="J2205" s="1">
        <v>-99.670000000000016</v>
      </c>
      <c r="K2205" s="1">
        <v>440.33</v>
      </c>
      <c r="L2205" s="1">
        <v>80.329999999999984</v>
      </c>
    </row>
    <row r="2206" spans="4:12">
      <c r="D2206" s="1" t="s">
        <v>1014</v>
      </c>
      <c r="E2206" s="1" t="s">
        <v>1291</v>
      </c>
      <c r="F2206" s="1" t="s">
        <v>35</v>
      </c>
      <c r="G2206" s="1" t="s">
        <v>36</v>
      </c>
      <c r="H2206" s="1" t="s">
        <v>22</v>
      </c>
      <c r="I2206" s="1" t="s">
        <v>29</v>
      </c>
      <c r="J2206" s="1">
        <v>-99.670000000000016</v>
      </c>
      <c r="K2206" s="1">
        <v>440.33</v>
      </c>
      <c r="L2206" s="1">
        <v>80.329999999999984</v>
      </c>
    </row>
    <row r="2207" spans="4:12">
      <c r="D2207" s="1" t="s">
        <v>1014</v>
      </c>
      <c r="E2207" s="1" t="s">
        <v>1292</v>
      </c>
      <c r="F2207" s="1" t="s">
        <v>35</v>
      </c>
      <c r="G2207" s="1" t="s">
        <v>36</v>
      </c>
      <c r="H2207" s="1" t="s">
        <v>22</v>
      </c>
      <c r="I2207" s="1" t="s">
        <v>29</v>
      </c>
      <c r="J2207" s="1">
        <v>-99.670000000000016</v>
      </c>
      <c r="K2207" s="1">
        <v>440.33</v>
      </c>
      <c r="L2207" s="1">
        <v>80.329999999999984</v>
      </c>
    </row>
    <row r="2208" spans="4:12">
      <c r="D2208" s="1" t="s">
        <v>1014</v>
      </c>
      <c r="E2208" s="1" t="s">
        <v>1293</v>
      </c>
      <c r="F2208" s="1" t="s">
        <v>35</v>
      </c>
      <c r="G2208" s="1" t="s">
        <v>36</v>
      </c>
      <c r="H2208" s="1" t="s">
        <v>22</v>
      </c>
      <c r="I2208" s="1" t="s">
        <v>29</v>
      </c>
      <c r="J2208" s="1">
        <v>-99.670000000000016</v>
      </c>
      <c r="K2208" s="1">
        <v>440.33</v>
      </c>
      <c r="L2208" s="1">
        <v>80.329999999999984</v>
      </c>
    </row>
    <row r="2209" spans="4:13">
      <c r="D2209" s="1" t="s">
        <v>1014</v>
      </c>
      <c r="E2209" s="1" t="s">
        <v>1294</v>
      </c>
      <c r="F2209" s="1" t="s">
        <v>41</v>
      </c>
      <c r="G2209" s="1" t="s">
        <v>42</v>
      </c>
      <c r="H2209" s="1" t="s">
        <v>22</v>
      </c>
      <c r="I2209" s="1" t="s">
        <v>23</v>
      </c>
      <c r="J2209" s="1">
        <v>-36</v>
      </c>
      <c r="K2209" s="1">
        <v>0</v>
      </c>
      <c r="L2209" s="1">
        <v>1.8</v>
      </c>
      <c r="M2209" s="1">
        <v>-3.6</v>
      </c>
    </row>
    <row r="2210" spans="4:13">
      <c r="D2210" s="1" t="s">
        <v>1014</v>
      </c>
      <c r="E2210" s="1" t="s">
        <v>1295</v>
      </c>
      <c r="H2210" s="1" t="s">
        <v>25</v>
      </c>
      <c r="I2210" s="1" t="s">
        <v>23</v>
      </c>
      <c r="M2210" s="1" t="b">
        <v>0</v>
      </c>
    </row>
    <row r="2211" spans="4:13">
      <c r="D2211" s="1" t="s">
        <v>1014</v>
      </c>
      <c r="E2211" s="1" t="s">
        <v>1296</v>
      </c>
      <c r="F2211" s="1" t="s">
        <v>41</v>
      </c>
      <c r="G2211" s="1" t="s">
        <v>42</v>
      </c>
      <c r="H2211" s="1" t="s">
        <v>22</v>
      </c>
      <c r="I2211" s="1" t="s">
        <v>65</v>
      </c>
      <c r="L2211" s="1">
        <v>1.8</v>
      </c>
    </row>
    <row r="2212" spans="4:13">
      <c r="D2212" s="1" t="s">
        <v>1014</v>
      </c>
      <c r="E2212" s="1" t="s">
        <v>1297</v>
      </c>
      <c r="H2212" s="1" t="s">
        <v>22</v>
      </c>
      <c r="I2212" s="1" t="s">
        <v>65</v>
      </c>
      <c r="L2212" s="1">
        <v>1</v>
      </c>
    </row>
    <row r="2213" spans="4:13">
      <c r="D2213" s="1" t="s">
        <v>1014</v>
      </c>
      <c r="E2213" s="1" t="s">
        <v>1298</v>
      </c>
      <c r="F2213" s="1" t="s">
        <v>147</v>
      </c>
      <c r="G2213" s="1" t="s">
        <v>148</v>
      </c>
      <c r="H2213" s="1" t="s">
        <v>22</v>
      </c>
      <c r="I2213" s="1" t="s">
        <v>65</v>
      </c>
      <c r="L2213" s="1">
        <v>3.4121416351331</v>
      </c>
    </row>
    <row r="2214" spans="4:13">
      <c r="D2214" s="1" t="s">
        <v>1014</v>
      </c>
      <c r="E2214" s="1" t="s">
        <v>1299</v>
      </c>
      <c r="F2214" s="1" t="s">
        <v>147</v>
      </c>
      <c r="G2214" s="1" t="s">
        <v>148</v>
      </c>
      <c r="H2214" s="1" t="s">
        <v>22</v>
      </c>
      <c r="I2214" s="1" t="s">
        <v>65</v>
      </c>
      <c r="L2214" s="1">
        <v>3.4121416351331</v>
      </c>
    </row>
    <row r="2215" spans="4:13">
      <c r="D2215" s="1" t="s">
        <v>1014</v>
      </c>
      <c r="E2215" s="1" t="s">
        <v>1300</v>
      </c>
      <c r="F2215" s="1" t="s">
        <v>147</v>
      </c>
      <c r="G2215" s="1" t="s">
        <v>148</v>
      </c>
      <c r="H2215" s="1" t="s">
        <v>22</v>
      </c>
      <c r="I2215" s="1" t="s">
        <v>65</v>
      </c>
      <c r="L2215" s="1">
        <v>3.4121416351331</v>
      </c>
    </row>
    <row r="2216" spans="4:13">
      <c r="D2216" s="1" t="s">
        <v>1014</v>
      </c>
      <c r="E2216" s="1" t="s">
        <v>1301</v>
      </c>
      <c r="F2216" s="1" t="s">
        <v>147</v>
      </c>
      <c r="G2216" s="1" t="s">
        <v>148</v>
      </c>
      <c r="H2216" s="1" t="s">
        <v>22</v>
      </c>
      <c r="I2216" s="1" t="s">
        <v>65</v>
      </c>
      <c r="L2216" s="1">
        <v>3.4121416351331</v>
      </c>
    </row>
    <row r="2217" spans="4:13">
      <c r="D2217" s="1" t="s">
        <v>1014</v>
      </c>
      <c r="E2217" s="1" t="s">
        <v>1302</v>
      </c>
      <c r="H2217" s="1" t="s">
        <v>22</v>
      </c>
      <c r="I2217" s="1" t="s">
        <v>65</v>
      </c>
      <c r="L2217" s="1">
        <v>1</v>
      </c>
    </row>
    <row r="2218" spans="4:13">
      <c r="D2218" s="1" t="s">
        <v>1014</v>
      </c>
      <c r="E2218" s="1" t="s">
        <v>1303</v>
      </c>
      <c r="F2218" s="1" t="s">
        <v>35</v>
      </c>
      <c r="G2218" s="1" t="s">
        <v>36</v>
      </c>
      <c r="H2218" s="1" t="s">
        <v>22</v>
      </c>
      <c r="I2218" s="1" t="s">
        <v>65</v>
      </c>
      <c r="J2218" s="1">
        <v>-459.67</v>
      </c>
      <c r="L2218" s="1">
        <v>80.329999999999984</v>
      </c>
    </row>
    <row r="2219" spans="4:13">
      <c r="D2219" s="1" t="s">
        <v>1014</v>
      </c>
      <c r="E2219" s="1" t="s">
        <v>1304</v>
      </c>
      <c r="H2219" s="1" t="s">
        <v>22</v>
      </c>
      <c r="I2219" s="1" t="s">
        <v>65</v>
      </c>
      <c r="L2219" s="1">
        <v>1</v>
      </c>
    </row>
    <row r="2220" spans="4:13">
      <c r="D2220" s="1" t="s">
        <v>1014</v>
      </c>
      <c r="E2220" s="1" t="s">
        <v>1305</v>
      </c>
      <c r="H2220" s="1" t="s">
        <v>22</v>
      </c>
      <c r="I2220" s="1" t="s">
        <v>65</v>
      </c>
      <c r="L2220" s="1">
        <v>1</v>
      </c>
    </row>
    <row r="2221" spans="4:13">
      <c r="D2221" s="1" t="s">
        <v>1014</v>
      </c>
      <c r="E2221" s="1" t="s">
        <v>1306</v>
      </c>
      <c r="H2221" s="1" t="s">
        <v>22</v>
      </c>
      <c r="I2221" s="1" t="s">
        <v>65</v>
      </c>
      <c r="L2221" s="1">
        <v>1</v>
      </c>
    </row>
    <row r="2222" spans="4:13">
      <c r="D2222" s="1" t="s">
        <v>1014</v>
      </c>
      <c r="E2222" s="1" t="s">
        <v>1307</v>
      </c>
      <c r="H2222" s="1" t="s">
        <v>22</v>
      </c>
      <c r="I2222" s="1" t="s">
        <v>65</v>
      </c>
      <c r="L2222" s="1">
        <v>1</v>
      </c>
    </row>
    <row r="2223" spans="4:13">
      <c r="D2223" s="1" t="s">
        <v>1014</v>
      </c>
      <c r="E2223" s="1" t="s">
        <v>1308</v>
      </c>
      <c r="H2223" s="1" t="s">
        <v>22</v>
      </c>
      <c r="I2223" s="1" t="s">
        <v>65</v>
      </c>
      <c r="L2223" s="1">
        <v>1</v>
      </c>
    </row>
    <row r="2224" spans="4:13">
      <c r="D2224" s="1" t="s">
        <v>1014</v>
      </c>
      <c r="E2224" s="1" t="s">
        <v>1309</v>
      </c>
      <c r="H2224" s="1" t="s">
        <v>22</v>
      </c>
      <c r="I2224" s="1" t="s">
        <v>65</v>
      </c>
      <c r="L2224" s="1">
        <v>1</v>
      </c>
    </row>
    <row r="2225" spans="4:12">
      <c r="D2225" s="1" t="s">
        <v>1014</v>
      </c>
      <c r="E2225" s="1" t="s">
        <v>1310</v>
      </c>
      <c r="H2225" s="1" t="s">
        <v>22</v>
      </c>
      <c r="I2225" s="1" t="s">
        <v>65</v>
      </c>
      <c r="L2225" s="1">
        <v>1</v>
      </c>
    </row>
    <row r="2226" spans="4:12">
      <c r="D2226" s="1" t="s">
        <v>1014</v>
      </c>
      <c r="E2226" s="1" t="s">
        <v>1311</v>
      </c>
      <c r="F2226" s="1" t="s">
        <v>1041</v>
      </c>
      <c r="G2226" s="1" t="s">
        <v>1042</v>
      </c>
      <c r="H2226" s="1" t="s">
        <v>22</v>
      </c>
      <c r="I2226" s="1" t="s">
        <v>65</v>
      </c>
      <c r="L2226" s="1">
        <v>0.17611018362408509</v>
      </c>
    </row>
    <row r="2227" spans="4:12">
      <c r="D2227" s="1" t="s">
        <v>1014</v>
      </c>
      <c r="E2227" s="1" t="s">
        <v>1312</v>
      </c>
      <c r="F2227" s="1" t="s">
        <v>1041</v>
      </c>
      <c r="G2227" s="1" t="s">
        <v>1042</v>
      </c>
      <c r="H2227" s="1" t="s">
        <v>22</v>
      </c>
      <c r="I2227" s="1" t="s">
        <v>65</v>
      </c>
      <c r="L2227" s="1">
        <v>0.17611018362408509</v>
      </c>
    </row>
    <row r="2228" spans="4:12">
      <c r="D2228" s="1" t="s">
        <v>1014</v>
      </c>
      <c r="E2228" s="1" t="s">
        <v>1313</v>
      </c>
      <c r="F2228" s="1" t="s">
        <v>1041</v>
      </c>
      <c r="G2228" s="1" t="s">
        <v>1042</v>
      </c>
      <c r="H2228" s="1" t="s">
        <v>22</v>
      </c>
      <c r="I2228" s="1" t="s">
        <v>65</v>
      </c>
      <c r="L2228" s="1">
        <v>0.17611018362408509</v>
      </c>
    </row>
    <row r="2229" spans="4:12">
      <c r="D2229" s="1" t="s">
        <v>1014</v>
      </c>
      <c r="E2229" s="1" t="s">
        <v>1314</v>
      </c>
      <c r="F2229" s="1" t="s">
        <v>879</v>
      </c>
      <c r="G2229" s="1" t="s">
        <v>880</v>
      </c>
      <c r="H2229" s="1" t="s">
        <v>22</v>
      </c>
      <c r="I2229" s="1" t="s">
        <v>65</v>
      </c>
      <c r="L2229" s="1">
        <v>10.76391041670972</v>
      </c>
    </row>
    <row r="2230" spans="4:12">
      <c r="D2230" s="1" t="s">
        <v>1014</v>
      </c>
      <c r="E2230" s="1" t="s">
        <v>1315</v>
      </c>
      <c r="F2230" s="1" t="s">
        <v>879</v>
      </c>
      <c r="G2230" s="1" t="s">
        <v>880</v>
      </c>
      <c r="H2230" s="1" t="s">
        <v>22</v>
      </c>
      <c r="I2230" s="1" t="s">
        <v>65</v>
      </c>
      <c r="L2230" s="1">
        <v>10.76391041670972</v>
      </c>
    </row>
    <row r="2231" spans="4:12">
      <c r="D2231" s="1" t="s">
        <v>1014</v>
      </c>
      <c r="E2231" s="1" t="s">
        <v>1316</v>
      </c>
      <c r="F2231" s="1" t="s">
        <v>879</v>
      </c>
      <c r="G2231" s="1" t="s">
        <v>880</v>
      </c>
      <c r="H2231" s="1" t="s">
        <v>22</v>
      </c>
      <c r="I2231" s="1" t="s">
        <v>65</v>
      </c>
      <c r="L2231" s="1">
        <v>10.76391041670972</v>
      </c>
    </row>
    <row r="2232" spans="4:12">
      <c r="D2232" s="1" t="s">
        <v>1014</v>
      </c>
      <c r="E2232" s="1" t="s">
        <v>1317</v>
      </c>
      <c r="F2232" s="1" t="s">
        <v>879</v>
      </c>
      <c r="G2232" s="1" t="s">
        <v>880</v>
      </c>
      <c r="H2232" s="1" t="s">
        <v>22</v>
      </c>
      <c r="I2232" s="1" t="s">
        <v>70</v>
      </c>
      <c r="L2232" s="1">
        <v>10.76391041670972</v>
      </c>
    </row>
    <row r="2233" spans="4:12">
      <c r="D2233" s="1" t="s">
        <v>1014</v>
      </c>
      <c r="E2233" s="1" t="s">
        <v>1318</v>
      </c>
      <c r="F2233" s="1" t="s">
        <v>879</v>
      </c>
      <c r="G2233" s="1" t="s">
        <v>880</v>
      </c>
      <c r="H2233" s="1" t="s">
        <v>22</v>
      </c>
      <c r="I2233" s="1" t="s">
        <v>65</v>
      </c>
      <c r="L2233" s="1">
        <v>10.76391041670972</v>
      </c>
    </row>
    <row r="2234" spans="4:12">
      <c r="D2234" s="1" t="s">
        <v>1014</v>
      </c>
      <c r="E2234" s="1" t="s">
        <v>1319</v>
      </c>
      <c r="F2234" s="1" t="s">
        <v>879</v>
      </c>
      <c r="G2234" s="1" t="s">
        <v>880</v>
      </c>
      <c r="H2234" s="1" t="s">
        <v>22</v>
      </c>
      <c r="I2234" s="1" t="s">
        <v>65</v>
      </c>
      <c r="L2234" s="1">
        <v>10.76391041670972</v>
      </c>
    </row>
    <row r="2235" spans="4:12">
      <c r="D2235" s="1" t="s">
        <v>1014</v>
      </c>
      <c r="E2235" s="1" t="s">
        <v>1320</v>
      </c>
      <c r="F2235" s="1" t="s">
        <v>879</v>
      </c>
      <c r="G2235" s="1" t="s">
        <v>880</v>
      </c>
      <c r="H2235" s="1" t="s">
        <v>22</v>
      </c>
      <c r="I2235" s="1" t="s">
        <v>70</v>
      </c>
      <c r="L2235" s="1">
        <v>10.76391041670972</v>
      </c>
    </row>
    <row r="2236" spans="4:12">
      <c r="D2236" s="1" t="s">
        <v>1014</v>
      </c>
      <c r="E2236" s="1" t="s">
        <v>1321</v>
      </c>
      <c r="F2236" s="1" t="s">
        <v>879</v>
      </c>
      <c r="G2236" s="1" t="s">
        <v>880</v>
      </c>
      <c r="H2236" s="1" t="s">
        <v>22</v>
      </c>
      <c r="I2236" s="1" t="s">
        <v>65</v>
      </c>
      <c r="L2236" s="1">
        <v>10.76391041670972</v>
      </c>
    </row>
    <row r="2237" spans="4:12">
      <c r="D2237" s="1" t="s">
        <v>1014</v>
      </c>
      <c r="E2237" s="1" t="s">
        <v>1322</v>
      </c>
      <c r="F2237" s="1" t="s">
        <v>56</v>
      </c>
      <c r="G2237" s="1" t="s">
        <v>57</v>
      </c>
      <c r="H2237" s="1" t="s">
        <v>22</v>
      </c>
      <c r="I2237" s="1" t="s">
        <v>65</v>
      </c>
      <c r="L2237" s="1">
        <v>1.4503773773020921E-4</v>
      </c>
    </row>
    <row r="2238" spans="4:12">
      <c r="D2238" s="1" t="s">
        <v>1014</v>
      </c>
      <c r="E2238" s="1" t="s">
        <v>1323</v>
      </c>
      <c r="F2238" s="1" t="s">
        <v>56</v>
      </c>
      <c r="G2238" s="1" t="s">
        <v>57</v>
      </c>
      <c r="H2238" s="1" t="s">
        <v>22</v>
      </c>
      <c r="I2238" s="1" t="s">
        <v>65</v>
      </c>
      <c r="L2238" s="1">
        <v>1.4503773773020921E-4</v>
      </c>
    </row>
    <row r="2239" spans="4:12">
      <c r="D2239" s="1" t="s">
        <v>1014</v>
      </c>
      <c r="E2239" s="1" t="s">
        <v>1324</v>
      </c>
      <c r="F2239" s="1" t="s">
        <v>56</v>
      </c>
      <c r="G2239" s="1" t="s">
        <v>57</v>
      </c>
      <c r="H2239" s="1" t="s">
        <v>22</v>
      </c>
      <c r="I2239" s="1" t="s">
        <v>65</v>
      </c>
      <c r="L2239" s="1">
        <v>1.4503773773020921E-4</v>
      </c>
    </row>
    <row r="2240" spans="4:12">
      <c r="D2240" s="1" t="s">
        <v>1014</v>
      </c>
      <c r="E2240" s="1" t="s">
        <v>1325</v>
      </c>
      <c r="F2240" s="1" t="s">
        <v>56</v>
      </c>
      <c r="G2240" s="1" t="s">
        <v>57</v>
      </c>
      <c r="H2240" s="1" t="s">
        <v>22</v>
      </c>
      <c r="I2240" s="1" t="s">
        <v>65</v>
      </c>
      <c r="L2240" s="1">
        <v>1.4503773773020921E-4</v>
      </c>
    </row>
    <row r="2241" spans="4:12">
      <c r="D2241" s="1" t="s">
        <v>1014</v>
      </c>
      <c r="E2241" s="1" t="s">
        <v>1326</v>
      </c>
      <c r="F2241" s="1" t="s">
        <v>56</v>
      </c>
      <c r="G2241" s="1" t="s">
        <v>57</v>
      </c>
      <c r="H2241" s="1" t="s">
        <v>22</v>
      </c>
      <c r="I2241" s="1" t="s">
        <v>65</v>
      </c>
      <c r="L2241" s="1">
        <v>1.4503773773020921E-4</v>
      </c>
    </row>
    <row r="2242" spans="4:12">
      <c r="D2242" s="1" t="s">
        <v>1014</v>
      </c>
      <c r="E2242" s="1" t="s">
        <v>1327</v>
      </c>
      <c r="F2242" s="1" t="s">
        <v>1328</v>
      </c>
      <c r="G2242" s="1" t="s">
        <v>1329</v>
      </c>
      <c r="H2242" s="1" t="s">
        <v>22</v>
      </c>
      <c r="I2242" s="1" t="s">
        <v>65</v>
      </c>
      <c r="L2242" s="1">
        <v>0.31699833100000002</v>
      </c>
    </row>
    <row r="2243" spans="4:12">
      <c r="D2243" s="1" t="s">
        <v>1014</v>
      </c>
      <c r="E2243" s="1" t="s">
        <v>1330</v>
      </c>
      <c r="F2243" s="1" t="s">
        <v>1328</v>
      </c>
      <c r="G2243" s="1" t="s">
        <v>1329</v>
      </c>
      <c r="H2243" s="1" t="s">
        <v>22</v>
      </c>
      <c r="I2243" s="1" t="s">
        <v>65</v>
      </c>
      <c r="L2243" s="1">
        <v>0.31699833100000002</v>
      </c>
    </row>
    <row r="2244" spans="4:12">
      <c r="D2244" s="1" t="s">
        <v>1014</v>
      </c>
      <c r="E2244" s="1" t="s">
        <v>1331</v>
      </c>
      <c r="F2244" s="1" t="s">
        <v>176</v>
      </c>
      <c r="G2244" s="1" t="s">
        <v>177</v>
      </c>
      <c r="H2244" s="1" t="s">
        <v>22</v>
      </c>
      <c r="I2244" s="1" t="s">
        <v>70</v>
      </c>
      <c r="J2244" s="1">
        <v>0</v>
      </c>
      <c r="L2244" s="1">
        <v>39.370078740157467</v>
      </c>
    </row>
    <row r="2245" spans="4:12">
      <c r="D2245" s="1" t="s">
        <v>1014</v>
      </c>
      <c r="E2245" s="1" t="s">
        <v>69</v>
      </c>
      <c r="H2245" s="1" t="s">
        <v>25</v>
      </c>
      <c r="I2245" s="1" t="s">
        <v>70</v>
      </c>
    </row>
    <row r="2246" spans="4:12">
      <c r="D2246" s="1" t="s">
        <v>1014</v>
      </c>
      <c r="E2246" s="1" t="s">
        <v>1332</v>
      </c>
      <c r="F2246" s="1" t="s">
        <v>176</v>
      </c>
      <c r="G2246" s="1" t="s">
        <v>177</v>
      </c>
      <c r="H2246" s="1" t="s">
        <v>22</v>
      </c>
      <c r="I2246" s="1" t="s">
        <v>65</v>
      </c>
      <c r="L2246" s="1">
        <v>39.370078740157467</v>
      </c>
    </row>
    <row r="2247" spans="4:12">
      <c r="D2247" s="1" t="s">
        <v>1014</v>
      </c>
      <c r="E2247" s="1" t="s">
        <v>1333</v>
      </c>
      <c r="F2247" s="1" t="s">
        <v>176</v>
      </c>
      <c r="G2247" s="1" t="s">
        <v>177</v>
      </c>
      <c r="H2247" s="1" t="s">
        <v>22</v>
      </c>
      <c r="I2247" s="1" t="s">
        <v>65</v>
      </c>
      <c r="J2247" s="1">
        <v>0</v>
      </c>
      <c r="L2247" s="1">
        <v>39.370078740157467</v>
      </c>
    </row>
    <row r="2248" spans="4:12">
      <c r="D2248" s="1" t="s">
        <v>1014</v>
      </c>
      <c r="E2248" s="1" t="s">
        <v>991</v>
      </c>
      <c r="F2248" s="1" t="s">
        <v>118</v>
      </c>
      <c r="G2248" s="1" t="s">
        <v>119</v>
      </c>
      <c r="H2248" s="1" t="s">
        <v>22</v>
      </c>
      <c r="I2248" s="1" t="s">
        <v>65</v>
      </c>
      <c r="J2248" s="1">
        <v>0</v>
      </c>
      <c r="L2248" s="1">
        <v>2.20462262185</v>
      </c>
    </row>
    <row r="2249" spans="4:12">
      <c r="D2249" s="1" t="s">
        <v>1014</v>
      </c>
      <c r="E2249" s="1" t="s">
        <v>1334</v>
      </c>
      <c r="H2249" s="1" t="s">
        <v>22</v>
      </c>
      <c r="I2249" s="1" t="s">
        <v>65</v>
      </c>
      <c r="L2249" s="1">
        <v>1</v>
      </c>
    </row>
    <row r="2250" spans="4:12">
      <c r="D2250" s="1" t="s">
        <v>1014</v>
      </c>
      <c r="E2250" s="1" t="s">
        <v>1335</v>
      </c>
      <c r="H2250" s="1" t="s">
        <v>22</v>
      </c>
      <c r="I2250" s="1" t="s">
        <v>65</v>
      </c>
      <c r="L2250" s="1">
        <v>1</v>
      </c>
    </row>
    <row r="2251" spans="4:12">
      <c r="D2251" s="1" t="s">
        <v>1014</v>
      </c>
      <c r="E2251" s="1" t="s">
        <v>1336</v>
      </c>
      <c r="F2251" s="1" t="s">
        <v>56</v>
      </c>
      <c r="G2251" s="1" t="s">
        <v>57</v>
      </c>
      <c r="H2251" s="1" t="s">
        <v>22</v>
      </c>
      <c r="I2251" s="1" t="s">
        <v>65</v>
      </c>
      <c r="L2251" s="1">
        <v>1.4503773773020921E-4</v>
      </c>
    </row>
    <row r="2252" spans="4:12">
      <c r="D2252" s="1" t="s">
        <v>1014</v>
      </c>
      <c r="E2252" s="1" t="s">
        <v>1337</v>
      </c>
      <c r="H2252" s="1" t="s">
        <v>22</v>
      </c>
      <c r="I2252" s="1" t="s">
        <v>65</v>
      </c>
      <c r="L2252" s="1">
        <v>1</v>
      </c>
    </row>
    <row r="2253" spans="4:12">
      <c r="D2253" s="1" t="s">
        <v>1014</v>
      </c>
      <c r="E2253" s="1" t="s">
        <v>1338</v>
      </c>
      <c r="H2253" s="1" t="s">
        <v>22</v>
      </c>
      <c r="I2253" s="1" t="s">
        <v>65</v>
      </c>
      <c r="L2253" s="1">
        <v>1</v>
      </c>
    </row>
    <row r="2254" spans="4:12">
      <c r="D2254" s="1" t="s">
        <v>1014</v>
      </c>
      <c r="E2254" s="1" t="s">
        <v>1339</v>
      </c>
      <c r="H2254" s="1" t="s">
        <v>22</v>
      </c>
      <c r="I2254" s="1" t="s">
        <v>65</v>
      </c>
      <c r="L2254" s="1">
        <v>1</v>
      </c>
    </row>
    <row r="2255" spans="4:12">
      <c r="D2255" s="1" t="s">
        <v>1014</v>
      </c>
      <c r="E2255" s="1" t="s">
        <v>1340</v>
      </c>
      <c r="H2255" s="1" t="s">
        <v>22</v>
      </c>
      <c r="I2255" s="1" t="s">
        <v>65</v>
      </c>
      <c r="L2255" s="1">
        <v>1</v>
      </c>
    </row>
    <row r="2256" spans="4:12">
      <c r="D2256" s="1" t="s">
        <v>1014</v>
      </c>
      <c r="E2256" s="1" t="s">
        <v>1341</v>
      </c>
      <c r="H2256" s="1" t="s">
        <v>25</v>
      </c>
      <c r="I2256" s="1" t="s">
        <v>65</v>
      </c>
    </row>
    <row r="2257" spans="4:13">
      <c r="D2257" s="1" t="s">
        <v>1014</v>
      </c>
      <c r="E2257" s="1" t="s">
        <v>1342</v>
      </c>
      <c r="F2257" s="1" t="s">
        <v>41</v>
      </c>
      <c r="G2257" s="1" t="s">
        <v>42</v>
      </c>
      <c r="H2257" s="1" t="s">
        <v>22</v>
      </c>
      <c r="I2257" s="1" t="s">
        <v>65</v>
      </c>
      <c r="L2257" s="1">
        <v>1.8</v>
      </c>
    </row>
    <row r="2258" spans="4:13">
      <c r="D2258" s="1" t="s">
        <v>1014</v>
      </c>
      <c r="E2258" s="1" t="s">
        <v>1343</v>
      </c>
      <c r="F2258" s="1" t="s">
        <v>1344</v>
      </c>
      <c r="G2258" s="1" t="s">
        <v>1345</v>
      </c>
      <c r="H2258" s="1" t="s">
        <v>22</v>
      </c>
      <c r="I2258" s="1" t="s">
        <v>65</v>
      </c>
      <c r="L2258" s="1">
        <v>2.2369362919199998</v>
      </c>
    </row>
    <row r="2259" spans="4:13">
      <c r="D2259" s="1" t="s">
        <v>1014</v>
      </c>
      <c r="E2259" s="1" t="s">
        <v>1346</v>
      </c>
      <c r="F2259" s="1" t="s">
        <v>124</v>
      </c>
      <c r="G2259" s="1" t="s">
        <v>125</v>
      </c>
      <c r="H2259" s="1" t="s">
        <v>22</v>
      </c>
      <c r="I2259" s="1" t="s">
        <v>65</v>
      </c>
      <c r="L2259" s="1">
        <v>35.314666699999997</v>
      </c>
    </row>
    <row r="2260" spans="4:13">
      <c r="D2260" s="1" t="s">
        <v>1014</v>
      </c>
      <c r="E2260" s="1" t="s">
        <v>1347</v>
      </c>
      <c r="F2260" s="1" t="s">
        <v>124</v>
      </c>
      <c r="G2260" s="1" t="s">
        <v>125</v>
      </c>
      <c r="H2260" s="1" t="s">
        <v>22</v>
      </c>
      <c r="I2260" s="1" t="s">
        <v>65</v>
      </c>
      <c r="L2260" s="1">
        <v>35.314666699999997</v>
      </c>
    </row>
    <row r="2261" spans="4:13">
      <c r="D2261" s="1" t="s">
        <v>1014</v>
      </c>
      <c r="E2261" s="1" t="s">
        <v>1348</v>
      </c>
      <c r="F2261" s="1" t="s">
        <v>176</v>
      </c>
      <c r="G2261" s="1" t="s">
        <v>177</v>
      </c>
      <c r="H2261" s="1" t="s">
        <v>22</v>
      </c>
      <c r="I2261" s="1" t="s">
        <v>23</v>
      </c>
      <c r="J2261" s="1">
        <v>3.9370078740157466E-2</v>
      </c>
      <c r="K2261" s="1">
        <v>3.9370078740157468</v>
      </c>
      <c r="L2261" s="1">
        <v>39.370078740157467</v>
      </c>
      <c r="M2261" s="1">
        <v>0.49999999999999983</v>
      </c>
    </row>
    <row r="2262" spans="4:13">
      <c r="D2262" s="1" t="s">
        <v>1014</v>
      </c>
      <c r="E2262" s="1" t="s">
        <v>1349</v>
      </c>
      <c r="H2262" s="1" t="s">
        <v>25</v>
      </c>
      <c r="I2262" s="1" t="s">
        <v>23</v>
      </c>
      <c r="M2262" s="1" t="b">
        <v>1</v>
      </c>
    </row>
    <row r="2263" spans="4:13">
      <c r="D2263" s="1" t="s">
        <v>1014</v>
      </c>
      <c r="E2263" s="1" t="s">
        <v>1350</v>
      </c>
      <c r="H2263" s="1" t="s">
        <v>25</v>
      </c>
      <c r="I2263" s="1" t="s">
        <v>23</v>
      </c>
      <c r="M2263" s="1" t="b">
        <v>0</v>
      </c>
    </row>
    <row r="2264" spans="4:13">
      <c r="D2264" s="1" t="s">
        <v>1014</v>
      </c>
      <c r="E2264" s="1" t="s">
        <v>1351</v>
      </c>
      <c r="H2264" s="1" t="s">
        <v>25</v>
      </c>
      <c r="I2264" s="1" t="s">
        <v>23</v>
      </c>
      <c r="M2264" s="1" t="b">
        <v>0</v>
      </c>
    </row>
    <row r="2265" spans="4:13">
      <c r="D2265" s="1" t="s">
        <v>1014</v>
      </c>
      <c r="E2265" s="1" t="s">
        <v>1352</v>
      </c>
      <c r="H2265" s="1" t="s">
        <v>25</v>
      </c>
      <c r="I2265" s="1" t="s">
        <v>23</v>
      </c>
      <c r="M2265" s="1" t="b">
        <v>0</v>
      </c>
    </row>
    <row r="2266" spans="4:13">
      <c r="D2266" s="1" t="s">
        <v>1014</v>
      </c>
      <c r="E2266" s="1" t="s">
        <v>1353</v>
      </c>
      <c r="H2266" s="1" t="s">
        <v>25</v>
      </c>
      <c r="I2266" s="1" t="s">
        <v>23</v>
      </c>
      <c r="M2266" s="1" t="b">
        <v>0</v>
      </c>
    </row>
    <row r="2267" spans="4:13">
      <c r="D2267" s="1" t="s">
        <v>1014</v>
      </c>
      <c r="E2267" s="1" t="s">
        <v>1354</v>
      </c>
      <c r="H2267" s="1" t="s">
        <v>22</v>
      </c>
      <c r="I2267" s="1" t="s">
        <v>23</v>
      </c>
      <c r="J2267" s="1">
        <v>0.5</v>
      </c>
      <c r="K2267" s="1">
        <v>2</v>
      </c>
      <c r="L2267" s="1">
        <v>1</v>
      </c>
      <c r="M2267" s="1">
        <v>1</v>
      </c>
    </row>
    <row r="2268" spans="4:13">
      <c r="D2268" s="1" t="s">
        <v>1014</v>
      </c>
      <c r="E2268" s="1" t="s">
        <v>1355</v>
      </c>
      <c r="H2268" s="1" t="s">
        <v>22</v>
      </c>
      <c r="I2268" s="1" t="s">
        <v>23</v>
      </c>
      <c r="J2268" s="1">
        <v>0</v>
      </c>
      <c r="K2268" s="1">
        <v>10</v>
      </c>
      <c r="L2268" s="1">
        <v>1</v>
      </c>
      <c r="M2268" s="1">
        <v>1</v>
      </c>
    </row>
    <row r="2269" spans="4:13">
      <c r="D2269" s="1" t="s">
        <v>1014</v>
      </c>
      <c r="E2269" s="1" t="s">
        <v>1356</v>
      </c>
      <c r="H2269" s="1" t="s">
        <v>150</v>
      </c>
      <c r="I2269" s="1" t="s">
        <v>23</v>
      </c>
      <c r="M2269" s="1" t="s">
        <v>1357</v>
      </c>
    </row>
    <row r="2270" spans="4:13">
      <c r="D2270" s="1" t="s">
        <v>1014</v>
      </c>
      <c r="E2270" s="1" t="s">
        <v>1358</v>
      </c>
      <c r="F2270" s="1" t="s">
        <v>176</v>
      </c>
      <c r="G2270" s="1" t="s">
        <v>177</v>
      </c>
      <c r="H2270" s="1" t="s">
        <v>22</v>
      </c>
      <c r="I2270" s="1" t="s">
        <v>23</v>
      </c>
      <c r="J2270" s="1">
        <v>0.39370078740157466</v>
      </c>
      <c r="K2270" s="1">
        <v>393.70078740157464</v>
      </c>
      <c r="L2270" s="1">
        <v>39.370078740157467</v>
      </c>
      <c r="M2270" s="1">
        <v>42.000000000000284</v>
      </c>
    </row>
    <row r="2271" spans="4:13">
      <c r="D2271" s="1" t="s">
        <v>1014</v>
      </c>
      <c r="E2271" s="1" t="s">
        <v>1359</v>
      </c>
      <c r="F2271" s="1" t="s">
        <v>176</v>
      </c>
      <c r="G2271" s="1" t="s">
        <v>177</v>
      </c>
      <c r="H2271" s="1" t="s">
        <v>22</v>
      </c>
      <c r="I2271" s="1" t="s">
        <v>23</v>
      </c>
      <c r="J2271" s="1">
        <v>0</v>
      </c>
      <c r="L2271" s="1">
        <v>39.370078740157467</v>
      </c>
      <c r="M2271" s="1">
        <v>10.119999999999994</v>
      </c>
    </row>
    <row r="2272" spans="4:13">
      <c r="D2272" s="1" t="s">
        <v>1014</v>
      </c>
      <c r="E2272" s="1" t="s">
        <v>1360</v>
      </c>
      <c r="H2272" s="1" t="s">
        <v>150</v>
      </c>
      <c r="I2272" s="1" t="s">
        <v>23</v>
      </c>
      <c r="M2272" s="1" t="s">
        <v>1357</v>
      </c>
    </row>
    <row r="2273" spans="4:13">
      <c r="D2273" s="1" t="s">
        <v>1014</v>
      </c>
      <c r="E2273" s="1" t="s">
        <v>1361</v>
      </c>
      <c r="F2273" s="1" t="s">
        <v>176</v>
      </c>
      <c r="G2273" s="1" t="s">
        <v>177</v>
      </c>
      <c r="H2273" s="1" t="s">
        <v>22</v>
      </c>
      <c r="I2273" s="1" t="s">
        <v>23</v>
      </c>
      <c r="J2273" s="1">
        <v>0</v>
      </c>
      <c r="L2273" s="1">
        <v>39.370078740157467</v>
      </c>
      <c r="M2273" s="1">
        <v>0</v>
      </c>
    </row>
    <row r="2274" spans="4:13">
      <c r="D2274" s="1" t="s">
        <v>1014</v>
      </c>
      <c r="E2274" s="1" t="s">
        <v>1362</v>
      </c>
      <c r="F2274" s="1" t="s">
        <v>176</v>
      </c>
      <c r="G2274" s="1" t="s">
        <v>177</v>
      </c>
      <c r="H2274" s="1" t="s">
        <v>22</v>
      </c>
      <c r="I2274" s="1" t="s">
        <v>23</v>
      </c>
      <c r="J2274" s="1">
        <v>3.9370078740157468</v>
      </c>
      <c r="K2274" s="1">
        <v>393.70078740157464</v>
      </c>
      <c r="L2274" s="1">
        <v>39.370078740157467</v>
      </c>
      <c r="M2274" s="1">
        <v>164.39999999999992</v>
      </c>
    </row>
    <row r="2275" spans="4:13">
      <c r="D2275" s="1" t="s">
        <v>1014</v>
      </c>
      <c r="E2275" s="1" t="s">
        <v>1363</v>
      </c>
      <c r="H2275" s="1" t="s">
        <v>63</v>
      </c>
      <c r="I2275" s="1" t="s">
        <v>23</v>
      </c>
      <c r="M2275" s="1">
        <v>4</v>
      </c>
    </row>
    <row r="2276" spans="4:13">
      <c r="D2276" s="1" t="s">
        <v>1014</v>
      </c>
      <c r="E2276" s="1" t="s">
        <v>1364</v>
      </c>
      <c r="H2276" s="1" t="s">
        <v>63</v>
      </c>
      <c r="I2276" s="1" t="s">
        <v>23</v>
      </c>
      <c r="M2276" s="1">
        <v>1</v>
      </c>
    </row>
    <row r="2277" spans="4:13">
      <c r="D2277" s="1" t="s">
        <v>1014</v>
      </c>
      <c r="E2277" s="1" t="s">
        <v>1365</v>
      </c>
      <c r="H2277" s="1" t="s">
        <v>63</v>
      </c>
      <c r="I2277" s="1" t="s">
        <v>70</v>
      </c>
    </row>
    <row r="2278" spans="4:13">
      <c r="D2278" s="1" t="s">
        <v>1014</v>
      </c>
      <c r="E2278" s="1" t="s">
        <v>1366</v>
      </c>
      <c r="H2278" s="1" t="s">
        <v>63</v>
      </c>
      <c r="I2278" s="1" t="s">
        <v>23</v>
      </c>
      <c r="M2278" s="1">
        <v>400</v>
      </c>
    </row>
    <row r="2279" spans="4:13">
      <c r="D2279" s="1" t="s">
        <v>1014</v>
      </c>
      <c r="E2279" s="1" t="s">
        <v>1367</v>
      </c>
      <c r="H2279" s="1" t="s">
        <v>63</v>
      </c>
      <c r="I2279" s="1" t="s">
        <v>23</v>
      </c>
      <c r="M2279" s="1">
        <v>400</v>
      </c>
    </row>
    <row r="2280" spans="4:13">
      <c r="D2280" s="1" t="s">
        <v>1014</v>
      </c>
      <c r="E2280" s="1" t="s">
        <v>1368</v>
      </c>
      <c r="H2280" s="1" t="s">
        <v>63</v>
      </c>
      <c r="I2280" s="1" t="s">
        <v>23</v>
      </c>
      <c r="M2280" s="1">
        <v>0</v>
      </c>
    </row>
    <row r="2281" spans="4:13">
      <c r="D2281" s="1" t="s">
        <v>1014</v>
      </c>
      <c r="E2281" s="1" t="s">
        <v>1369</v>
      </c>
      <c r="H2281" s="1" t="s">
        <v>63</v>
      </c>
      <c r="I2281" s="1" t="s">
        <v>23</v>
      </c>
      <c r="M2281" s="1">
        <v>0</v>
      </c>
    </row>
    <row r="2282" spans="4:13">
      <c r="D2282" s="1" t="s">
        <v>1014</v>
      </c>
      <c r="E2282" s="1" t="s">
        <v>1370</v>
      </c>
      <c r="H2282" s="1" t="s">
        <v>63</v>
      </c>
      <c r="I2282" s="1" t="s">
        <v>23</v>
      </c>
      <c r="J2282" s="1">
        <v>0</v>
      </c>
      <c r="K2282" s="1">
        <v>1000</v>
      </c>
      <c r="M2282" s="1">
        <v>0</v>
      </c>
    </row>
    <row r="2283" spans="4:13">
      <c r="D2283" s="1" t="s">
        <v>1014</v>
      </c>
      <c r="E2283" s="1" t="s">
        <v>1371</v>
      </c>
      <c r="H2283" s="1" t="s">
        <v>25</v>
      </c>
      <c r="I2283" s="1" t="s">
        <v>23</v>
      </c>
      <c r="M2283" s="1" t="b">
        <v>0</v>
      </c>
    </row>
    <row r="2284" spans="4:13">
      <c r="D2284" s="1" t="s">
        <v>1014</v>
      </c>
      <c r="E2284" s="1" t="s">
        <v>1372</v>
      </c>
      <c r="F2284" s="1" t="s">
        <v>176</v>
      </c>
      <c r="G2284" s="1" t="s">
        <v>177</v>
      </c>
      <c r="H2284" s="1" t="s">
        <v>22</v>
      </c>
      <c r="I2284" s="1" t="s">
        <v>23</v>
      </c>
      <c r="J2284" s="1">
        <v>3.9370078740157471E-3</v>
      </c>
      <c r="K2284" s="1">
        <v>3.1496062992125973</v>
      </c>
      <c r="L2284" s="1">
        <v>39.370078740157467</v>
      </c>
      <c r="M2284" s="1">
        <v>0.31496062992125973</v>
      </c>
    </row>
    <row r="2285" spans="4:13">
      <c r="D2285" s="1" t="s">
        <v>1014</v>
      </c>
      <c r="E2285" s="1" t="s">
        <v>1373</v>
      </c>
      <c r="F2285" s="1" t="s">
        <v>879</v>
      </c>
      <c r="G2285" s="1" t="s">
        <v>880</v>
      </c>
      <c r="H2285" s="1" t="s">
        <v>22</v>
      </c>
      <c r="I2285" s="1" t="s">
        <v>23</v>
      </c>
      <c r="L2285" s="1">
        <v>10.76391041670972</v>
      </c>
      <c r="M2285" s="1">
        <v>7.7823072312811284E-2</v>
      </c>
    </row>
    <row r="2286" spans="4:13">
      <c r="D2286" s="1" t="s">
        <v>1014</v>
      </c>
      <c r="E2286" s="1" t="s">
        <v>1374</v>
      </c>
      <c r="F2286" s="1" t="s">
        <v>879</v>
      </c>
      <c r="G2286" s="1" t="s">
        <v>880</v>
      </c>
      <c r="H2286" s="1" t="s">
        <v>22</v>
      </c>
      <c r="I2286" s="1" t="s">
        <v>23</v>
      </c>
      <c r="L2286" s="1">
        <v>10.76391041670972</v>
      </c>
      <c r="M2286" s="1">
        <v>1.4208361750056831E-3</v>
      </c>
    </row>
    <row r="2287" spans="4:13">
      <c r="D2287" s="1" t="s">
        <v>1014</v>
      </c>
      <c r="E2287" s="1" t="s">
        <v>1375</v>
      </c>
      <c r="H2287" s="1" t="s">
        <v>22</v>
      </c>
      <c r="I2287" s="1" t="s">
        <v>23</v>
      </c>
      <c r="J2287" s="1">
        <v>0</v>
      </c>
      <c r="L2287" s="1">
        <v>1</v>
      </c>
      <c r="M2287" s="1">
        <v>0.45</v>
      </c>
    </row>
    <row r="2288" spans="4:13">
      <c r="D2288" s="1" t="s">
        <v>1014</v>
      </c>
      <c r="E2288" s="1" t="s">
        <v>1376</v>
      </c>
      <c r="F2288" s="1" t="s">
        <v>176</v>
      </c>
      <c r="G2288" s="1" t="s">
        <v>177</v>
      </c>
      <c r="H2288" s="1" t="s">
        <v>22</v>
      </c>
      <c r="I2288" s="1" t="s">
        <v>23</v>
      </c>
      <c r="L2288" s="1">
        <v>39.370078740157467</v>
      </c>
      <c r="M2288" s="1">
        <v>3.251968503937007</v>
      </c>
    </row>
    <row r="2289" spans="4:13">
      <c r="D2289" s="1" t="s">
        <v>1014</v>
      </c>
      <c r="E2289" s="1" t="s">
        <v>1377</v>
      </c>
      <c r="F2289" s="1" t="s">
        <v>176</v>
      </c>
      <c r="G2289" s="1" t="s">
        <v>177</v>
      </c>
      <c r="H2289" s="1" t="s">
        <v>22</v>
      </c>
      <c r="I2289" s="1" t="s">
        <v>23</v>
      </c>
      <c r="L2289" s="1">
        <v>39.370078740157467</v>
      </c>
      <c r="M2289" s="1">
        <v>0.48425196850393687</v>
      </c>
    </row>
    <row r="2290" spans="4:13">
      <c r="D2290" s="1" t="s">
        <v>1014</v>
      </c>
      <c r="E2290" s="1" t="s">
        <v>1378</v>
      </c>
      <c r="F2290" s="1" t="s">
        <v>176</v>
      </c>
      <c r="G2290" s="1" t="s">
        <v>177</v>
      </c>
      <c r="H2290" s="1" t="s">
        <v>22</v>
      </c>
      <c r="I2290" s="1" t="s">
        <v>23</v>
      </c>
      <c r="L2290" s="1">
        <v>39.370078740157467</v>
      </c>
      <c r="M2290" s="1">
        <v>6.2519685039370057</v>
      </c>
    </row>
    <row r="2291" spans="4:13">
      <c r="D2291" s="1" t="s">
        <v>1014</v>
      </c>
      <c r="E2291" s="1" t="s">
        <v>1379</v>
      </c>
      <c r="F2291" s="1" t="s">
        <v>176</v>
      </c>
      <c r="G2291" s="1" t="s">
        <v>177</v>
      </c>
      <c r="H2291" s="1" t="s">
        <v>22</v>
      </c>
      <c r="I2291" s="1" t="s">
        <v>23</v>
      </c>
      <c r="L2291" s="1">
        <v>39.370078740157467</v>
      </c>
      <c r="M2291" s="1">
        <v>4.9999999999999982</v>
      </c>
    </row>
    <row r="2292" spans="4:13">
      <c r="D2292" s="1" t="s">
        <v>1014</v>
      </c>
      <c r="E2292" s="1" t="s">
        <v>1380</v>
      </c>
      <c r="F2292" s="1" t="s">
        <v>1044</v>
      </c>
      <c r="G2292" s="1" t="s">
        <v>1045</v>
      </c>
      <c r="H2292" s="1" t="s">
        <v>22</v>
      </c>
      <c r="I2292" s="1" t="s">
        <v>23</v>
      </c>
      <c r="L2292" s="1">
        <v>57.29577951308238</v>
      </c>
      <c r="M2292" s="1">
        <v>30.000070153049933</v>
      </c>
    </row>
    <row r="2293" spans="4:13">
      <c r="D2293" s="1" t="s">
        <v>1014</v>
      </c>
      <c r="E2293" s="1" t="s">
        <v>1381</v>
      </c>
      <c r="F2293" s="1" t="s">
        <v>176</v>
      </c>
      <c r="G2293" s="1" t="s">
        <v>177</v>
      </c>
      <c r="H2293" s="1" t="s">
        <v>22</v>
      </c>
      <c r="I2293" s="1" t="s">
        <v>23</v>
      </c>
      <c r="L2293" s="1">
        <v>39.370078740157467</v>
      </c>
      <c r="M2293" s="1">
        <v>2.8110236220472435</v>
      </c>
    </row>
    <row r="2294" spans="4:13">
      <c r="D2294" s="1" t="s">
        <v>1014</v>
      </c>
      <c r="E2294" s="1" t="s">
        <v>1382</v>
      </c>
      <c r="H2294" s="1" t="s">
        <v>22</v>
      </c>
      <c r="I2294" s="1" t="s">
        <v>23</v>
      </c>
      <c r="L2294" s="1">
        <v>1</v>
      </c>
      <c r="M2294" s="1">
        <v>16.425000000000001</v>
      </c>
    </row>
    <row r="2295" spans="4:13">
      <c r="D2295" s="1" t="s">
        <v>1014</v>
      </c>
      <c r="E2295" s="1" t="s">
        <v>1383</v>
      </c>
      <c r="H2295" s="1" t="s">
        <v>22</v>
      </c>
      <c r="I2295" s="1" t="s">
        <v>23</v>
      </c>
      <c r="L2295" s="1">
        <v>1</v>
      </c>
      <c r="M2295" s="1">
        <v>-0.51</v>
      </c>
    </row>
    <row r="2296" spans="4:13">
      <c r="D2296" s="1" t="s">
        <v>1014</v>
      </c>
      <c r="E2296" s="1" t="s">
        <v>1384</v>
      </c>
      <c r="F2296" s="1" t="s">
        <v>176</v>
      </c>
      <c r="G2296" s="1" t="s">
        <v>177</v>
      </c>
      <c r="H2296" s="1" t="s">
        <v>22</v>
      </c>
      <c r="I2296" s="1" t="s">
        <v>23</v>
      </c>
      <c r="L2296" s="1">
        <v>39.370078740157467</v>
      </c>
      <c r="M2296" s="1">
        <v>17.204724409448811</v>
      </c>
    </row>
    <row r="2297" spans="4:13">
      <c r="D2297" s="1" t="s">
        <v>1014</v>
      </c>
      <c r="E2297" s="1" t="s">
        <v>1385</v>
      </c>
      <c r="F2297" s="1" t="s">
        <v>176</v>
      </c>
      <c r="G2297" s="1" t="s">
        <v>177</v>
      </c>
      <c r="H2297" s="1" t="s">
        <v>22</v>
      </c>
      <c r="I2297" s="1" t="s">
        <v>23</v>
      </c>
      <c r="L2297" s="1">
        <v>39.370078740157467</v>
      </c>
      <c r="M2297" s="1">
        <v>13.228346456692909</v>
      </c>
    </row>
    <row r="2298" spans="4:13">
      <c r="D2298" s="1" t="s">
        <v>1014</v>
      </c>
      <c r="E2298" s="1" t="s">
        <v>1386</v>
      </c>
      <c r="F2298" s="1" t="s">
        <v>176</v>
      </c>
      <c r="G2298" s="1" t="s">
        <v>177</v>
      </c>
      <c r="H2298" s="1" t="s">
        <v>22</v>
      </c>
      <c r="I2298" s="1" t="s">
        <v>23</v>
      </c>
      <c r="J2298" s="1">
        <v>3.9370078740157466E-2</v>
      </c>
      <c r="L2298" s="1">
        <v>39.370078740157467</v>
      </c>
      <c r="M2298" s="1">
        <v>25.078740157480308</v>
      </c>
    </row>
    <row r="2299" spans="4:13">
      <c r="D2299" s="1" t="s">
        <v>1014</v>
      </c>
      <c r="E2299" s="1" t="s">
        <v>1387</v>
      </c>
      <c r="F2299" s="1" t="s">
        <v>176</v>
      </c>
      <c r="G2299" s="1" t="s">
        <v>177</v>
      </c>
      <c r="H2299" s="1" t="s">
        <v>22</v>
      </c>
      <c r="I2299" s="1" t="s">
        <v>23</v>
      </c>
      <c r="J2299" s="1">
        <v>0</v>
      </c>
      <c r="L2299" s="1">
        <v>39.370078740157467</v>
      </c>
      <c r="M2299" s="1">
        <v>5.3937007874015732</v>
      </c>
    </row>
    <row r="2300" spans="4:13">
      <c r="D2300" s="1" t="s">
        <v>1014</v>
      </c>
      <c r="E2300" s="1" t="s">
        <v>1388</v>
      </c>
      <c r="H2300" s="1" t="s">
        <v>25</v>
      </c>
      <c r="I2300" s="1" t="s">
        <v>23</v>
      </c>
      <c r="M2300" s="1" t="b">
        <v>1</v>
      </c>
    </row>
    <row r="2301" spans="4:13">
      <c r="D2301" s="1" t="s">
        <v>1014</v>
      </c>
      <c r="E2301" s="1" t="s">
        <v>1389</v>
      </c>
      <c r="H2301" s="1" t="s">
        <v>25</v>
      </c>
      <c r="I2301" s="1" t="s">
        <v>23</v>
      </c>
      <c r="M2301" s="1" t="b">
        <v>1</v>
      </c>
    </row>
    <row r="2302" spans="4:13">
      <c r="D2302" s="1" t="s">
        <v>1014</v>
      </c>
      <c r="E2302" s="1" t="s">
        <v>1390</v>
      </c>
      <c r="F2302" s="1" t="s">
        <v>176</v>
      </c>
      <c r="G2302" s="1" t="s">
        <v>177</v>
      </c>
      <c r="H2302" s="1" t="s">
        <v>22</v>
      </c>
      <c r="I2302" s="1" t="s">
        <v>23</v>
      </c>
      <c r="L2302" s="1">
        <v>39.370078740157467</v>
      </c>
      <c r="M2302" s="1">
        <v>8.4645669291338557</v>
      </c>
    </row>
    <row r="2303" spans="4:13">
      <c r="D2303" s="1" t="s">
        <v>1014</v>
      </c>
      <c r="E2303" s="1" t="s">
        <v>1391</v>
      </c>
      <c r="F2303" s="1" t="s">
        <v>176</v>
      </c>
      <c r="G2303" s="1" t="s">
        <v>177</v>
      </c>
      <c r="H2303" s="1" t="s">
        <v>22</v>
      </c>
      <c r="I2303" s="1" t="s">
        <v>23</v>
      </c>
      <c r="L2303" s="1">
        <v>39.370078740157467</v>
      </c>
      <c r="M2303" s="1">
        <v>4.094488188976376</v>
      </c>
    </row>
    <row r="2304" spans="4:13">
      <c r="D2304" s="1" t="s">
        <v>1014</v>
      </c>
      <c r="E2304" s="1" t="s">
        <v>1392</v>
      </c>
      <c r="F2304" s="1" t="s">
        <v>176</v>
      </c>
      <c r="G2304" s="1" t="s">
        <v>177</v>
      </c>
      <c r="H2304" s="1" t="s">
        <v>22</v>
      </c>
      <c r="I2304" s="1" t="s">
        <v>23</v>
      </c>
      <c r="L2304" s="1">
        <v>39.370078740157467</v>
      </c>
      <c r="M2304" s="1">
        <v>2.2499999999999991</v>
      </c>
    </row>
    <row r="2305" spans="4:13">
      <c r="D2305" s="1" t="s">
        <v>1014</v>
      </c>
      <c r="E2305" s="1" t="s">
        <v>1393</v>
      </c>
      <c r="H2305" s="1" t="s">
        <v>63</v>
      </c>
      <c r="I2305" s="1" t="s">
        <v>23</v>
      </c>
      <c r="M2305" s="1">
        <v>1000</v>
      </c>
    </row>
    <row r="2306" spans="4:13">
      <c r="D2306" s="1" t="s">
        <v>1014</v>
      </c>
      <c r="E2306" s="1" t="s">
        <v>1394</v>
      </c>
      <c r="H2306" s="1" t="s">
        <v>181</v>
      </c>
      <c r="I2306" s="1" t="s">
        <v>23</v>
      </c>
      <c r="J2306" s="1">
        <v>1</v>
      </c>
      <c r="K2306" s="1">
        <v>2</v>
      </c>
      <c r="M2306" s="1" t="s">
        <v>1395</v>
      </c>
    </row>
    <row r="2307" spans="4:13">
      <c r="D2307" s="1" t="s">
        <v>1014</v>
      </c>
      <c r="E2307" s="1" t="s">
        <v>1396</v>
      </c>
      <c r="H2307" s="1" t="s">
        <v>22</v>
      </c>
      <c r="I2307" s="1" t="s">
        <v>23</v>
      </c>
      <c r="J2307" s="1">
        <v>0</v>
      </c>
      <c r="K2307" s="1">
        <v>2</v>
      </c>
      <c r="L2307" s="1">
        <v>1</v>
      </c>
      <c r="M2307" s="1">
        <v>0.7</v>
      </c>
    </row>
    <row r="2308" spans="4:13">
      <c r="D2308" s="1" t="s">
        <v>1014</v>
      </c>
      <c r="E2308" s="1" t="s">
        <v>1397</v>
      </c>
      <c r="H2308" s="1" t="s">
        <v>22</v>
      </c>
      <c r="I2308" s="1" t="s">
        <v>23</v>
      </c>
      <c r="J2308" s="1">
        <v>0.5</v>
      </c>
      <c r="K2308" s="1">
        <v>2</v>
      </c>
      <c r="L2308" s="1">
        <v>1</v>
      </c>
      <c r="M2308" s="1">
        <v>1</v>
      </c>
    </row>
    <row r="2309" spans="4:13">
      <c r="D2309" s="1" t="s">
        <v>1398</v>
      </c>
      <c r="H2309" s="1" t="s">
        <v>25</v>
      </c>
      <c r="I2309" s="1" t="s">
        <v>23</v>
      </c>
      <c r="M2309" s="1" t="b">
        <v>0</v>
      </c>
    </row>
    <row r="2310" spans="4:13">
      <c r="D2310" s="1" t="s">
        <v>1399</v>
      </c>
      <c r="H2310" s="1" t="s">
        <v>22</v>
      </c>
      <c r="I2310" s="1" t="s">
        <v>23</v>
      </c>
      <c r="L2310" s="1">
        <v>1</v>
      </c>
      <c r="M2310" s="1">
        <v>1</v>
      </c>
    </row>
    <row r="2311" spans="4:13">
      <c r="D2311" s="1" t="s">
        <v>1400</v>
      </c>
      <c r="E2311" s="1" t="s">
        <v>1401</v>
      </c>
      <c r="H2311" s="1" t="s">
        <v>181</v>
      </c>
      <c r="I2311" s="1" t="s">
        <v>23</v>
      </c>
      <c r="J2311" s="1">
        <v>1</v>
      </c>
      <c r="K2311" s="1">
        <v>2</v>
      </c>
      <c r="M2311" s="1" t="s">
        <v>1402</v>
      </c>
    </row>
    <row r="2312" spans="4:13">
      <c r="D2312" s="1" t="s">
        <v>1400</v>
      </c>
      <c r="E2312" s="1" t="s">
        <v>1017</v>
      </c>
      <c r="F2312" s="1" t="s">
        <v>41</v>
      </c>
      <c r="G2312" s="1" t="s">
        <v>42</v>
      </c>
      <c r="H2312" s="1" t="s">
        <v>22</v>
      </c>
      <c r="I2312" s="1" t="s">
        <v>23</v>
      </c>
      <c r="J2312" s="1">
        <v>1.8000000000000002E-2</v>
      </c>
      <c r="K2312" s="1">
        <v>27</v>
      </c>
      <c r="L2312" s="1">
        <v>1.8</v>
      </c>
      <c r="M2312" s="1">
        <v>0.9</v>
      </c>
    </row>
    <row r="2313" spans="4:13">
      <c r="D2313" s="1" t="s">
        <v>1400</v>
      </c>
      <c r="E2313" s="1" t="s">
        <v>1018</v>
      </c>
      <c r="H2313" s="1" t="s">
        <v>25</v>
      </c>
      <c r="I2313" s="1" t="s">
        <v>23</v>
      </c>
      <c r="M2313" s="1" t="b">
        <v>0</v>
      </c>
    </row>
    <row r="2314" spans="4:13">
      <c r="D2314" s="1" t="s">
        <v>1400</v>
      </c>
      <c r="E2314" s="1" t="s">
        <v>1019</v>
      </c>
      <c r="F2314" s="1" t="s">
        <v>41</v>
      </c>
      <c r="G2314" s="1" t="s">
        <v>42</v>
      </c>
      <c r="H2314" s="1" t="s">
        <v>22</v>
      </c>
      <c r="I2314" s="1" t="s">
        <v>23</v>
      </c>
      <c r="L2314" s="1">
        <v>1.8</v>
      </c>
      <c r="M2314" s="1">
        <v>0.9</v>
      </c>
    </row>
    <row r="2315" spans="4:13">
      <c r="D2315" s="1" t="s">
        <v>1400</v>
      </c>
      <c r="E2315" s="1" t="s">
        <v>1022</v>
      </c>
      <c r="F2315" s="1" t="s">
        <v>143</v>
      </c>
      <c r="G2315" s="1" t="s">
        <v>144</v>
      </c>
      <c r="H2315" s="1" t="s">
        <v>22</v>
      </c>
      <c r="I2315" s="1" t="s">
        <v>23</v>
      </c>
      <c r="J2315" s="1">
        <v>0</v>
      </c>
      <c r="K2315" s="1">
        <v>9.9937434836636016E-3</v>
      </c>
      <c r="L2315" s="1">
        <v>5.6782633429906824</v>
      </c>
      <c r="M2315" s="1">
        <v>9.993743483663602E-5</v>
      </c>
    </row>
    <row r="2316" spans="4:13">
      <c r="D2316" s="1" t="s">
        <v>1400</v>
      </c>
      <c r="E2316" s="1" t="s">
        <v>163</v>
      </c>
      <c r="H2316" s="1" t="s">
        <v>22</v>
      </c>
      <c r="I2316" s="1" t="s">
        <v>23</v>
      </c>
      <c r="J2316" s="1">
        <v>0</v>
      </c>
      <c r="K2316" s="1">
        <v>1</v>
      </c>
      <c r="L2316" s="1">
        <v>0.1</v>
      </c>
      <c r="M2316" s="1">
        <v>0.2</v>
      </c>
    </row>
    <row r="2317" spans="4:13">
      <c r="D2317" s="1" t="s">
        <v>1400</v>
      </c>
      <c r="E2317" s="1" t="s">
        <v>1403</v>
      </c>
      <c r="H2317" s="1" t="s">
        <v>22</v>
      </c>
      <c r="I2317" s="1" t="s">
        <v>23</v>
      </c>
      <c r="J2317" s="1">
        <v>0.5</v>
      </c>
      <c r="K2317" s="1">
        <v>2</v>
      </c>
      <c r="L2317" s="1">
        <v>1</v>
      </c>
      <c r="M2317" s="1">
        <v>1</v>
      </c>
    </row>
    <row r="2318" spans="4:13">
      <c r="D2318" s="1" t="s">
        <v>1400</v>
      </c>
      <c r="E2318" s="1" t="s">
        <v>1404</v>
      </c>
      <c r="H2318" s="1" t="s">
        <v>25</v>
      </c>
      <c r="I2318" s="1" t="s">
        <v>23</v>
      </c>
      <c r="M2318" s="1" t="b">
        <v>1</v>
      </c>
    </row>
    <row r="2319" spans="4:13">
      <c r="D2319" s="1" t="s">
        <v>1400</v>
      </c>
      <c r="E2319" s="1" t="s">
        <v>1405</v>
      </c>
      <c r="H2319" s="1" t="s">
        <v>22</v>
      </c>
      <c r="I2319" s="1" t="s">
        <v>23</v>
      </c>
      <c r="J2319" s="1">
        <v>0.5</v>
      </c>
      <c r="K2319" s="1">
        <v>2</v>
      </c>
      <c r="L2319" s="1">
        <v>1</v>
      </c>
      <c r="M2319" s="1">
        <v>1</v>
      </c>
    </row>
    <row r="2320" spans="4:13">
      <c r="D2320" s="1" t="s">
        <v>1400</v>
      </c>
      <c r="E2320" s="1" t="s">
        <v>1406</v>
      </c>
      <c r="H2320" s="1" t="s">
        <v>25</v>
      </c>
      <c r="I2320" s="1" t="s">
        <v>23</v>
      </c>
      <c r="M2320" s="1" t="b">
        <v>1</v>
      </c>
    </row>
    <row r="2321" spans="4:13">
      <c r="D2321" s="1" t="s">
        <v>1400</v>
      </c>
      <c r="E2321" s="1" t="s">
        <v>1030</v>
      </c>
      <c r="H2321" s="1" t="s">
        <v>22</v>
      </c>
      <c r="I2321" s="1" t="s">
        <v>23</v>
      </c>
      <c r="J2321" s="1">
        <v>0.5</v>
      </c>
      <c r="K2321" s="1">
        <v>2</v>
      </c>
      <c r="L2321" s="1">
        <v>1</v>
      </c>
      <c r="M2321" s="1">
        <v>1</v>
      </c>
    </row>
    <row r="2322" spans="4:13">
      <c r="D2322" s="1" t="s">
        <v>1400</v>
      </c>
      <c r="E2322" s="1" t="s">
        <v>1031</v>
      </c>
      <c r="H2322" s="1" t="s">
        <v>25</v>
      </c>
      <c r="I2322" s="1" t="s">
        <v>23</v>
      </c>
      <c r="M2322" s="1" t="b">
        <v>1</v>
      </c>
    </row>
    <row r="2323" spans="4:13">
      <c r="D2323" s="1" t="s">
        <v>1400</v>
      </c>
      <c r="E2323" s="1" t="s">
        <v>1407</v>
      </c>
      <c r="H2323" s="1" t="s">
        <v>22</v>
      </c>
      <c r="I2323" s="1" t="s">
        <v>23</v>
      </c>
      <c r="J2323" s="1">
        <v>0.5</v>
      </c>
      <c r="K2323" s="1">
        <v>2</v>
      </c>
      <c r="L2323" s="1">
        <v>1</v>
      </c>
      <c r="M2323" s="1">
        <v>1</v>
      </c>
    </row>
    <row r="2324" spans="4:13">
      <c r="D2324" s="1" t="s">
        <v>1400</v>
      </c>
      <c r="E2324" s="1" t="s">
        <v>1408</v>
      </c>
      <c r="H2324" s="1" t="s">
        <v>25</v>
      </c>
      <c r="I2324" s="1" t="s">
        <v>23</v>
      </c>
      <c r="M2324" s="1" t="b">
        <v>1</v>
      </c>
    </row>
    <row r="2325" spans="4:13">
      <c r="D2325" s="1" t="s">
        <v>1400</v>
      </c>
      <c r="E2325" s="1" t="s">
        <v>1036</v>
      </c>
      <c r="H2325" s="1" t="s">
        <v>22</v>
      </c>
      <c r="I2325" s="1" t="s">
        <v>23</v>
      </c>
      <c r="J2325" s="1">
        <v>0.5</v>
      </c>
      <c r="K2325" s="1">
        <v>2</v>
      </c>
      <c r="L2325" s="1">
        <v>1</v>
      </c>
      <c r="M2325" s="1">
        <v>1</v>
      </c>
    </row>
    <row r="2326" spans="4:13">
      <c r="D2326" s="1" t="s">
        <v>1400</v>
      </c>
      <c r="E2326" s="1" t="s">
        <v>1037</v>
      </c>
      <c r="H2326" s="1" t="s">
        <v>25</v>
      </c>
      <c r="I2326" s="1" t="s">
        <v>23</v>
      </c>
      <c r="M2326" s="1" t="b">
        <v>1</v>
      </c>
    </row>
    <row r="2327" spans="4:13">
      <c r="D2327" s="1" t="s">
        <v>1400</v>
      </c>
      <c r="E2327" s="1" t="s">
        <v>1409</v>
      </c>
      <c r="H2327" s="1" t="s">
        <v>22</v>
      </c>
      <c r="I2327" s="1" t="s">
        <v>23</v>
      </c>
      <c r="J2327" s="1">
        <v>0.5</v>
      </c>
      <c r="K2327" s="1">
        <v>2</v>
      </c>
      <c r="L2327" s="1">
        <v>1</v>
      </c>
      <c r="M2327" s="1">
        <v>1</v>
      </c>
    </row>
    <row r="2328" spans="4:13">
      <c r="D2328" s="1" t="s">
        <v>1400</v>
      </c>
      <c r="E2328" s="1" t="s">
        <v>1410</v>
      </c>
      <c r="H2328" s="1" t="s">
        <v>25</v>
      </c>
      <c r="I2328" s="1" t="s">
        <v>23</v>
      </c>
      <c r="M2328" s="1" t="b">
        <v>1</v>
      </c>
    </row>
    <row r="2329" spans="4:13">
      <c r="D2329" s="1" t="s">
        <v>1400</v>
      </c>
      <c r="E2329" s="1" t="s">
        <v>1038</v>
      </c>
      <c r="H2329" s="1" t="s">
        <v>22</v>
      </c>
      <c r="I2329" s="1" t="s">
        <v>23</v>
      </c>
      <c r="J2329" s="1">
        <v>0.5</v>
      </c>
      <c r="K2329" s="1">
        <v>2</v>
      </c>
      <c r="L2329" s="1">
        <v>1</v>
      </c>
      <c r="M2329" s="1">
        <v>1</v>
      </c>
    </row>
    <row r="2330" spans="4:13">
      <c r="D2330" s="1" t="s">
        <v>1400</v>
      </c>
      <c r="E2330" s="1" t="s">
        <v>1411</v>
      </c>
      <c r="H2330" s="1" t="s">
        <v>22</v>
      </c>
      <c r="I2330" s="1" t="s">
        <v>23</v>
      </c>
      <c r="J2330" s="1">
        <v>0.5</v>
      </c>
      <c r="K2330" s="1">
        <v>2</v>
      </c>
      <c r="L2330" s="1">
        <v>1</v>
      </c>
      <c r="M2330" s="1">
        <v>1</v>
      </c>
    </row>
    <row r="2331" spans="4:13">
      <c r="D2331" s="1" t="s">
        <v>1400</v>
      </c>
      <c r="E2331" s="1" t="s">
        <v>1412</v>
      </c>
      <c r="H2331" s="1" t="s">
        <v>25</v>
      </c>
      <c r="I2331" s="1" t="s">
        <v>23</v>
      </c>
      <c r="M2331" s="1" t="b">
        <v>1</v>
      </c>
    </row>
    <row r="2332" spans="4:13">
      <c r="D2332" s="1" t="s">
        <v>1400</v>
      </c>
      <c r="E2332" s="1" t="s">
        <v>1413</v>
      </c>
      <c r="H2332" s="1" t="s">
        <v>22</v>
      </c>
      <c r="I2332" s="1" t="s">
        <v>29</v>
      </c>
      <c r="J2332" s="1">
        <v>0.1</v>
      </c>
      <c r="K2332" s="1">
        <v>10</v>
      </c>
      <c r="L2332" s="1">
        <v>5.05</v>
      </c>
    </row>
    <row r="2333" spans="4:13">
      <c r="D2333" s="1" t="s">
        <v>1400</v>
      </c>
      <c r="E2333" s="1" t="s">
        <v>1414</v>
      </c>
      <c r="H2333" s="1" t="s">
        <v>22</v>
      </c>
      <c r="I2333" s="1" t="s">
        <v>29</v>
      </c>
      <c r="J2333" s="1">
        <v>0.1</v>
      </c>
      <c r="K2333" s="1">
        <v>10</v>
      </c>
      <c r="L2333" s="1">
        <v>5.05</v>
      </c>
    </row>
    <row r="2334" spans="4:13">
      <c r="D2334" s="1" t="s">
        <v>1400</v>
      </c>
      <c r="E2334" s="1" t="s">
        <v>1049</v>
      </c>
      <c r="H2334" s="1" t="s">
        <v>22</v>
      </c>
      <c r="I2334" s="1" t="s">
        <v>29</v>
      </c>
      <c r="J2334" s="1">
        <v>0.1</v>
      </c>
      <c r="K2334" s="1">
        <v>10</v>
      </c>
      <c r="L2334" s="1">
        <v>5.05</v>
      </c>
    </row>
    <row r="2335" spans="4:13">
      <c r="D2335" s="1" t="s">
        <v>1400</v>
      </c>
      <c r="E2335" s="1" t="s">
        <v>1050</v>
      </c>
      <c r="H2335" s="1" t="s">
        <v>22</v>
      </c>
      <c r="I2335" s="1" t="s">
        <v>29</v>
      </c>
      <c r="J2335" s="1">
        <v>0.1</v>
      </c>
      <c r="K2335" s="1">
        <v>10</v>
      </c>
      <c r="L2335" s="1">
        <v>5.05</v>
      </c>
    </row>
    <row r="2336" spans="4:13">
      <c r="D2336" s="1" t="s">
        <v>1400</v>
      </c>
      <c r="E2336" s="1" t="s">
        <v>1052</v>
      </c>
      <c r="H2336" s="1" t="s">
        <v>22</v>
      </c>
      <c r="I2336" s="1" t="s">
        <v>29</v>
      </c>
      <c r="J2336" s="1">
        <v>0.1</v>
      </c>
      <c r="K2336" s="1">
        <v>10</v>
      </c>
      <c r="L2336" s="1">
        <v>5.05</v>
      </c>
    </row>
    <row r="2337" spans="4:13">
      <c r="D2337" s="1" t="s">
        <v>1400</v>
      </c>
      <c r="E2337" s="1" t="s">
        <v>1415</v>
      </c>
      <c r="H2337" s="1" t="s">
        <v>22</v>
      </c>
      <c r="I2337" s="1" t="s">
        <v>29</v>
      </c>
      <c r="J2337" s="1">
        <v>0.1</v>
      </c>
      <c r="K2337" s="1">
        <v>10</v>
      </c>
      <c r="L2337" s="1">
        <v>5.05</v>
      </c>
    </row>
    <row r="2338" spans="4:13">
      <c r="D2338" s="1" t="s">
        <v>1400</v>
      </c>
      <c r="E2338" s="1" t="s">
        <v>1416</v>
      </c>
      <c r="H2338" s="1" t="s">
        <v>22</v>
      </c>
      <c r="I2338" s="1" t="s">
        <v>29</v>
      </c>
      <c r="J2338" s="1">
        <v>0.1</v>
      </c>
      <c r="K2338" s="1">
        <v>10</v>
      </c>
      <c r="L2338" s="1">
        <v>5.05</v>
      </c>
    </row>
    <row r="2339" spans="4:13">
      <c r="D2339" s="1" t="s">
        <v>1400</v>
      </c>
      <c r="E2339" s="1" t="s">
        <v>1054</v>
      </c>
      <c r="F2339" s="1" t="s">
        <v>147</v>
      </c>
      <c r="G2339" s="1" t="s">
        <v>148</v>
      </c>
      <c r="H2339" s="1" t="s">
        <v>22</v>
      </c>
      <c r="I2339" s="1" t="s">
        <v>23</v>
      </c>
      <c r="J2339" s="1">
        <v>0</v>
      </c>
      <c r="K2339" s="1">
        <v>51182124.526996501</v>
      </c>
      <c r="L2339" s="1">
        <v>3.4121416351331</v>
      </c>
      <c r="M2339" s="1">
        <v>12000000.003700001</v>
      </c>
    </row>
    <row r="2340" spans="4:13">
      <c r="D2340" s="1" t="s">
        <v>1400</v>
      </c>
      <c r="E2340" s="1" t="s">
        <v>1055</v>
      </c>
      <c r="H2340" s="1" t="s">
        <v>25</v>
      </c>
      <c r="I2340" s="1" t="s">
        <v>23</v>
      </c>
      <c r="M2340" s="1" t="b">
        <v>1</v>
      </c>
    </row>
    <row r="2341" spans="4:13">
      <c r="D2341" s="1" t="s">
        <v>1400</v>
      </c>
      <c r="E2341" s="1" t="s">
        <v>1417</v>
      </c>
      <c r="H2341" s="1" t="s">
        <v>22</v>
      </c>
      <c r="I2341" s="1" t="s">
        <v>29</v>
      </c>
      <c r="J2341" s="1">
        <v>0</v>
      </c>
      <c r="K2341" s="1">
        <v>1</v>
      </c>
      <c r="L2341" s="1">
        <v>0.1</v>
      </c>
    </row>
    <row r="2342" spans="4:13">
      <c r="D2342" s="1" t="s">
        <v>1400</v>
      </c>
      <c r="E2342" s="1" t="s">
        <v>1418</v>
      </c>
      <c r="F2342" s="1" t="s">
        <v>41</v>
      </c>
      <c r="G2342" s="1" t="s">
        <v>42</v>
      </c>
      <c r="H2342" s="1" t="s">
        <v>22</v>
      </c>
      <c r="I2342" s="1" t="s">
        <v>29</v>
      </c>
      <c r="J2342" s="1">
        <v>-180</v>
      </c>
      <c r="K2342" s="1">
        <v>180</v>
      </c>
      <c r="L2342" s="1">
        <v>1.8</v>
      </c>
    </row>
    <row r="2343" spans="4:13">
      <c r="D2343" s="1" t="s">
        <v>1400</v>
      </c>
      <c r="E2343" s="1" t="s">
        <v>1419</v>
      </c>
      <c r="F2343" s="1" t="s">
        <v>35</v>
      </c>
      <c r="G2343" s="1" t="s">
        <v>36</v>
      </c>
      <c r="H2343" s="1" t="s">
        <v>22</v>
      </c>
      <c r="I2343" s="1" t="s">
        <v>29</v>
      </c>
      <c r="J2343" s="1">
        <v>-31.018000000000029</v>
      </c>
      <c r="K2343" s="1">
        <v>256.99999999999994</v>
      </c>
      <c r="L2343" s="1">
        <v>80.329999999999984</v>
      </c>
    </row>
    <row r="2344" spans="4:13">
      <c r="D2344" s="1" t="s">
        <v>1400</v>
      </c>
      <c r="E2344" s="1" t="s">
        <v>1420</v>
      </c>
      <c r="F2344" s="1" t="s">
        <v>35</v>
      </c>
      <c r="G2344" s="1" t="s">
        <v>36</v>
      </c>
      <c r="H2344" s="1" t="s">
        <v>22</v>
      </c>
      <c r="I2344" s="1" t="s">
        <v>29</v>
      </c>
      <c r="J2344" s="1">
        <v>-31.018000000000029</v>
      </c>
      <c r="K2344" s="1">
        <v>256.99999999999994</v>
      </c>
      <c r="L2344" s="1">
        <v>80.329999999999984</v>
      </c>
    </row>
    <row r="2345" spans="4:13">
      <c r="D2345" s="1" t="s">
        <v>1400</v>
      </c>
      <c r="E2345" s="1" t="s">
        <v>1421</v>
      </c>
      <c r="H2345" s="1" t="s">
        <v>22</v>
      </c>
      <c r="I2345" s="1" t="s">
        <v>29</v>
      </c>
      <c r="J2345" s="1">
        <v>0</v>
      </c>
      <c r="K2345" s="1">
        <v>3.66</v>
      </c>
      <c r="L2345" s="1">
        <v>0.5</v>
      </c>
    </row>
    <row r="2346" spans="4:13">
      <c r="D2346" s="1" t="s">
        <v>1400</v>
      </c>
      <c r="E2346" s="1" t="s">
        <v>1422</v>
      </c>
      <c r="F2346" s="1" t="s">
        <v>41</v>
      </c>
      <c r="G2346" s="1" t="s">
        <v>42</v>
      </c>
      <c r="H2346" s="1" t="s">
        <v>22</v>
      </c>
      <c r="I2346" s="1" t="s">
        <v>29</v>
      </c>
      <c r="J2346" s="1">
        <v>-180</v>
      </c>
      <c r="K2346" s="1">
        <v>180</v>
      </c>
      <c r="L2346" s="1">
        <v>1.8</v>
      </c>
    </row>
    <row r="2347" spans="4:13">
      <c r="D2347" s="1" t="s">
        <v>1400</v>
      </c>
      <c r="E2347" s="1" t="s">
        <v>1423</v>
      </c>
      <c r="F2347" s="1" t="s">
        <v>35</v>
      </c>
      <c r="G2347" s="1" t="s">
        <v>36</v>
      </c>
      <c r="H2347" s="1" t="s">
        <v>22</v>
      </c>
      <c r="I2347" s="1" t="s">
        <v>29</v>
      </c>
      <c r="J2347" s="1">
        <v>-31.018000000000029</v>
      </c>
      <c r="K2347" s="1">
        <v>256.99999999999994</v>
      </c>
      <c r="L2347" s="1">
        <v>80.329999999999984</v>
      </c>
    </row>
    <row r="2348" spans="4:13">
      <c r="D2348" s="1" t="s">
        <v>1400</v>
      </c>
      <c r="E2348" s="1" t="s">
        <v>1424</v>
      </c>
      <c r="F2348" s="1" t="s">
        <v>35</v>
      </c>
      <c r="G2348" s="1" t="s">
        <v>36</v>
      </c>
      <c r="H2348" s="1" t="s">
        <v>22</v>
      </c>
      <c r="I2348" s="1" t="s">
        <v>29</v>
      </c>
      <c r="J2348" s="1">
        <v>-31.018000000000029</v>
      </c>
      <c r="K2348" s="1">
        <v>256.99999999999994</v>
      </c>
      <c r="L2348" s="1">
        <v>80.329999999999984</v>
      </c>
    </row>
    <row r="2349" spans="4:13">
      <c r="D2349" s="1" t="s">
        <v>1400</v>
      </c>
      <c r="E2349" s="1" t="s">
        <v>1425</v>
      </c>
      <c r="H2349" s="1" t="s">
        <v>22</v>
      </c>
      <c r="I2349" s="1" t="s">
        <v>29</v>
      </c>
      <c r="J2349" s="1">
        <v>0</v>
      </c>
      <c r="K2349" s="1">
        <v>3.66</v>
      </c>
      <c r="L2349" s="1">
        <v>0.5</v>
      </c>
    </row>
    <row r="2350" spans="4:13">
      <c r="D2350" s="1" t="s">
        <v>1400</v>
      </c>
      <c r="E2350" s="1" t="s">
        <v>1426</v>
      </c>
      <c r="F2350" s="1" t="s">
        <v>41</v>
      </c>
      <c r="G2350" s="1" t="s">
        <v>42</v>
      </c>
      <c r="H2350" s="1" t="s">
        <v>22</v>
      </c>
      <c r="I2350" s="1" t="s">
        <v>29</v>
      </c>
      <c r="J2350" s="1">
        <v>-180</v>
      </c>
      <c r="K2350" s="1">
        <v>180</v>
      </c>
      <c r="L2350" s="1">
        <v>1.8</v>
      </c>
    </row>
    <row r="2351" spans="4:13">
      <c r="D2351" s="1" t="s">
        <v>1400</v>
      </c>
      <c r="E2351" s="1" t="s">
        <v>1427</v>
      </c>
      <c r="F2351" s="1" t="s">
        <v>35</v>
      </c>
      <c r="G2351" s="1" t="s">
        <v>36</v>
      </c>
      <c r="H2351" s="1" t="s">
        <v>22</v>
      </c>
      <c r="I2351" s="1" t="s">
        <v>29</v>
      </c>
      <c r="J2351" s="1">
        <v>-31.018000000000029</v>
      </c>
      <c r="K2351" s="1">
        <v>256.99999999999994</v>
      </c>
      <c r="L2351" s="1">
        <v>80.329999999999984</v>
      </c>
    </row>
    <row r="2352" spans="4:13">
      <c r="D2352" s="1" t="s">
        <v>1400</v>
      </c>
      <c r="E2352" s="1" t="s">
        <v>1428</v>
      </c>
      <c r="F2352" s="1" t="s">
        <v>35</v>
      </c>
      <c r="G2352" s="1" t="s">
        <v>36</v>
      </c>
      <c r="H2352" s="1" t="s">
        <v>22</v>
      </c>
      <c r="I2352" s="1" t="s">
        <v>29</v>
      </c>
      <c r="J2352" s="1">
        <v>-31.018000000000029</v>
      </c>
      <c r="K2352" s="1">
        <v>256.99999999999994</v>
      </c>
      <c r="L2352" s="1">
        <v>80.329999999999984</v>
      </c>
    </row>
    <row r="2353" spans="4:13">
      <c r="D2353" s="1" t="s">
        <v>1400</v>
      </c>
      <c r="E2353" s="1" t="s">
        <v>1429</v>
      </c>
      <c r="H2353" s="1" t="s">
        <v>22</v>
      </c>
      <c r="I2353" s="1" t="s">
        <v>29</v>
      </c>
      <c r="J2353" s="1">
        <v>0</v>
      </c>
      <c r="K2353" s="1">
        <v>3.66</v>
      </c>
      <c r="L2353" s="1">
        <v>0.5</v>
      </c>
    </row>
    <row r="2354" spans="4:13">
      <c r="D2354" s="1" t="s">
        <v>1400</v>
      </c>
      <c r="E2354" s="1" t="s">
        <v>1430</v>
      </c>
      <c r="F2354" s="1" t="s">
        <v>41</v>
      </c>
      <c r="G2354" s="1" t="s">
        <v>42</v>
      </c>
      <c r="H2354" s="1" t="s">
        <v>22</v>
      </c>
      <c r="I2354" s="1" t="s">
        <v>29</v>
      </c>
      <c r="J2354" s="1">
        <v>-180</v>
      </c>
      <c r="K2354" s="1">
        <v>180</v>
      </c>
      <c r="L2354" s="1">
        <v>1.8</v>
      </c>
    </row>
    <row r="2355" spans="4:13">
      <c r="D2355" s="1" t="s">
        <v>1400</v>
      </c>
      <c r="E2355" s="1" t="s">
        <v>1431</v>
      </c>
      <c r="F2355" s="1" t="s">
        <v>35</v>
      </c>
      <c r="G2355" s="1" t="s">
        <v>36</v>
      </c>
      <c r="H2355" s="1" t="s">
        <v>22</v>
      </c>
      <c r="I2355" s="1" t="s">
        <v>29</v>
      </c>
      <c r="J2355" s="1">
        <v>-31.018000000000029</v>
      </c>
      <c r="K2355" s="1">
        <v>256.99999999999994</v>
      </c>
      <c r="L2355" s="1">
        <v>80.329999999999984</v>
      </c>
    </row>
    <row r="2356" spans="4:13">
      <c r="D2356" s="1" t="s">
        <v>1400</v>
      </c>
      <c r="E2356" s="1" t="s">
        <v>1432</v>
      </c>
      <c r="F2356" s="1" t="s">
        <v>35</v>
      </c>
      <c r="G2356" s="1" t="s">
        <v>36</v>
      </c>
      <c r="H2356" s="1" t="s">
        <v>22</v>
      </c>
      <c r="I2356" s="1" t="s">
        <v>29</v>
      </c>
      <c r="J2356" s="1">
        <v>-31.018000000000029</v>
      </c>
      <c r="K2356" s="1">
        <v>256.99999999999994</v>
      </c>
      <c r="L2356" s="1">
        <v>80.329999999999984</v>
      </c>
    </row>
    <row r="2357" spans="4:13">
      <c r="D2357" s="1" t="s">
        <v>1400</v>
      </c>
      <c r="E2357" s="1" t="s">
        <v>1433</v>
      </c>
      <c r="H2357" s="1" t="s">
        <v>22</v>
      </c>
      <c r="I2357" s="1" t="s">
        <v>29</v>
      </c>
      <c r="J2357" s="1">
        <v>0</v>
      </c>
      <c r="K2357" s="1">
        <v>3.66</v>
      </c>
      <c r="L2357" s="1">
        <v>0.5</v>
      </c>
    </row>
    <row r="2358" spans="4:13">
      <c r="D2358" s="1" t="s">
        <v>1400</v>
      </c>
      <c r="E2358" s="1" t="s">
        <v>1434</v>
      </c>
      <c r="H2358" s="1" t="s">
        <v>22</v>
      </c>
      <c r="I2358" s="1" t="s">
        <v>29</v>
      </c>
      <c r="J2358" s="1">
        <v>-5</v>
      </c>
      <c r="K2358" s="1">
        <v>5</v>
      </c>
      <c r="L2358" s="1">
        <v>1</v>
      </c>
    </row>
    <row r="2359" spans="4:13">
      <c r="D2359" s="1" t="s">
        <v>1400</v>
      </c>
      <c r="E2359" s="1" t="s">
        <v>1435</v>
      </c>
      <c r="H2359" s="1" t="s">
        <v>22</v>
      </c>
      <c r="I2359" s="1" t="s">
        <v>29</v>
      </c>
      <c r="L2359" s="1">
        <v>1</v>
      </c>
    </row>
    <row r="2360" spans="4:13">
      <c r="D2360" s="1" t="s">
        <v>1400</v>
      </c>
      <c r="E2360" s="1" t="s">
        <v>1436</v>
      </c>
      <c r="H2360" s="1" t="s">
        <v>63</v>
      </c>
      <c r="I2360" s="1" t="s">
        <v>23</v>
      </c>
      <c r="M2360" s="1">
        <v>2</v>
      </c>
    </row>
    <row r="2361" spans="4:13">
      <c r="D2361" s="1" t="s">
        <v>1400</v>
      </c>
      <c r="E2361" s="1" t="s">
        <v>1437</v>
      </c>
      <c r="H2361" s="1" t="s">
        <v>181</v>
      </c>
      <c r="I2361" s="1" t="s">
        <v>23</v>
      </c>
      <c r="J2361" s="1">
        <v>1</v>
      </c>
      <c r="K2361" s="1">
        <v>2</v>
      </c>
      <c r="M2361" s="1" t="s">
        <v>1438</v>
      </c>
    </row>
    <row r="2362" spans="4:13">
      <c r="D2362" s="1" t="s">
        <v>1400</v>
      </c>
      <c r="E2362" s="1" t="s">
        <v>1056</v>
      </c>
      <c r="F2362" s="1" t="s">
        <v>56</v>
      </c>
      <c r="G2362" s="1" t="s">
        <v>57</v>
      </c>
      <c r="H2362" s="1" t="s">
        <v>22</v>
      </c>
      <c r="I2362" s="1" t="s">
        <v>23</v>
      </c>
      <c r="L2362" s="1">
        <v>1.4503773773020921E-4</v>
      </c>
      <c r="M2362" s="1">
        <v>0.72518868865104602</v>
      </c>
    </row>
    <row r="2363" spans="4:13">
      <c r="D2363" s="1" t="s">
        <v>1400</v>
      </c>
      <c r="E2363" s="1" t="s">
        <v>1057</v>
      </c>
      <c r="H2363" s="1" t="s">
        <v>25</v>
      </c>
      <c r="I2363" s="1" t="s">
        <v>23</v>
      </c>
      <c r="M2363" s="1" t="b">
        <v>0</v>
      </c>
    </row>
    <row r="2364" spans="4:13">
      <c r="D2364" s="1" t="s">
        <v>1400</v>
      </c>
      <c r="E2364" s="1" t="s">
        <v>1439</v>
      </c>
      <c r="F2364" s="1" t="s">
        <v>56</v>
      </c>
      <c r="G2364" s="1" t="s">
        <v>57</v>
      </c>
      <c r="H2364" s="1" t="s">
        <v>22</v>
      </c>
      <c r="I2364" s="1" t="s">
        <v>23</v>
      </c>
      <c r="L2364" s="1">
        <v>1.4503773773020921E-4</v>
      </c>
      <c r="M2364" s="1">
        <v>14.503773773020921</v>
      </c>
    </row>
    <row r="2365" spans="4:13">
      <c r="D2365" s="1" t="s">
        <v>1400</v>
      </c>
      <c r="E2365" s="1" t="s">
        <v>1440</v>
      </c>
      <c r="H2365" s="1" t="s">
        <v>25</v>
      </c>
      <c r="I2365" s="1" t="s">
        <v>23</v>
      </c>
      <c r="M2365" s="1" t="b">
        <v>0</v>
      </c>
    </row>
    <row r="2366" spans="4:13">
      <c r="D2366" s="1" t="s">
        <v>1400</v>
      </c>
      <c r="E2366" s="1" t="s">
        <v>1064</v>
      </c>
      <c r="F2366" s="1" t="s">
        <v>176</v>
      </c>
      <c r="G2366" s="1" t="s">
        <v>177</v>
      </c>
      <c r="H2366" s="1" t="s">
        <v>22</v>
      </c>
      <c r="I2366" s="1" t="s">
        <v>23</v>
      </c>
      <c r="L2366" s="1">
        <v>39.370078740157467</v>
      </c>
      <c r="M2366" s="1">
        <v>0</v>
      </c>
    </row>
    <row r="2367" spans="4:13">
      <c r="D2367" s="1" t="s">
        <v>1400</v>
      </c>
      <c r="E2367" s="1" t="s">
        <v>47</v>
      </c>
      <c r="H2367" s="1" t="s">
        <v>25</v>
      </c>
      <c r="I2367" s="1" t="s">
        <v>23</v>
      </c>
      <c r="M2367" s="1" t="b">
        <v>0</v>
      </c>
    </row>
    <row r="2368" spans="4:13">
      <c r="D2368" s="1" t="s">
        <v>1400</v>
      </c>
      <c r="E2368" s="1" t="s">
        <v>1069</v>
      </c>
      <c r="H2368" s="1" t="s">
        <v>25</v>
      </c>
      <c r="I2368" s="1" t="s">
        <v>23</v>
      </c>
      <c r="M2368" s="1" t="b">
        <v>0</v>
      </c>
    </row>
    <row r="2369" spans="4:13">
      <c r="D2369" s="1" t="s">
        <v>1400</v>
      </c>
      <c r="E2369" s="1" t="s">
        <v>920</v>
      </c>
      <c r="H2369" s="1" t="s">
        <v>22</v>
      </c>
      <c r="I2369" s="1" t="s">
        <v>23</v>
      </c>
      <c r="J2369" s="1">
        <v>0</v>
      </c>
      <c r="K2369" s="1">
        <v>1</v>
      </c>
      <c r="L2369" s="1">
        <v>1</v>
      </c>
      <c r="M2369" s="1">
        <v>1</v>
      </c>
    </row>
    <row r="2370" spans="4:13">
      <c r="D2370" s="1" t="s">
        <v>1400</v>
      </c>
      <c r="E2370" s="1" t="s">
        <v>921</v>
      </c>
      <c r="H2370" s="1" t="s">
        <v>22</v>
      </c>
      <c r="I2370" s="1" t="s">
        <v>23</v>
      </c>
      <c r="J2370" s="1">
        <v>0</v>
      </c>
      <c r="K2370" s="1">
        <v>1</v>
      </c>
      <c r="L2370" s="1">
        <v>1</v>
      </c>
      <c r="M2370" s="1">
        <v>0</v>
      </c>
    </row>
    <row r="2371" spans="4:13">
      <c r="D2371" s="1" t="s">
        <v>1400</v>
      </c>
      <c r="E2371" s="1" t="s">
        <v>1070</v>
      </c>
      <c r="F2371" s="1" t="s">
        <v>1071</v>
      </c>
      <c r="G2371" s="1" t="s">
        <v>1072</v>
      </c>
      <c r="H2371" s="1" t="s">
        <v>22</v>
      </c>
      <c r="I2371" s="1" t="s">
        <v>23</v>
      </c>
      <c r="J2371" s="1">
        <v>5.7778931654299819E-4</v>
      </c>
      <c r="K2371" s="1">
        <v>0.57778931654299814</v>
      </c>
      <c r="L2371" s="1">
        <v>0.57778931654299814</v>
      </c>
      <c r="M2371" s="1">
        <v>2.1672877263527863E-2</v>
      </c>
    </row>
    <row r="2372" spans="4:13">
      <c r="D2372" s="1" t="s">
        <v>1400</v>
      </c>
      <c r="E2372" s="1" t="s">
        <v>1074</v>
      </c>
      <c r="H2372" s="1" t="s">
        <v>25</v>
      </c>
      <c r="I2372" s="1" t="s">
        <v>23</v>
      </c>
      <c r="M2372" s="1" t="b">
        <v>0</v>
      </c>
    </row>
    <row r="2373" spans="4:13">
      <c r="D2373" s="1" t="s">
        <v>1400</v>
      </c>
      <c r="E2373" s="1" t="s">
        <v>1441</v>
      </c>
      <c r="H2373" s="1" t="s">
        <v>25</v>
      </c>
      <c r="I2373" s="1" t="s">
        <v>23</v>
      </c>
      <c r="M2373" s="1" t="b">
        <v>1</v>
      </c>
    </row>
    <row r="2374" spans="4:13">
      <c r="D2374" s="1" t="s">
        <v>1400</v>
      </c>
      <c r="E2374" s="1" t="s">
        <v>1442</v>
      </c>
      <c r="F2374" s="1" t="s">
        <v>118</v>
      </c>
      <c r="G2374" s="1" t="s">
        <v>119</v>
      </c>
      <c r="H2374" s="1" t="s">
        <v>22</v>
      </c>
      <c r="I2374" s="1" t="s">
        <v>29</v>
      </c>
      <c r="J2374" s="1">
        <v>2.2046226218499999E-6</v>
      </c>
      <c r="K2374" s="1">
        <v>22046.2262185</v>
      </c>
      <c r="L2374" s="1">
        <v>220.46226218500001</v>
      </c>
    </row>
    <row r="2375" spans="4:13">
      <c r="D2375" s="1" t="s">
        <v>1400</v>
      </c>
      <c r="E2375" s="1" t="s">
        <v>1076</v>
      </c>
      <c r="F2375" s="1" t="s">
        <v>118</v>
      </c>
      <c r="G2375" s="1" t="s">
        <v>119</v>
      </c>
      <c r="H2375" s="1" t="s">
        <v>22</v>
      </c>
      <c r="I2375" s="1" t="s">
        <v>23</v>
      </c>
      <c r="J2375" s="1">
        <v>0</v>
      </c>
      <c r="K2375" s="1">
        <v>4409.2452437000002</v>
      </c>
      <c r="L2375" s="1">
        <v>2.20462262185</v>
      </c>
      <c r="M2375" s="1">
        <v>440.92452437000003</v>
      </c>
    </row>
    <row r="2376" spans="4:13">
      <c r="D2376" s="1" t="s">
        <v>1400</v>
      </c>
      <c r="E2376" s="1" t="s">
        <v>1077</v>
      </c>
      <c r="H2376" s="1" t="s">
        <v>25</v>
      </c>
      <c r="I2376" s="1" t="s">
        <v>23</v>
      </c>
      <c r="M2376" s="1" t="b">
        <v>0</v>
      </c>
    </row>
    <row r="2377" spans="4:13">
      <c r="D2377" s="1" t="s">
        <v>1400</v>
      </c>
      <c r="E2377" s="1" t="s">
        <v>1079</v>
      </c>
      <c r="H2377" s="1" t="s">
        <v>25</v>
      </c>
      <c r="I2377" s="1" t="s">
        <v>23</v>
      </c>
      <c r="M2377" s="1" t="b">
        <v>0</v>
      </c>
    </row>
    <row r="2378" spans="4:13">
      <c r="D2378" s="1" t="s">
        <v>1400</v>
      </c>
      <c r="E2378" s="1" t="s">
        <v>1080</v>
      </c>
      <c r="H2378" s="1" t="s">
        <v>22</v>
      </c>
      <c r="I2378" s="1" t="s">
        <v>23</v>
      </c>
      <c r="J2378" s="1">
        <v>0</v>
      </c>
      <c r="K2378" s="1">
        <v>1</v>
      </c>
      <c r="L2378" s="1">
        <v>1</v>
      </c>
      <c r="M2378" s="1">
        <v>0.5</v>
      </c>
    </row>
    <row r="2379" spans="4:13">
      <c r="D2379" s="1" t="s">
        <v>1400</v>
      </c>
      <c r="E2379" s="1" t="s">
        <v>1082</v>
      </c>
      <c r="H2379" s="1" t="s">
        <v>22</v>
      </c>
      <c r="I2379" s="1" t="s">
        <v>23</v>
      </c>
      <c r="J2379" s="1">
        <v>0</v>
      </c>
      <c r="K2379" s="1">
        <v>2</v>
      </c>
      <c r="L2379" s="1">
        <v>1</v>
      </c>
      <c r="M2379" s="1">
        <v>0.99</v>
      </c>
    </row>
    <row r="2380" spans="4:13">
      <c r="D2380" s="1" t="s">
        <v>1400</v>
      </c>
      <c r="E2380" s="1" t="s">
        <v>1083</v>
      </c>
      <c r="H2380" s="1" t="s">
        <v>181</v>
      </c>
      <c r="I2380" s="1" t="s">
        <v>23</v>
      </c>
      <c r="J2380" s="1">
        <v>1</v>
      </c>
      <c r="K2380" s="1">
        <v>314</v>
      </c>
      <c r="M2380" s="1" t="s">
        <v>952</v>
      </c>
    </row>
    <row r="2381" spans="4:13">
      <c r="D2381" s="1" t="s">
        <v>1400</v>
      </c>
      <c r="E2381" s="1" t="s">
        <v>1086</v>
      </c>
      <c r="H2381" s="1" t="s">
        <v>181</v>
      </c>
      <c r="I2381" s="1" t="s">
        <v>23</v>
      </c>
      <c r="J2381" s="1">
        <v>1</v>
      </c>
      <c r="K2381" s="1">
        <v>26</v>
      </c>
      <c r="M2381" s="1" t="s">
        <v>1443</v>
      </c>
    </row>
    <row r="2382" spans="4:13">
      <c r="D2382" s="1" t="s">
        <v>1400</v>
      </c>
      <c r="E2382" s="1" t="s">
        <v>1089</v>
      </c>
      <c r="F2382" s="1" t="s">
        <v>35</v>
      </c>
      <c r="G2382" s="1" t="s">
        <v>36</v>
      </c>
      <c r="H2382" s="1" t="s">
        <v>22</v>
      </c>
      <c r="I2382" s="1" t="s">
        <v>29</v>
      </c>
      <c r="J2382" s="1">
        <v>-31.018000000000029</v>
      </c>
      <c r="K2382" s="1">
        <v>256.99999999999994</v>
      </c>
      <c r="L2382" s="1">
        <v>80.329999999999984</v>
      </c>
    </row>
    <row r="2383" spans="4:13">
      <c r="D2383" s="1" t="s">
        <v>1400</v>
      </c>
      <c r="E2383" s="1" t="s">
        <v>1091</v>
      </c>
      <c r="F2383" s="1" t="s">
        <v>35</v>
      </c>
      <c r="G2383" s="1" t="s">
        <v>36</v>
      </c>
      <c r="H2383" s="1" t="s">
        <v>22</v>
      </c>
      <c r="I2383" s="1" t="s">
        <v>29</v>
      </c>
      <c r="J2383" s="1">
        <v>-31.018000000000029</v>
      </c>
      <c r="K2383" s="1">
        <v>256.99999999999994</v>
      </c>
      <c r="L2383" s="1">
        <v>80.329999999999984</v>
      </c>
    </row>
    <row r="2384" spans="4:13">
      <c r="D2384" s="1" t="s">
        <v>1400</v>
      </c>
      <c r="E2384" s="1" t="s">
        <v>1296</v>
      </c>
      <c r="F2384" s="1" t="s">
        <v>41</v>
      </c>
      <c r="G2384" s="1" t="s">
        <v>42</v>
      </c>
      <c r="H2384" s="1" t="s">
        <v>22</v>
      </c>
      <c r="I2384" s="1" t="s">
        <v>65</v>
      </c>
      <c r="L2384" s="1">
        <v>1.8</v>
      </c>
    </row>
    <row r="2385" spans="4:12">
      <c r="D2385" s="1" t="s">
        <v>1400</v>
      </c>
      <c r="E2385" s="1" t="s">
        <v>1300</v>
      </c>
      <c r="F2385" s="1" t="s">
        <v>147</v>
      </c>
      <c r="G2385" s="1" t="s">
        <v>148</v>
      </c>
      <c r="H2385" s="1" t="s">
        <v>22</v>
      </c>
      <c r="I2385" s="1" t="s">
        <v>120</v>
      </c>
      <c r="L2385" s="1">
        <v>3.4121416351331</v>
      </c>
    </row>
    <row r="2386" spans="4:12">
      <c r="D2386" s="1" t="s">
        <v>1400</v>
      </c>
      <c r="E2386" s="1" t="s">
        <v>1302</v>
      </c>
      <c r="H2386" s="1" t="s">
        <v>22</v>
      </c>
      <c r="I2386" s="1" t="s">
        <v>65</v>
      </c>
      <c r="L2386" s="1">
        <v>1</v>
      </c>
    </row>
    <row r="2387" spans="4:12">
      <c r="D2387" s="1" t="s">
        <v>1400</v>
      </c>
      <c r="E2387" s="1" t="s">
        <v>1444</v>
      </c>
      <c r="F2387" s="1" t="s">
        <v>35</v>
      </c>
      <c r="G2387" s="1" t="s">
        <v>36</v>
      </c>
      <c r="H2387" s="1" t="s">
        <v>22</v>
      </c>
      <c r="I2387" s="1" t="s">
        <v>120</v>
      </c>
      <c r="J2387" s="1">
        <v>-457.87</v>
      </c>
      <c r="K2387" s="1">
        <v>-447.07</v>
      </c>
      <c r="L2387" s="1">
        <v>80.329999999999984</v>
      </c>
    </row>
    <row r="2388" spans="4:12">
      <c r="D2388" s="1" t="s">
        <v>1400</v>
      </c>
      <c r="E2388" s="1" t="s">
        <v>1445</v>
      </c>
      <c r="H2388" s="1" t="s">
        <v>22</v>
      </c>
      <c r="I2388" s="1" t="s">
        <v>65</v>
      </c>
      <c r="L2388" s="1">
        <v>1</v>
      </c>
    </row>
    <row r="2389" spans="4:12">
      <c r="D2389" s="1" t="s">
        <v>1400</v>
      </c>
      <c r="E2389" s="1" t="s">
        <v>1306</v>
      </c>
      <c r="H2389" s="1" t="s">
        <v>22</v>
      </c>
      <c r="I2389" s="1" t="s">
        <v>65</v>
      </c>
      <c r="L2389" s="1">
        <v>1</v>
      </c>
    </row>
    <row r="2390" spans="4:12">
      <c r="D2390" s="1" t="s">
        <v>1400</v>
      </c>
      <c r="E2390" s="1" t="s">
        <v>1446</v>
      </c>
      <c r="H2390" s="1" t="s">
        <v>22</v>
      </c>
      <c r="I2390" s="1" t="s">
        <v>65</v>
      </c>
      <c r="L2390" s="1">
        <v>1</v>
      </c>
    </row>
    <row r="2391" spans="4:12">
      <c r="D2391" s="1" t="s">
        <v>1400</v>
      </c>
      <c r="E2391" s="1" t="s">
        <v>1309</v>
      </c>
      <c r="H2391" s="1" t="s">
        <v>22</v>
      </c>
      <c r="I2391" s="1" t="s">
        <v>65</v>
      </c>
      <c r="L2391" s="1">
        <v>1</v>
      </c>
    </row>
    <row r="2392" spans="4:12">
      <c r="D2392" s="1" t="s">
        <v>1400</v>
      </c>
      <c r="E2392" s="1" t="s">
        <v>1447</v>
      </c>
      <c r="H2392" s="1" t="s">
        <v>22</v>
      </c>
      <c r="I2392" s="1" t="s">
        <v>65</v>
      </c>
      <c r="L2392" s="1">
        <v>1</v>
      </c>
    </row>
    <row r="2393" spans="4:12">
      <c r="D2393" s="1" t="s">
        <v>1400</v>
      </c>
      <c r="E2393" s="1" t="s">
        <v>1448</v>
      </c>
      <c r="H2393" s="1" t="s">
        <v>22</v>
      </c>
      <c r="I2393" s="1" t="s">
        <v>65</v>
      </c>
      <c r="L2393" s="1">
        <v>1</v>
      </c>
    </row>
    <row r="2394" spans="4:12">
      <c r="D2394" s="1" t="s">
        <v>1400</v>
      </c>
      <c r="E2394" s="1" t="s">
        <v>1317</v>
      </c>
      <c r="F2394" s="1" t="s">
        <v>879</v>
      </c>
      <c r="G2394" s="1" t="s">
        <v>880</v>
      </c>
      <c r="H2394" s="1" t="s">
        <v>22</v>
      </c>
      <c r="I2394" s="1" t="s">
        <v>65</v>
      </c>
      <c r="L2394" s="1">
        <v>10.76391041670972</v>
      </c>
    </row>
    <row r="2395" spans="4:12">
      <c r="D2395" s="1" t="s">
        <v>1400</v>
      </c>
      <c r="E2395" s="1" t="s">
        <v>1449</v>
      </c>
      <c r="F2395" s="1" t="s">
        <v>147</v>
      </c>
      <c r="G2395" s="1" t="s">
        <v>148</v>
      </c>
      <c r="H2395" s="1" t="s">
        <v>22</v>
      </c>
      <c r="I2395" s="1" t="s">
        <v>65</v>
      </c>
      <c r="L2395" s="1">
        <v>3.4121416351331</v>
      </c>
    </row>
    <row r="2396" spans="4:12">
      <c r="D2396" s="1" t="s">
        <v>1400</v>
      </c>
      <c r="E2396" s="1" t="s">
        <v>1322</v>
      </c>
      <c r="F2396" s="1" t="s">
        <v>56</v>
      </c>
      <c r="G2396" s="1" t="s">
        <v>57</v>
      </c>
      <c r="H2396" s="1" t="s">
        <v>22</v>
      </c>
      <c r="I2396" s="1" t="s">
        <v>65</v>
      </c>
      <c r="L2396" s="1">
        <v>1.4503773773020921E-4</v>
      </c>
    </row>
    <row r="2397" spans="4:12">
      <c r="D2397" s="1" t="s">
        <v>1400</v>
      </c>
      <c r="E2397" s="1" t="s">
        <v>1323</v>
      </c>
      <c r="F2397" s="1" t="s">
        <v>56</v>
      </c>
      <c r="G2397" s="1" t="s">
        <v>57</v>
      </c>
      <c r="H2397" s="1" t="s">
        <v>22</v>
      </c>
      <c r="I2397" s="1" t="s">
        <v>65</v>
      </c>
      <c r="L2397" s="1">
        <v>1.4503773773020921E-4</v>
      </c>
    </row>
    <row r="2398" spans="4:12">
      <c r="D2398" s="1" t="s">
        <v>1400</v>
      </c>
      <c r="E2398" s="1" t="s">
        <v>1324</v>
      </c>
      <c r="F2398" s="1" t="s">
        <v>56</v>
      </c>
      <c r="G2398" s="1" t="s">
        <v>57</v>
      </c>
      <c r="H2398" s="1" t="s">
        <v>22</v>
      </c>
      <c r="I2398" s="1" t="s">
        <v>65</v>
      </c>
      <c r="L2398" s="1">
        <v>1.4503773773020921E-4</v>
      </c>
    </row>
    <row r="2399" spans="4:12">
      <c r="D2399" s="1" t="s">
        <v>1400</v>
      </c>
      <c r="E2399" s="1" t="s">
        <v>1325</v>
      </c>
      <c r="F2399" s="1" t="s">
        <v>56</v>
      </c>
      <c r="G2399" s="1" t="s">
        <v>57</v>
      </c>
      <c r="H2399" s="1" t="s">
        <v>22</v>
      </c>
      <c r="I2399" s="1" t="s">
        <v>65</v>
      </c>
      <c r="L2399" s="1">
        <v>1.4503773773020921E-4</v>
      </c>
    </row>
    <row r="2400" spans="4:12">
      <c r="D2400" s="1" t="s">
        <v>1400</v>
      </c>
      <c r="E2400" s="1" t="s">
        <v>1326</v>
      </c>
      <c r="F2400" s="1" t="s">
        <v>56</v>
      </c>
      <c r="G2400" s="1" t="s">
        <v>57</v>
      </c>
      <c r="H2400" s="1" t="s">
        <v>22</v>
      </c>
      <c r="I2400" s="1" t="s">
        <v>65</v>
      </c>
      <c r="L2400" s="1">
        <v>1.4503773773020921E-4</v>
      </c>
    </row>
    <row r="2401" spans="4:13">
      <c r="D2401" s="1" t="s">
        <v>1400</v>
      </c>
      <c r="E2401" s="1" t="s">
        <v>1331</v>
      </c>
      <c r="F2401" s="1" t="s">
        <v>176</v>
      </c>
      <c r="G2401" s="1" t="s">
        <v>177</v>
      </c>
      <c r="H2401" s="1" t="s">
        <v>22</v>
      </c>
      <c r="I2401" s="1" t="s">
        <v>70</v>
      </c>
      <c r="J2401" s="1">
        <v>0</v>
      </c>
      <c r="L2401" s="1">
        <v>39.370078740157467</v>
      </c>
    </row>
    <row r="2402" spans="4:13">
      <c r="D2402" s="1" t="s">
        <v>1400</v>
      </c>
      <c r="E2402" s="1" t="s">
        <v>69</v>
      </c>
      <c r="H2402" s="1" t="s">
        <v>25</v>
      </c>
      <c r="I2402" s="1" t="s">
        <v>70</v>
      </c>
    </row>
    <row r="2403" spans="4:13">
      <c r="D2403" s="1" t="s">
        <v>1400</v>
      </c>
      <c r="E2403" s="1" t="s">
        <v>1450</v>
      </c>
      <c r="F2403" s="1" t="s">
        <v>176</v>
      </c>
      <c r="G2403" s="1" t="s">
        <v>177</v>
      </c>
      <c r="H2403" s="1" t="s">
        <v>22</v>
      </c>
      <c r="I2403" s="1" t="s">
        <v>65</v>
      </c>
      <c r="L2403" s="1">
        <v>39.370078740157467</v>
      </c>
    </row>
    <row r="2404" spans="4:13">
      <c r="D2404" s="1" t="s">
        <v>1400</v>
      </c>
      <c r="E2404" s="1" t="s">
        <v>991</v>
      </c>
      <c r="F2404" s="1" t="s">
        <v>118</v>
      </c>
      <c r="G2404" s="1" t="s">
        <v>119</v>
      </c>
      <c r="H2404" s="1" t="s">
        <v>22</v>
      </c>
      <c r="I2404" s="1" t="s">
        <v>65</v>
      </c>
      <c r="J2404" s="1">
        <v>0</v>
      </c>
      <c r="L2404" s="1">
        <v>2.20462262185</v>
      </c>
    </row>
    <row r="2405" spans="4:13">
      <c r="D2405" s="1" t="s">
        <v>1400</v>
      </c>
      <c r="E2405" s="1" t="s">
        <v>1451</v>
      </c>
      <c r="H2405" s="1" t="s">
        <v>22</v>
      </c>
      <c r="I2405" s="1" t="s">
        <v>65</v>
      </c>
      <c r="L2405" s="1">
        <v>1</v>
      </c>
    </row>
    <row r="2406" spans="4:13">
      <c r="D2406" s="1" t="s">
        <v>1400</v>
      </c>
      <c r="E2406" s="1" t="s">
        <v>1452</v>
      </c>
      <c r="H2406" s="1" t="s">
        <v>22</v>
      </c>
      <c r="I2406" s="1" t="s">
        <v>65</v>
      </c>
      <c r="L2406" s="1">
        <v>1</v>
      </c>
    </row>
    <row r="2407" spans="4:13">
      <c r="D2407" s="1" t="s">
        <v>1400</v>
      </c>
      <c r="E2407" s="1" t="s">
        <v>1453</v>
      </c>
      <c r="H2407" s="1" t="s">
        <v>22</v>
      </c>
      <c r="I2407" s="1" t="s">
        <v>65</v>
      </c>
      <c r="L2407" s="1">
        <v>1</v>
      </c>
    </row>
    <row r="2408" spans="4:13">
      <c r="D2408" s="1" t="s">
        <v>1400</v>
      </c>
      <c r="E2408" s="1" t="s">
        <v>1343</v>
      </c>
      <c r="F2408" s="1" t="s">
        <v>1344</v>
      </c>
      <c r="G2408" s="1" t="s">
        <v>1345</v>
      </c>
      <c r="H2408" s="1" t="s">
        <v>22</v>
      </c>
      <c r="I2408" s="1" t="s">
        <v>65</v>
      </c>
      <c r="L2408" s="1">
        <v>2.2369362919199998</v>
      </c>
    </row>
    <row r="2409" spans="4:13">
      <c r="D2409" s="1" t="s">
        <v>1400</v>
      </c>
      <c r="E2409" s="1" t="s">
        <v>1002</v>
      </c>
      <c r="F2409" s="1" t="s">
        <v>124</v>
      </c>
      <c r="G2409" s="1" t="s">
        <v>125</v>
      </c>
      <c r="H2409" s="1" t="s">
        <v>22</v>
      </c>
      <c r="I2409" s="1" t="s">
        <v>70</v>
      </c>
      <c r="L2409" s="1">
        <v>35.314666699999997</v>
      </c>
    </row>
    <row r="2410" spans="4:13">
      <c r="D2410" s="1" t="s">
        <v>1400</v>
      </c>
      <c r="E2410" s="1" t="s">
        <v>1348</v>
      </c>
      <c r="F2410" s="1" t="s">
        <v>176</v>
      </c>
      <c r="G2410" s="1" t="s">
        <v>177</v>
      </c>
      <c r="H2410" s="1" t="s">
        <v>22</v>
      </c>
      <c r="I2410" s="1" t="s">
        <v>23</v>
      </c>
      <c r="J2410" s="1">
        <v>3.9370078740157466E-2</v>
      </c>
      <c r="K2410" s="1">
        <v>3.9370078740157468</v>
      </c>
      <c r="L2410" s="1">
        <v>39.370078740157467</v>
      </c>
      <c r="M2410" s="1">
        <v>0.49999999999999983</v>
      </c>
    </row>
    <row r="2411" spans="4:13">
      <c r="D2411" s="1" t="s">
        <v>1400</v>
      </c>
      <c r="E2411" s="1" t="s">
        <v>1454</v>
      </c>
      <c r="H2411" s="1" t="s">
        <v>25</v>
      </c>
      <c r="I2411" s="1" t="s">
        <v>23</v>
      </c>
      <c r="M2411" s="1" t="b">
        <v>1</v>
      </c>
    </row>
    <row r="2412" spans="4:13">
      <c r="D2412" s="1" t="s">
        <v>1400</v>
      </c>
      <c r="E2412" s="1" t="s">
        <v>1455</v>
      </c>
      <c r="H2412" s="1" t="s">
        <v>25</v>
      </c>
      <c r="I2412" s="1" t="s">
        <v>23</v>
      </c>
      <c r="M2412" s="1" t="b">
        <v>0</v>
      </c>
    </row>
    <row r="2413" spans="4:13">
      <c r="D2413" s="1" t="s">
        <v>1400</v>
      </c>
      <c r="E2413" s="1" t="s">
        <v>1456</v>
      </c>
      <c r="H2413" s="1" t="s">
        <v>25</v>
      </c>
      <c r="I2413" s="1" t="s">
        <v>23</v>
      </c>
      <c r="M2413" s="1" t="b">
        <v>1</v>
      </c>
    </row>
    <row r="2414" spans="4:13">
      <c r="D2414" s="1" t="s">
        <v>1400</v>
      </c>
      <c r="E2414" s="1" t="s">
        <v>1354</v>
      </c>
      <c r="H2414" s="1" t="s">
        <v>22</v>
      </c>
      <c r="I2414" s="1" t="s">
        <v>23</v>
      </c>
      <c r="J2414" s="1">
        <v>0.5</v>
      </c>
      <c r="K2414" s="1">
        <v>2</v>
      </c>
      <c r="L2414" s="1">
        <v>1</v>
      </c>
      <c r="M2414" s="1">
        <v>1</v>
      </c>
    </row>
    <row r="2415" spans="4:13">
      <c r="D2415" s="1" t="s">
        <v>1400</v>
      </c>
      <c r="E2415" s="1" t="s">
        <v>1457</v>
      </c>
      <c r="F2415" s="1" t="s">
        <v>147</v>
      </c>
      <c r="G2415" s="1" t="s">
        <v>148</v>
      </c>
      <c r="H2415" s="1" t="s">
        <v>22</v>
      </c>
      <c r="I2415" s="1" t="s">
        <v>23</v>
      </c>
      <c r="L2415" s="1">
        <v>3.4121416351331</v>
      </c>
      <c r="M2415" s="1">
        <v>7908000.0046472568</v>
      </c>
    </row>
    <row r="2416" spans="4:13">
      <c r="D2416" s="1" t="s">
        <v>1400</v>
      </c>
      <c r="E2416" s="1" t="s">
        <v>1458</v>
      </c>
      <c r="F2416" s="1" t="s">
        <v>147</v>
      </c>
      <c r="G2416" s="1" t="s">
        <v>148</v>
      </c>
      <c r="H2416" s="1" t="s">
        <v>22</v>
      </c>
      <c r="I2416" s="1" t="s">
        <v>23</v>
      </c>
      <c r="L2416" s="1">
        <v>3.4121416351331</v>
      </c>
      <c r="M2416" s="1">
        <v>6372000.0037445985</v>
      </c>
    </row>
    <row r="2417" spans="4:13">
      <c r="D2417" s="1" t="s">
        <v>1400</v>
      </c>
      <c r="E2417" s="1" t="s">
        <v>1356</v>
      </c>
      <c r="H2417" s="1" t="s">
        <v>150</v>
      </c>
      <c r="I2417" s="1" t="s">
        <v>23</v>
      </c>
      <c r="M2417" s="1" t="s">
        <v>1459</v>
      </c>
    </row>
    <row r="2418" spans="4:13">
      <c r="D2418" s="1" t="s">
        <v>1400</v>
      </c>
      <c r="E2418" s="1" t="s">
        <v>1358</v>
      </c>
      <c r="F2418" s="1" t="s">
        <v>176</v>
      </c>
      <c r="G2418" s="1" t="s">
        <v>177</v>
      </c>
      <c r="H2418" s="1" t="s">
        <v>22</v>
      </c>
      <c r="I2418" s="1" t="s">
        <v>23</v>
      </c>
      <c r="J2418" s="1">
        <v>0.39370078740157466</v>
      </c>
      <c r="K2418" s="1">
        <v>393.70078740157464</v>
      </c>
      <c r="L2418" s="1">
        <v>39.370078740157467</v>
      </c>
      <c r="M2418" s="1">
        <v>40.499999999999986</v>
      </c>
    </row>
    <row r="2419" spans="4:13">
      <c r="D2419" s="1" t="s">
        <v>1400</v>
      </c>
      <c r="E2419" s="1" t="s">
        <v>1359</v>
      </c>
      <c r="F2419" s="1" t="s">
        <v>176</v>
      </c>
      <c r="G2419" s="1" t="s">
        <v>177</v>
      </c>
      <c r="H2419" s="1" t="s">
        <v>22</v>
      </c>
      <c r="I2419" s="1" t="s">
        <v>23</v>
      </c>
      <c r="J2419" s="1">
        <v>0</v>
      </c>
      <c r="L2419" s="1">
        <v>39.370078740157467</v>
      </c>
      <c r="M2419" s="1">
        <v>9.9999999999999964</v>
      </c>
    </row>
    <row r="2420" spans="4:13">
      <c r="D2420" s="1" t="s">
        <v>1400</v>
      </c>
      <c r="E2420" s="1" t="s">
        <v>1360</v>
      </c>
      <c r="H2420" s="1" t="s">
        <v>150</v>
      </c>
      <c r="I2420" s="1" t="s">
        <v>23</v>
      </c>
      <c r="M2420" s="1" t="s">
        <v>1460</v>
      </c>
    </row>
    <row r="2421" spans="4:13">
      <c r="D2421" s="1" t="s">
        <v>1400</v>
      </c>
      <c r="E2421" s="1" t="s">
        <v>1362</v>
      </c>
      <c r="F2421" s="1" t="s">
        <v>176</v>
      </c>
      <c r="G2421" s="1" t="s">
        <v>177</v>
      </c>
      <c r="H2421" s="1" t="s">
        <v>22</v>
      </c>
      <c r="I2421" s="1" t="s">
        <v>23</v>
      </c>
      <c r="J2421" s="1">
        <v>3.9370078740157468</v>
      </c>
      <c r="K2421" s="1">
        <v>393.70078740157464</v>
      </c>
      <c r="L2421" s="1">
        <v>39.370078740157467</v>
      </c>
      <c r="M2421" s="1">
        <v>164.49999999999994</v>
      </c>
    </row>
    <row r="2422" spans="4:13">
      <c r="D2422" s="1" t="s">
        <v>1400</v>
      </c>
      <c r="E2422" s="1" t="s">
        <v>1363</v>
      </c>
      <c r="H2422" s="1" t="s">
        <v>63</v>
      </c>
      <c r="I2422" s="1" t="s">
        <v>23</v>
      </c>
      <c r="M2422" s="1">
        <v>3</v>
      </c>
    </row>
    <row r="2423" spans="4:13">
      <c r="D2423" s="1" t="s">
        <v>1400</v>
      </c>
      <c r="E2423" s="1" t="s">
        <v>1364</v>
      </c>
      <c r="H2423" s="1" t="s">
        <v>63</v>
      </c>
      <c r="I2423" s="1" t="s">
        <v>23</v>
      </c>
      <c r="M2423" s="1">
        <v>1</v>
      </c>
    </row>
    <row r="2424" spans="4:13">
      <c r="D2424" s="1" t="s">
        <v>1400</v>
      </c>
      <c r="E2424" s="1" t="s">
        <v>1365</v>
      </c>
      <c r="H2424" s="1" t="s">
        <v>63</v>
      </c>
      <c r="I2424" s="1" t="s">
        <v>70</v>
      </c>
    </row>
    <row r="2425" spans="4:13">
      <c r="D2425" s="1" t="s">
        <v>1400</v>
      </c>
      <c r="E2425" s="1" t="s">
        <v>1366</v>
      </c>
      <c r="H2425" s="1" t="s">
        <v>63</v>
      </c>
      <c r="I2425" s="1" t="s">
        <v>23</v>
      </c>
      <c r="M2425" s="1">
        <v>322</v>
      </c>
    </row>
    <row r="2426" spans="4:13">
      <c r="D2426" s="1" t="s">
        <v>1400</v>
      </c>
      <c r="E2426" s="1" t="s">
        <v>1367</v>
      </c>
      <c r="H2426" s="1" t="s">
        <v>63</v>
      </c>
      <c r="I2426" s="1" t="s">
        <v>23</v>
      </c>
      <c r="M2426" s="1">
        <v>322</v>
      </c>
    </row>
    <row r="2427" spans="4:13">
      <c r="D2427" s="1" t="s">
        <v>1400</v>
      </c>
      <c r="E2427" s="1" t="s">
        <v>1368</v>
      </c>
      <c r="H2427" s="1" t="s">
        <v>63</v>
      </c>
      <c r="I2427" s="1" t="s">
        <v>23</v>
      </c>
      <c r="M2427" s="1">
        <v>0</v>
      </c>
    </row>
    <row r="2428" spans="4:13">
      <c r="D2428" s="1" t="s">
        <v>1400</v>
      </c>
      <c r="E2428" s="1" t="s">
        <v>1369</v>
      </c>
      <c r="H2428" s="1" t="s">
        <v>63</v>
      </c>
      <c r="I2428" s="1" t="s">
        <v>23</v>
      </c>
      <c r="M2428" s="1">
        <v>0</v>
      </c>
    </row>
    <row r="2429" spans="4:13">
      <c r="D2429" s="1" t="s">
        <v>1400</v>
      </c>
      <c r="E2429" s="1" t="s">
        <v>1372</v>
      </c>
      <c r="F2429" s="1" t="s">
        <v>176</v>
      </c>
      <c r="G2429" s="1" t="s">
        <v>177</v>
      </c>
      <c r="H2429" s="1" t="s">
        <v>22</v>
      </c>
      <c r="I2429" s="1" t="s">
        <v>23</v>
      </c>
      <c r="J2429" s="1">
        <v>3.9370078740157471E-3</v>
      </c>
      <c r="K2429" s="1">
        <v>3.1496062992125973</v>
      </c>
      <c r="L2429" s="1">
        <v>39.370078740157467</v>
      </c>
      <c r="M2429" s="1">
        <v>0.31496062992125973</v>
      </c>
    </row>
    <row r="2430" spans="4:13">
      <c r="D2430" s="1" t="s">
        <v>1400</v>
      </c>
      <c r="E2430" s="1" t="s">
        <v>1461</v>
      </c>
      <c r="F2430" s="1" t="s">
        <v>124</v>
      </c>
      <c r="G2430" s="1" t="s">
        <v>125</v>
      </c>
      <c r="H2430" s="1" t="s">
        <v>22</v>
      </c>
      <c r="I2430" s="1" t="s">
        <v>23</v>
      </c>
      <c r="L2430" s="1">
        <v>35.314666699999997</v>
      </c>
      <c r="M2430" s="1">
        <v>0</v>
      </c>
    </row>
    <row r="2431" spans="4:13">
      <c r="D2431" s="1" t="s">
        <v>1400</v>
      </c>
      <c r="E2431" s="1" t="s">
        <v>1393</v>
      </c>
      <c r="H2431" s="1" t="s">
        <v>63</v>
      </c>
      <c r="I2431" s="1" t="s">
        <v>23</v>
      </c>
      <c r="M2431" s="1">
        <v>150</v>
      </c>
    </row>
    <row r="2432" spans="4:13">
      <c r="D2432" s="1" t="s">
        <v>1400</v>
      </c>
      <c r="E2432" s="1" t="s">
        <v>1394</v>
      </c>
      <c r="H2432" s="1" t="s">
        <v>181</v>
      </c>
      <c r="I2432" s="1" t="s">
        <v>23</v>
      </c>
      <c r="J2432" s="1">
        <v>1</v>
      </c>
      <c r="K2432" s="1">
        <v>2</v>
      </c>
      <c r="M2432" s="1" t="s">
        <v>1395</v>
      </c>
    </row>
    <row r="2433" spans="4:13">
      <c r="D2433" s="1" t="s">
        <v>1462</v>
      </c>
      <c r="H2433" s="1" t="s">
        <v>25</v>
      </c>
      <c r="I2433" s="1" t="s">
        <v>23</v>
      </c>
      <c r="M2433" s="1" t="b">
        <v>0</v>
      </c>
    </row>
    <row r="2434" spans="4:13">
      <c r="D2434" s="1" t="s">
        <v>1463</v>
      </c>
      <c r="H2434" s="1" t="s">
        <v>22</v>
      </c>
      <c r="I2434" s="1" t="s">
        <v>23</v>
      </c>
      <c r="L2434" s="1">
        <v>1</v>
      </c>
      <c r="M2434" s="1">
        <v>0.92</v>
      </c>
    </row>
    <row r="2435" spans="4:13">
      <c r="D2435" s="1" t="s">
        <v>1464</v>
      </c>
      <c r="F2435" s="1" t="s">
        <v>41</v>
      </c>
      <c r="G2435" s="1" t="s">
        <v>42</v>
      </c>
      <c r="H2435" s="1" t="s">
        <v>22</v>
      </c>
      <c r="I2435" s="1" t="s">
        <v>23</v>
      </c>
      <c r="L2435" s="1">
        <v>1.8</v>
      </c>
      <c r="M2435" s="1">
        <v>9</v>
      </c>
    </row>
    <row r="2436" spans="4:13">
      <c r="D2436" s="1" t="s">
        <v>1465</v>
      </c>
      <c r="E2436" s="1" t="s">
        <v>1466</v>
      </c>
      <c r="H2436" s="1" t="s">
        <v>22</v>
      </c>
      <c r="I2436" s="1" t="s">
        <v>23</v>
      </c>
      <c r="L2436" s="1">
        <v>1</v>
      </c>
      <c r="M2436" s="1">
        <v>1.0214000000000001E-5</v>
      </c>
    </row>
    <row r="2437" spans="4:13">
      <c r="D2437" s="1" t="s">
        <v>1465</v>
      </c>
      <c r="E2437" s="1" t="s">
        <v>108</v>
      </c>
      <c r="F2437" s="1" t="s">
        <v>35</v>
      </c>
      <c r="G2437" s="1" t="s">
        <v>36</v>
      </c>
      <c r="H2437" s="1" t="s">
        <v>22</v>
      </c>
      <c r="I2437" s="1" t="s">
        <v>23</v>
      </c>
      <c r="J2437" s="1">
        <v>-459.67</v>
      </c>
      <c r="L2437" s="1">
        <v>80.329999999999984</v>
      </c>
      <c r="M2437" s="1">
        <v>49.999999999999943</v>
      </c>
    </row>
    <row r="2438" spans="4:13">
      <c r="D2438" s="1" t="s">
        <v>1465</v>
      </c>
      <c r="E2438" s="1" t="s">
        <v>111</v>
      </c>
      <c r="F2438" s="1" t="s">
        <v>56</v>
      </c>
      <c r="G2438" s="1" t="s">
        <v>57</v>
      </c>
      <c r="H2438" s="1" t="s">
        <v>22</v>
      </c>
      <c r="I2438" s="1" t="s">
        <v>23</v>
      </c>
      <c r="L2438" s="1">
        <v>1.4503773773020921E-4</v>
      </c>
      <c r="M2438" s="1">
        <v>7.2518868865104604E-3</v>
      </c>
    </row>
    <row r="2439" spans="4:13">
      <c r="D2439" s="1" t="s">
        <v>1465</v>
      </c>
      <c r="E2439" s="1" t="s">
        <v>47</v>
      </c>
      <c r="H2439" s="1" t="s">
        <v>25</v>
      </c>
      <c r="I2439" s="1" t="s">
        <v>23</v>
      </c>
      <c r="M2439" s="1" t="b">
        <v>0</v>
      </c>
    </row>
    <row r="2440" spans="4:13">
      <c r="D2440" s="1" t="s">
        <v>1465</v>
      </c>
      <c r="E2440" s="1" t="s">
        <v>1467</v>
      </c>
      <c r="H2440" s="1" t="s">
        <v>22</v>
      </c>
      <c r="I2440" s="1" t="s">
        <v>23</v>
      </c>
      <c r="L2440" s="1">
        <v>1</v>
      </c>
      <c r="M2440" s="1">
        <v>1.9381999999999999</v>
      </c>
    </row>
    <row r="2441" spans="4:13">
      <c r="D2441" s="1" t="s">
        <v>1465</v>
      </c>
      <c r="E2441" s="1" t="s">
        <v>112</v>
      </c>
      <c r="F2441" s="1" t="s">
        <v>56</v>
      </c>
      <c r="G2441" s="1" t="s">
        <v>57</v>
      </c>
      <c r="H2441" s="1" t="s">
        <v>22</v>
      </c>
      <c r="I2441" s="1" t="s">
        <v>29</v>
      </c>
      <c r="J2441" s="1">
        <v>4.9312830828271128</v>
      </c>
      <c r="K2441" s="1">
        <v>623.66227223989961</v>
      </c>
      <c r="L2441" s="1">
        <v>50.713895374744951</v>
      </c>
    </row>
    <row r="2442" spans="4:13">
      <c r="D2442" s="1" t="s">
        <v>1465</v>
      </c>
      <c r="E2442" s="1" t="s">
        <v>62</v>
      </c>
      <c r="H2442" s="1" t="s">
        <v>63</v>
      </c>
      <c r="I2442" s="1" t="s">
        <v>23</v>
      </c>
      <c r="M2442" s="1">
        <v>1</v>
      </c>
    </row>
    <row r="2443" spans="4:13">
      <c r="D2443" s="1" t="s">
        <v>1468</v>
      </c>
      <c r="E2443" s="1" t="s">
        <v>1469</v>
      </c>
      <c r="F2443" s="1" t="s">
        <v>1041</v>
      </c>
      <c r="G2443" s="1" t="s">
        <v>1042</v>
      </c>
      <c r="H2443" s="1" t="s">
        <v>22</v>
      </c>
      <c r="I2443" s="1" t="s">
        <v>23</v>
      </c>
      <c r="L2443" s="1">
        <v>0.17611018362408509</v>
      </c>
      <c r="M2443" s="1">
        <v>0</v>
      </c>
    </row>
    <row r="2444" spans="4:13">
      <c r="D2444" s="1" t="s">
        <v>1468</v>
      </c>
      <c r="E2444" s="1" t="s">
        <v>1470</v>
      </c>
      <c r="H2444" s="1" t="s">
        <v>22</v>
      </c>
      <c r="I2444" s="1" t="s">
        <v>23</v>
      </c>
      <c r="J2444" s="1">
        <v>0.5</v>
      </c>
      <c r="K2444" s="1">
        <v>2</v>
      </c>
      <c r="L2444" s="1">
        <v>1</v>
      </c>
      <c r="M2444" s="1">
        <v>1</v>
      </c>
    </row>
    <row r="2445" spans="4:13">
      <c r="D2445" s="1" t="s">
        <v>1468</v>
      </c>
      <c r="E2445" s="1" t="s">
        <v>1471</v>
      </c>
      <c r="F2445" s="1" t="s">
        <v>176</v>
      </c>
      <c r="G2445" s="1" t="s">
        <v>177</v>
      </c>
      <c r="H2445" s="1" t="s">
        <v>22</v>
      </c>
      <c r="I2445" s="1" t="s">
        <v>23</v>
      </c>
      <c r="J2445" s="1">
        <v>3.9370078740157466E-2</v>
      </c>
      <c r="K2445" s="1">
        <v>78.740157480314934</v>
      </c>
      <c r="L2445" s="1">
        <v>39.370078740157467</v>
      </c>
      <c r="M2445" s="1">
        <v>19.685039370078734</v>
      </c>
    </row>
    <row r="2446" spans="4:13">
      <c r="D2446" s="1" t="s">
        <v>1468</v>
      </c>
      <c r="E2446" s="1" t="s">
        <v>1472</v>
      </c>
      <c r="H2446" s="1" t="s">
        <v>25</v>
      </c>
      <c r="I2446" s="1" t="s">
        <v>23</v>
      </c>
      <c r="M2446" s="1" t="b">
        <v>0</v>
      </c>
    </row>
    <row r="2447" spans="4:13">
      <c r="D2447" s="1" t="s">
        <v>1468</v>
      </c>
      <c r="E2447" s="1" t="s">
        <v>1473</v>
      </c>
      <c r="F2447" s="1" t="s">
        <v>176</v>
      </c>
      <c r="G2447" s="1" t="s">
        <v>177</v>
      </c>
      <c r="H2447" s="1" t="s">
        <v>22</v>
      </c>
      <c r="I2447" s="1" t="s">
        <v>23</v>
      </c>
      <c r="J2447" s="1">
        <v>3.9370078740157466E-2</v>
      </c>
      <c r="K2447" s="1">
        <v>78.740157480314934</v>
      </c>
      <c r="L2447" s="1">
        <v>39.370078740157467</v>
      </c>
      <c r="M2447" s="1">
        <v>7.8740157480314936</v>
      </c>
    </row>
    <row r="2448" spans="4:13">
      <c r="D2448" s="1" t="s">
        <v>1468</v>
      </c>
      <c r="E2448" s="1" t="s">
        <v>1474</v>
      </c>
      <c r="H2448" s="1" t="s">
        <v>25</v>
      </c>
      <c r="I2448" s="1" t="s">
        <v>23</v>
      </c>
      <c r="M2448" s="1" t="b">
        <v>0</v>
      </c>
    </row>
    <row r="2449" spans="4:13">
      <c r="D2449" s="1" t="s">
        <v>1468</v>
      </c>
      <c r="E2449" s="1" t="s">
        <v>47</v>
      </c>
      <c r="H2449" s="1" t="s">
        <v>25</v>
      </c>
      <c r="I2449" s="1" t="s">
        <v>23</v>
      </c>
      <c r="M2449" s="1" t="b">
        <v>0</v>
      </c>
    </row>
    <row r="2450" spans="4:13">
      <c r="D2450" s="1" t="s">
        <v>1468</v>
      </c>
      <c r="E2450" s="1" t="s">
        <v>1475</v>
      </c>
      <c r="H2450" s="1" t="s">
        <v>25</v>
      </c>
      <c r="I2450" s="1" t="s">
        <v>23</v>
      </c>
      <c r="M2450" s="1" t="b">
        <v>1</v>
      </c>
    </row>
    <row r="2451" spans="4:13">
      <c r="D2451" s="1" t="s">
        <v>1468</v>
      </c>
      <c r="E2451" s="1" t="s">
        <v>1476</v>
      </c>
      <c r="F2451" s="1" t="s">
        <v>176</v>
      </c>
      <c r="G2451" s="1" t="s">
        <v>177</v>
      </c>
      <c r="H2451" s="1" t="s">
        <v>22</v>
      </c>
      <c r="I2451" s="1" t="s">
        <v>23</v>
      </c>
      <c r="J2451" s="1">
        <v>3.9370078740157466E-2</v>
      </c>
      <c r="L2451" s="1">
        <v>39.370078740157467</v>
      </c>
      <c r="M2451" s="1">
        <v>3.9370078740157468</v>
      </c>
    </row>
    <row r="2452" spans="4:13">
      <c r="D2452" s="1" t="s">
        <v>1468</v>
      </c>
      <c r="E2452" s="1" t="s">
        <v>1477</v>
      </c>
      <c r="F2452" s="1" t="s">
        <v>45</v>
      </c>
      <c r="G2452" s="1" t="s">
        <v>46</v>
      </c>
      <c r="H2452" s="1" t="s">
        <v>22</v>
      </c>
      <c r="I2452" s="1" t="s">
        <v>29</v>
      </c>
      <c r="J2452" s="1">
        <v>-6.3932502128443591</v>
      </c>
      <c r="K2452" s="1">
        <v>358.61435929656</v>
      </c>
      <c r="L2452" s="1">
        <v>114.79148749423418</v>
      </c>
    </row>
    <row r="2453" spans="4:13">
      <c r="D2453" s="1" t="s">
        <v>1468</v>
      </c>
      <c r="E2453" s="1" t="s">
        <v>1478</v>
      </c>
      <c r="F2453" s="1" t="s">
        <v>56</v>
      </c>
      <c r="G2453" s="1" t="s">
        <v>57</v>
      </c>
      <c r="H2453" s="1" t="s">
        <v>22</v>
      </c>
      <c r="I2453" s="1" t="s">
        <v>29</v>
      </c>
      <c r="J2453" s="1">
        <v>4.9312830828271128</v>
      </c>
      <c r="K2453" s="1">
        <v>623.66227223989961</v>
      </c>
      <c r="L2453" s="1">
        <v>50.713895374744951</v>
      </c>
    </row>
    <row r="2454" spans="4:13">
      <c r="D2454" s="1" t="s">
        <v>1468</v>
      </c>
      <c r="E2454" s="1" t="s">
        <v>1479</v>
      </c>
      <c r="F2454" s="1" t="s">
        <v>52</v>
      </c>
      <c r="G2454" s="1" t="s">
        <v>53</v>
      </c>
      <c r="H2454" s="1" t="s">
        <v>22</v>
      </c>
      <c r="I2454" s="1" t="s">
        <v>29</v>
      </c>
      <c r="J2454" s="1">
        <v>-793664.14386555995</v>
      </c>
      <c r="K2454" s="1">
        <v>-7.9366414386555992E-3</v>
      </c>
      <c r="L2454" s="1">
        <v>7936.6414386555998</v>
      </c>
    </row>
    <row r="2455" spans="4:13">
      <c r="D2455" s="1" t="s">
        <v>1468</v>
      </c>
      <c r="E2455" s="1" t="s">
        <v>1480</v>
      </c>
      <c r="F2455" s="1" t="s">
        <v>52</v>
      </c>
      <c r="G2455" s="1" t="s">
        <v>53</v>
      </c>
      <c r="H2455" s="1" t="s">
        <v>22</v>
      </c>
      <c r="I2455" s="1" t="s">
        <v>29</v>
      </c>
      <c r="J2455" s="1">
        <v>-793664.14386555995</v>
      </c>
      <c r="K2455" s="1">
        <v>-7.9366414386555992E-3</v>
      </c>
      <c r="L2455" s="1">
        <v>7936.6414386555998</v>
      </c>
    </row>
    <row r="2456" spans="4:13">
      <c r="D2456" s="1" t="s">
        <v>1468</v>
      </c>
      <c r="E2456" s="1" t="s">
        <v>1481</v>
      </c>
      <c r="F2456" s="1" t="s">
        <v>118</v>
      </c>
      <c r="G2456" s="1" t="s">
        <v>119</v>
      </c>
      <c r="H2456" s="1" t="s">
        <v>22</v>
      </c>
      <c r="I2456" s="1" t="s">
        <v>23</v>
      </c>
      <c r="J2456" s="1">
        <v>0</v>
      </c>
      <c r="L2456" s="1">
        <v>2.20462262185</v>
      </c>
      <c r="M2456" s="1">
        <v>5.5115565546249998</v>
      </c>
    </row>
    <row r="2457" spans="4:13">
      <c r="D2457" s="1" t="s">
        <v>1468</v>
      </c>
      <c r="E2457" s="1" t="s">
        <v>1482</v>
      </c>
      <c r="H2457" s="1" t="s">
        <v>25</v>
      </c>
      <c r="I2457" s="1" t="s">
        <v>23</v>
      </c>
      <c r="M2457" s="1" t="b">
        <v>0</v>
      </c>
    </row>
    <row r="2458" spans="4:13">
      <c r="D2458" s="1" t="s">
        <v>1468</v>
      </c>
      <c r="E2458" s="1" t="s">
        <v>1081</v>
      </c>
      <c r="H2458" s="1" t="s">
        <v>22</v>
      </c>
      <c r="I2458" s="1" t="s">
        <v>23</v>
      </c>
      <c r="L2458" s="1">
        <v>1</v>
      </c>
      <c r="M2458" s="1">
        <v>0.5</v>
      </c>
    </row>
    <row r="2459" spans="4:13">
      <c r="D2459" s="1" t="s">
        <v>1468</v>
      </c>
      <c r="E2459" s="1" t="s">
        <v>1483</v>
      </c>
      <c r="H2459" s="1" t="s">
        <v>22</v>
      </c>
      <c r="I2459" s="1" t="s">
        <v>23</v>
      </c>
      <c r="L2459" s="1">
        <v>1</v>
      </c>
      <c r="M2459" s="1">
        <v>1E-10</v>
      </c>
    </row>
    <row r="2460" spans="4:13">
      <c r="D2460" s="1" t="s">
        <v>1468</v>
      </c>
      <c r="E2460" s="1" t="s">
        <v>1298</v>
      </c>
      <c r="F2460" s="1" t="s">
        <v>147</v>
      </c>
      <c r="G2460" s="1" t="s">
        <v>148</v>
      </c>
      <c r="H2460" s="1" t="s">
        <v>22</v>
      </c>
      <c r="I2460" s="1" t="s">
        <v>65</v>
      </c>
      <c r="L2460" s="1">
        <v>3.4121416351331</v>
      </c>
    </row>
    <row r="2461" spans="4:13">
      <c r="D2461" s="1" t="s">
        <v>1468</v>
      </c>
      <c r="E2461" s="1" t="s">
        <v>1484</v>
      </c>
      <c r="F2461" s="1" t="s">
        <v>35</v>
      </c>
      <c r="G2461" s="1" t="s">
        <v>36</v>
      </c>
      <c r="H2461" s="1" t="s">
        <v>22</v>
      </c>
      <c r="I2461" s="1" t="s">
        <v>65</v>
      </c>
      <c r="J2461" s="1">
        <v>-459.67</v>
      </c>
      <c r="L2461" s="1">
        <v>80.329999999999984</v>
      </c>
    </row>
    <row r="2462" spans="4:13">
      <c r="D2462" s="1" t="s">
        <v>1468</v>
      </c>
      <c r="E2462" s="1" t="s">
        <v>1485</v>
      </c>
      <c r="F2462" s="1" t="s">
        <v>35</v>
      </c>
      <c r="G2462" s="1" t="s">
        <v>36</v>
      </c>
      <c r="H2462" s="1" t="s">
        <v>22</v>
      </c>
      <c r="I2462" s="1" t="s">
        <v>65</v>
      </c>
      <c r="J2462" s="1">
        <v>-459.67</v>
      </c>
      <c r="L2462" s="1">
        <v>80.329999999999984</v>
      </c>
    </row>
    <row r="2463" spans="4:13">
      <c r="D2463" s="1" t="s">
        <v>1468</v>
      </c>
      <c r="E2463" s="1" t="s">
        <v>1486</v>
      </c>
      <c r="F2463" s="1" t="s">
        <v>124</v>
      </c>
      <c r="G2463" s="1" t="s">
        <v>125</v>
      </c>
      <c r="H2463" s="1" t="s">
        <v>22</v>
      </c>
      <c r="I2463" s="1" t="s">
        <v>65</v>
      </c>
      <c r="L2463" s="1">
        <v>35.314666699999997</v>
      </c>
    </row>
    <row r="2464" spans="4:13">
      <c r="D2464" s="1" t="s">
        <v>1468</v>
      </c>
      <c r="E2464" s="1" t="s">
        <v>1487</v>
      </c>
      <c r="F2464" s="1" t="s">
        <v>124</v>
      </c>
      <c r="G2464" s="1" t="s">
        <v>125</v>
      </c>
      <c r="H2464" s="1" t="s">
        <v>22</v>
      </c>
      <c r="I2464" s="1" t="s">
        <v>65</v>
      </c>
      <c r="L2464" s="1">
        <v>35.314666699999997</v>
      </c>
    </row>
    <row r="2465" spans="4:13">
      <c r="D2465" s="1" t="s">
        <v>1468</v>
      </c>
      <c r="E2465" s="1" t="s">
        <v>1448</v>
      </c>
      <c r="H2465" s="1" t="s">
        <v>22</v>
      </c>
      <c r="I2465" s="1" t="s">
        <v>120</v>
      </c>
      <c r="L2465" s="1">
        <v>1</v>
      </c>
    </row>
    <row r="2466" spans="4:13">
      <c r="D2466" s="1" t="s">
        <v>1468</v>
      </c>
      <c r="E2466" s="1" t="s">
        <v>68</v>
      </c>
      <c r="F2466" s="1" t="s">
        <v>45</v>
      </c>
      <c r="G2466" s="1" t="s">
        <v>46</v>
      </c>
      <c r="H2466" s="1" t="s">
        <v>22</v>
      </c>
      <c r="I2466" s="1" t="s">
        <v>65</v>
      </c>
      <c r="L2466" s="1">
        <v>4.2992261378713571E-4</v>
      </c>
    </row>
    <row r="2467" spans="4:13">
      <c r="D2467" s="1" t="s">
        <v>1468</v>
      </c>
      <c r="E2467" s="1" t="s">
        <v>69</v>
      </c>
      <c r="H2467" s="1" t="s">
        <v>25</v>
      </c>
      <c r="I2467" s="1" t="s">
        <v>70</v>
      </c>
    </row>
    <row r="2468" spans="4:13">
      <c r="D2468" s="1" t="s">
        <v>1468</v>
      </c>
      <c r="E2468" s="1" t="s">
        <v>1450</v>
      </c>
      <c r="F2468" s="1" t="s">
        <v>176</v>
      </c>
      <c r="G2468" s="1" t="s">
        <v>177</v>
      </c>
      <c r="H2468" s="1" t="s">
        <v>22</v>
      </c>
      <c r="I2468" s="1" t="s">
        <v>65</v>
      </c>
      <c r="J2468" s="1">
        <v>0</v>
      </c>
      <c r="L2468" s="1">
        <v>39.370078740157467</v>
      </c>
    </row>
    <row r="2469" spans="4:13">
      <c r="D2469" s="1" t="s">
        <v>1468</v>
      </c>
      <c r="E2469" s="1" t="s">
        <v>117</v>
      </c>
      <c r="F2469" s="1" t="s">
        <v>118</v>
      </c>
      <c r="G2469" s="1" t="s">
        <v>119</v>
      </c>
      <c r="H2469" s="1" t="s">
        <v>22</v>
      </c>
      <c r="I2469" s="1" t="s">
        <v>65</v>
      </c>
      <c r="J2469" s="1">
        <v>0</v>
      </c>
      <c r="L2469" s="1">
        <v>2.20462262185</v>
      </c>
    </row>
    <row r="2470" spans="4:13">
      <c r="D2470" s="1" t="s">
        <v>1468</v>
      </c>
      <c r="E2470" s="1" t="s">
        <v>1488</v>
      </c>
      <c r="H2470" s="1" t="s">
        <v>22</v>
      </c>
      <c r="I2470" s="1" t="s">
        <v>65</v>
      </c>
      <c r="L2470" s="1">
        <v>1</v>
      </c>
    </row>
    <row r="2471" spans="4:13">
      <c r="D2471" s="1" t="s">
        <v>1468</v>
      </c>
      <c r="E2471" s="1" t="s">
        <v>123</v>
      </c>
      <c r="F2471" s="1" t="s">
        <v>124</v>
      </c>
      <c r="G2471" s="1" t="s">
        <v>125</v>
      </c>
      <c r="H2471" s="1" t="s">
        <v>22</v>
      </c>
      <c r="I2471" s="1" t="s">
        <v>70</v>
      </c>
      <c r="L2471" s="1">
        <v>35.314666699999997</v>
      </c>
    </row>
    <row r="2472" spans="4:13">
      <c r="D2472" s="1" t="s">
        <v>1468</v>
      </c>
      <c r="E2472" s="1" t="s">
        <v>77</v>
      </c>
      <c r="H2472" s="1" t="s">
        <v>22</v>
      </c>
      <c r="I2472" s="1" t="s">
        <v>65</v>
      </c>
      <c r="L2472" s="1">
        <v>1</v>
      </c>
    </row>
    <row r="2473" spans="4:13">
      <c r="D2473" s="1" t="s">
        <v>1489</v>
      </c>
      <c r="E2473" s="1" t="s">
        <v>1490</v>
      </c>
      <c r="F2473" s="1" t="s">
        <v>35</v>
      </c>
      <c r="G2473" s="1" t="s">
        <v>36</v>
      </c>
      <c r="H2473" s="1" t="s">
        <v>22</v>
      </c>
      <c r="I2473" s="1" t="s">
        <v>23</v>
      </c>
      <c r="J2473" s="1">
        <v>-459.67</v>
      </c>
      <c r="L2473" s="1">
        <v>80.329999999999984</v>
      </c>
      <c r="M2473" s="1">
        <v>94.999999999999943</v>
      </c>
    </row>
    <row r="2474" spans="4:13">
      <c r="D2474" s="1" t="s">
        <v>1489</v>
      </c>
      <c r="E2474" s="1" t="s">
        <v>1491</v>
      </c>
      <c r="F2474" s="1" t="s">
        <v>147</v>
      </c>
      <c r="G2474" s="1" t="s">
        <v>148</v>
      </c>
      <c r="H2474" s="1" t="s">
        <v>22</v>
      </c>
      <c r="I2474" s="1" t="s">
        <v>23</v>
      </c>
      <c r="L2474" s="1">
        <v>3.4121416351331</v>
      </c>
      <c r="M2474" s="1">
        <v>5400225.9588434007</v>
      </c>
    </row>
    <row r="2475" spans="4:13">
      <c r="D2475" s="1" t="s">
        <v>1489</v>
      </c>
      <c r="E2475" s="1" t="s">
        <v>1492</v>
      </c>
      <c r="F2475" s="1" t="s">
        <v>1493</v>
      </c>
      <c r="G2475" s="1" t="s">
        <v>1494</v>
      </c>
      <c r="H2475" s="1" t="s">
        <v>22</v>
      </c>
      <c r="I2475" s="1" t="s">
        <v>23</v>
      </c>
      <c r="L2475" s="1">
        <v>3.280839895013123</v>
      </c>
      <c r="M2475" s="1">
        <v>32.174048556430442</v>
      </c>
    </row>
    <row r="2476" spans="4:13">
      <c r="D2476" s="1" t="s">
        <v>1489</v>
      </c>
      <c r="E2476" s="1" t="s">
        <v>1495</v>
      </c>
      <c r="F2476" s="1" t="s">
        <v>56</v>
      </c>
      <c r="G2476" s="1" t="s">
        <v>57</v>
      </c>
      <c r="H2476" s="1" t="s">
        <v>22</v>
      </c>
      <c r="I2476" s="1" t="s">
        <v>23</v>
      </c>
      <c r="J2476" s="1">
        <v>0</v>
      </c>
      <c r="L2476" s="1">
        <v>14.503773773020921</v>
      </c>
      <c r="M2476" s="1">
        <v>14.695948775513449</v>
      </c>
    </row>
    <row r="2477" spans="4:13">
      <c r="D2477" s="1" t="s">
        <v>1489</v>
      </c>
      <c r="E2477" s="1" t="s">
        <v>1496</v>
      </c>
      <c r="H2477" s="1" t="s">
        <v>181</v>
      </c>
      <c r="I2477" s="1" t="s">
        <v>23</v>
      </c>
      <c r="J2477" s="1">
        <v>1</v>
      </c>
      <c r="K2477" s="1">
        <v>2</v>
      </c>
      <c r="M2477" s="1" t="s">
        <v>1497</v>
      </c>
    </row>
    <row r="2478" spans="4:13">
      <c r="D2478" s="1" t="s">
        <v>1489</v>
      </c>
      <c r="E2478" s="1" t="s">
        <v>1498</v>
      </c>
      <c r="H2478" s="1" t="s">
        <v>181</v>
      </c>
      <c r="I2478" s="1" t="s">
        <v>23</v>
      </c>
      <c r="J2478" s="1">
        <v>1</v>
      </c>
      <c r="K2478" s="1">
        <v>2</v>
      </c>
      <c r="M2478" s="1" t="s">
        <v>1499</v>
      </c>
    </row>
    <row r="2479" spans="4:13">
      <c r="D2479" s="1" t="s">
        <v>1500</v>
      </c>
      <c r="H2479" s="1" t="s">
        <v>25</v>
      </c>
      <c r="I2479" s="1" t="s">
        <v>23</v>
      </c>
      <c r="M2479" s="1" t="b">
        <v>1</v>
      </c>
    </row>
    <row r="2480" spans="4:13">
      <c r="D2480" s="1" t="s">
        <v>1474</v>
      </c>
      <c r="H2480" s="1" t="s">
        <v>25</v>
      </c>
      <c r="I2480" s="1" t="s">
        <v>23</v>
      </c>
      <c r="M2480" s="1" t="b">
        <v>0</v>
      </c>
    </row>
    <row r="2481" spans="4:13">
      <c r="D2481" s="1" t="s">
        <v>1501</v>
      </c>
      <c r="H2481" s="1" t="s">
        <v>25</v>
      </c>
      <c r="I2481" s="1" t="s">
        <v>23</v>
      </c>
      <c r="M2481" s="1" t="b">
        <v>0</v>
      </c>
    </row>
    <row r="2482" spans="4:13">
      <c r="D2482" s="1" t="s">
        <v>1502</v>
      </c>
      <c r="H2482" s="1" t="s">
        <v>25</v>
      </c>
      <c r="I2482" s="1" t="s">
        <v>23</v>
      </c>
      <c r="M2482" s="1" t="b">
        <v>1</v>
      </c>
    </row>
    <row r="2483" spans="4:13">
      <c r="D2483" s="1" t="s">
        <v>1503</v>
      </c>
      <c r="H2483" s="1" t="s">
        <v>25</v>
      </c>
      <c r="I2483" s="1" t="s">
        <v>23</v>
      </c>
      <c r="M2483" s="1" t="b">
        <v>1</v>
      </c>
    </row>
    <row r="2484" spans="4:13">
      <c r="D2484" s="1" t="s">
        <v>1504</v>
      </c>
      <c r="H2484" s="1" t="s">
        <v>25</v>
      </c>
      <c r="I2484" s="1" t="s">
        <v>23</v>
      </c>
      <c r="M2484" s="1" t="b">
        <v>1</v>
      </c>
    </row>
    <row r="2485" spans="4:13">
      <c r="D2485" s="1" t="s">
        <v>1505</v>
      </c>
      <c r="H2485" s="1" t="s">
        <v>25</v>
      </c>
      <c r="I2485" s="1" t="s">
        <v>23</v>
      </c>
      <c r="M2485" s="1" t="b">
        <v>0</v>
      </c>
    </row>
    <row r="2486" spans="4:13">
      <c r="D2486" s="1" t="s">
        <v>1506</v>
      </c>
      <c r="E2486" s="1" t="s">
        <v>47</v>
      </c>
      <c r="H2486" s="1" t="s">
        <v>25</v>
      </c>
      <c r="I2486" s="1" t="s">
        <v>23</v>
      </c>
      <c r="M2486" s="1" t="b">
        <v>0</v>
      </c>
    </row>
    <row r="2487" spans="4:13">
      <c r="D2487" s="1" t="s">
        <v>1506</v>
      </c>
      <c r="E2487" s="1" t="s">
        <v>1507</v>
      </c>
      <c r="H2487" s="1" t="s">
        <v>25</v>
      </c>
      <c r="I2487" s="1" t="s">
        <v>23</v>
      </c>
      <c r="M2487" s="1" t="b">
        <v>0</v>
      </c>
    </row>
    <row r="2488" spans="4:13">
      <c r="D2488" s="1" t="s">
        <v>1506</v>
      </c>
      <c r="E2488" s="1" t="s">
        <v>1508</v>
      </c>
      <c r="H2488" s="1" t="s">
        <v>25</v>
      </c>
      <c r="I2488" s="1" t="s">
        <v>23</v>
      </c>
      <c r="M2488" s="1" t="b">
        <v>0</v>
      </c>
    </row>
    <row r="2489" spans="4:13">
      <c r="D2489" s="1" t="s">
        <v>1506</v>
      </c>
      <c r="E2489" s="1" t="s">
        <v>62</v>
      </c>
      <c r="H2489" s="1" t="s">
        <v>63</v>
      </c>
      <c r="I2489" s="1" t="s">
        <v>23</v>
      </c>
      <c r="M2489" s="1">
        <v>1</v>
      </c>
    </row>
    <row r="2490" spans="4:13">
      <c r="D2490" s="1" t="s">
        <v>1509</v>
      </c>
      <c r="E2490" s="1" t="s">
        <v>47</v>
      </c>
      <c r="H2490" s="1" t="s">
        <v>25</v>
      </c>
      <c r="I2490" s="1" t="s">
        <v>23</v>
      </c>
      <c r="M2490" s="1" t="b">
        <v>0</v>
      </c>
    </row>
    <row r="2491" spans="4:13">
      <c r="D2491" s="1" t="s">
        <v>1509</v>
      </c>
      <c r="E2491" s="1" t="s">
        <v>1507</v>
      </c>
      <c r="H2491" s="1" t="s">
        <v>25</v>
      </c>
      <c r="I2491" s="1" t="s">
        <v>23</v>
      </c>
      <c r="M2491" s="1" t="b">
        <v>0</v>
      </c>
    </row>
    <row r="2492" spans="4:13">
      <c r="D2492" s="1" t="s">
        <v>1509</v>
      </c>
      <c r="E2492" s="1" t="s">
        <v>1508</v>
      </c>
      <c r="H2492" s="1" t="s">
        <v>25</v>
      </c>
      <c r="I2492" s="1" t="s">
        <v>23</v>
      </c>
      <c r="M2492" s="1" t="b">
        <v>0</v>
      </c>
    </row>
    <row r="2493" spans="4:13">
      <c r="D2493" s="1" t="s">
        <v>1509</v>
      </c>
      <c r="E2493" s="1" t="s">
        <v>62</v>
      </c>
      <c r="H2493" s="1" t="s">
        <v>63</v>
      </c>
      <c r="I2493" s="1" t="s">
        <v>23</v>
      </c>
      <c r="M2493" s="1">
        <v>1</v>
      </c>
    </row>
    <row r="2494" spans="4:13">
      <c r="D2494" s="1" t="s">
        <v>1510</v>
      </c>
      <c r="E2494" s="1" t="s">
        <v>47</v>
      </c>
      <c r="H2494" s="1" t="s">
        <v>25</v>
      </c>
      <c r="I2494" s="1" t="s">
        <v>23</v>
      </c>
      <c r="M2494" s="1" t="b">
        <v>0</v>
      </c>
    </row>
    <row r="2495" spans="4:13">
      <c r="D2495" s="1" t="s">
        <v>1510</v>
      </c>
      <c r="E2495" s="1" t="s">
        <v>1507</v>
      </c>
      <c r="H2495" s="1" t="s">
        <v>25</v>
      </c>
      <c r="I2495" s="1" t="s">
        <v>23</v>
      </c>
      <c r="M2495" s="1" t="b">
        <v>0</v>
      </c>
    </row>
    <row r="2496" spans="4:13">
      <c r="D2496" s="1" t="s">
        <v>1510</v>
      </c>
      <c r="E2496" s="1" t="s">
        <v>1508</v>
      </c>
      <c r="H2496" s="1" t="s">
        <v>25</v>
      </c>
      <c r="I2496" s="1" t="s">
        <v>23</v>
      </c>
      <c r="M2496" s="1" t="b">
        <v>0</v>
      </c>
    </row>
    <row r="2497" spans="4:13">
      <c r="D2497" s="1" t="s">
        <v>1510</v>
      </c>
      <c r="E2497" s="1" t="s">
        <v>62</v>
      </c>
      <c r="H2497" s="1" t="s">
        <v>63</v>
      </c>
      <c r="I2497" s="1" t="s">
        <v>23</v>
      </c>
      <c r="M2497" s="1">
        <v>1</v>
      </c>
    </row>
    <row r="2498" spans="4:13">
      <c r="D2498" s="1" t="s">
        <v>1511</v>
      </c>
      <c r="E2498" s="1" t="s">
        <v>47</v>
      </c>
      <c r="H2498" s="1" t="s">
        <v>25</v>
      </c>
      <c r="I2498" s="1" t="s">
        <v>23</v>
      </c>
      <c r="M2498" s="1" t="b">
        <v>0</v>
      </c>
    </row>
    <row r="2499" spans="4:13">
      <c r="D2499" s="1" t="s">
        <v>1511</v>
      </c>
      <c r="E2499" s="1" t="s">
        <v>1507</v>
      </c>
      <c r="H2499" s="1" t="s">
        <v>25</v>
      </c>
      <c r="I2499" s="1" t="s">
        <v>23</v>
      </c>
      <c r="M2499" s="1" t="b">
        <v>0</v>
      </c>
    </row>
    <row r="2500" spans="4:13">
      <c r="D2500" s="1" t="s">
        <v>1511</v>
      </c>
      <c r="E2500" s="1" t="s">
        <v>1508</v>
      </c>
      <c r="H2500" s="1" t="s">
        <v>25</v>
      </c>
      <c r="I2500" s="1" t="s">
        <v>23</v>
      </c>
      <c r="M2500" s="1" t="b">
        <v>0</v>
      </c>
    </row>
    <row r="2501" spans="4:13">
      <c r="D2501" s="1" t="s">
        <v>1511</v>
      </c>
      <c r="E2501" s="1" t="s">
        <v>62</v>
      </c>
      <c r="H2501" s="1" t="s">
        <v>63</v>
      </c>
      <c r="I2501" s="1" t="s">
        <v>23</v>
      </c>
      <c r="M2501" s="1">
        <v>1</v>
      </c>
    </row>
    <row r="2502" spans="4:13">
      <c r="D2502" s="1" t="s">
        <v>1512</v>
      </c>
      <c r="E2502" s="1" t="s">
        <v>1513</v>
      </c>
      <c r="H2502" s="1" t="s">
        <v>25</v>
      </c>
      <c r="I2502" s="1" t="s">
        <v>23</v>
      </c>
      <c r="M2502" s="1" t="b">
        <v>1</v>
      </c>
    </row>
    <row r="2503" spans="4:13">
      <c r="D2503" s="1" t="s">
        <v>1512</v>
      </c>
      <c r="E2503" s="1" t="s">
        <v>871</v>
      </c>
      <c r="H2503" s="1" t="s">
        <v>25</v>
      </c>
      <c r="I2503" s="1" t="s">
        <v>23</v>
      </c>
      <c r="M2503" s="1" t="b">
        <v>0</v>
      </c>
    </row>
    <row r="2504" spans="4:13">
      <c r="D2504" s="1" t="s">
        <v>1512</v>
      </c>
      <c r="E2504" s="1" t="s">
        <v>872</v>
      </c>
      <c r="F2504" s="1" t="s">
        <v>147</v>
      </c>
      <c r="G2504" s="1" t="s">
        <v>148</v>
      </c>
      <c r="H2504" s="1" t="s">
        <v>22</v>
      </c>
      <c r="I2504" s="1" t="s">
        <v>23</v>
      </c>
      <c r="J2504" s="1">
        <v>0</v>
      </c>
      <c r="K2504" s="1">
        <v>34121416.351331003</v>
      </c>
      <c r="L2504" s="1">
        <v>3.4121416351331</v>
      </c>
      <c r="M2504" s="1">
        <v>1706.07081756655</v>
      </c>
    </row>
    <row r="2505" spans="4:13">
      <c r="D2505" s="1" t="s">
        <v>1512</v>
      </c>
      <c r="E2505" s="1" t="s">
        <v>1514</v>
      </c>
      <c r="H2505" s="1" t="s">
        <v>25</v>
      </c>
      <c r="I2505" s="1" t="s">
        <v>23</v>
      </c>
      <c r="M2505" s="1" t="b">
        <v>1</v>
      </c>
    </row>
    <row r="2506" spans="4:13">
      <c r="D2506" s="1" t="s">
        <v>1512</v>
      </c>
      <c r="E2506" s="1" t="s">
        <v>1515</v>
      </c>
      <c r="F2506" s="1" t="s">
        <v>147</v>
      </c>
      <c r="G2506" s="1" t="s">
        <v>148</v>
      </c>
      <c r="H2506" s="1" t="s">
        <v>22</v>
      </c>
      <c r="I2506" s="1" t="s">
        <v>23</v>
      </c>
      <c r="J2506" s="1">
        <v>0</v>
      </c>
      <c r="K2506" s="1">
        <v>34121416351.331001</v>
      </c>
      <c r="L2506" s="1">
        <v>3.4121416351331</v>
      </c>
      <c r="M2506" s="1">
        <v>0</v>
      </c>
    </row>
    <row r="2507" spans="4:13">
      <c r="D2507" s="1" t="s">
        <v>1512</v>
      </c>
      <c r="E2507" s="1" t="s">
        <v>1516</v>
      </c>
      <c r="F2507" s="1" t="s">
        <v>1517</v>
      </c>
      <c r="G2507" s="1" t="s">
        <v>1517</v>
      </c>
      <c r="H2507" s="1" t="s">
        <v>22</v>
      </c>
      <c r="I2507" s="1" t="s">
        <v>23</v>
      </c>
      <c r="J2507" s="1">
        <v>0</v>
      </c>
      <c r="K2507" s="1">
        <v>1000</v>
      </c>
      <c r="L2507" s="1">
        <v>1</v>
      </c>
      <c r="M2507" s="1">
        <v>460</v>
      </c>
    </row>
    <row r="2508" spans="4:13">
      <c r="D2508" s="1" t="s">
        <v>1512</v>
      </c>
      <c r="E2508" s="1" t="s">
        <v>906</v>
      </c>
      <c r="H2508" s="1" t="s">
        <v>22</v>
      </c>
      <c r="I2508" s="1" t="s">
        <v>23</v>
      </c>
      <c r="J2508" s="1">
        <v>0.5</v>
      </c>
      <c r="K2508" s="1">
        <v>2</v>
      </c>
      <c r="L2508" s="1">
        <v>1</v>
      </c>
      <c r="M2508" s="1">
        <v>1</v>
      </c>
    </row>
    <row r="2509" spans="4:13">
      <c r="D2509" s="1" t="s">
        <v>1512</v>
      </c>
      <c r="E2509" s="1" t="s">
        <v>907</v>
      </c>
      <c r="H2509" s="1" t="s">
        <v>25</v>
      </c>
      <c r="I2509" s="1" t="s">
        <v>23</v>
      </c>
      <c r="M2509" s="1" t="b">
        <v>1</v>
      </c>
    </row>
    <row r="2510" spans="4:13">
      <c r="D2510" s="1" t="s">
        <v>1512</v>
      </c>
      <c r="E2510" s="1" t="s">
        <v>914</v>
      </c>
      <c r="H2510" s="1" t="s">
        <v>22</v>
      </c>
      <c r="I2510" s="1" t="s">
        <v>29</v>
      </c>
      <c r="J2510" s="1">
        <v>0.1</v>
      </c>
      <c r="K2510" s="1">
        <v>10</v>
      </c>
      <c r="L2510" s="1">
        <v>5.05</v>
      </c>
    </row>
    <row r="2511" spans="4:13">
      <c r="D2511" s="1" t="s">
        <v>1512</v>
      </c>
      <c r="E2511" s="1" t="s">
        <v>1518</v>
      </c>
      <c r="H2511" s="1" t="s">
        <v>22</v>
      </c>
      <c r="I2511" s="1" t="s">
        <v>29</v>
      </c>
      <c r="J2511" s="1">
        <v>9.9999999999999995E-7</v>
      </c>
      <c r="K2511" s="1">
        <v>1000000</v>
      </c>
      <c r="L2511" s="1">
        <v>13500</v>
      </c>
    </row>
    <row r="2512" spans="4:13">
      <c r="D2512" s="1" t="s">
        <v>1512</v>
      </c>
      <c r="E2512" s="1" t="s">
        <v>1519</v>
      </c>
      <c r="H2512" s="1" t="s">
        <v>25</v>
      </c>
      <c r="I2512" s="1" t="s">
        <v>23</v>
      </c>
      <c r="M2512" s="1" t="b">
        <v>1</v>
      </c>
    </row>
    <row r="2513" spans="4:13">
      <c r="D2513" s="1" t="s">
        <v>1512</v>
      </c>
      <c r="E2513" s="1" t="s">
        <v>1520</v>
      </c>
      <c r="H2513" s="1" t="s">
        <v>22</v>
      </c>
      <c r="I2513" s="1" t="s">
        <v>23</v>
      </c>
      <c r="J2513" s="1">
        <v>0</v>
      </c>
      <c r="K2513" s="1">
        <v>1</v>
      </c>
      <c r="L2513" s="1">
        <v>1</v>
      </c>
      <c r="M2513" s="1">
        <v>0.95779999999999998</v>
      </c>
    </row>
    <row r="2514" spans="4:13">
      <c r="D2514" s="1" t="s">
        <v>1512</v>
      </c>
      <c r="E2514" s="1" t="s">
        <v>47</v>
      </c>
      <c r="H2514" s="1" t="s">
        <v>25</v>
      </c>
      <c r="I2514" s="1" t="s">
        <v>23</v>
      </c>
      <c r="M2514" s="1" t="b">
        <v>0</v>
      </c>
    </row>
    <row r="2515" spans="4:13">
      <c r="D2515" s="1" t="s">
        <v>1512</v>
      </c>
      <c r="E2515" s="1" t="s">
        <v>920</v>
      </c>
      <c r="H2515" s="1" t="s">
        <v>22</v>
      </c>
      <c r="I2515" s="1" t="s">
        <v>23</v>
      </c>
      <c r="J2515" s="1">
        <v>-1</v>
      </c>
      <c r="K2515" s="1">
        <v>1</v>
      </c>
      <c r="L2515" s="1">
        <v>1</v>
      </c>
      <c r="M2515" s="1">
        <v>0</v>
      </c>
    </row>
    <row r="2516" spans="4:13">
      <c r="D2516" s="1" t="s">
        <v>1512</v>
      </c>
      <c r="E2516" s="1" t="s">
        <v>921</v>
      </c>
      <c r="H2516" s="1" t="s">
        <v>22</v>
      </c>
      <c r="I2516" s="1" t="s">
        <v>23</v>
      </c>
      <c r="J2516" s="1">
        <v>0</v>
      </c>
      <c r="K2516" s="1">
        <v>1</v>
      </c>
      <c r="L2516" s="1">
        <v>1</v>
      </c>
      <c r="M2516" s="1">
        <v>0</v>
      </c>
    </row>
    <row r="2517" spans="4:13">
      <c r="D2517" s="1" t="s">
        <v>1512</v>
      </c>
      <c r="E2517" s="1" t="s">
        <v>1521</v>
      </c>
      <c r="H2517" s="1" t="s">
        <v>25</v>
      </c>
      <c r="I2517" s="1" t="s">
        <v>23</v>
      </c>
      <c r="M2517" s="1" t="b">
        <v>0</v>
      </c>
    </row>
    <row r="2518" spans="4:13">
      <c r="D2518" s="1" t="s">
        <v>1512</v>
      </c>
      <c r="E2518" s="1" t="s">
        <v>1522</v>
      </c>
      <c r="F2518" s="1" t="s">
        <v>147</v>
      </c>
      <c r="G2518" s="1" t="s">
        <v>148</v>
      </c>
      <c r="H2518" s="1" t="s">
        <v>22</v>
      </c>
      <c r="I2518" s="1" t="s">
        <v>23</v>
      </c>
      <c r="J2518" s="1">
        <v>0</v>
      </c>
      <c r="K2518" s="1">
        <v>34121416351.331001</v>
      </c>
      <c r="L2518" s="1">
        <v>3.4121416351331</v>
      </c>
      <c r="M2518" s="1">
        <v>1706070.8175665501</v>
      </c>
    </row>
    <row r="2519" spans="4:13">
      <c r="D2519" s="1" t="s">
        <v>1512</v>
      </c>
      <c r="E2519" s="1" t="s">
        <v>1523</v>
      </c>
      <c r="H2519" s="1" t="s">
        <v>22</v>
      </c>
      <c r="I2519" s="1" t="s">
        <v>29</v>
      </c>
      <c r="J2519" s="1">
        <v>0.01</v>
      </c>
      <c r="K2519" s="1">
        <v>100</v>
      </c>
      <c r="L2519" s="1">
        <v>50.005000000000003</v>
      </c>
    </row>
    <row r="2520" spans="4:13">
      <c r="D2520" s="1" t="s">
        <v>1512</v>
      </c>
      <c r="E2520" s="1" t="s">
        <v>1524</v>
      </c>
      <c r="H2520" s="1" t="s">
        <v>22</v>
      </c>
      <c r="I2520" s="1" t="s">
        <v>23</v>
      </c>
      <c r="J2520" s="1">
        <v>0</v>
      </c>
      <c r="K2520" s="1">
        <v>100</v>
      </c>
      <c r="L2520" s="1">
        <v>1</v>
      </c>
      <c r="M2520" s="1">
        <v>1</v>
      </c>
    </row>
    <row r="2521" spans="4:13">
      <c r="D2521" s="1" t="s">
        <v>1512</v>
      </c>
      <c r="E2521" s="1" t="s">
        <v>1525</v>
      </c>
      <c r="H2521" s="1" t="s">
        <v>25</v>
      </c>
      <c r="I2521" s="1" t="s">
        <v>23</v>
      </c>
      <c r="M2521" s="1" t="b">
        <v>1</v>
      </c>
    </row>
    <row r="2522" spans="4:13">
      <c r="D2522" s="1" t="s">
        <v>1512</v>
      </c>
      <c r="E2522" s="1" t="s">
        <v>949</v>
      </c>
      <c r="H2522" s="1" t="s">
        <v>181</v>
      </c>
      <c r="I2522" s="1" t="s">
        <v>23</v>
      </c>
      <c r="J2522" s="1">
        <v>1</v>
      </c>
      <c r="K2522" s="1">
        <v>26</v>
      </c>
      <c r="M2522" s="1" t="s">
        <v>1526</v>
      </c>
    </row>
    <row r="2523" spans="4:13">
      <c r="D2523" s="1" t="s">
        <v>1512</v>
      </c>
      <c r="E2523" s="1" t="s">
        <v>951</v>
      </c>
      <c r="H2523" s="1" t="s">
        <v>181</v>
      </c>
      <c r="I2523" s="1" t="s">
        <v>23</v>
      </c>
      <c r="J2523" s="1">
        <v>1</v>
      </c>
      <c r="K2523" s="1">
        <v>14</v>
      </c>
      <c r="M2523" s="1" t="s">
        <v>1527</v>
      </c>
    </row>
    <row r="2524" spans="4:13">
      <c r="D2524" s="1" t="s">
        <v>1512</v>
      </c>
      <c r="E2524" s="1" t="s">
        <v>1528</v>
      </c>
      <c r="H2524" s="1" t="s">
        <v>181</v>
      </c>
      <c r="I2524" s="1" t="s">
        <v>23</v>
      </c>
      <c r="J2524" s="1">
        <v>1</v>
      </c>
      <c r="K2524" s="1">
        <v>874</v>
      </c>
      <c r="M2524" s="1" t="s">
        <v>950</v>
      </c>
    </row>
    <row r="2525" spans="4:13">
      <c r="D2525" s="1" t="s">
        <v>1512</v>
      </c>
      <c r="E2525" s="1" t="s">
        <v>1529</v>
      </c>
      <c r="H2525" s="1" t="s">
        <v>25</v>
      </c>
      <c r="I2525" s="1" t="s">
        <v>23</v>
      </c>
      <c r="M2525" s="1" t="b">
        <v>0</v>
      </c>
    </row>
    <row r="2526" spans="4:13">
      <c r="D2526" s="1" t="s">
        <v>1512</v>
      </c>
      <c r="E2526" s="1" t="s">
        <v>1530</v>
      </c>
      <c r="F2526" s="1" t="s">
        <v>874</v>
      </c>
      <c r="G2526" s="1" t="s">
        <v>874</v>
      </c>
      <c r="H2526" s="1" t="s">
        <v>22</v>
      </c>
      <c r="I2526" s="1" t="s">
        <v>23</v>
      </c>
      <c r="J2526" s="1">
        <v>0</v>
      </c>
      <c r="K2526" s="1">
        <v>1000000</v>
      </c>
      <c r="L2526" s="1">
        <v>1</v>
      </c>
      <c r="M2526" s="1">
        <v>3000</v>
      </c>
    </row>
    <row r="2527" spans="4:13">
      <c r="D2527" s="1" t="s">
        <v>1512</v>
      </c>
      <c r="E2527" s="1" t="s">
        <v>1531</v>
      </c>
      <c r="F2527" s="1" t="s">
        <v>874</v>
      </c>
      <c r="G2527" s="1" t="s">
        <v>874</v>
      </c>
      <c r="H2527" s="1" t="s">
        <v>22</v>
      </c>
      <c r="I2527" s="1" t="s">
        <v>23</v>
      </c>
      <c r="J2527" s="1">
        <v>0</v>
      </c>
      <c r="K2527" s="1">
        <v>1000000</v>
      </c>
      <c r="L2527" s="1">
        <v>1</v>
      </c>
      <c r="M2527" s="1">
        <v>3000</v>
      </c>
    </row>
    <row r="2528" spans="4:13">
      <c r="D2528" s="1" t="s">
        <v>1512</v>
      </c>
      <c r="E2528" s="1" t="s">
        <v>1532</v>
      </c>
      <c r="F2528" s="1" t="s">
        <v>874</v>
      </c>
      <c r="G2528" s="1" t="s">
        <v>874</v>
      </c>
      <c r="H2528" s="1" t="s">
        <v>22</v>
      </c>
      <c r="I2528" s="1" t="s">
        <v>23</v>
      </c>
      <c r="J2528" s="1">
        <v>0</v>
      </c>
      <c r="K2528" s="1">
        <v>1000000</v>
      </c>
      <c r="L2528" s="1">
        <v>1</v>
      </c>
      <c r="M2528" s="1">
        <v>10000</v>
      </c>
    </row>
    <row r="2529" spans="4:12">
      <c r="D2529" s="1" t="s">
        <v>1512</v>
      </c>
      <c r="E2529" s="1" t="s">
        <v>1533</v>
      </c>
      <c r="F2529" s="1" t="s">
        <v>200</v>
      </c>
      <c r="G2529" s="1" t="s">
        <v>200</v>
      </c>
      <c r="H2529" s="1" t="s">
        <v>22</v>
      </c>
      <c r="I2529" s="1" t="s">
        <v>65</v>
      </c>
      <c r="L2529" s="1">
        <v>1</v>
      </c>
    </row>
    <row r="2530" spans="4:12">
      <c r="D2530" s="1" t="s">
        <v>1512</v>
      </c>
      <c r="E2530" s="1" t="s">
        <v>1534</v>
      </c>
      <c r="F2530" s="1" t="s">
        <v>1535</v>
      </c>
      <c r="G2530" s="1" t="s">
        <v>1535</v>
      </c>
      <c r="H2530" s="1" t="s">
        <v>22</v>
      </c>
      <c r="I2530" s="1" t="s">
        <v>65</v>
      </c>
      <c r="L2530" s="1">
        <v>1</v>
      </c>
    </row>
    <row r="2531" spans="4:12">
      <c r="D2531" s="1" t="s">
        <v>1512</v>
      </c>
      <c r="E2531" s="1" t="s">
        <v>1536</v>
      </c>
      <c r="F2531" s="1" t="s">
        <v>147</v>
      </c>
      <c r="G2531" s="1" t="s">
        <v>148</v>
      </c>
      <c r="H2531" s="1" t="s">
        <v>22</v>
      </c>
      <c r="I2531" s="1" t="s">
        <v>65</v>
      </c>
      <c r="L2531" s="1">
        <v>3.4121416351331</v>
      </c>
    </row>
    <row r="2532" spans="4:12">
      <c r="D2532" s="1" t="s">
        <v>1512</v>
      </c>
      <c r="E2532" s="1" t="s">
        <v>967</v>
      </c>
      <c r="F2532" s="1" t="s">
        <v>147</v>
      </c>
      <c r="G2532" s="1" t="s">
        <v>148</v>
      </c>
      <c r="H2532" s="1" t="s">
        <v>22</v>
      </c>
      <c r="I2532" s="1" t="s">
        <v>120</v>
      </c>
      <c r="L2532" s="1">
        <v>3.4121416351331</v>
      </c>
    </row>
    <row r="2533" spans="4:12">
      <c r="D2533" s="1" t="s">
        <v>1512</v>
      </c>
      <c r="E2533" s="1" t="s">
        <v>1537</v>
      </c>
      <c r="F2533" s="1">
        <v>1</v>
      </c>
      <c r="G2533" s="1">
        <v>1</v>
      </c>
      <c r="H2533" s="1" t="s">
        <v>22</v>
      </c>
      <c r="I2533" s="1" t="s">
        <v>65</v>
      </c>
      <c r="L2533" s="1">
        <v>1</v>
      </c>
    </row>
    <row r="2534" spans="4:12">
      <c r="D2534" s="1" t="s">
        <v>1512</v>
      </c>
      <c r="E2534" s="1" t="s">
        <v>1538</v>
      </c>
      <c r="F2534" s="1" t="s">
        <v>147</v>
      </c>
      <c r="G2534" s="1" t="s">
        <v>148</v>
      </c>
      <c r="H2534" s="1" t="s">
        <v>22</v>
      </c>
      <c r="I2534" s="1" t="s">
        <v>65</v>
      </c>
      <c r="L2534" s="1">
        <v>3.4121416351331</v>
      </c>
    </row>
    <row r="2535" spans="4:12">
      <c r="D2535" s="1" t="s">
        <v>1512</v>
      </c>
      <c r="E2535" s="1" t="s">
        <v>1539</v>
      </c>
      <c r="H2535" s="1" t="s">
        <v>22</v>
      </c>
      <c r="I2535" s="1" t="s">
        <v>65</v>
      </c>
      <c r="L2535" s="1">
        <v>1</v>
      </c>
    </row>
    <row r="2536" spans="4:12">
      <c r="D2536" s="1" t="s">
        <v>1512</v>
      </c>
      <c r="E2536" s="1" t="s">
        <v>1540</v>
      </c>
      <c r="F2536" s="1" t="s">
        <v>874</v>
      </c>
      <c r="G2536" s="1" t="s">
        <v>874</v>
      </c>
      <c r="H2536" s="1" t="s">
        <v>22</v>
      </c>
      <c r="I2536" s="1" t="s">
        <v>65</v>
      </c>
      <c r="L2536" s="1">
        <v>1</v>
      </c>
    </row>
    <row r="2537" spans="4:12">
      <c r="D2537" s="1" t="s">
        <v>1512</v>
      </c>
      <c r="E2537" s="1" t="s">
        <v>1541</v>
      </c>
      <c r="F2537" s="1" t="s">
        <v>1542</v>
      </c>
      <c r="G2537" s="1" t="s">
        <v>1543</v>
      </c>
      <c r="H2537" s="1" t="s">
        <v>22</v>
      </c>
      <c r="I2537" s="1" t="s">
        <v>65</v>
      </c>
      <c r="L2537" s="1">
        <v>0.73756103316999999</v>
      </c>
    </row>
    <row r="2538" spans="4:12">
      <c r="D2538" s="1" t="s">
        <v>1512</v>
      </c>
      <c r="E2538" s="1" t="s">
        <v>990</v>
      </c>
      <c r="H2538" s="1" t="s">
        <v>22</v>
      </c>
      <c r="I2538" s="1" t="s">
        <v>65</v>
      </c>
      <c r="L2538" s="1">
        <v>1</v>
      </c>
    </row>
    <row r="2539" spans="4:12">
      <c r="D2539" s="1" t="s">
        <v>1512</v>
      </c>
      <c r="E2539" s="1" t="s">
        <v>1544</v>
      </c>
      <c r="F2539" s="1">
        <v>1</v>
      </c>
      <c r="G2539" s="1">
        <v>1</v>
      </c>
      <c r="H2539" s="1" t="s">
        <v>22</v>
      </c>
      <c r="I2539" s="1" t="s">
        <v>65</v>
      </c>
      <c r="J2539" s="1">
        <v>0</v>
      </c>
      <c r="L2539" s="1">
        <v>1</v>
      </c>
    </row>
    <row r="2540" spans="4:12">
      <c r="D2540" s="1" t="s">
        <v>1512</v>
      </c>
      <c r="E2540" s="1" t="s">
        <v>1545</v>
      </c>
      <c r="H2540" s="1" t="s">
        <v>63</v>
      </c>
      <c r="I2540" s="1" t="s">
        <v>65</v>
      </c>
    </row>
    <row r="2541" spans="4:12">
      <c r="D2541" s="1" t="s">
        <v>1512</v>
      </c>
      <c r="E2541" s="1" t="s">
        <v>1546</v>
      </c>
      <c r="H2541" s="1" t="s">
        <v>22</v>
      </c>
      <c r="I2541" s="1" t="s">
        <v>65</v>
      </c>
      <c r="L2541" s="1">
        <v>1</v>
      </c>
    </row>
    <row r="2542" spans="4:12">
      <c r="D2542" s="1" t="s">
        <v>1512</v>
      </c>
      <c r="E2542" s="1" t="s">
        <v>69</v>
      </c>
      <c r="H2542" s="1" t="s">
        <v>25</v>
      </c>
      <c r="I2542" s="1" t="s">
        <v>70</v>
      </c>
    </row>
    <row r="2543" spans="4:12">
      <c r="D2543" s="1" t="s">
        <v>1512</v>
      </c>
      <c r="E2543" s="1" t="s">
        <v>1547</v>
      </c>
      <c r="F2543" s="1" t="s">
        <v>147</v>
      </c>
      <c r="G2543" s="1" t="s">
        <v>148</v>
      </c>
      <c r="H2543" s="1" t="s">
        <v>22</v>
      </c>
      <c r="I2543" s="1" t="s">
        <v>65</v>
      </c>
      <c r="L2543" s="1">
        <v>3.4121416351331</v>
      </c>
    </row>
    <row r="2544" spans="4:12">
      <c r="D2544" s="1" t="s">
        <v>1512</v>
      </c>
      <c r="E2544" s="1" t="s">
        <v>1548</v>
      </c>
      <c r="F2544" s="1" t="s">
        <v>147</v>
      </c>
      <c r="G2544" s="1" t="s">
        <v>148</v>
      </c>
      <c r="H2544" s="1" t="s">
        <v>22</v>
      </c>
      <c r="I2544" s="1" t="s">
        <v>65</v>
      </c>
      <c r="L2544" s="1">
        <v>3.4121416351331</v>
      </c>
    </row>
    <row r="2545" spans="4:13">
      <c r="D2545" s="1" t="s">
        <v>1549</v>
      </c>
      <c r="E2545" s="1" t="s">
        <v>105</v>
      </c>
      <c r="H2545" s="1" t="s">
        <v>22</v>
      </c>
      <c r="I2545" s="1" t="s">
        <v>29</v>
      </c>
      <c r="J2545" s="1">
        <v>0</v>
      </c>
      <c r="K2545" s="1">
        <v>10000</v>
      </c>
      <c r="L2545" s="1">
        <v>5000</v>
      </c>
    </row>
    <row r="2546" spans="4:13">
      <c r="D2546" s="1" t="s">
        <v>1549</v>
      </c>
      <c r="E2546" s="1" t="s">
        <v>106</v>
      </c>
      <c r="H2546" s="1" t="s">
        <v>25</v>
      </c>
      <c r="I2546" s="1" t="s">
        <v>23</v>
      </c>
      <c r="M2546" s="1" t="b">
        <v>0</v>
      </c>
    </row>
    <row r="2547" spans="4:13">
      <c r="D2547" s="1" t="s">
        <v>1549</v>
      </c>
      <c r="E2547" s="1" t="s">
        <v>107</v>
      </c>
      <c r="H2547" s="1" t="s">
        <v>22</v>
      </c>
      <c r="I2547" s="1" t="s">
        <v>23</v>
      </c>
      <c r="L2547" s="1">
        <v>1</v>
      </c>
      <c r="M2547" s="1">
        <v>20</v>
      </c>
    </row>
    <row r="2548" spans="4:13">
      <c r="D2548" s="1" t="s">
        <v>1549</v>
      </c>
      <c r="E2548" s="1" t="s">
        <v>109</v>
      </c>
      <c r="H2548" s="1" t="s">
        <v>22</v>
      </c>
      <c r="I2548" s="1" t="s">
        <v>23</v>
      </c>
      <c r="L2548" s="1">
        <v>1</v>
      </c>
      <c r="M2548" s="1">
        <v>1</v>
      </c>
    </row>
    <row r="2549" spans="4:13">
      <c r="D2549" s="1" t="s">
        <v>1549</v>
      </c>
      <c r="E2549" s="1" t="s">
        <v>110</v>
      </c>
      <c r="H2549" s="1" t="s">
        <v>25</v>
      </c>
      <c r="I2549" s="1" t="s">
        <v>23</v>
      </c>
      <c r="M2549" s="1" t="b">
        <v>1</v>
      </c>
    </row>
    <row r="2550" spans="4:13">
      <c r="D2550" s="1" t="s">
        <v>1549</v>
      </c>
      <c r="E2550" s="1" t="s">
        <v>111</v>
      </c>
      <c r="F2550" s="1" t="s">
        <v>56</v>
      </c>
      <c r="G2550" s="1" t="s">
        <v>57</v>
      </c>
      <c r="H2550" s="1" t="s">
        <v>22</v>
      </c>
      <c r="I2550" s="1" t="s">
        <v>23</v>
      </c>
      <c r="L2550" s="1">
        <v>1.4503773773020921E-4</v>
      </c>
      <c r="M2550" s="1">
        <v>7.2518868865104604E-3</v>
      </c>
    </row>
    <row r="2551" spans="4:13">
      <c r="D2551" s="1" t="s">
        <v>1549</v>
      </c>
      <c r="E2551" s="1" t="s">
        <v>47</v>
      </c>
      <c r="H2551" s="1" t="s">
        <v>25</v>
      </c>
      <c r="I2551" s="1" t="s">
        <v>23</v>
      </c>
      <c r="M2551" s="1" t="b">
        <v>0</v>
      </c>
    </row>
    <row r="2552" spans="4:13">
      <c r="D2552" s="1" t="s">
        <v>1549</v>
      </c>
      <c r="E2552" s="1" t="s">
        <v>112</v>
      </c>
      <c r="F2552" s="1" t="s">
        <v>56</v>
      </c>
      <c r="G2552" s="1" t="s">
        <v>57</v>
      </c>
      <c r="H2552" s="1" t="s">
        <v>22</v>
      </c>
      <c r="I2552" s="1" t="s">
        <v>29</v>
      </c>
      <c r="J2552" s="1">
        <v>4.9312830828271128</v>
      </c>
      <c r="K2552" s="1">
        <v>623.66227223989961</v>
      </c>
      <c r="L2552" s="1">
        <v>50.713895374744951</v>
      </c>
    </row>
    <row r="2553" spans="4:13">
      <c r="D2553" s="1" t="s">
        <v>1549</v>
      </c>
      <c r="E2553" s="1" t="s">
        <v>62</v>
      </c>
      <c r="H2553" s="1" t="s">
        <v>63</v>
      </c>
      <c r="I2553" s="1" t="s">
        <v>23</v>
      </c>
      <c r="M2553" s="1">
        <v>1</v>
      </c>
    </row>
    <row r="2554" spans="4:13">
      <c r="D2554" s="1" t="s">
        <v>1549</v>
      </c>
      <c r="E2554" s="1" t="s">
        <v>113</v>
      </c>
      <c r="H2554" s="1" t="s">
        <v>22</v>
      </c>
      <c r="I2554" s="1" t="s">
        <v>65</v>
      </c>
      <c r="L2554" s="1">
        <v>1</v>
      </c>
    </row>
    <row r="2555" spans="4:13">
      <c r="D2555" s="1" t="s">
        <v>1549</v>
      </c>
      <c r="E2555" s="1" t="s">
        <v>114</v>
      </c>
      <c r="H2555" s="1" t="s">
        <v>22</v>
      </c>
      <c r="I2555" s="1" t="s">
        <v>70</v>
      </c>
      <c r="L2555" s="1">
        <v>1</v>
      </c>
    </row>
    <row r="2556" spans="4:13">
      <c r="D2556" s="1" t="s">
        <v>1549</v>
      </c>
      <c r="E2556" s="1" t="s">
        <v>115</v>
      </c>
      <c r="F2556" s="1" t="s">
        <v>56</v>
      </c>
      <c r="G2556" s="1" t="s">
        <v>57</v>
      </c>
      <c r="H2556" s="1" t="s">
        <v>22</v>
      </c>
      <c r="I2556" s="1" t="s">
        <v>65</v>
      </c>
      <c r="L2556" s="1">
        <v>1.4503773773020921E-4</v>
      </c>
    </row>
    <row r="2557" spans="4:13">
      <c r="D2557" s="1" t="s">
        <v>1549</v>
      </c>
      <c r="E2557" s="1" t="s">
        <v>116</v>
      </c>
      <c r="H2557" s="1" t="s">
        <v>25</v>
      </c>
      <c r="I2557" s="1" t="s">
        <v>65</v>
      </c>
    </row>
    <row r="2558" spans="4:13">
      <c r="D2558" s="1" t="s">
        <v>1549</v>
      </c>
      <c r="E2558" s="1" t="s">
        <v>69</v>
      </c>
      <c r="H2558" s="1" t="s">
        <v>25</v>
      </c>
      <c r="I2558" s="1" t="s">
        <v>70</v>
      </c>
    </row>
    <row r="2559" spans="4:13">
      <c r="D2559" s="1" t="s">
        <v>1549</v>
      </c>
      <c r="E2559" s="1" t="s">
        <v>71</v>
      </c>
      <c r="F2559" s="1" t="s">
        <v>52</v>
      </c>
      <c r="G2559" s="1" t="s">
        <v>53</v>
      </c>
      <c r="H2559" s="1" t="s">
        <v>22</v>
      </c>
      <c r="I2559" s="1" t="s">
        <v>65</v>
      </c>
      <c r="L2559" s="1">
        <v>7936.6414386555998</v>
      </c>
    </row>
    <row r="2560" spans="4:13">
      <c r="D2560" s="1" t="s">
        <v>1549</v>
      </c>
      <c r="E2560" s="1" t="s">
        <v>117</v>
      </c>
      <c r="F2560" s="1" t="s">
        <v>118</v>
      </c>
      <c r="G2560" s="1" t="s">
        <v>119</v>
      </c>
      <c r="H2560" s="1" t="s">
        <v>22</v>
      </c>
      <c r="I2560" s="1" t="s">
        <v>120</v>
      </c>
      <c r="J2560" s="1">
        <v>0</v>
      </c>
      <c r="L2560" s="1">
        <v>2.20462262185</v>
      </c>
    </row>
    <row r="2561" spans="4:13">
      <c r="D2561" s="1" t="s">
        <v>1549</v>
      </c>
      <c r="E2561" s="1" t="s">
        <v>121</v>
      </c>
      <c r="H2561" s="1" t="s">
        <v>22</v>
      </c>
      <c r="I2561" s="1" t="s">
        <v>120</v>
      </c>
      <c r="L2561" s="1">
        <v>1</v>
      </c>
    </row>
    <row r="2562" spans="4:13">
      <c r="D2562" s="1" t="s">
        <v>1549</v>
      </c>
      <c r="E2562" s="1" t="s">
        <v>122</v>
      </c>
      <c r="F2562" s="1" t="s">
        <v>56</v>
      </c>
      <c r="G2562" s="1" t="s">
        <v>57</v>
      </c>
      <c r="H2562" s="1" t="s">
        <v>22</v>
      </c>
      <c r="I2562" s="1" t="s">
        <v>65</v>
      </c>
      <c r="L2562" s="1">
        <v>1.4503773773020921E-4</v>
      </c>
    </row>
    <row r="2563" spans="4:13">
      <c r="D2563" s="1" t="s">
        <v>1549</v>
      </c>
      <c r="E2563" s="1" t="s">
        <v>123</v>
      </c>
      <c r="F2563" s="1" t="s">
        <v>124</v>
      </c>
      <c r="G2563" s="1" t="s">
        <v>125</v>
      </c>
      <c r="H2563" s="1" t="s">
        <v>22</v>
      </c>
      <c r="I2563" s="1" t="s">
        <v>120</v>
      </c>
      <c r="L2563" s="1">
        <v>35.314666699999997</v>
      </c>
    </row>
    <row r="2564" spans="4:13">
      <c r="D2564" s="1" t="s">
        <v>1549</v>
      </c>
      <c r="E2564" s="1" t="s">
        <v>126</v>
      </c>
      <c r="H2564" s="1" t="s">
        <v>22</v>
      </c>
      <c r="I2564" s="1" t="s">
        <v>65</v>
      </c>
      <c r="L2564" s="1">
        <v>1</v>
      </c>
    </row>
    <row r="2565" spans="4:13">
      <c r="D2565" s="1" t="s">
        <v>1549</v>
      </c>
      <c r="E2565" s="1" t="s">
        <v>127</v>
      </c>
      <c r="H2565" s="1" t="s">
        <v>25</v>
      </c>
      <c r="I2565" s="1" t="s">
        <v>23</v>
      </c>
      <c r="M2565" s="1" t="b">
        <v>1</v>
      </c>
    </row>
    <row r="2566" spans="4:13">
      <c r="D2566" s="1" t="s">
        <v>1549</v>
      </c>
      <c r="E2566" s="1" t="s">
        <v>128</v>
      </c>
      <c r="H2566" s="1" t="s">
        <v>25</v>
      </c>
      <c r="I2566" s="1" t="s">
        <v>23</v>
      </c>
      <c r="M2566" s="1" t="b">
        <v>0</v>
      </c>
    </row>
    <row r="2567" spans="4:13">
      <c r="D2567" s="1" t="s">
        <v>1550</v>
      </c>
      <c r="E2567" s="1" t="s">
        <v>28</v>
      </c>
      <c r="H2567" s="1" t="s">
        <v>22</v>
      </c>
      <c r="I2567" s="1" t="s">
        <v>29</v>
      </c>
      <c r="J2567" s="1">
        <v>34000</v>
      </c>
      <c r="K2567" s="1">
        <v>4300000</v>
      </c>
      <c r="L2567" s="1">
        <v>349660</v>
      </c>
    </row>
    <row r="2568" spans="4:13">
      <c r="D2568" s="1" t="s">
        <v>1550</v>
      </c>
      <c r="E2568" s="1" t="s">
        <v>30</v>
      </c>
      <c r="H2568" s="1" t="s">
        <v>22</v>
      </c>
      <c r="I2568" s="1" t="s">
        <v>29</v>
      </c>
      <c r="J2568" s="1">
        <v>-3.94</v>
      </c>
      <c r="K2568" s="1">
        <v>3.66</v>
      </c>
      <c r="L2568" s="1">
        <v>1</v>
      </c>
    </row>
    <row r="2569" spans="4:13">
      <c r="D2569" s="1" t="s">
        <v>1550</v>
      </c>
      <c r="E2569" s="1" t="s">
        <v>31</v>
      </c>
      <c r="H2569" s="1" t="s">
        <v>22</v>
      </c>
      <c r="I2569" s="1" t="s">
        <v>29</v>
      </c>
      <c r="J2569" s="1">
        <v>0</v>
      </c>
      <c r="K2569" s="1">
        <v>100</v>
      </c>
      <c r="L2569" s="1">
        <v>1</v>
      </c>
    </row>
    <row r="2570" spans="4:13">
      <c r="D2570" s="1" t="s">
        <v>1550</v>
      </c>
      <c r="E2570" s="1" t="s">
        <v>32</v>
      </c>
      <c r="H2570" s="1" t="s">
        <v>22</v>
      </c>
      <c r="I2570" s="1" t="s">
        <v>29</v>
      </c>
      <c r="J2570" s="1">
        <v>-3.94</v>
      </c>
      <c r="K2570" s="1">
        <v>3.66</v>
      </c>
      <c r="L2570" s="1">
        <v>1</v>
      </c>
    </row>
    <row r="2571" spans="4:13">
      <c r="D2571" s="1" t="s">
        <v>1550</v>
      </c>
      <c r="E2571" s="1" t="s">
        <v>33</v>
      </c>
      <c r="H2571" s="1" t="s">
        <v>25</v>
      </c>
      <c r="I2571" s="1" t="s">
        <v>23</v>
      </c>
      <c r="M2571" s="1" t="b">
        <v>0</v>
      </c>
    </row>
    <row r="2572" spans="4:13">
      <c r="D2572" s="1" t="s">
        <v>1550</v>
      </c>
      <c r="E2572" s="1" t="s">
        <v>34</v>
      </c>
      <c r="F2572" s="1" t="s">
        <v>35</v>
      </c>
      <c r="G2572" s="1" t="s">
        <v>36</v>
      </c>
      <c r="H2572" s="1" t="s">
        <v>22</v>
      </c>
      <c r="I2572" s="1" t="s">
        <v>23</v>
      </c>
      <c r="J2572" s="1">
        <v>-459.67</v>
      </c>
      <c r="K2572" s="1">
        <v>980.32999999999993</v>
      </c>
      <c r="L2572" s="1">
        <v>80.329999999999984</v>
      </c>
      <c r="M2572" s="1">
        <v>67.999999999999943</v>
      </c>
    </row>
    <row r="2573" spans="4:13">
      <c r="D2573" s="1" t="s">
        <v>1550</v>
      </c>
      <c r="E2573" s="1" t="s">
        <v>37</v>
      </c>
      <c r="H2573" s="1" t="s">
        <v>25</v>
      </c>
      <c r="I2573" s="1" t="s">
        <v>23</v>
      </c>
      <c r="M2573" s="1" t="b">
        <v>0</v>
      </c>
    </row>
    <row r="2574" spans="4:13">
      <c r="D2574" s="1" t="s">
        <v>1550</v>
      </c>
      <c r="E2574" s="1" t="s">
        <v>38</v>
      </c>
      <c r="F2574" s="1" t="s">
        <v>35</v>
      </c>
      <c r="G2574" s="1" t="s">
        <v>36</v>
      </c>
      <c r="H2574" s="1" t="s">
        <v>22</v>
      </c>
      <c r="I2574" s="1" t="s">
        <v>23</v>
      </c>
      <c r="J2574" s="1">
        <v>-99.670000000000016</v>
      </c>
      <c r="K2574" s="1">
        <v>980.32999999999993</v>
      </c>
      <c r="L2574" s="1">
        <v>80.329999999999984</v>
      </c>
      <c r="M2574" s="1">
        <v>13.999999999999943</v>
      </c>
    </row>
    <row r="2575" spans="4:13">
      <c r="D2575" s="1" t="s">
        <v>1550</v>
      </c>
      <c r="E2575" s="1" t="s">
        <v>39</v>
      </c>
      <c r="H2575" s="1" t="s">
        <v>25</v>
      </c>
      <c r="I2575" s="1" t="s">
        <v>23</v>
      </c>
      <c r="M2575" s="1" t="b">
        <v>0</v>
      </c>
    </row>
    <row r="2576" spans="4:13">
      <c r="D2576" s="1" t="s">
        <v>1550</v>
      </c>
      <c r="E2576" s="1" t="s">
        <v>40</v>
      </c>
      <c r="F2576" s="1" t="s">
        <v>41</v>
      </c>
      <c r="G2576" s="1" t="s">
        <v>42</v>
      </c>
      <c r="H2576" s="1" t="s">
        <v>22</v>
      </c>
      <c r="I2576" s="1" t="s">
        <v>23</v>
      </c>
      <c r="J2576" s="1">
        <v>-900</v>
      </c>
      <c r="K2576" s="1">
        <v>900</v>
      </c>
      <c r="L2576" s="1">
        <v>1.8</v>
      </c>
      <c r="M2576" s="1">
        <v>9</v>
      </c>
    </row>
    <row r="2577" spans="4:13">
      <c r="D2577" s="1" t="s">
        <v>1550</v>
      </c>
      <c r="E2577" s="1" t="s">
        <v>43</v>
      </c>
      <c r="H2577" s="1" t="s">
        <v>25</v>
      </c>
      <c r="I2577" s="1" t="s">
        <v>23</v>
      </c>
      <c r="M2577" s="1" t="b">
        <v>0</v>
      </c>
    </row>
    <row r="2578" spans="4:13">
      <c r="D2578" s="1" t="s">
        <v>1550</v>
      </c>
      <c r="E2578" s="1" t="s">
        <v>44</v>
      </c>
      <c r="F2578" s="1" t="s">
        <v>45</v>
      </c>
      <c r="G2578" s="1" t="s">
        <v>46</v>
      </c>
      <c r="H2578" s="1" t="s">
        <v>22</v>
      </c>
      <c r="I2578" s="1" t="s">
        <v>23</v>
      </c>
      <c r="J2578" s="1">
        <v>-85.984522757427143</v>
      </c>
      <c r="K2578" s="1">
        <v>8598.4522757427148</v>
      </c>
      <c r="L2578" s="1">
        <v>114.79148749423418</v>
      </c>
      <c r="M2578" s="1">
        <v>128.97678413614071</v>
      </c>
    </row>
    <row r="2579" spans="4:13">
      <c r="D2579" s="1" t="s">
        <v>1550</v>
      </c>
      <c r="E2579" s="1" t="s">
        <v>47</v>
      </c>
      <c r="H2579" s="1" t="s">
        <v>25</v>
      </c>
      <c r="I2579" s="1" t="s">
        <v>23</v>
      </c>
      <c r="M2579" s="1" t="b">
        <v>0</v>
      </c>
    </row>
    <row r="2580" spans="4:13">
      <c r="D2580" s="1" t="s">
        <v>1550</v>
      </c>
      <c r="E2580" s="1" t="s">
        <v>48</v>
      </c>
      <c r="H2580" s="1" t="s">
        <v>25</v>
      </c>
      <c r="I2580" s="1" t="s">
        <v>23</v>
      </c>
      <c r="M2580" s="1" t="b">
        <v>0</v>
      </c>
    </row>
    <row r="2581" spans="4:13">
      <c r="D2581" s="1" t="s">
        <v>1550</v>
      </c>
      <c r="E2581" s="1" t="s">
        <v>49</v>
      </c>
      <c r="H2581" s="1" t="s">
        <v>25</v>
      </c>
      <c r="I2581" s="1" t="s">
        <v>23</v>
      </c>
      <c r="M2581" s="1" t="b">
        <v>0</v>
      </c>
    </row>
    <row r="2582" spans="4:13">
      <c r="D2582" s="1" t="s">
        <v>1550</v>
      </c>
      <c r="E2582" s="1" t="s">
        <v>50</v>
      </c>
      <c r="H2582" s="1" t="s">
        <v>25</v>
      </c>
      <c r="I2582" s="1" t="s">
        <v>23</v>
      </c>
      <c r="M2582" s="1" t="b">
        <v>0</v>
      </c>
    </row>
    <row r="2583" spans="4:13">
      <c r="D2583" s="1" t="s">
        <v>1550</v>
      </c>
      <c r="E2583" s="1" t="s">
        <v>51</v>
      </c>
      <c r="F2583" s="1" t="s">
        <v>52</v>
      </c>
      <c r="G2583" s="1" t="s">
        <v>53</v>
      </c>
      <c r="H2583" s="1" t="s">
        <v>22</v>
      </c>
      <c r="I2583" s="1" t="s">
        <v>23</v>
      </c>
      <c r="J2583" s="1">
        <v>0</v>
      </c>
      <c r="K2583" s="1">
        <v>7936641438.6555996</v>
      </c>
      <c r="L2583" s="1">
        <v>7936.6414386555998</v>
      </c>
      <c r="M2583" s="1">
        <v>7936.6414386555998</v>
      </c>
    </row>
    <row r="2584" spans="4:13">
      <c r="D2584" s="1" t="s">
        <v>1550</v>
      </c>
      <c r="E2584" s="1" t="s">
        <v>54</v>
      </c>
      <c r="H2584" s="1" t="s">
        <v>25</v>
      </c>
      <c r="I2584" s="1" t="s">
        <v>23</v>
      </c>
      <c r="M2584" s="1" t="b">
        <v>0</v>
      </c>
    </row>
    <row r="2585" spans="4:13">
      <c r="D2585" s="1" t="s">
        <v>1550</v>
      </c>
      <c r="E2585" s="1" t="s">
        <v>55</v>
      </c>
      <c r="F2585" s="1" t="s">
        <v>56</v>
      </c>
      <c r="G2585" s="1" t="s">
        <v>57</v>
      </c>
      <c r="H2585" s="1" t="s">
        <v>22</v>
      </c>
      <c r="I2585" s="1" t="s">
        <v>23</v>
      </c>
      <c r="J2585" s="1">
        <v>0</v>
      </c>
      <c r="K2585" s="1">
        <v>9427.4529524635982</v>
      </c>
      <c r="L2585" s="1">
        <v>50.713895374744951</v>
      </c>
      <c r="M2585" s="1">
        <v>50.763208205573221</v>
      </c>
    </row>
    <row r="2586" spans="4:13">
      <c r="D2586" s="1" t="s">
        <v>1550</v>
      </c>
      <c r="E2586" s="1" t="s">
        <v>58</v>
      </c>
      <c r="H2586" s="1" t="s">
        <v>25</v>
      </c>
      <c r="I2586" s="1" t="s">
        <v>23</v>
      </c>
      <c r="M2586" s="1" t="b">
        <v>0</v>
      </c>
    </row>
    <row r="2587" spans="4:13">
      <c r="D2587" s="1" t="s">
        <v>1550</v>
      </c>
      <c r="E2587" s="1" t="s">
        <v>59</v>
      </c>
      <c r="F2587" s="1" t="s">
        <v>60</v>
      </c>
      <c r="G2587" s="1" t="s">
        <v>61</v>
      </c>
      <c r="H2587" s="1" t="s">
        <v>22</v>
      </c>
      <c r="I2587" s="1" t="s">
        <v>23</v>
      </c>
      <c r="J2587" s="1">
        <v>-9.5538358650799999</v>
      </c>
      <c r="K2587" s="1">
        <v>9.5538358650799999</v>
      </c>
      <c r="L2587" s="1">
        <v>0.23884589662700001</v>
      </c>
      <c r="M2587" s="1">
        <v>0.23884589662700001</v>
      </c>
    </row>
    <row r="2588" spans="4:13">
      <c r="D2588" s="1" t="s">
        <v>1550</v>
      </c>
      <c r="E2588" s="1" t="s">
        <v>62</v>
      </c>
      <c r="H2588" s="1" t="s">
        <v>63</v>
      </c>
      <c r="I2588" s="1" t="s">
        <v>23</v>
      </c>
      <c r="M2588" s="1">
        <v>1</v>
      </c>
    </row>
    <row r="2589" spans="4:13">
      <c r="D2589" s="1" t="s">
        <v>1550</v>
      </c>
      <c r="E2589" s="1" t="s">
        <v>64</v>
      </c>
      <c r="F2589" s="1" t="s">
        <v>35</v>
      </c>
      <c r="G2589" s="1" t="s">
        <v>36</v>
      </c>
      <c r="H2589" s="1" t="s">
        <v>22</v>
      </c>
      <c r="I2589" s="1" t="s">
        <v>65</v>
      </c>
      <c r="J2589" s="1">
        <v>-459.67</v>
      </c>
      <c r="L2589" s="1">
        <v>80.329999999999984</v>
      </c>
    </row>
    <row r="2590" spans="4:13">
      <c r="D2590" s="1" t="s">
        <v>1550</v>
      </c>
      <c r="E2590" s="1" t="s">
        <v>66</v>
      </c>
      <c r="F2590" s="1" t="s">
        <v>35</v>
      </c>
      <c r="G2590" s="1" t="s">
        <v>36</v>
      </c>
      <c r="H2590" s="1" t="s">
        <v>22</v>
      </c>
      <c r="I2590" s="1" t="s">
        <v>65</v>
      </c>
      <c r="J2590" s="1">
        <v>-459.67</v>
      </c>
      <c r="L2590" s="1">
        <v>80.329999999999984</v>
      </c>
    </row>
    <row r="2591" spans="4:13">
      <c r="D2591" s="1" t="s">
        <v>1550</v>
      </c>
      <c r="E2591" s="1" t="s">
        <v>67</v>
      </c>
      <c r="F2591" s="1" t="s">
        <v>41</v>
      </c>
      <c r="G2591" s="1" t="s">
        <v>42</v>
      </c>
      <c r="H2591" s="1" t="s">
        <v>22</v>
      </c>
      <c r="I2591" s="1" t="s">
        <v>65</v>
      </c>
      <c r="L2591" s="1">
        <v>1.8</v>
      </c>
    </row>
    <row r="2592" spans="4:13">
      <c r="D2592" s="1" t="s">
        <v>1550</v>
      </c>
      <c r="E2592" s="1" t="s">
        <v>68</v>
      </c>
      <c r="F2592" s="1" t="s">
        <v>45</v>
      </c>
      <c r="G2592" s="1" t="s">
        <v>46</v>
      </c>
      <c r="H2592" s="1" t="s">
        <v>22</v>
      </c>
      <c r="I2592" s="1" t="s">
        <v>65</v>
      </c>
      <c r="L2592" s="1">
        <v>4.2992261378713571E-4</v>
      </c>
    </row>
    <row r="2593" spans="4:13">
      <c r="D2593" s="1" t="s">
        <v>1550</v>
      </c>
      <c r="E2593" s="1" t="s">
        <v>69</v>
      </c>
      <c r="H2593" s="1" t="s">
        <v>25</v>
      </c>
      <c r="I2593" s="1" t="s">
        <v>70</v>
      </c>
    </row>
    <row r="2594" spans="4:13">
      <c r="D2594" s="1" t="s">
        <v>1550</v>
      </c>
      <c r="E2594" s="1" t="s">
        <v>71</v>
      </c>
      <c r="F2594" s="1" t="s">
        <v>52</v>
      </c>
      <c r="G2594" s="1" t="s">
        <v>53</v>
      </c>
      <c r="H2594" s="1" t="s">
        <v>22</v>
      </c>
      <c r="I2594" s="1" t="s">
        <v>65</v>
      </c>
      <c r="L2594" s="1">
        <v>7936.6414386555998</v>
      </c>
    </row>
    <row r="2595" spans="4:13">
      <c r="D2595" s="1" t="s">
        <v>1550</v>
      </c>
      <c r="E2595" s="1" t="s">
        <v>72</v>
      </c>
      <c r="F2595" s="1" t="s">
        <v>56</v>
      </c>
      <c r="G2595" s="1" t="s">
        <v>57</v>
      </c>
      <c r="H2595" s="1" t="s">
        <v>22</v>
      </c>
      <c r="I2595" s="1" t="s">
        <v>65</v>
      </c>
      <c r="J2595" s="1">
        <v>0</v>
      </c>
      <c r="L2595" s="1">
        <v>14.503773773020921</v>
      </c>
    </row>
    <row r="2596" spans="4:13">
      <c r="D2596" s="1" t="s">
        <v>1550</v>
      </c>
      <c r="E2596" s="1" t="s">
        <v>73</v>
      </c>
      <c r="F2596" s="1" t="s">
        <v>60</v>
      </c>
      <c r="G2596" s="1" t="s">
        <v>61</v>
      </c>
      <c r="H2596" s="1" t="s">
        <v>22</v>
      </c>
      <c r="I2596" s="1" t="s">
        <v>65</v>
      </c>
      <c r="L2596" s="1">
        <v>2.38845896627E-4</v>
      </c>
    </row>
    <row r="2597" spans="4:13">
      <c r="D2597" s="1" t="s">
        <v>1550</v>
      </c>
      <c r="E2597" s="1" t="s">
        <v>74</v>
      </c>
      <c r="F2597" s="1" t="s">
        <v>75</v>
      </c>
      <c r="G2597" s="1" t="s">
        <v>76</v>
      </c>
      <c r="H2597" s="1" t="s">
        <v>22</v>
      </c>
      <c r="I2597" s="1" t="s">
        <v>65</v>
      </c>
      <c r="J2597" s="1">
        <v>0</v>
      </c>
      <c r="L2597" s="1">
        <v>16.018463521800001</v>
      </c>
    </row>
    <row r="2598" spans="4:13">
      <c r="D2598" s="1" t="s">
        <v>1550</v>
      </c>
      <c r="E2598" s="1" t="s">
        <v>77</v>
      </c>
      <c r="H2598" s="1" t="s">
        <v>22</v>
      </c>
      <c r="I2598" s="1" t="s">
        <v>65</v>
      </c>
      <c r="L2598" s="1">
        <v>1</v>
      </c>
    </row>
    <row r="2599" spans="4:13">
      <c r="D2599" s="1" t="s">
        <v>1550</v>
      </c>
      <c r="E2599" s="1" t="s">
        <v>78</v>
      </c>
      <c r="H2599" s="1" t="s">
        <v>25</v>
      </c>
      <c r="I2599" s="1" t="s">
        <v>23</v>
      </c>
      <c r="M2599" s="1" t="b">
        <v>0</v>
      </c>
    </row>
    <row r="2600" spans="4:13">
      <c r="D2600" s="1" t="s">
        <v>1550</v>
      </c>
      <c r="E2600" s="1" t="s">
        <v>79</v>
      </c>
      <c r="F2600" s="1" t="s">
        <v>75</v>
      </c>
      <c r="G2600" s="1" t="s">
        <v>76</v>
      </c>
      <c r="H2600" s="1" t="s">
        <v>22</v>
      </c>
      <c r="I2600" s="1" t="s">
        <v>23</v>
      </c>
      <c r="J2600" s="1">
        <v>0</v>
      </c>
      <c r="K2600" s="1">
        <v>96.110781130800007</v>
      </c>
      <c r="L2600" s="1">
        <v>16.018463521800001</v>
      </c>
      <c r="M2600" s="1">
        <v>1.6018463521800002</v>
      </c>
    </row>
    <row r="2601" spans="4:13">
      <c r="D2601" s="1" t="s">
        <v>1550</v>
      </c>
      <c r="E2601" s="1" t="s">
        <v>80</v>
      </c>
      <c r="H2601" s="1" t="s">
        <v>25</v>
      </c>
      <c r="I2601" s="1" t="s">
        <v>23</v>
      </c>
      <c r="M2601" s="1" t="b">
        <v>0</v>
      </c>
    </row>
    <row r="2602" spans="4:13">
      <c r="D2602" s="1" t="s">
        <v>1550</v>
      </c>
      <c r="E2602" s="1" t="s">
        <v>81</v>
      </c>
      <c r="H2602" s="1" t="s">
        <v>25</v>
      </c>
      <c r="I2602" s="1" t="s">
        <v>23</v>
      </c>
      <c r="M2602" s="1" t="b">
        <v>0</v>
      </c>
    </row>
    <row r="2603" spans="4:13">
      <c r="D2603" s="1" t="s">
        <v>1550</v>
      </c>
      <c r="E2603" s="1" t="s">
        <v>82</v>
      </c>
      <c r="H2603" s="1" t="s">
        <v>22</v>
      </c>
      <c r="I2603" s="1" t="s">
        <v>23</v>
      </c>
      <c r="J2603" s="1">
        <v>-1</v>
      </c>
      <c r="K2603" s="1">
        <v>3</v>
      </c>
      <c r="L2603" s="1">
        <v>1</v>
      </c>
      <c r="M2603" s="1">
        <v>1.01</v>
      </c>
    </row>
    <row r="2604" spans="4:13">
      <c r="D2604" s="1" t="s">
        <v>1551</v>
      </c>
      <c r="E2604" s="1" t="s">
        <v>99</v>
      </c>
      <c r="H2604" s="1" t="s">
        <v>25</v>
      </c>
      <c r="I2604" s="1" t="s">
        <v>23</v>
      </c>
      <c r="M2604" s="1" t="b">
        <v>0</v>
      </c>
    </row>
    <row r="2605" spans="4:13">
      <c r="D2605" s="1" t="s">
        <v>1551</v>
      </c>
      <c r="E2605" s="1" t="s">
        <v>47</v>
      </c>
      <c r="H2605" s="1" t="s">
        <v>25</v>
      </c>
      <c r="I2605" s="1" t="s">
        <v>23</v>
      </c>
      <c r="M2605" s="1" t="b">
        <v>0</v>
      </c>
    </row>
    <row r="2606" spans="4:13">
      <c r="D2606" s="1" t="s">
        <v>1551</v>
      </c>
      <c r="E2606" s="1" t="s">
        <v>100</v>
      </c>
      <c r="H2606" s="1" t="s">
        <v>22</v>
      </c>
      <c r="I2606" s="1" t="s">
        <v>23</v>
      </c>
      <c r="L2606" s="1">
        <v>1</v>
      </c>
      <c r="M2606" s="1">
        <v>10</v>
      </c>
    </row>
    <row r="2607" spans="4:13">
      <c r="D2607" s="1" t="s">
        <v>1551</v>
      </c>
      <c r="E2607" s="1" t="s">
        <v>101</v>
      </c>
      <c r="H2607" s="1" t="s">
        <v>22</v>
      </c>
      <c r="I2607" s="1" t="s">
        <v>23</v>
      </c>
      <c r="L2607" s="1">
        <v>1</v>
      </c>
      <c r="M2607" s="1">
        <v>0</v>
      </c>
    </row>
    <row r="2608" spans="4:13">
      <c r="D2608" s="1" t="s">
        <v>1551</v>
      </c>
      <c r="E2608" s="1" t="s">
        <v>102</v>
      </c>
      <c r="H2608" s="1" t="s">
        <v>22</v>
      </c>
      <c r="I2608" s="1" t="s">
        <v>23</v>
      </c>
      <c r="L2608" s="1">
        <v>1</v>
      </c>
      <c r="M2608" s="1">
        <v>0.1</v>
      </c>
    </row>
    <row r="2609" spans="4:13">
      <c r="D2609" s="1" t="s">
        <v>1551</v>
      </c>
      <c r="E2609" s="1" t="s">
        <v>103</v>
      </c>
      <c r="H2609" s="1" t="s">
        <v>22</v>
      </c>
      <c r="I2609" s="1" t="s">
        <v>29</v>
      </c>
      <c r="J2609" s="1">
        <v>0</v>
      </c>
      <c r="K2609" s="1">
        <v>10</v>
      </c>
      <c r="L2609" s="1">
        <v>5</v>
      </c>
    </row>
    <row r="2610" spans="4:13">
      <c r="D2610" s="1" t="s">
        <v>1552</v>
      </c>
      <c r="H2610" s="1" t="s">
        <v>25</v>
      </c>
      <c r="I2610" s="1" t="s">
        <v>23</v>
      </c>
      <c r="M2610" s="1" t="b">
        <v>1</v>
      </c>
    </row>
    <row r="2611" spans="4:13">
      <c r="D2611" s="1" t="s">
        <v>1553</v>
      </c>
      <c r="E2611" s="1" t="s">
        <v>99</v>
      </c>
      <c r="H2611" s="1" t="s">
        <v>25</v>
      </c>
      <c r="I2611" s="1" t="s">
        <v>23</v>
      </c>
      <c r="M2611" s="1" t="b">
        <v>1</v>
      </c>
    </row>
    <row r="2612" spans="4:13">
      <c r="D2612" s="1" t="s">
        <v>1553</v>
      </c>
      <c r="E2612" s="1" t="s">
        <v>47</v>
      </c>
      <c r="H2612" s="1" t="s">
        <v>25</v>
      </c>
      <c r="I2612" s="1" t="s">
        <v>23</v>
      </c>
      <c r="M2612" s="1" t="b">
        <v>0</v>
      </c>
    </row>
    <row r="2613" spans="4:13">
      <c r="D2613" s="1" t="s">
        <v>1553</v>
      </c>
      <c r="E2613" s="1" t="s">
        <v>102</v>
      </c>
      <c r="H2613" s="1" t="s">
        <v>22</v>
      </c>
      <c r="I2613" s="1" t="s">
        <v>23</v>
      </c>
      <c r="L2613" s="1">
        <v>1</v>
      </c>
      <c r="M2613" s="1">
        <v>0</v>
      </c>
    </row>
    <row r="2614" spans="4:13">
      <c r="D2614" s="1" t="s">
        <v>1554</v>
      </c>
      <c r="E2614" s="1" t="s">
        <v>1555</v>
      </c>
      <c r="F2614" s="1" t="s">
        <v>147</v>
      </c>
      <c r="G2614" s="1" t="s">
        <v>148</v>
      </c>
      <c r="H2614" s="1" t="s">
        <v>22</v>
      </c>
      <c r="I2614" s="1" t="s">
        <v>23</v>
      </c>
      <c r="L2614" s="1">
        <v>3.4121416351331</v>
      </c>
      <c r="M2614" s="1">
        <v>3412.1416351331</v>
      </c>
    </row>
    <row r="2615" spans="4:13">
      <c r="D2615" s="1" t="s">
        <v>1554</v>
      </c>
      <c r="E2615" s="1" t="s">
        <v>1556</v>
      </c>
      <c r="H2615" s="1" t="s">
        <v>25</v>
      </c>
      <c r="I2615" s="1" t="s">
        <v>23</v>
      </c>
      <c r="M2615" s="1" t="b">
        <v>0</v>
      </c>
    </row>
    <row r="2616" spans="4:13">
      <c r="D2616" s="1" t="s">
        <v>1554</v>
      </c>
      <c r="E2616" s="1" t="s">
        <v>1557</v>
      </c>
      <c r="H2616" s="1" t="s">
        <v>22</v>
      </c>
      <c r="I2616" s="1" t="s">
        <v>29</v>
      </c>
      <c r="J2616" s="1">
        <v>-1000000</v>
      </c>
      <c r="K2616" s="1">
        <v>1000000</v>
      </c>
      <c r="L2616" s="1">
        <v>1000</v>
      </c>
    </row>
    <row r="2617" spans="4:13">
      <c r="D2617" s="1" t="s">
        <v>1554</v>
      </c>
      <c r="E2617" s="1" t="s">
        <v>1558</v>
      </c>
      <c r="F2617" s="1" t="s">
        <v>35</v>
      </c>
      <c r="G2617" s="1" t="s">
        <v>36</v>
      </c>
      <c r="H2617" s="1" t="s">
        <v>22</v>
      </c>
      <c r="I2617" s="1" t="s">
        <v>23</v>
      </c>
      <c r="J2617" s="1">
        <v>-459.67</v>
      </c>
      <c r="L2617" s="1">
        <v>80.329999999999984</v>
      </c>
      <c r="M2617" s="1">
        <v>40.999999999999943</v>
      </c>
    </row>
    <row r="2618" spans="4:13">
      <c r="D2618" s="1" t="s">
        <v>1554</v>
      </c>
      <c r="E2618" s="1" t="s">
        <v>33</v>
      </c>
      <c r="H2618" s="1" t="s">
        <v>25</v>
      </c>
      <c r="I2618" s="1" t="s">
        <v>23</v>
      </c>
      <c r="M2618" s="1" t="b">
        <v>0</v>
      </c>
    </row>
    <row r="2619" spans="4:13">
      <c r="D2619" s="1" t="s">
        <v>1559</v>
      </c>
      <c r="E2619" s="1" t="s">
        <v>1555</v>
      </c>
      <c r="F2619" s="1" t="s">
        <v>147</v>
      </c>
      <c r="G2619" s="1" t="s">
        <v>148</v>
      </c>
      <c r="H2619" s="1" t="s">
        <v>22</v>
      </c>
      <c r="I2619" s="1" t="s">
        <v>23</v>
      </c>
      <c r="L2619" s="1">
        <v>3.4121416351331</v>
      </c>
      <c r="M2619" s="1">
        <v>3412.1416351331</v>
      </c>
    </row>
    <row r="2620" spans="4:13">
      <c r="D2620" s="1" t="s">
        <v>1559</v>
      </c>
      <c r="E2620" s="1" t="s">
        <v>1556</v>
      </c>
      <c r="H2620" s="1" t="s">
        <v>25</v>
      </c>
      <c r="I2620" s="1" t="s">
        <v>23</v>
      </c>
      <c r="M2620" s="1" t="b">
        <v>1</v>
      </c>
    </row>
    <row r="2621" spans="4:13">
      <c r="D2621" s="1" t="s">
        <v>1559</v>
      </c>
      <c r="E2621" s="1" t="s">
        <v>1558</v>
      </c>
      <c r="F2621" s="1" t="s">
        <v>35</v>
      </c>
      <c r="G2621" s="1" t="s">
        <v>36</v>
      </c>
      <c r="H2621" s="1" t="s">
        <v>22</v>
      </c>
      <c r="I2621" s="1" t="s">
        <v>23</v>
      </c>
      <c r="J2621" s="1">
        <v>-459.67</v>
      </c>
      <c r="L2621" s="1">
        <v>80.329999999999984</v>
      </c>
      <c r="M2621" s="1">
        <v>40.999999999999943</v>
      </c>
    </row>
    <row r="2622" spans="4:13">
      <c r="D2622" s="1" t="s">
        <v>1559</v>
      </c>
      <c r="E2622" s="1" t="s">
        <v>33</v>
      </c>
      <c r="H2622" s="1" t="s">
        <v>25</v>
      </c>
      <c r="I2622" s="1" t="s">
        <v>23</v>
      </c>
      <c r="M2622" s="1" t="b">
        <v>0</v>
      </c>
    </row>
    <row r="2623" spans="4:13">
      <c r="D2623" s="1" t="s">
        <v>1559</v>
      </c>
      <c r="E2623" s="1" t="s">
        <v>47</v>
      </c>
      <c r="H2623" s="1" t="s">
        <v>25</v>
      </c>
      <c r="I2623" s="1" t="s">
        <v>23</v>
      </c>
      <c r="M2623" s="1" t="b">
        <v>0</v>
      </c>
    </row>
    <row r="2624" spans="4:13">
      <c r="D2624" s="1" t="s">
        <v>1560</v>
      </c>
      <c r="E2624" s="1" t="s">
        <v>1555</v>
      </c>
      <c r="F2624" s="1" t="s">
        <v>147</v>
      </c>
      <c r="G2624" s="1" t="s">
        <v>148</v>
      </c>
      <c r="H2624" s="1" t="s">
        <v>22</v>
      </c>
      <c r="I2624" s="1" t="s">
        <v>23</v>
      </c>
      <c r="L2624" s="1">
        <v>3.4121416351331</v>
      </c>
      <c r="M2624" s="1">
        <v>3412.1416351331</v>
      </c>
    </row>
    <row r="2625" spans="4:13">
      <c r="D2625" s="1" t="s">
        <v>1560</v>
      </c>
      <c r="E2625" s="1" t="s">
        <v>1556</v>
      </c>
      <c r="H2625" s="1" t="s">
        <v>25</v>
      </c>
      <c r="I2625" s="1" t="s">
        <v>23</v>
      </c>
      <c r="M2625" s="1" t="b">
        <v>1</v>
      </c>
    </row>
    <row r="2626" spans="4:13">
      <c r="D2626" s="1" t="s">
        <v>1560</v>
      </c>
      <c r="E2626" s="1" t="s">
        <v>1558</v>
      </c>
      <c r="F2626" s="1" t="s">
        <v>35</v>
      </c>
      <c r="G2626" s="1" t="s">
        <v>36</v>
      </c>
      <c r="H2626" s="1" t="s">
        <v>22</v>
      </c>
      <c r="I2626" s="1" t="s">
        <v>23</v>
      </c>
      <c r="J2626" s="1">
        <v>-459.67</v>
      </c>
      <c r="L2626" s="1">
        <v>80.329999999999984</v>
      </c>
      <c r="M2626" s="1">
        <v>40.999999999999943</v>
      </c>
    </row>
    <row r="2627" spans="4:13">
      <c r="D2627" s="1" t="s">
        <v>1560</v>
      </c>
      <c r="E2627" s="1" t="s">
        <v>33</v>
      </c>
      <c r="H2627" s="1" t="s">
        <v>25</v>
      </c>
      <c r="I2627" s="1" t="s">
        <v>23</v>
      </c>
      <c r="M2627" s="1" t="b">
        <v>0</v>
      </c>
    </row>
    <row r="2628" spans="4:13">
      <c r="D2628" s="1" t="s">
        <v>1560</v>
      </c>
      <c r="E2628" s="1" t="s">
        <v>47</v>
      </c>
      <c r="H2628" s="1" t="s">
        <v>25</v>
      </c>
      <c r="I2628" s="1" t="s">
        <v>23</v>
      </c>
      <c r="M2628" s="1" t="b">
        <v>0</v>
      </c>
    </row>
    <row r="2629" spans="4:13">
      <c r="D2629" s="1" t="s">
        <v>1561</v>
      </c>
      <c r="E2629" s="1" t="s">
        <v>1562</v>
      </c>
      <c r="H2629" s="1" t="s">
        <v>22</v>
      </c>
      <c r="I2629" s="1" t="s">
        <v>23</v>
      </c>
      <c r="J2629" s="1">
        <v>0</v>
      </c>
      <c r="K2629" s="1">
        <v>1</v>
      </c>
      <c r="L2629" s="1">
        <v>1</v>
      </c>
      <c r="M2629" s="1">
        <v>0.5</v>
      </c>
    </row>
    <row r="2630" spans="4:13">
      <c r="D2630" s="1" t="s">
        <v>1561</v>
      </c>
      <c r="E2630" s="1" t="s">
        <v>47</v>
      </c>
      <c r="H2630" s="1" t="s">
        <v>25</v>
      </c>
      <c r="I2630" s="1" t="s">
        <v>23</v>
      </c>
      <c r="M2630" s="1" t="b">
        <v>0</v>
      </c>
    </row>
    <row r="2631" spans="4:13">
      <c r="D2631" s="1" t="s">
        <v>1561</v>
      </c>
      <c r="E2631" s="1" t="s">
        <v>1508</v>
      </c>
      <c r="H2631" s="1" t="s">
        <v>25</v>
      </c>
      <c r="I2631" s="1" t="s">
        <v>23</v>
      </c>
      <c r="M2631" s="1" t="b">
        <v>0</v>
      </c>
    </row>
    <row r="2632" spans="4:13">
      <c r="D2632" s="1" t="s">
        <v>1561</v>
      </c>
      <c r="E2632" s="1" t="s">
        <v>1563</v>
      </c>
      <c r="H2632" s="1" t="s">
        <v>25</v>
      </c>
      <c r="I2632" s="1" t="s">
        <v>23</v>
      </c>
      <c r="M2632" s="1" t="b">
        <v>0</v>
      </c>
    </row>
    <row r="2633" spans="4:13">
      <c r="D2633" s="1" t="s">
        <v>1561</v>
      </c>
      <c r="E2633" s="1" t="s">
        <v>1564</v>
      </c>
      <c r="F2633" s="1" t="s">
        <v>52</v>
      </c>
      <c r="G2633" s="1" t="s">
        <v>53</v>
      </c>
      <c r="H2633" s="1" t="s">
        <v>22</v>
      </c>
      <c r="I2633" s="1" t="s">
        <v>23</v>
      </c>
      <c r="L2633" s="1">
        <v>7936.6414386555998</v>
      </c>
      <c r="M2633" s="1">
        <v>0</v>
      </c>
    </row>
    <row r="2634" spans="4:13">
      <c r="D2634" s="1" t="s">
        <v>1561</v>
      </c>
      <c r="E2634" s="1" t="s">
        <v>1565</v>
      </c>
      <c r="F2634" s="1" t="s">
        <v>52</v>
      </c>
      <c r="G2634" s="1" t="s">
        <v>53</v>
      </c>
      <c r="H2634" s="1" t="s">
        <v>22</v>
      </c>
      <c r="I2634" s="1" t="s">
        <v>23</v>
      </c>
      <c r="L2634" s="1">
        <v>7936.6414386555998</v>
      </c>
      <c r="M2634" s="1">
        <v>0</v>
      </c>
    </row>
    <row r="2635" spans="4:13">
      <c r="D2635" s="1" t="s">
        <v>1561</v>
      </c>
      <c r="E2635" s="1" t="s">
        <v>1566</v>
      </c>
      <c r="F2635" s="1" t="s">
        <v>56</v>
      </c>
      <c r="G2635" s="1" t="s">
        <v>57</v>
      </c>
      <c r="H2635" s="1" t="s">
        <v>22</v>
      </c>
      <c r="I2635" s="1" t="s">
        <v>29</v>
      </c>
      <c r="J2635" s="1">
        <v>4.9312830828271128</v>
      </c>
      <c r="K2635" s="1">
        <v>623.66227223989961</v>
      </c>
      <c r="L2635" s="1">
        <v>50.713895374744951</v>
      </c>
    </row>
    <row r="2636" spans="4:13">
      <c r="D2636" s="1" t="s">
        <v>1561</v>
      </c>
      <c r="E2636" s="1" t="s">
        <v>1567</v>
      </c>
      <c r="F2636" s="1" t="s">
        <v>52</v>
      </c>
      <c r="G2636" s="1" t="s">
        <v>53</v>
      </c>
      <c r="H2636" s="1" t="s">
        <v>22</v>
      </c>
      <c r="I2636" s="1" t="s">
        <v>29</v>
      </c>
      <c r="J2636" s="1">
        <v>-793664.14386555995</v>
      </c>
      <c r="K2636" s="1">
        <v>0</v>
      </c>
      <c r="L2636" s="1">
        <v>7936.6414386555998</v>
      </c>
    </row>
    <row r="2637" spans="4:13">
      <c r="D2637" s="1" t="s">
        <v>1561</v>
      </c>
      <c r="E2637" s="1" t="s">
        <v>1568</v>
      </c>
      <c r="F2637" s="1" t="s">
        <v>52</v>
      </c>
      <c r="G2637" s="1" t="s">
        <v>53</v>
      </c>
      <c r="H2637" s="1" t="s">
        <v>22</v>
      </c>
      <c r="I2637" s="1" t="s">
        <v>29</v>
      </c>
      <c r="J2637" s="1">
        <v>-793664.14386555995</v>
      </c>
      <c r="K2637" s="1">
        <v>0</v>
      </c>
      <c r="L2637" s="1">
        <v>7936.6414386555998</v>
      </c>
    </row>
    <row r="2638" spans="4:13">
      <c r="D2638" s="1" t="s">
        <v>1561</v>
      </c>
      <c r="E2638" s="1" t="s">
        <v>62</v>
      </c>
      <c r="H2638" s="1" t="s">
        <v>63</v>
      </c>
      <c r="I2638" s="1" t="s">
        <v>23</v>
      </c>
      <c r="M2638" s="1">
        <v>1</v>
      </c>
    </row>
    <row r="2639" spans="4:13">
      <c r="D2639" s="1" t="s">
        <v>1569</v>
      </c>
      <c r="E2639" s="1" t="s">
        <v>1562</v>
      </c>
      <c r="H2639" s="1" t="s">
        <v>22</v>
      </c>
      <c r="I2639" s="1" t="s">
        <v>23</v>
      </c>
      <c r="J2639" s="1">
        <v>0</v>
      </c>
      <c r="K2639" s="1">
        <v>1</v>
      </c>
      <c r="L2639" s="1">
        <v>1</v>
      </c>
      <c r="M2639" s="1">
        <v>0.01</v>
      </c>
    </row>
    <row r="2640" spans="4:13">
      <c r="D2640" s="1" t="s">
        <v>1569</v>
      </c>
      <c r="E2640" s="1" t="s">
        <v>47</v>
      </c>
      <c r="H2640" s="1" t="s">
        <v>25</v>
      </c>
      <c r="I2640" s="1" t="s">
        <v>23</v>
      </c>
      <c r="M2640" s="1" t="b">
        <v>0</v>
      </c>
    </row>
    <row r="2641" spans="4:13">
      <c r="D2641" s="1" t="s">
        <v>1569</v>
      </c>
      <c r="E2641" s="1" t="s">
        <v>1508</v>
      </c>
      <c r="H2641" s="1" t="s">
        <v>25</v>
      </c>
      <c r="I2641" s="1" t="s">
        <v>23</v>
      </c>
      <c r="M2641" s="1" t="b">
        <v>1</v>
      </c>
    </row>
    <row r="2642" spans="4:13">
      <c r="D2642" s="1" t="s">
        <v>1569</v>
      </c>
      <c r="E2642" s="1" t="s">
        <v>1563</v>
      </c>
      <c r="H2642" s="1" t="s">
        <v>25</v>
      </c>
      <c r="I2642" s="1" t="s">
        <v>23</v>
      </c>
      <c r="M2642" s="1" t="b">
        <v>0</v>
      </c>
    </row>
    <row r="2643" spans="4:13">
      <c r="D2643" s="1" t="s">
        <v>1569</v>
      </c>
      <c r="E2643" s="1" t="s">
        <v>1564</v>
      </c>
      <c r="F2643" s="1" t="s">
        <v>52</v>
      </c>
      <c r="G2643" s="1" t="s">
        <v>53</v>
      </c>
      <c r="H2643" s="1" t="s">
        <v>22</v>
      </c>
      <c r="I2643" s="1" t="s">
        <v>23</v>
      </c>
      <c r="L2643" s="1">
        <v>7936.6414386555998</v>
      </c>
      <c r="M2643" s="1">
        <v>0</v>
      </c>
    </row>
    <row r="2644" spans="4:13">
      <c r="D2644" s="1" t="s">
        <v>1569</v>
      </c>
      <c r="E2644" s="1" t="s">
        <v>1565</v>
      </c>
      <c r="F2644" s="1" t="s">
        <v>52</v>
      </c>
      <c r="G2644" s="1" t="s">
        <v>53</v>
      </c>
      <c r="H2644" s="1" t="s">
        <v>22</v>
      </c>
      <c r="I2644" s="1" t="s">
        <v>23</v>
      </c>
      <c r="L2644" s="1">
        <v>7936.6414386555998</v>
      </c>
      <c r="M2644" s="1">
        <v>0</v>
      </c>
    </row>
    <row r="2645" spans="4:13">
      <c r="D2645" s="1" t="s">
        <v>1569</v>
      </c>
      <c r="E2645" s="1" t="s">
        <v>1566</v>
      </c>
      <c r="F2645" s="1" t="s">
        <v>56</v>
      </c>
      <c r="G2645" s="1" t="s">
        <v>57</v>
      </c>
      <c r="H2645" s="1" t="s">
        <v>22</v>
      </c>
      <c r="I2645" s="1" t="s">
        <v>29</v>
      </c>
      <c r="J2645" s="1">
        <v>4.9312830828271128</v>
      </c>
      <c r="K2645" s="1">
        <v>623.66227223989961</v>
      </c>
      <c r="L2645" s="1">
        <v>50.713895374744951</v>
      </c>
    </row>
    <row r="2646" spans="4:13">
      <c r="D2646" s="1" t="s">
        <v>1569</v>
      </c>
      <c r="E2646" s="1" t="s">
        <v>1567</v>
      </c>
      <c r="F2646" s="1" t="s">
        <v>52</v>
      </c>
      <c r="G2646" s="1" t="s">
        <v>53</v>
      </c>
      <c r="H2646" s="1" t="s">
        <v>22</v>
      </c>
      <c r="I2646" s="1" t="s">
        <v>29</v>
      </c>
      <c r="J2646" s="1">
        <v>-793664.14386555995</v>
      </c>
      <c r="K2646" s="1">
        <v>0</v>
      </c>
      <c r="L2646" s="1">
        <v>7936.6414386555998</v>
      </c>
    </row>
    <row r="2647" spans="4:13">
      <c r="D2647" s="1" t="s">
        <v>1569</v>
      </c>
      <c r="E2647" s="1" t="s">
        <v>1568</v>
      </c>
      <c r="F2647" s="1" t="s">
        <v>52</v>
      </c>
      <c r="G2647" s="1" t="s">
        <v>53</v>
      </c>
      <c r="H2647" s="1" t="s">
        <v>22</v>
      </c>
      <c r="I2647" s="1" t="s">
        <v>29</v>
      </c>
      <c r="J2647" s="1">
        <v>-793664.14386555995</v>
      </c>
      <c r="K2647" s="1">
        <v>0</v>
      </c>
      <c r="L2647" s="1">
        <v>7936.6414386555998</v>
      </c>
    </row>
    <row r="2648" spans="4:13">
      <c r="D2648" s="1" t="s">
        <v>1569</v>
      </c>
      <c r="E2648" s="1" t="s">
        <v>62</v>
      </c>
      <c r="H2648" s="1" t="s">
        <v>63</v>
      </c>
      <c r="I2648" s="1" t="s">
        <v>23</v>
      </c>
      <c r="M2648" s="1">
        <v>1</v>
      </c>
    </row>
    <row r="2649" spans="4:13">
      <c r="D2649" s="1" t="s">
        <v>1570</v>
      </c>
      <c r="E2649" s="1" t="s">
        <v>1562</v>
      </c>
      <c r="H2649" s="1" t="s">
        <v>22</v>
      </c>
      <c r="I2649" s="1" t="s">
        <v>23</v>
      </c>
      <c r="J2649" s="1">
        <v>0</v>
      </c>
      <c r="K2649" s="1">
        <v>1</v>
      </c>
      <c r="L2649" s="1">
        <v>1</v>
      </c>
      <c r="M2649" s="1">
        <v>0.01</v>
      </c>
    </row>
    <row r="2650" spans="4:13">
      <c r="D2650" s="1" t="s">
        <v>1570</v>
      </c>
      <c r="E2650" s="1" t="s">
        <v>47</v>
      </c>
      <c r="H2650" s="1" t="s">
        <v>25</v>
      </c>
      <c r="I2650" s="1" t="s">
        <v>23</v>
      </c>
      <c r="M2650" s="1" t="b">
        <v>0</v>
      </c>
    </row>
    <row r="2651" spans="4:13">
      <c r="D2651" s="1" t="s">
        <v>1570</v>
      </c>
      <c r="E2651" s="1" t="s">
        <v>1508</v>
      </c>
      <c r="H2651" s="1" t="s">
        <v>25</v>
      </c>
      <c r="I2651" s="1" t="s">
        <v>23</v>
      </c>
      <c r="M2651" s="1" t="b">
        <v>0</v>
      </c>
    </row>
    <row r="2652" spans="4:13">
      <c r="D2652" s="1" t="s">
        <v>1570</v>
      </c>
      <c r="E2652" s="1" t="s">
        <v>1563</v>
      </c>
      <c r="H2652" s="1" t="s">
        <v>25</v>
      </c>
      <c r="I2652" s="1" t="s">
        <v>23</v>
      </c>
      <c r="M2652" s="1" t="b">
        <v>0</v>
      </c>
    </row>
    <row r="2653" spans="4:13">
      <c r="D2653" s="1" t="s">
        <v>1570</v>
      </c>
      <c r="E2653" s="1" t="s">
        <v>1564</v>
      </c>
      <c r="F2653" s="1" t="s">
        <v>52</v>
      </c>
      <c r="G2653" s="1" t="s">
        <v>53</v>
      </c>
      <c r="H2653" s="1" t="s">
        <v>22</v>
      </c>
      <c r="I2653" s="1" t="s">
        <v>23</v>
      </c>
      <c r="L2653" s="1">
        <v>7936.6414386555998</v>
      </c>
      <c r="M2653" s="1">
        <v>0</v>
      </c>
    </row>
    <row r="2654" spans="4:13">
      <c r="D2654" s="1" t="s">
        <v>1570</v>
      </c>
      <c r="E2654" s="1" t="s">
        <v>1565</v>
      </c>
      <c r="F2654" s="1" t="s">
        <v>52</v>
      </c>
      <c r="G2654" s="1" t="s">
        <v>53</v>
      </c>
      <c r="H2654" s="1" t="s">
        <v>22</v>
      </c>
      <c r="I2654" s="1" t="s">
        <v>23</v>
      </c>
      <c r="L2654" s="1">
        <v>7936.6414386555998</v>
      </c>
      <c r="M2654" s="1">
        <v>0</v>
      </c>
    </row>
    <row r="2655" spans="4:13">
      <c r="D2655" s="1" t="s">
        <v>1570</v>
      </c>
      <c r="E2655" s="1" t="s">
        <v>1566</v>
      </c>
      <c r="F2655" s="1" t="s">
        <v>56</v>
      </c>
      <c r="G2655" s="1" t="s">
        <v>57</v>
      </c>
      <c r="H2655" s="1" t="s">
        <v>22</v>
      </c>
      <c r="I2655" s="1" t="s">
        <v>29</v>
      </c>
      <c r="J2655" s="1">
        <v>4.9312830828271128</v>
      </c>
      <c r="K2655" s="1">
        <v>623.66227223989961</v>
      </c>
      <c r="L2655" s="1">
        <v>50.713895374744951</v>
      </c>
    </row>
    <row r="2656" spans="4:13">
      <c r="D2656" s="1" t="s">
        <v>1570</v>
      </c>
      <c r="E2656" s="1" t="s">
        <v>1567</v>
      </c>
      <c r="F2656" s="1" t="s">
        <v>52</v>
      </c>
      <c r="G2656" s="1" t="s">
        <v>53</v>
      </c>
      <c r="H2656" s="1" t="s">
        <v>22</v>
      </c>
      <c r="I2656" s="1" t="s">
        <v>29</v>
      </c>
      <c r="J2656" s="1">
        <v>-793664.14386555995</v>
      </c>
      <c r="K2656" s="1">
        <v>0</v>
      </c>
      <c r="L2656" s="1">
        <v>7936.6414386555998</v>
      </c>
    </row>
    <row r="2657" spans="4:13">
      <c r="D2657" s="1" t="s">
        <v>1570</v>
      </c>
      <c r="E2657" s="1" t="s">
        <v>1568</v>
      </c>
      <c r="F2657" s="1" t="s">
        <v>52</v>
      </c>
      <c r="G2657" s="1" t="s">
        <v>53</v>
      </c>
      <c r="H2657" s="1" t="s">
        <v>22</v>
      </c>
      <c r="I2657" s="1" t="s">
        <v>29</v>
      </c>
      <c r="J2657" s="1">
        <v>-793664.14386555995</v>
      </c>
      <c r="K2657" s="1">
        <v>0</v>
      </c>
      <c r="L2657" s="1">
        <v>7936.6414386555998</v>
      </c>
    </row>
    <row r="2658" spans="4:13">
      <c r="D2658" s="1" t="s">
        <v>1570</v>
      </c>
      <c r="E2658" s="1" t="s">
        <v>62</v>
      </c>
      <c r="H2658" s="1" t="s">
        <v>63</v>
      </c>
      <c r="I2658" s="1" t="s">
        <v>23</v>
      </c>
      <c r="M2658" s="1">
        <v>1</v>
      </c>
    </row>
    <row r="2659" spans="4:13">
      <c r="D2659" s="1" t="s">
        <v>1571</v>
      </c>
      <c r="E2659" s="1" t="s">
        <v>1572</v>
      </c>
      <c r="H2659" s="1" t="s">
        <v>25</v>
      </c>
      <c r="I2659" s="1" t="s">
        <v>23</v>
      </c>
      <c r="M2659" s="1" t="b">
        <v>0</v>
      </c>
    </row>
    <row r="2660" spans="4:13">
      <c r="D2660" s="1" t="s">
        <v>1571</v>
      </c>
      <c r="E2660" s="1" t="s">
        <v>1573</v>
      </c>
      <c r="F2660" s="1" t="s">
        <v>147</v>
      </c>
      <c r="G2660" s="1" t="s">
        <v>148</v>
      </c>
      <c r="H2660" s="1" t="s">
        <v>22</v>
      </c>
      <c r="I2660" s="1" t="s">
        <v>23</v>
      </c>
      <c r="L2660" s="1">
        <v>3.4121416351331</v>
      </c>
      <c r="M2660" s="1">
        <v>12000000.007063219</v>
      </c>
    </row>
    <row r="2661" spans="4:13">
      <c r="D2661" s="1" t="s">
        <v>1571</v>
      </c>
      <c r="E2661" s="1" t="s">
        <v>1574</v>
      </c>
      <c r="H2661" s="1" t="s">
        <v>25</v>
      </c>
      <c r="I2661" s="1" t="s">
        <v>23</v>
      </c>
      <c r="M2661" s="1" t="b">
        <v>0</v>
      </c>
    </row>
    <row r="2662" spans="4:13">
      <c r="D2662" s="1" t="s">
        <v>1571</v>
      </c>
      <c r="E2662" s="1" t="s">
        <v>1575</v>
      </c>
      <c r="F2662" s="1" t="s">
        <v>147</v>
      </c>
      <c r="G2662" s="1" t="s">
        <v>148</v>
      </c>
      <c r="H2662" s="1" t="s">
        <v>22</v>
      </c>
      <c r="I2662" s="1" t="s">
        <v>23</v>
      </c>
      <c r="L2662" s="1">
        <v>3.4121416351331</v>
      </c>
      <c r="M2662" s="1">
        <v>0</v>
      </c>
    </row>
    <row r="2663" spans="4:13">
      <c r="D2663" s="1" t="s">
        <v>1571</v>
      </c>
      <c r="E2663" s="1" t="s">
        <v>1576</v>
      </c>
      <c r="H2663" s="1" t="s">
        <v>25</v>
      </c>
      <c r="I2663" s="1" t="s">
        <v>23</v>
      </c>
      <c r="M2663" s="1" t="b">
        <v>0</v>
      </c>
    </row>
    <row r="2664" spans="4:13">
      <c r="D2664" s="1" t="s">
        <v>1571</v>
      </c>
      <c r="E2664" s="1" t="s">
        <v>1577</v>
      </c>
      <c r="H2664" s="1" t="s">
        <v>25</v>
      </c>
      <c r="I2664" s="1" t="s">
        <v>23</v>
      </c>
      <c r="M2664" s="1" t="b">
        <v>0</v>
      </c>
    </row>
    <row r="2665" spans="4:13">
      <c r="D2665" s="1" t="s">
        <v>1571</v>
      </c>
      <c r="E2665" s="1" t="s">
        <v>1578</v>
      </c>
      <c r="H2665" s="1" t="s">
        <v>22</v>
      </c>
      <c r="I2665" s="1" t="s">
        <v>23</v>
      </c>
      <c r="L2665" s="1">
        <v>1</v>
      </c>
      <c r="M2665" s="1">
        <v>0.88</v>
      </c>
    </row>
    <row r="2666" spans="4:13">
      <c r="D2666" s="1" t="s">
        <v>1571</v>
      </c>
      <c r="E2666" s="1" t="s">
        <v>1579</v>
      </c>
      <c r="H2666" s="1" t="s">
        <v>25</v>
      </c>
      <c r="I2666" s="1" t="s">
        <v>23</v>
      </c>
      <c r="M2666" s="1" t="b">
        <v>1</v>
      </c>
    </row>
    <row r="2667" spans="4:13">
      <c r="D2667" s="1" t="s">
        <v>1571</v>
      </c>
      <c r="E2667" s="1" t="s">
        <v>1580</v>
      </c>
      <c r="H2667" s="1" t="s">
        <v>25</v>
      </c>
      <c r="I2667" s="1" t="s">
        <v>23</v>
      </c>
      <c r="M2667" s="1" t="b">
        <v>0</v>
      </c>
    </row>
    <row r="2668" spans="4:13">
      <c r="D2668" s="1" t="s">
        <v>1571</v>
      </c>
      <c r="E2668" s="1" t="s">
        <v>1581</v>
      </c>
      <c r="H2668" s="1" t="s">
        <v>25</v>
      </c>
      <c r="I2668" s="1" t="s">
        <v>23</v>
      </c>
      <c r="M2668" s="1" t="b">
        <v>0</v>
      </c>
    </row>
    <row r="2669" spans="4:13">
      <c r="D2669" s="1" t="s">
        <v>1571</v>
      </c>
      <c r="E2669" s="1" t="s">
        <v>1582</v>
      </c>
      <c r="F2669" s="1" t="s">
        <v>147</v>
      </c>
      <c r="G2669" s="1" t="s">
        <v>148</v>
      </c>
      <c r="H2669" s="1" t="s">
        <v>22</v>
      </c>
      <c r="I2669" s="1" t="s">
        <v>23</v>
      </c>
      <c r="L2669" s="1">
        <v>3.4121416351331</v>
      </c>
      <c r="M2669" s="1">
        <v>0</v>
      </c>
    </row>
    <row r="2670" spans="4:13">
      <c r="D2670" s="1" t="s">
        <v>1571</v>
      </c>
      <c r="E2670" s="1" t="s">
        <v>1583</v>
      </c>
      <c r="H2670" s="1" t="s">
        <v>25</v>
      </c>
      <c r="I2670" s="1" t="s">
        <v>23</v>
      </c>
      <c r="M2670" s="1" t="b">
        <v>0</v>
      </c>
    </row>
    <row r="2671" spans="4:13">
      <c r="D2671" s="1" t="s">
        <v>1571</v>
      </c>
      <c r="E2671" s="1" t="s">
        <v>1584</v>
      </c>
      <c r="F2671" s="1" t="s">
        <v>147</v>
      </c>
      <c r="G2671" s="1" t="s">
        <v>148</v>
      </c>
      <c r="H2671" s="1" t="s">
        <v>22</v>
      </c>
      <c r="I2671" s="1" t="s">
        <v>23</v>
      </c>
      <c r="L2671" s="1">
        <v>3.4121416351331</v>
      </c>
      <c r="M2671" s="1">
        <v>0</v>
      </c>
    </row>
    <row r="2672" spans="4:13">
      <c r="D2672" s="1" t="s">
        <v>1571</v>
      </c>
      <c r="E2672" s="1" t="s">
        <v>1585</v>
      </c>
      <c r="H2672" s="1" t="s">
        <v>25</v>
      </c>
      <c r="I2672" s="1" t="s">
        <v>23</v>
      </c>
      <c r="M2672" s="1" t="b">
        <v>0</v>
      </c>
    </row>
    <row r="2673" spans="2:13">
      <c r="D2673" s="1" t="s">
        <v>1571</v>
      </c>
      <c r="E2673" s="1" t="s">
        <v>1586</v>
      </c>
      <c r="F2673" s="1" t="s">
        <v>147</v>
      </c>
      <c r="G2673" s="1" t="s">
        <v>148</v>
      </c>
      <c r="H2673" s="1" t="s">
        <v>22</v>
      </c>
      <c r="I2673" s="1" t="s">
        <v>23</v>
      </c>
      <c r="L2673" s="1">
        <v>3.4121416351331</v>
      </c>
      <c r="M2673" s="1">
        <v>0</v>
      </c>
    </row>
    <row r="2674" spans="2:13">
      <c r="D2674" s="1" t="s">
        <v>1571</v>
      </c>
      <c r="E2674" s="1" t="s">
        <v>1587</v>
      </c>
      <c r="H2674" s="1" t="s">
        <v>25</v>
      </c>
      <c r="I2674" s="1" t="s">
        <v>23</v>
      </c>
      <c r="M2674" s="1" t="b">
        <v>0</v>
      </c>
    </row>
    <row r="2675" spans="2:13">
      <c r="D2675" s="1" t="s">
        <v>1571</v>
      </c>
      <c r="E2675" s="1" t="s">
        <v>1588</v>
      </c>
      <c r="F2675" s="1" t="s">
        <v>147</v>
      </c>
      <c r="G2675" s="1" t="s">
        <v>148</v>
      </c>
      <c r="H2675" s="1" t="s">
        <v>22</v>
      </c>
      <c r="I2675" s="1" t="s">
        <v>23</v>
      </c>
      <c r="L2675" s="1">
        <v>3.4121416351331</v>
      </c>
      <c r="M2675" s="1">
        <v>0</v>
      </c>
    </row>
    <row r="2676" spans="2:13">
      <c r="D2676" s="1" t="s">
        <v>1571</v>
      </c>
      <c r="E2676" s="1" t="s">
        <v>1589</v>
      </c>
      <c r="H2676" s="1" t="s">
        <v>22</v>
      </c>
      <c r="I2676" s="1" t="s">
        <v>65</v>
      </c>
      <c r="L2676" s="1">
        <v>1</v>
      </c>
    </row>
    <row r="2677" spans="2:13">
      <c r="D2677" s="1" t="s">
        <v>1571</v>
      </c>
      <c r="E2677" s="1" t="s">
        <v>1590</v>
      </c>
      <c r="H2677" s="1" t="s">
        <v>22</v>
      </c>
      <c r="I2677" s="1" t="s">
        <v>65</v>
      </c>
      <c r="L2677" s="1">
        <v>1</v>
      </c>
    </row>
    <row r="2678" spans="2:13">
      <c r="D2678" s="1" t="s">
        <v>1571</v>
      </c>
      <c r="E2678" s="1" t="s">
        <v>1591</v>
      </c>
      <c r="F2678" s="1" t="s">
        <v>147</v>
      </c>
      <c r="G2678" s="1" t="s">
        <v>148</v>
      </c>
      <c r="H2678" s="1" t="s">
        <v>22</v>
      </c>
      <c r="I2678" s="1" t="s">
        <v>65</v>
      </c>
      <c r="L2678" s="1">
        <v>3.4121416351331</v>
      </c>
    </row>
    <row r="2679" spans="2:13">
      <c r="D2679" s="1" t="s">
        <v>1571</v>
      </c>
      <c r="E2679" s="1" t="s">
        <v>1592</v>
      </c>
      <c r="F2679" s="1" t="s">
        <v>147</v>
      </c>
      <c r="G2679" s="1" t="s">
        <v>148</v>
      </c>
      <c r="H2679" s="1" t="s">
        <v>22</v>
      </c>
      <c r="I2679" s="1" t="s">
        <v>120</v>
      </c>
      <c r="L2679" s="1">
        <v>3.4121416351331</v>
      </c>
    </row>
    <row r="2680" spans="2:13">
      <c r="B2680" s="3" t="s">
        <v>1706</v>
      </c>
      <c r="D2680" s="1" t="s">
        <v>1571</v>
      </c>
      <c r="E2680" s="1" t="s">
        <v>1593</v>
      </c>
      <c r="F2680" s="1" t="s">
        <v>147</v>
      </c>
      <c r="G2680" s="1" t="s">
        <v>148</v>
      </c>
      <c r="H2680" s="1" t="s">
        <v>22</v>
      </c>
      <c r="I2680" s="1" t="s">
        <v>65</v>
      </c>
      <c r="L2680" s="1">
        <v>3.4121416351331</v>
      </c>
    </row>
    <row r="2681" spans="2:13">
      <c r="D2681" s="1" t="s">
        <v>1571</v>
      </c>
      <c r="E2681" s="1" t="s">
        <v>1594</v>
      </c>
      <c r="H2681" s="1" t="s">
        <v>22</v>
      </c>
      <c r="I2681" s="1" t="s">
        <v>65</v>
      </c>
      <c r="L2681" s="1">
        <v>1</v>
      </c>
    </row>
    <row r="2682" spans="2:13">
      <c r="D2682" s="1" t="s">
        <v>1571</v>
      </c>
      <c r="E2682" s="1" t="s">
        <v>1595</v>
      </c>
      <c r="H2682" s="1" t="s">
        <v>22</v>
      </c>
      <c r="I2682" s="1" t="s">
        <v>65</v>
      </c>
      <c r="L2682" s="1">
        <v>1</v>
      </c>
    </row>
    <row r="2683" spans="2:13">
      <c r="D2683" s="1" t="s">
        <v>1571</v>
      </c>
      <c r="E2683" s="1" t="s">
        <v>1596</v>
      </c>
      <c r="F2683" s="1" t="s">
        <v>147</v>
      </c>
      <c r="G2683" s="1" t="s">
        <v>148</v>
      </c>
      <c r="H2683" s="1" t="s">
        <v>22</v>
      </c>
      <c r="I2683" s="1" t="s">
        <v>65</v>
      </c>
      <c r="L2683" s="1">
        <v>3.4121416351331</v>
      </c>
    </row>
    <row r="2684" spans="2:13">
      <c r="D2684" s="1" t="s">
        <v>1571</v>
      </c>
      <c r="E2684" s="1" t="s">
        <v>1597</v>
      </c>
      <c r="F2684" s="1" t="s">
        <v>147</v>
      </c>
      <c r="G2684" s="1" t="s">
        <v>148</v>
      </c>
      <c r="H2684" s="1" t="s">
        <v>22</v>
      </c>
      <c r="I2684" s="1" t="s">
        <v>120</v>
      </c>
      <c r="L2684" s="1">
        <v>3.4121416351331</v>
      </c>
    </row>
    <row r="2685" spans="2:13">
      <c r="D2685" s="1" t="s">
        <v>1571</v>
      </c>
      <c r="E2685" s="1" t="s">
        <v>1598</v>
      </c>
      <c r="F2685" s="1" t="s">
        <v>147</v>
      </c>
      <c r="G2685" s="1" t="s">
        <v>148</v>
      </c>
      <c r="H2685" s="1" t="s">
        <v>22</v>
      </c>
      <c r="I2685" s="1" t="s">
        <v>65</v>
      </c>
      <c r="L2685" s="1">
        <v>3.4121416351331</v>
      </c>
    </row>
    <row r="2686" spans="2:13">
      <c r="D2686" s="1" t="s">
        <v>1571</v>
      </c>
      <c r="E2686" s="1" t="s">
        <v>1599</v>
      </c>
      <c r="H2686" s="1" t="s">
        <v>25</v>
      </c>
      <c r="I2686" s="1" t="s">
        <v>120</v>
      </c>
    </row>
    <row r="2687" spans="2:13">
      <c r="D2687" s="1" t="s">
        <v>1571</v>
      </c>
      <c r="E2687" s="1" t="s">
        <v>1600</v>
      </c>
      <c r="H2687" s="1" t="s">
        <v>25</v>
      </c>
      <c r="I2687" s="1" t="s">
        <v>120</v>
      </c>
    </row>
    <row r="2688" spans="2:13">
      <c r="D2688" s="1" t="s">
        <v>1571</v>
      </c>
      <c r="E2688" s="1" t="s">
        <v>1601</v>
      </c>
      <c r="H2688" s="1" t="s">
        <v>22</v>
      </c>
      <c r="I2688" s="1" t="s">
        <v>65</v>
      </c>
      <c r="L2688" s="1">
        <v>1</v>
      </c>
    </row>
    <row r="2689" spans="4:13">
      <c r="D2689" s="1" t="s">
        <v>1571</v>
      </c>
      <c r="E2689" s="1" t="s">
        <v>1602</v>
      </c>
      <c r="F2689" s="1" t="s">
        <v>118</v>
      </c>
      <c r="G2689" s="1" t="s">
        <v>119</v>
      </c>
      <c r="H2689" s="1" t="s">
        <v>22</v>
      </c>
      <c r="I2689" s="1" t="s">
        <v>65</v>
      </c>
      <c r="J2689" s="1">
        <v>0</v>
      </c>
      <c r="L2689" s="1">
        <v>2.20462262185</v>
      </c>
    </row>
    <row r="2690" spans="4:13">
      <c r="D2690" s="1" t="s">
        <v>1571</v>
      </c>
      <c r="E2690" s="1" t="s">
        <v>1603</v>
      </c>
      <c r="F2690" s="1" t="s">
        <v>118</v>
      </c>
      <c r="G2690" s="1" t="s">
        <v>119</v>
      </c>
      <c r="H2690" s="1" t="s">
        <v>22</v>
      </c>
      <c r="I2690" s="1" t="s">
        <v>120</v>
      </c>
      <c r="J2690" s="1">
        <v>0</v>
      </c>
      <c r="L2690" s="1">
        <v>2.20462262185</v>
      </c>
    </row>
    <row r="2691" spans="4:13">
      <c r="D2691" s="1" t="s">
        <v>1571</v>
      </c>
      <c r="E2691" s="1" t="s">
        <v>1604</v>
      </c>
      <c r="H2691" s="1" t="s">
        <v>150</v>
      </c>
      <c r="I2691" s="1" t="s">
        <v>120</v>
      </c>
    </row>
    <row r="2692" spans="4:13">
      <c r="D2692" s="1" t="s">
        <v>1571</v>
      </c>
      <c r="E2692" s="1" t="s">
        <v>1605</v>
      </c>
      <c r="H2692" s="1" t="s">
        <v>63</v>
      </c>
      <c r="I2692" s="1" t="s">
        <v>120</v>
      </c>
    </row>
    <row r="2693" spans="4:13">
      <c r="D2693" s="1" t="s">
        <v>1571</v>
      </c>
      <c r="E2693" s="1" t="s">
        <v>1606</v>
      </c>
      <c r="H2693" s="1" t="s">
        <v>22</v>
      </c>
      <c r="I2693" s="1" t="s">
        <v>120</v>
      </c>
      <c r="L2693" s="1">
        <v>1</v>
      </c>
    </row>
    <row r="2694" spans="4:13">
      <c r="D2694" s="1" t="s">
        <v>1571</v>
      </c>
      <c r="E2694" s="1" t="s">
        <v>1607</v>
      </c>
      <c r="H2694" s="1" t="s">
        <v>22</v>
      </c>
      <c r="I2694" s="1" t="s">
        <v>120</v>
      </c>
      <c r="L2694" s="1">
        <v>1</v>
      </c>
    </row>
    <row r="2695" spans="4:13">
      <c r="D2695" s="1" t="s">
        <v>1571</v>
      </c>
      <c r="E2695" s="1" t="s">
        <v>1608</v>
      </c>
      <c r="F2695" s="1" t="s">
        <v>147</v>
      </c>
      <c r="G2695" s="1" t="s">
        <v>148</v>
      </c>
      <c r="H2695" s="1" t="s">
        <v>22</v>
      </c>
      <c r="I2695" s="1" t="s">
        <v>120</v>
      </c>
      <c r="L2695" s="1">
        <v>3.4121416351331</v>
      </c>
    </row>
    <row r="2696" spans="4:13">
      <c r="D2696" s="1" t="s">
        <v>1571</v>
      </c>
      <c r="E2696" s="1" t="s">
        <v>1609</v>
      </c>
      <c r="F2696" s="1" t="s">
        <v>147</v>
      </c>
      <c r="G2696" s="1" t="s">
        <v>148</v>
      </c>
      <c r="H2696" s="1" t="s">
        <v>22</v>
      </c>
      <c r="I2696" s="1" t="s">
        <v>120</v>
      </c>
      <c r="L2696" s="1">
        <v>3.4121416351331</v>
      </c>
    </row>
    <row r="2697" spans="4:13">
      <c r="D2697" s="1" t="s">
        <v>1571</v>
      </c>
      <c r="E2697" s="1" t="s">
        <v>1610</v>
      </c>
      <c r="F2697" s="1" t="s">
        <v>147</v>
      </c>
      <c r="G2697" s="1" t="s">
        <v>148</v>
      </c>
      <c r="H2697" s="1" t="s">
        <v>22</v>
      </c>
      <c r="I2697" s="1" t="s">
        <v>120</v>
      </c>
      <c r="L2697" s="1">
        <v>3.4121416351331</v>
      </c>
    </row>
    <row r="2698" spans="4:13">
      <c r="D2698" s="1" t="s">
        <v>1571</v>
      </c>
      <c r="E2698" s="1" t="s">
        <v>1611</v>
      </c>
      <c r="F2698" s="1" t="s">
        <v>147</v>
      </c>
      <c r="G2698" s="1" t="s">
        <v>148</v>
      </c>
      <c r="H2698" s="1" t="s">
        <v>22</v>
      </c>
      <c r="I2698" s="1" t="s">
        <v>65</v>
      </c>
      <c r="L2698" s="1">
        <v>3.4121416351331</v>
      </c>
    </row>
    <row r="2699" spans="4:13">
      <c r="D2699" s="1" t="s">
        <v>1571</v>
      </c>
      <c r="E2699" s="1" t="s">
        <v>1612</v>
      </c>
      <c r="F2699" s="1" t="s">
        <v>147</v>
      </c>
      <c r="G2699" s="1" t="s">
        <v>148</v>
      </c>
      <c r="H2699" s="1" t="s">
        <v>22</v>
      </c>
      <c r="I2699" s="1" t="s">
        <v>120</v>
      </c>
      <c r="L2699" s="1">
        <v>3.4121416351331</v>
      </c>
    </row>
    <row r="2700" spans="4:13">
      <c r="D2700" s="1" t="s">
        <v>1571</v>
      </c>
      <c r="E2700" s="1" t="s">
        <v>1613</v>
      </c>
      <c r="F2700" s="1" t="s">
        <v>147</v>
      </c>
      <c r="G2700" s="1" t="s">
        <v>148</v>
      </c>
      <c r="H2700" s="1" t="s">
        <v>22</v>
      </c>
      <c r="I2700" s="1" t="s">
        <v>65</v>
      </c>
      <c r="L2700" s="1">
        <v>3.4121416351331</v>
      </c>
    </row>
    <row r="2701" spans="4:13">
      <c r="D2701" s="1" t="s">
        <v>1614</v>
      </c>
      <c r="H2701" s="1" t="s">
        <v>25</v>
      </c>
      <c r="I2701" s="1" t="s">
        <v>23</v>
      </c>
      <c r="M2701" s="1" t="b">
        <v>0</v>
      </c>
    </row>
    <row r="2702" spans="4:13">
      <c r="D2702" s="1" t="s">
        <v>1615</v>
      </c>
      <c r="H2702" s="1" t="s">
        <v>25</v>
      </c>
      <c r="I2702" s="1" t="s">
        <v>23</v>
      </c>
      <c r="M2702" s="1" t="b">
        <v>1</v>
      </c>
    </row>
    <row r="2703" spans="4:13">
      <c r="D2703" s="1" t="s">
        <v>1616</v>
      </c>
      <c r="E2703" s="1" t="s">
        <v>1617</v>
      </c>
      <c r="H2703" s="1" t="s">
        <v>22</v>
      </c>
      <c r="I2703" s="1" t="s">
        <v>23</v>
      </c>
      <c r="L2703" s="1">
        <v>1</v>
      </c>
      <c r="M2703" s="1">
        <v>1</v>
      </c>
    </row>
    <row r="2704" spans="4:13">
      <c r="D2704" s="1" t="s">
        <v>1616</v>
      </c>
      <c r="E2704" s="1" t="s">
        <v>1618</v>
      </c>
      <c r="H2704" s="1" t="s">
        <v>181</v>
      </c>
      <c r="I2704" s="1" t="s">
        <v>23</v>
      </c>
      <c r="J2704" s="1">
        <v>1</v>
      </c>
      <c r="K2704" s="1">
        <v>11</v>
      </c>
      <c r="M2704" s="1" t="s">
        <v>950</v>
      </c>
    </row>
    <row r="2705" spans="4:13">
      <c r="D2705" s="1" t="s">
        <v>1616</v>
      </c>
      <c r="E2705" s="1" t="s">
        <v>1619</v>
      </c>
      <c r="F2705" s="1" t="s">
        <v>1535</v>
      </c>
      <c r="G2705" s="1" t="s">
        <v>1535</v>
      </c>
      <c r="H2705" s="1" t="s">
        <v>22</v>
      </c>
      <c r="I2705" s="1" t="s">
        <v>23</v>
      </c>
      <c r="J2705" s="1">
        <v>0</v>
      </c>
      <c r="K2705" s="1">
        <v>1000</v>
      </c>
      <c r="L2705" s="1">
        <v>1</v>
      </c>
      <c r="M2705" s="1">
        <v>50</v>
      </c>
    </row>
    <row r="2706" spans="4:13">
      <c r="D2706" s="1" t="s">
        <v>1616</v>
      </c>
      <c r="E2706" s="1" t="s">
        <v>1620</v>
      </c>
      <c r="H2706" s="1" t="s">
        <v>22</v>
      </c>
      <c r="I2706" s="1" t="s">
        <v>23</v>
      </c>
      <c r="J2706" s="1">
        <v>0</v>
      </c>
      <c r="K2706" s="1">
        <v>1</v>
      </c>
      <c r="L2706" s="1">
        <v>1</v>
      </c>
      <c r="M2706" s="1">
        <v>0.95</v>
      </c>
    </row>
    <row r="2707" spans="4:13">
      <c r="D2707" s="1" t="s">
        <v>1616</v>
      </c>
      <c r="E2707" s="1" t="s">
        <v>1621</v>
      </c>
      <c r="F2707" s="1">
        <v>1</v>
      </c>
      <c r="G2707" s="1">
        <v>1</v>
      </c>
      <c r="H2707" s="1" t="s">
        <v>22</v>
      </c>
      <c r="I2707" s="1" t="s">
        <v>29</v>
      </c>
      <c r="J2707" s="1">
        <v>0.01</v>
      </c>
      <c r="K2707" s="1">
        <v>1</v>
      </c>
      <c r="L2707" s="1">
        <v>0.95</v>
      </c>
    </row>
    <row r="2708" spans="4:13">
      <c r="D2708" s="1" t="s">
        <v>1616</v>
      </c>
      <c r="E2708" s="1" t="s">
        <v>1622</v>
      </c>
      <c r="F2708" s="1" t="s">
        <v>147</v>
      </c>
      <c r="G2708" s="1" t="s">
        <v>148</v>
      </c>
      <c r="H2708" s="1" t="s">
        <v>22</v>
      </c>
      <c r="I2708" s="1" t="s">
        <v>23</v>
      </c>
      <c r="J2708" s="1">
        <v>0</v>
      </c>
      <c r="K2708" s="1">
        <v>34121416351.331001</v>
      </c>
      <c r="L2708" s="1">
        <v>3.4121416351331</v>
      </c>
      <c r="M2708" s="1">
        <v>750671.15972928202</v>
      </c>
    </row>
    <row r="2709" spans="4:13">
      <c r="D2709" s="1" t="s">
        <v>1616</v>
      </c>
      <c r="E2709" s="1" t="s">
        <v>1623</v>
      </c>
      <c r="H2709" s="1" t="s">
        <v>181</v>
      </c>
      <c r="I2709" s="1" t="s">
        <v>23</v>
      </c>
      <c r="J2709" s="1">
        <v>1</v>
      </c>
      <c r="K2709" s="1">
        <v>24</v>
      </c>
      <c r="M2709" s="1" t="s">
        <v>1624</v>
      </c>
    </row>
    <row r="2710" spans="4:13">
      <c r="D2710" s="1" t="s">
        <v>1616</v>
      </c>
      <c r="E2710" s="1" t="s">
        <v>1625</v>
      </c>
      <c r="H2710" s="1" t="s">
        <v>181</v>
      </c>
      <c r="I2710" s="1" t="s">
        <v>23</v>
      </c>
      <c r="J2710" s="1">
        <v>1</v>
      </c>
      <c r="K2710" s="1">
        <v>4</v>
      </c>
      <c r="M2710" s="1" t="s">
        <v>950</v>
      </c>
    </row>
    <row r="2711" spans="4:13">
      <c r="D2711" s="1" t="s">
        <v>1616</v>
      </c>
      <c r="E2711" s="1" t="s">
        <v>1626</v>
      </c>
      <c r="H2711" s="1" t="s">
        <v>181</v>
      </c>
      <c r="I2711" s="1" t="s">
        <v>23</v>
      </c>
      <c r="J2711" s="1">
        <v>1</v>
      </c>
      <c r="K2711" s="1">
        <v>4</v>
      </c>
      <c r="M2711" s="1" t="s">
        <v>1627</v>
      </c>
    </row>
    <row r="2712" spans="4:13">
      <c r="D2712" s="1" t="s">
        <v>1616</v>
      </c>
      <c r="E2712" s="1" t="s">
        <v>1628</v>
      </c>
      <c r="H2712" s="1" t="s">
        <v>181</v>
      </c>
      <c r="I2712" s="1" t="s">
        <v>23</v>
      </c>
      <c r="J2712" s="1">
        <v>1</v>
      </c>
      <c r="K2712" s="1">
        <v>25</v>
      </c>
      <c r="M2712" s="1" t="s">
        <v>1629</v>
      </c>
    </row>
    <row r="2713" spans="4:13">
      <c r="D2713" s="1" t="s">
        <v>1616</v>
      </c>
      <c r="E2713" s="1" t="s">
        <v>1630</v>
      </c>
      <c r="H2713" s="1" t="s">
        <v>181</v>
      </c>
      <c r="I2713" s="1" t="s">
        <v>23</v>
      </c>
      <c r="J2713" s="1">
        <v>1</v>
      </c>
      <c r="K2713" s="1">
        <v>2</v>
      </c>
      <c r="M2713" s="1" t="s">
        <v>1631</v>
      </c>
    </row>
    <row r="2714" spans="4:13">
      <c r="D2714" s="1" t="s">
        <v>1616</v>
      </c>
      <c r="E2714" s="1" t="s">
        <v>1632</v>
      </c>
      <c r="H2714" s="1" t="s">
        <v>181</v>
      </c>
      <c r="I2714" s="1" t="s">
        <v>23</v>
      </c>
      <c r="J2714" s="1">
        <v>1</v>
      </c>
      <c r="K2714" s="1">
        <v>3</v>
      </c>
      <c r="M2714" s="1" t="s">
        <v>1633</v>
      </c>
    </row>
    <row r="2715" spans="4:13">
      <c r="D2715" s="1" t="s">
        <v>1616</v>
      </c>
      <c r="E2715" s="1" t="s">
        <v>1634</v>
      </c>
      <c r="H2715" s="1" t="s">
        <v>181</v>
      </c>
      <c r="I2715" s="1" t="s">
        <v>23</v>
      </c>
      <c r="J2715" s="1">
        <v>1</v>
      </c>
      <c r="K2715" s="1">
        <v>11</v>
      </c>
      <c r="M2715" s="1" t="s">
        <v>1635</v>
      </c>
    </row>
    <row r="2716" spans="4:13">
      <c r="D2716" s="1" t="s">
        <v>1616</v>
      </c>
      <c r="E2716" s="1" t="s">
        <v>906</v>
      </c>
      <c r="H2716" s="1" t="s">
        <v>22</v>
      </c>
      <c r="I2716" s="1" t="s">
        <v>23</v>
      </c>
      <c r="J2716" s="1">
        <v>0.5</v>
      </c>
      <c r="K2716" s="1">
        <v>2</v>
      </c>
      <c r="L2716" s="1">
        <v>1</v>
      </c>
      <c r="M2716" s="1">
        <v>1</v>
      </c>
    </row>
    <row r="2717" spans="4:13">
      <c r="D2717" s="1" t="s">
        <v>1616</v>
      </c>
      <c r="E2717" s="1" t="s">
        <v>907</v>
      </c>
      <c r="H2717" s="1" t="s">
        <v>25</v>
      </c>
      <c r="I2717" s="1" t="s">
        <v>23</v>
      </c>
      <c r="M2717" s="1" t="b">
        <v>1</v>
      </c>
    </row>
    <row r="2718" spans="4:13">
      <c r="D2718" s="1" t="s">
        <v>1616</v>
      </c>
      <c r="E2718" s="1" t="s">
        <v>1636</v>
      </c>
      <c r="F2718" s="1" t="s">
        <v>176</v>
      </c>
      <c r="G2718" s="1" t="s">
        <v>177</v>
      </c>
      <c r="H2718" s="1" t="s">
        <v>22</v>
      </c>
      <c r="I2718" s="1" t="s">
        <v>23</v>
      </c>
      <c r="J2718" s="1">
        <v>0</v>
      </c>
      <c r="K2718" s="1">
        <v>393700.78740157466</v>
      </c>
      <c r="L2718" s="1">
        <v>39.370078740157467</v>
      </c>
      <c r="M2718" s="1">
        <v>39370.078740157471</v>
      </c>
    </row>
    <row r="2719" spans="4:13">
      <c r="D2719" s="1" t="s">
        <v>1616</v>
      </c>
      <c r="E2719" s="1" t="s">
        <v>914</v>
      </c>
      <c r="H2719" s="1" t="s">
        <v>22</v>
      </c>
      <c r="I2719" s="1" t="s">
        <v>29</v>
      </c>
      <c r="J2719" s="1">
        <v>0.1</v>
      </c>
      <c r="K2719" s="1">
        <v>10</v>
      </c>
      <c r="L2719" s="1">
        <v>5.05</v>
      </c>
    </row>
    <row r="2720" spans="4:13">
      <c r="D2720" s="1" t="s">
        <v>1616</v>
      </c>
      <c r="E2720" s="1" t="s">
        <v>1519</v>
      </c>
      <c r="H2720" s="1" t="s">
        <v>25</v>
      </c>
      <c r="I2720" s="1" t="s">
        <v>23</v>
      </c>
      <c r="M2720" s="1" t="b">
        <v>1</v>
      </c>
    </row>
    <row r="2721" spans="4:13">
      <c r="D2721" s="1" t="s">
        <v>1616</v>
      </c>
      <c r="E2721" s="1" t="s">
        <v>1637</v>
      </c>
      <c r="F2721" s="1" t="s">
        <v>200</v>
      </c>
      <c r="G2721" s="1" t="s">
        <v>200</v>
      </c>
      <c r="H2721" s="1" t="s">
        <v>22</v>
      </c>
      <c r="I2721" s="1" t="s">
        <v>29</v>
      </c>
      <c r="J2721" s="1">
        <v>0.01</v>
      </c>
      <c r="K2721" s="1">
        <v>250000</v>
      </c>
      <c r="L2721" s="1">
        <v>500</v>
      </c>
    </row>
    <row r="2722" spans="4:13">
      <c r="D2722" s="1" t="s">
        <v>1616</v>
      </c>
      <c r="E2722" s="1" t="s">
        <v>1638</v>
      </c>
      <c r="F2722" s="1" t="s">
        <v>200</v>
      </c>
      <c r="G2722" s="1" t="s">
        <v>200</v>
      </c>
      <c r="H2722" s="1" t="s">
        <v>22</v>
      </c>
      <c r="I2722" s="1" t="s">
        <v>23</v>
      </c>
      <c r="J2722" s="1">
        <v>0</v>
      </c>
      <c r="K2722" s="1">
        <v>1000000</v>
      </c>
      <c r="L2722" s="1">
        <v>1</v>
      </c>
      <c r="M2722" s="1">
        <v>500</v>
      </c>
    </row>
    <row r="2723" spans="4:13">
      <c r="D2723" s="1" t="s">
        <v>1616</v>
      </c>
      <c r="E2723" s="1" t="s">
        <v>1520</v>
      </c>
      <c r="H2723" s="1" t="s">
        <v>22</v>
      </c>
      <c r="I2723" s="1" t="s">
        <v>23</v>
      </c>
      <c r="J2723" s="1">
        <v>0</v>
      </c>
      <c r="K2723" s="1">
        <v>1</v>
      </c>
      <c r="L2723" s="1">
        <v>1</v>
      </c>
      <c r="M2723" s="1">
        <v>0.97750000000000004</v>
      </c>
    </row>
    <row r="2724" spans="4:13">
      <c r="D2724" s="1" t="s">
        <v>1616</v>
      </c>
      <c r="E2724" s="1" t="s">
        <v>1639</v>
      </c>
      <c r="H2724" s="1" t="s">
        <v>22</v>
      </c>
      <c r="I2724" s="1" t="s">
        <v>29</v>
      </c>
      <c r="J2724" s="1">
        <v>0.01</v>
      </c>
      <c r="K2724" s="1">
        <v>1</v>
      </c>
      <c r="L2724" s="1">
        <v>0.95</v>
      </c>
    </row>
    <row r="2725" spans="4:13">
      <c r="D2725" s="1" t="s">
        <v>1616</v>
      </c>
      <c r="E2725" s="1" t="s">
        <v>1640</v>
      </c>
      <c r="H2725" s="1" t="s">
        <v>22</v>
      </c>
      <c r="I2725" s="1" t="s">
        <v>23</v>
      </c>
      <c r="J2725" s="1">
        <v>0</v>
      </c>
      <c r="K2725" s="1">
        <v>1</v>
      </c>
      <c r="L2725" s="1">
        <v>1</v>
      </c>
      <c r="M2725" s="1">
        <v>0.95</v>
      </c>
    </row>
    <row r="2726" spans="4:13">
      <c r="D2726" s="1" t="s">
        <v>1616</v>
      </c>
      <c r="E2726" s="1" t="s">
        <v>47</v>
      </c>
      <c r="H2726" s="1" t="s">
        <v>25</v>
      </c>
      <c r="I2726" s="1" t="s">
        <v>23</v>
      </c>
      <c r="M2726" s="1" t="b">
        <v>0</v>
      </c>
    </row>
    <row r="2727" spans="4:13">
      <c r="D2727" s="1" t="s">
        <v>1616</v>
      </c>
      <c r="E2727" s="1" t="s">
        <v>920</v>
      </c>
      <c r="H2727" s="1" t="s">
        <v>22</v>
      </c>
      <c r="I2727" s="1" t="s">
        <v>23</v>
      </c>
      <c r="J2727" s="1">
        <v>-1</v>
      </c>
      <c r="K2727" s="1">
        <v>1</v>
      </c>
      <c r="L2727" s="1">
        <v>1</v>
      </c>
      <c r="M2727" s="1">
        <v>0</v>
      </c>
    </row>
    <row r="2728" spans="4:13">
      <c r="D2728" s="1" t="s">
        <v>1616</v>
      </c>
      <c r="E2728" s="1" t="s">
        <v>921</v>
      </c>
      <c r="H2728" s="1" t="s">
        <v>22</v>
      </c>
      <c r="I2728" s="1" t="s">
        <v>23</v>
      </c>
      <c r="J2728" s="1">
        <v>0</v>
      </c>
      <c r="K2728" s="1">
        <v>1</v>
      </c>
      <c r="L2728" s="1">
        <v>1</v>
      </c>
      <c r="M2728" s="1">
        <v>0</v>
      </c>
    </row>
    <row r="2729" spans="4:13">
      <c r="D2729" s="1" t="s">
        <v>1616</v>
      </c>
      <c r="E2729" s="1" t="s">
        <v>1641</v>
      </c>
      <c r="H2729" s="1" t="s">
        <v>22</v>
      </c>
      <c r="I2729" s="1" t="s">
        <v>23</v>
      </c>
      <c r="J2729" s="1">
        <v>0</v>
      </c>
      <c r="K2729" s="1">
        <v>1</v>
      </c>
      <c r="L2729" s="1">
        <v>1</v>
      </c>
      <c r="M2729" s="1">
        <v>1</v>
      </c>
    </row>
    <row r="2730" spans="4:13">
      <c r="D2730" s="1" t="s">
        <v>1616</v>
      </c>
      <c r="E2730" s="1" t="s">
        <v>1642</v>
      </c>
      <c r="H2730" s="1" t="s">
        <v>25</v>
      </c>
      <c r="I2730" s="1" t="s">
        <v>23</v>
      </c>
      <c r="M2730" s="1" t="b">
        <v>0</v>
      </c>
    </row>
    <row r="2731" spans="4:13">
      <c r="D2731" s="1" t="s">
        <v>1616</v>
      </c>
      <c r="E2731" s="1" t="s">
        <v>1643</v>
      </c>
      <c r="F2731" s="1" t="s">
        <v>147</v>
      </c>
      <c r="G2731" s="1" t="s">
        <v>148</v>
      </c>
      <c r="H2731" s="1" t="s">
        <v>22</v>
      </c>
      <c r="I2731" s="1" t="s">
        <v>23</v>
      </c>
      <c r="J2731" s="1">
        <v>0</v>
      </c>
      <c r="K2731" s="1">
        <v>34121416351.331001</v>
      </c>
      <c r="L2731" s="1">
        <v>3.4121416351331</v>
      </c>
      <c r="M2731" s="1">
        <v>6824.2832702661999</v>
      </c>
    </row>
    <row r="2732" spans="4:13">
      <c r="D2732" s="1" t="s">
        <v>1616</v>
      </c>
      <c r="E2732" s="1" t="s">
        <v>1644</v>
      </c>
      <c r="F2732" s="1" t="s">
        <v>1535</v>
      </c>
      <c r="G2732" s="1" t="s">
        <v>1535</v>
      </c>
      <c r="H2732" s="1" t="s">
        <v>22</v>
      </c>
      <c r="I2732" s="1" t="s">
        <v>65</v>
      </c>
      <c r="L2732" s="1">
        <v>1</v>
      </c>
    </row>
    <row r="2733" spans="4:13">
      <c r="D2733" s="1" t="s">
        <v>1616</v>
      </c>
      <c r="E2733" s="1" t="s">
        <v>1645</v>
      </c>
      <c r="F2733" s="1" t="s">
        <v>147</v>
      </c>
      <c r="G2733" s="1" t="s">
        <v>148</v>
      </c>
      <c r="H2733" s="1" t="s">
        <v>22</v>
      </c>
      <c r="I2733" s="1" t="s">
        <v>65</v>
      </c>
      <c r="L2733" s="1">
        <v>3.4121416351331</v>
      </c>
    </row>
    <row r="2734" spans="4:13">
      <c r="D2734" s="1" t="s">
        <v>1616</v>
      </c>
      <c r="E2734" s="1" t="s">
        <v>1646</v>
      </c>
      <c r="F2734" s="1" t="s">
        <v>1517</v>
      </c>
      <c r="G2734" s="1" t="s">
        <v>1517</v>
      </c>
      <c r="H2734" s="1" t="s">
        <v>22</v>
      </c>
      <c r="I2734" s="1" t="s">
        <v>70</v>
      </c>
      <c r="L2734" s="1">
        <v>1</v>
      </c>
    </row>
    <row r="2735" spans="4:13">
      <c r="D2735" s="1" t="s">
        <v>1616</v>
      </c>
      <c r="E2735" s="1" t="s">
        <v>990</v>
      </c>
      <c r="H2735" s="1" t="s">
        <v>22</v>
      </c>
      <c r="I2735" s="1" t="s">
        <v>65</v>
      </c>
      <c r="L2735" s="1">
        <v>1</v>
      </c>
    </row>
    <row r="2736" spans="4:13">
      <c r="D2736" s="1" t="s">
        <v>1616</v>
      </c>
      <c r="E2736" s="1" t="s">
        <v>1647</v>
      </c>
      <c r="F2736" s="1" t="s">
        <v>200</v>
      </c>
      <c r="G2736" s="1" t="s">
        <v>200</v>
      </c>
      <c r="H2736" s="1" t="s">
        <v>22</v>
      </c>
      <c r="I2736" s="1" t="s">
        <v>65</v>
      </c>
      <c r="L2736" s="1">
        <v>1</v>
      </c>
    </row>
    <row r="2737" spans="4:13">
      <c r="D2737" s="1" t="s">
        <v>1616</v>
      </c>
      <c r="E2737" s="1" t="s">
        <v>1648</v>
      </c>
      <c r="F2737" s="1" t="s">
        <v>200</v>
      </c>
      <c r="G2737" s="1" t="s">
        <v>200</v>
      </c>
      <c r="H2737" s="1" t="s">
        <v>22</v>
      </c>
      <c r="I2737" s="1" t="s">
        <v>65</v>
      </c>
      <c r="L2737" s="1">
        <v>1</v>
      </c>
    </row>
    <row r="2738" spans="4:13">
      <c r="D2738" s="1" t="s">
        <v>1616</v>
      </c>
      <c r="E2738" s="1" t="s">
        <v>1649</v>
      </c>
      <c r="F2738" s="1">
        <v>1</v>
      </c>
      <c r="G2738" s="1">
        <v>1</v>
      </c>
      <c r="H2738" s="1" t="s">
        <v>22</v>
      </c>
      <c r="I2738" s="1" t="s">
        <v>65</v>
      </c>
      <c r="J2738" s="1">
        <v>0</v>
      </c>
      <c r="L2738" s="1">
        <v>1</v>
      </c>
    </row>
    <row r="2739" spans="4:13">
      <c r="D2739" s="1" t="s">
        <v>1616</v>
      </c>
      <c r="E2739" s="1" t="s">
        <v>69</v>
      </c>
      <c r="H2739" s="1" t="s">
        <v>25</v>
      </c>
      <c r="I2739" s="1" t="s">
        <v>70</v>
      </c>
    </row>
    <row r="2740" spans="4:13">
      <c r="D2740" s="1" t="s">
        <v>1616</v>
      </c>
      <c r="E2740" s="1" t="s">
        <v>1650</v>
      </c>
      <c r="F2740" s="1" t="s">
        <v>147</v>
      </c>
      <c r="G2740" s="1" t="s">
        <v>148</v>
      </c>
      <c r="H2740" s="1" t="s">
        <v>22</v>
      </c>
      <c r="I2740" s="1" t="s">
        <v>65</v>
      </c>
      <c r="L2740" s="1">
        <v>3.4121416351331</v>
      </c>
    </row>
    <row r="2741" spans="4:13">
      <c r="D2741" s="1" t="s">
        <v>1616</v>
      </c>
      <c r="E2741" s="1" t="s">
        <v>1651</v>
      </c>
      <c r="F2741" s="1" t="s">
        <v>147</v>
      </c>
      <c r="G2741" s="1" t="s">
        <v>148</v>
      </c>
      <c r="H2741" s="1" t="s">
        <v>22</v>
      </c>
      <c r="I2741" s="1" t="s">
        <v>65</v>
      </c>
      <c r="L2741" s="1">
        <v>3.4121416351331</v>
      </c>
    </row>
    <row r="2742" spans="4:13">
      <c r="D2742" s="1" t="s">
        <v>1616</v>
      </c>
      <c r="E2742" s="1" t="s">
        <v>1652</v>
      </c>
      <c r="F2742" s="1">
        <v>1</v>
      </c>
      <c r="G2742" s="1">
        <v>1</v>
      </c>
      <c r="H2742" s="1" t="s">
        <v>22</v>
      </c>
      <c r="I2742" s="1" t="s">
        <v>65</v>
      </c>
      <c r="L2742" s="1">
        <v>1</v>
      </c>
    </row>
    <row r="2743" spans="4:13">
      <c r="D2743" s="1" t="s">
        <v>1653</v>
      </c>
      <c r="E2743" s="1" t="s">
        <v>1470</v>
      </c>
      <c r="H2743" s="1" t="s">
        <v>22</v>
      </c>
      <c r="I2743" s="1" t="s">
        <v>23</v>
      </c>
      <c r="J2743" s="1">
        <v>0.5</v>
      </c>
      <c r="K2743" s="1">
        <v>2</v>
      </c>
      <c r="L2743" s="1">
        <v>1</v>
      </c>
      <c r="M2743" s="1">
        <v>1</v>
      </c>
    </row>
    <row r="2744" spans="4:13">
      <c r="D2744" s="1" t="s">
        <v>1653</v>
      </c>
      <c r="E2744" s="1" t="s">
        <v>47</v>
      </c>
      <c r="H2744" s="1" t="s">
        <v>25</v>
      </c>
      <c r="I2744" s="1" t="s">
        <v>23</v>
      </c>
      <c r="M2744" s="1" t="b">
        <v>0</v>
      </c>
    </row>
    <row r="2745" spans="4:13">
      <c r="D2745" s="1" t="s">
        <v>1653</v>
      </c>
      <c r="E2745" s="1" t="s">
        <v>920</v>
      </c>
      <c r="H2745" s="1" t="s">
        <v>22</v>
      </c>
      <c r="I2745" s="1" t="s">
        <v>23</v>
      </c>
      <c r="L2745" s="1">
        <v>1</v>
      </c>
      <c r="M2745" s="1">
        <v>0</v>
      </c>
    </row>
    <row r="2746" spans="4:13">
      <c r="D2746" s="1" t="s">
        <v>1653</v>
      </c>
      <c r="E2746" s="1" t="s">
        <v>921</v>
      </c>
      <c r="H2746" s="1" t="s">
        <v>22</v>
      </c>
      <c r="I2746" s="1" t="s">
        <v>23</v>
      </c>
      <c r="J2746" s="1">
        <v>0</v>
      </c>
      <c r="K2746" s="1">
        <v>1</v>
      </c>
      <c r="L2746" s="1">
        <v>1</v>
      </c>
      <c r="M2746" s="1">
        <v>0</v>
      </c>
    </row>
    <row r="2747" spans="4:13">
      <c r="D2747" s="1" t="s">
        <v>1653</v>
      </c>
      <c r="E2747" s="1" t="s">
        <v>1654</v>
      </c>
      <c r="H2747" s="1" t="s">
        <v>22</v>
      </c>
      <c r="I2747" s="1" t="s">
        <v>23</v>
      </c>
      <c r="J2747" s="1">
        <v>0</v>
      </c>
      <c r="K2747" s="1">
        <v>1</v>
      </c>
      <c r="L2747" s="1">
        <v>1</v>
      </c>
      <c r="M2747" s="1">
        <v>1</v>
      </c>
    </row>
    <row r="2748" spans="4:13">
      <c r="D2748" s="1" t="s">
        <v>1653</v>
      </c>
      <c r="E2748" s="1" t="s">
        <v>1655</v>
      </c>
      <c r="F2748" s="1" t="s">
        <v>45</v>
      </c>
      <c r="G2748" s="1" t="s">
        <v>46</v>
      </c>
      <c r="H2748" s="1" t="s">
        <v>22</v>
      </c>
      <c r="I2748" s="1" t="s">
        <v>29</v>
      </c>
      <c r="J2748" s="1">
        <v>-6.3932502128443591</v>
      </c>
      <c r="K2748" s="1">
        <v>358.61435929656</v>
      </c>
      <c r="L2748" s="1">
        <v>114.79148749423418</v>
      </c>
    </row>
    <row r="2749" spans="4:13">
      <c r="D2749" s="1" t="s">
        <v>1653</v>
      </c>
      <c r="E2749" s="1" t="s">
        <v>1298</v>
      </c>
      <c r="F2749" s="1" t="s">
        <v>147</v>
      </c>
      <c r="G2749" s="1" t="s">
        <v>148</v>
      </c>
      <c r="H2749" s="1" t="s">
        <v>22</v>
      </c>
      <c r="I2749" s="1" t="s">
        <v>65</v>
      </c>
      <c r="L2749" s="1">
        <v>3.4121416351331</v>
      </c>
    </row>
    <row r="2750" spans="4:13">
      <c r="D2750" s="1" t="s">
        <v>1653</v>
      </c>
      <c r="E2750" s="1" t="s">
        <v>69</v>
      </c>
      <c r="H2750" s="1" t="s">
        <v>25</v>
      </c>
      <c r="I2750" s="1" t="s">
        <v>70</v>
      </c>
    </row>
    <row r="2751" spans="4:13">
      <c r="D2751" s="1" t="s">
        <v>1653</v>
      </c>
      <c r="E2751" s="1" t="s">
        <v>117</v>
      </c>
      <c r="F2751" s="1" t="s">
        <v>118</v>
      </c>
      <c r="G2751" s="1" t="s">
        <v>119</v>
      </c>
      <c r="H2751" s="1" t="s">
        <v>22</v>
      </c>
      <c r="I2751" s="1" t="s">
        <v>65</v>
      </c>
      <c r="J2751" s="1">
        <v>0</v>
      </c>
      <c r="L2751" s="1">
        <v>2.20462262185</v>
      </c>
    </row>
    <row r="2752" spans="4:13">
      <c r="D2752" s="1" t="s">
        <v>1653</v>
      </c>
      <c r="E2752" s="1" t="s">
        <v>1656</v>
      </c>
      <c r="H2752" s="1" t="s">
        <v>63</v>
      </c>
      <c r="I2752" s="1" t="s">
        <v>120</v>
      </c>
    </row>
    <row r="2753" spans="4:12">
      <c r="D2753" s="1" t="s">
        <v>1653</v>
      </c>
      <c r="E2753" s="1" t="s">
        <v>1657</v>
      </c>
      <c r="F2753" s="1" t="s">
        <v>35</v>
      </c>
      <c r="G2753" s="1" t="s">
        <v>36</v>
      </c>
      <c r="H2753" s="1" t="s">
        <v>22</v>
      </c>
      <c r="I2753" s="1" t="s">
        <v>65</v>
      </c>
      <c r="J2753" s="1">
        <v>-457.87</v>
      </c>
      <c r="K2753" s="1">
        <v>17540.330000000002</v>
      </c>
      <c r="L2753" s="1">
        <v>80.329999999999984</v>
      </c>
    </row>
    <row r="2754" spans="4:12">
      <c r="D2754" s="1" t="s">
        <v>1653</v>
      </c>
      <c r="E2754" s="1" t="s">
        <v>1658</v>
      </c>
      <c r="F2754" s="1" t="s">
        <v>35</v>
      </c>
      <c r="G2754" s="1" t="s">
        <v>36</v>
      </c>
      <c r="H2754" s="1" t="s">
        <v>22</v>
      </c>
      <c r="I2754" s="1" t="s">
        <v>65</v>
      </c>
      <c r="J2754" s="1">
        <v>-457.87</v>
      </c>
      <c r="K2754" s="1">
        <v>17540.330000000002</v>
      </c>
      <c r="L2754" s="1">
        <v>80.329999999999984</v>
      </c>
    </row>
    <row r="2755" spans="4:12">
      <c r="D2755" s="1" t="s">
        <v>1653</v>
      </c>
      <c r="E2755" s="1" t="s">
        <v>1659</v>
      </c>
      <c r="F2755" s="1" t="s">
        <v>1660</v>
      </c>
      <c r="G2755" s="1" t="s">
        <v>1661</v>
      </c>
      <c r="H2755" s="1" t="s">
        <v>22</v>
      </c>
      <c r="I2755" s="1" t="s">
        <v>65</v>
      </c>
      <c r="J2755" s="1">
        <v>0</v>
      </c>
      <c r="K2755" s="1">
        <v>194.03202999999999</v>
      </c>
      <c r="L2755" s="1">
        <v>1.9403203E-3</v>
      </c>
    </row>
    <row r="2756" spans="4:12">
      <c r="D2756" s="1" t="s">
        <v>1653</v>
      </c>
      <c r="E2756" s="1" t="s">
        <v>1662</v>
      </c>
      <c r="F2756" s="1" t="s">
        <v>41</v>
      </c>
      <c r="G2756" s="1" t="s">
        <v>42</v>
      </c>
      <c r="H2756" s="1" t="s">
        <v>22</v>
      </c>
      <c r="I2756" s="1" t="s">
        <v>65</v>
      </c>
      <c r="L2756" s="1">
        <v>1.8</v>
      </c>
    </row>
    <row r="2757" spans="4:12">
      <c r="D2757" s="1" t="s">
        <v>1653</v>
      </c>
      <c r="E2757" s="1" t="s">
        <v>1663</v>
      </c>
      <c r="F2757" s="1" t="s">
        <v>45</v>
      </c>
      <c r="G2757" s="1" t="s">
        <v>46</v>
      </c>
      <c r="H2757" s="1" t="s">
        <v>22</v>
      </c>
      <c r="I2757" s="1" t="s">
        <v>65</v>
      </c>
      <c r="J2757" s="1">
        <v>-4299226.1378713567</v>
      </c>
      <c r="K2757" s="1">
        <v>4299226.1378713567</v>
      </c>
      <c r="L2757" s="1">
        <v>429.92261378713573</v>
      </c>
    </row>
    <row r="2758" spans="4:12">
      <c r="D2758" s="1" t="s">
        <v>1653</v>
      </c>
      <c r="E2758" s="1" t="s">
        <v>1664</v>
      </c>
      <c r="F2758" s="1" t="s">
        <v>56</v>
      </c>
      <c r="G2758" s="1" t="s">
        <v>57</v>
      </c>
      <c r="H2758" s="1" t="s">
        <v>22</v>
      </c>
      <c r="I2758" s="1" t="s">
        <v>65</v>
      </c>
      <c r="J2758" s="1">
        <v>0</v>
      </c>
      <c r="K2758" s="1">
        <v>14503.773773020921</v>
      </c>
      <c r="L2758" s="1">
        <v>14.503773773020921</v>
      </c>
    </row>
    <row r="2759" spans="4:12">
      <c r="D2759" s="1" t="s">
        <v>1653</v>
      </c>
      <c r="E2759" s="1" t="s">
        <v>1665</v>
      </c>
      <c r="H2759" s="1" t="s">
        <v>63</v>
      </c>
      <c r="I2759" s="1" t="s">
        <v>120</v>
      </c>
    </row>
    <row r="2760" spans="4:12">
      <c r="D2760" s="1" t="s">
        <v>1653</v>
      </c>
      <c r="E2760" s="1" t="s">
        <v>1666</v>
      </c>
      <c r="H2760" s="1" t="s">
        <v>22</v>
      </c>
      <c r="I2760" s="1" t="s">
        <v>65</v>
      </c>
      <c r="L2760" s="1">
        <v>1</v>
      </c>
    </row>
    <row r="2761" spans="4:12">
      <c r="D2761" s="1" t="s">
        <v>1653</v>
      </c>
      <c r="E2761" s="1" t="s">
        <v>1667</v>
      </c>
      <c r="F2761" s="1" t="s">
        <v>35</v>
      </c>
      <c r="G2761" s="1" t="s">
        <v>36</v>
      </c>
      <c r="H2761" s="1" t="s">
        <v>22</v>
      </c>
      <c r="I2761" s="1" t="s">
        <v>65</v>
      </c>
      <c r="J2761" s="1">
        <v>-457.87</v>
      </c>
      <c r="K2761" s="1">
        <v>17540.330000000002</v>
      </c>
      <c r="L2761" s="1">
        <v>80.329999999999984</v>
      </c>
    </row>
    <row r="2762" spans="4:12">
      <c r="D2762" s="1" t="s">
        <v>1653</v>
      </c>
      <c r="E2762" s="1" t="s">
        <v>1668</v>
      </c>
      <c r="F2762" s="1" t="s">
        <v>35</v>
      </c>
      <c r="G2762" s="1" t="s">
        <v>36</v>
      </c>
      <c r="H2762" s="1" t="s">
        <v>22</v>
      </c>
      <c r="I2762" s="1" t="s">
        <v>65</v>
      </c>
      <c r="J2762" s="1">
        <v>-457.87</v>
      </c>
      <c r="K2762" s="1">
        <v>17540.330000000002</v>
      </c>
      <c r="L2762" s="1">
        <v>80.329999999999984</v>
      </c>
    </row>
    <row r="2763" spans="4:12">
      <c r="D2763" s="1" t="s">
        <v>1653</v>
      </c>
      <c r="E2763" s="1" t="s">
        <v>1669</v>
      </c>
      <c r="F2763" s="1" t="s">
        <v>1660</v>
      </c>
      <c r="G2763" s="1" t="s">
        <v>1661</v>
      </c>
      <c r="H2763" s="1" t="s">
        <v>22</v>
      </c>
      <c r="I2763" s="1" t="s">
        <v>65</v>
      </c>
      <c r="J2763" s="1">
        <v>0</v>
      </c>
      <c r="K2763" s="1">
        <v>194.03202999999999</v>
      </c>
      <c r="L2763" s="1">
        <v>1.9403203E-3</v>
      </c>
    </row>
    <row r="2764" spans="4:12">
      <c r="D2764" s="1" t="s">
        <v>1653</v>
      </c>
      <c r="E2764" s="1" t="s">
        <v>1670</v>
      </c>
      <c r="F2764" s="1" t="s">
        <v>41</v>
      </c>
      <c r="G2764" s="1" t="s">
        <v>42</v>
      </c>
      <c r="H2764" s="1" t="s">
        <v>22</v>
      </c>
      <c r="I2764" s="1" t="s">
        <v>65</v>
      </c>
      <c r="L2764" s="1">
        <v>1.8</v>
      </c>
    </row>
    <row r="2765" spans="4:12">
      <c r="D2765" s="1" t="s">
        <v>1653</v>
      </c>
      <c r="E2765" s="1" t="s">
        <v>1671</v>
      </c>
      <c r="F2765" s="1" t="s">
        <v>45</v>
      </c>
      <c r="G2765" s="1" t="s">
        <v>46</v>
      </c>
      <c r="H2765" s="1" t="s">
        <v>22</v>
      </c>
      <c r="I2765" s="1" t="s">
        <v>65</v>
      </c>
      <c r="J2765" s="1">
        <v>-4299226.1378713567</v>
      </c>
      <c r="K2765" s="1">
        <v>4299226.1378713567</v>
      </c>
      <c r="L2765" s="1">
        <v>429.92261378713573</v>
      </c>
    </row>
    <row r="2766" spans="4:12">
      <c r="D2766" s="1" t="s">
        <v>1653</v>
      </c>
      <c r="E2766" s="1" t="s">
        <v>1672</v>
      </c>
      <c r="F2766" s="1" t="s">
        <v>56</v>
      </c>
      <c r="G2766" s="1" t="s">
        <v>57</v>
      </c>
      <c r="H2766" s="1" t="s">
        <v>22</v>
      </c>
      <c r="I2766" s="1" t="s">
        <v>65</v>
      </c>
      <c r="J2766" s="1">
        <v>0</v>
      </c>
      <c r="K2766" s="1">
        <v>14503.773773020921</v>
      </c>
      <c r="L2766" s="1">
        <v>14.503773773020921</v>
      </c>
    </row>
    <row r="2767" spans="4:12">
      <c r="D2767" s="1" t="s">
        <v>1653</v>
      </c>
      <c r="E2767" s="1" t="s">
        <v>1673</v>
      </c>
      <c r="H2767" s="1" t="s">
        <v>63</v>
      </c>
      <c r="I2767" s="1" t="s">
        <v>120</v>
      </c>
    </row>
    <row r="2768" spans="4:12">
      <c r="D2768" s="1" t="s">
        <v>1653</v>
      </c>
      <c r="E2768" s="1" t="s">
        <v>1674</v>
      </c>
      <c r="H2768" s="1" t="s">
        <v>22</v>
      </c>
      <c r="I2768" s="1" t="s">
        <v>65</v>
      </c>
      <c r="L2768" s="1">
        <v>1</v>
      </c>
    </row>
    <row r="2769" spans="4:13">
      <c r="D2769" s="1" t="s">
        <v>1653</v>
      </c>
      <c r="E2769" s="1" t="s">
        <v>123</v>
      </c>
      <c r="F2769" s="1" t="s">
        <v>124</v>
      </c>
      <c r="G2769" s="1" t="s">
        <v>125</v>
      </c>
      <c r="H2769" s="1" t="s">
        <v>22</v>
      </c>
      <c r="I2769" s="1" t="s">
        <v>70</v>
      </c>
      <c r="L2769" s="1">
        <v>35.314666699999997</v>
      </c>
    </row>
    <row r="2770" spans="4:13">
      <c r="D2770" s="1" t="s">
        <v>1653</v>
      </c>
      <c r="E2770" s="1" t="s">
        <v>1675</v>
      </c>
      <c r="F2770" s="1" t="s">
        <v>124</v>
      </c>
      <c r="G2770" s="1" t="s">
        <v>125</v>
      </c>
      <c r="H2770" s="1" t="s">
        <v>22</v>
      </c>
      <c r="I2770" s="1" t="s">
        <v>23</v>
      </c>
      <c r="L2770" s="1">
        <v>35.314666699999997</v>
      </c>
      <c r="M2770" s="1">
        <v>3.5314666699999997E-2</v>
      </c>
    </row>
    <row r="2771" spans="4:13">
      <c r="D2771" s="1" t="s">
        <v>1653</v>
      </c>
      <c r="E2771" s="1" t="s">
        <v>1676</v>
      </c>
      <c r="H2771" s="1" t="s">
        <v>22</v>
      </c>
      <c r="I2771" s="1" t="s">
        <v>23</v>
      </c>
      <c r="L2771" s="1">
        <v>1</v>
      </c>
      <c r="M2771" s="1">
        <v>0.95</v>
      </c>
    </row>
    <row r="2772" spans="4:13">
      <c r="D2772" s="1" t="s">
        <v>1677</v>
      </c>
      <c r="E2772" s="1" t="s">
        <v>1470</v>
      </c>
      <c r="H2772" s="1" t="s">
        <v>22</v>
      </c>
      <c r="I2772" s="1" t="s">
        <v>23</v>
      </c>
      <c r="J2772" s="1">
        <v>0.5</v>
      </c>
      <c r="K2772" s="1">
        <v>2</v>
      </c>
      <c r="L2772" s="1">
        <v>1</v>
      </c>
      <c r="M2772" s="1">
        <v>1</v>
      </c>
    </row>
    <row r="2773" spans="4:13">
      <c r="D2773" s="1" t="s">
        <v>1677</v>
      </c>
      <c r="E2773" s="1" t="s">
        <v>47</v>
      </c>
      <c r="H2773" s="1" t="s">
        <v>25</v>
      </c>
      <c r="I2773" s="1" t="s">
        <v>23</v>
      </c>
      <c r="M2773" s="1" t="b">
        <v>0</v>
      </c>
    </row>
    <row r="2774" spans="4:13">
      <c r="D2774" s="1" t="s">
        <v>1677</v>
      </c>
      <c r="E2774" s="1" t="s">
        <v>920</v>
      </c>
      <c r="H2774" s="1" t="s">
        <v>22</v>
      </c>
      <c r="I2774" s="1" t="s">
        <v>23</v>
      </c>
      <c r="L2774" s="1">
        <v>1</v>
      </c>
      <c r="M2774" s="1">
        <v>0</v>
      </c>
    </row>
    <row r="2775" spans="4:13">
      <c r="D2775" s="1" t="s">
        <v>1677</v>
      </c>
      <c r="E2775" s="1" t="s">
        <v>921</v>
      </c>
      <c r="H2775" s="1" t="s">
        <v>22</v>
      </c>
      <c r="I2775" s="1" t="s">
        <v>23</v>
      </c>
      <c r="J2775" s="1">
        <v>0</v>
      </c>
      <c r="K2775" s="1">
        <v>1</v>
      </c>
      <c r="L2775" s="1">
        <v>1</v>
      </c>
      <c r="M2775" s="1">
        <v>0</v>
      </c>
    </row>
    <row r="2776" spans="4:13">
      <c r="D2776" s="1" t="s">
        <v>1677</v>
      </c>
      <c r="E2776" s="1" t="s">
        <v>1654</v>
      </c>
      <c r="H2776" s="1" t="s">
        <v>22</v>
      </c>
      <c r="I2776" s="1" t="s">
        <v>23</v>
      </c>
      <c r="J2776" s="1">
        <v>0</v>
      </c>
      <c r="K2776" s="1">
        <v>1</v>
      </c>
      <c r="L2776" s="1">
        <v>1</v>
      </c>
      <c r="M2776" s="1">
        <v>1</v>
      </c>
    </row>
    <row r="2777" spans="4:13">
      <c r="D2777" s="1" t="s">
        <v>1677</v>
      </c>
      <c r="E2777" s="1" t="s">
        <v>1655</v>
      </c>
      <c r="F2777" s="1" t="s">
        <v>45</v>
      </c>
      <c r="G2777" s="1" t="s">
        <v>46</v>
      </c>
      <c r="H2777" s="1" t="s">
        <v>22</v>
      </c>
      <c r="I2777" s="1" t="s">
        <v>29</v>
      </c>
      <c r="J2777" s="1">
        <v>-6.3932502128443591</v>
      </c>
      <c r="K2777" s="1">
        <v>358.61435929656</v>
      </c>
      <c r="L2777" s="1">
        <v>114.79148749423418</v>
      </c>
    </row>
    <row r="2778" spans="4:13">
      <c r="D2778" s="1" t="s">
        <v>1677</v>
      </c>
      <c r="E2778" s="1" t="s">
        <v>1298</v>
      </c>
      <c r="F2778" s="1" t="s">
        <v>147</v>
      </c>
      <c r="G2778" s="1" t="s">
        <v>148</v>
      </c>
      <c r="H2778" s="1" t="s">
        <v>22</v>
      </c>
      <c r="I2778" s="1" t="s">
        <v>65</v>
      </c>
      <c r="L2778" s="1">
        <v>3.4121416351331</v>
      </c>
    </row>
    <row r="2779" spans="4:13">
      <c r="D2779" s="1" t="s">
        <v>1677</v>
      </c>
      <c r="E2779" s="1" t="s">
        <v>69</v>
      </c>
      <c r="H2779" s="1" t="s">
        <v>25</v>
      </c>
      <c r="I2779" s="1" t="s">
        <v>70</v>
      </c>
    </row>
    <row r="2780" spans="4:13">
      <c r="D2780" s="1" t="s">
        <v>1677</v>
      </c>
      <c r="E2780" s="1" t="s">
        <v>117</v>
      </c>
      <c r="F2780" s="1" t="s">
        <v>118</v>
      </c>
      <c r="G2780" s="1" t="s">
        <v>119</v>
      </c>
      <c r="H2780" s="1" t="s">
        <v>22</v>
      </c>
      <c r="I2780" s="1" t="s">
        <v>65</v>
      </c>
      <c r="J2780" s="1">
        <v>0</v>
      </c>
      <c r="L2780" s="1">
        <v>2.20462262185</v>
      </c>
    </row>
    <row r="2781" spans="4:13">
      <c r="D2781" s="1" t="s">
        <v>1677</v>
      </c>
      <c r="E2781" s="1" t="s">
        <v>1656</v>
      </c>
      <c r="H2781" s="1" t="s">
        <v>63</v>
      </c>
      <c r="I2781" s="1" t="s">
        <v>120</v>
      </c>
    </row>
    <row r="2782" spans="4:13">
      <c r="D2782" s="1" t="s">
        <v>1677</v>
      </c>
      <c r="E2782" s="1" t="s">
        <v>1657</v>
      </c>
      <c r="F2782" s="1" t="s">
        <v>35</v>
      </c>
      <c r="G2782" s="1" t="s">
        <v>36</v>
      </c>
      <c r="H2782" s="1" t="s">
        <v>22</v>
      </c>
      <c r="I2782" s="1" t="s">
        <v>65</v>
      </c>
      <c r="J2782" s="1">
        <v>-457.87</v>
      </c>
      <c r="K2782" s="1">
        <v>17540.330000000002</v>
      </c>
      <c r="L2782" s="1">
        <v>80.329999999999984</v>
      </c>
    </row>
    <row r="2783" spans="4:13">
      <c r="D2783" s="1" t="s">
        <v>1677</v>
      </c>
      <c r="E2783" s="1" t="s">
        <v>1658</v>
      </c>
      <c r="F2783" s="1" t="s">
        <v>35</v>
      </c>
      <c r="G2783" s="1" t="s">
        <v>36</v>
      </c>
      <c r="H2783" s="1" t="s">
        <v>22</v>
      </c>
      <c r="I2783" s="1" t="s">
        <v>65</v>
      </c>
      <c r="J2783" s="1">
        <v>-457.87</v>
      </c>
      <c r="K2783" s="1">
        <v>17540.330000000002</v>
      </c>
      <c r="L2783" s="1">
        <v>80.329999999999984</v>
      </c>
    </row>
    <row r="2784" spans="4:13">
      <c r="D2784" s="1" t="s">
        <v>1677</v>
      </c>
      <c r="E2784" s="1" t="s">
        <v>1659</v>
      </c>
      <c r="F2784" s="1" t="s">
        <v>1660</v>
      </c>
      <c r="G2784" s="1" t="s">
        <v>1661</v>
      </c>
      <c r="H2784" s="1" t="s">
        <v>22</v>
      </c>
      <c r="I2784" s="1" t="s">
        <v>65</v>
      </c>
      <c r="J2784" s="1">
        <v>0</v>
      </c>
      <c r="K2784" s="1">
        <v>194.03202999999999</v>
      </c>
      <c r="L2784" s="1">
        <v>1.9403203E-3</v>
      </c>
    </row>
    <row r="2785" spans="4:13">
      <c r="D2785" s="1" t="s">
        <v>1677</v>
      </c>
      <c r="E2785" s="1" t="s">
        <v>1662</v>
      </c>
      <c r="F2785" s="1" t="s">
        <v>41</v>
      </c>
      <c r="G2785" s="1" t="s">
        <v>42</v>
      </c>
      <c r="H2785" s="1" t="s">
        <v>22</v>
      </c>
      <c r="I2785" s="1" t="s">
        <v>65</v>
      </c>
      <c r="L2785" s="1">
        <v>1.8</v>
      </c>
    </row>
    <row r="2786" spans="4:13">
      <c r="D2786" s="1" t="s">
        <v>1677</v>
      </c>
      <c r="E2786" s="1" t="s">
        <v>1663</v>
      </c>
      <c r="F2786" s="1" t="s">
        <v>45</v>
      </c>
      <c r="G2786" s="1" t="s">
        <v>46</v>
      </c>
      <c r="H2786" s="1" t="s">
        <v>22</v>
      </c>
      <c r="I2786" s="1" t="s">
        <v>65</v>
      </c>
      <c r="J2786" s="1">
        <v>-4299226.1378713567</v>
      </c>
      <c r="K2786" s="1">
        <v>4299226.1378713567</v>
      </c>
      <c r="L2786" s="1">
        <v>429.92261378713573</v>
      </c>
    </row>
    <row r="2787" spans="4:13">
      <c r="D2787" s="1" t="s">
        <v>1677</v>
      </c>
      <c r="E2787" s="1" t="s">
        <v>1664</v>
      </c>
      <c r="F2787" s="1" t="s">
        <v>56</v>
      </c>
      <c r="G2787" s="1" t="s">
        <v>57</v>
      </c>
      <c r="H2787" s="1" t="s">
        <v>22</v>
      </c>
      <c r="I2787" s="1" t="s">
        <v>65</v>
      </c>
      <c r="J2787" s="1">
        <v>0</v>
      </c>
      <c r="K2787" s="1">
        <v>14503.773773020921</v>
      </c>
      <c r="L2787" s="1">
        <v>14.503773773020921</v>
      </c>
    </row>
    <row r="2788" spans="4:13">
      <c r="D2788" s="1" t="s">
        <v>1677</v>
      </c>
      <c r="E2788" s="1" t="s">
        <v>1665</v>
      </c>
      <c r="H2788" s="1" t="s">
        <v>63</v>
      </c>
      <c r="I2788" s="1" t="s">
        <v>120</v>
      </c>
    </row>
    <row r="2789" spans="4:13">
      <c r="D2789" s="1" t="s">
        <v>1677</v>
      </c>
      <c r="E2789" s="1" t="s">
        <v>1666</v>
      </c>
      <c r="H2789" s="1" t="s">
        <v>22</v>
      </c>
      <c r="I2789" s="1" t="s">
        <v>65</v>
      </c>
      <c r="L2789" s="1">
        <v>1</v>
      </c>
    </row>
    <row r="2790" spans="4:13">
      <c r="D2790" s="1" t="s">
        <v>1677</v>
      </c>
      <c r="E2790" s="1" t="s">
        <v>1667</v>
      </c>
      <c r="F2790" s="1" t="s">
        <v>35</v>
      </c>
      <c r="G2790" s="1" t="s">
        <v>36</v>
      </c>
      <c r="H2790" s="1" t="s">
        <v>22</v>
      </c>
      <c r="I2790" s="1" t="s">
        <v>65</v>
      </c>
      <c r="J2790" s="1">
        <v>-457.87</v>
      </c>
      <c r="K2790" s="1">
        <v>17540.330000000002</v>
      </c>
      <c r="L2790" s="1">
        <v>80.329999999999984</v>
      </c>
    </row>
    <row r="2791" spans="4:13">
      <c r="D2791" s="1" t="s">
        <v>1677</v>
      </c>
      <c r="E2791" s="1" t="s">
        <v>1668</v>
      </c>
      <c r="F2791" s="1" t="s">
        <v>35</v>
      </c>
      <c r="G2791" s="1" t="s">
        <v>36</v>
      </c>
      <c r="H2791" s="1" t="s">
        <v>22</v>
      </c>
      <c r="I2791" s="1" t="s">
        <v>65</v>
      </c>
      <c r="J2791" s="1">
        <v>-457.87</v>
      </c>
      <c r="K2791" s="1">
        <v>17540.330000000002</v>
      </c>
      <c r="L2791" s="1">
        <v>80.329999999999984</v>
      </c>
    </row>
    <row r="2792" spans="4:13">
      <c r="D2792" s="1" t="s">
        <v>1677</v>
      </c>
      <c r="E2792" s="1" t="s">
        <v>1669</v>
      </c>
      <c r="F2792" s="1" t="s">
        <v>1660</v>
      </c>
      <c r="G2792" s="1" t="s">
        <v>1661</v>
      </c>
      <c r="H2792" s="1" t="s">
        <v>22</v>
      </c>
      <c r="I2792" s="1" t="s">
        <v>65</v>
      </c>
      <c r="J2792" s="1">
        <v>0</v>
      </c>
      <c r="K2792" s="1">
        <v>194.03202999999999</v>
      </c>
      <c r="L2792" s="1">
        <v>1.9403203E-3</v>
      </c>
    </row>
    <row r="2793" spans="4:13">
      <c r="D2793" s="1" t="s">
        <v>1677</v>
      </c>
      <c r="E2793" s="1" t="s">
        <v>1670</v>
      </c>
      <c r="F2793" s="1" t="s">
        <v>41</v>
      </c>
      <c r="G2793" s="1" t="s">
        <v>42</v>
      </c>
      <c r="H2793" s="1" t="s">
        <v>22</v>
      </c>
      <c r="I2793" s="1" t="s">
        <v>65</v>
      </c>
      <c r="L2793" s="1">
        <v>1.8</v>
      </c>
    </row>
    <row r="2794" spans="4:13">
      <c r="D2794" s="1" t="s">
        <v>1677</v>
      </c>
      <c r="E2794" s="1" t="s">
        <v>1671</v>
      </c>
      <c r="F2794" s="1" t="s">
        <v>45</v>
      </c>
      <c r="G2794" s="1" t="s">
        <v>46</v>
      </c>
      <c r="H2794" s="1" t="s">
        <v>22</v>
      </c>
      <c r="I2794" s="1" t="s">
        <v>65</v>
      </c>
      <c r="J2794" s="1">
        <v>-4299226.1378713567</v>
      </c>
      <c r="K2794" s="1">
        <v>4299226.1378713567</v>
      </c>
      <c r="L2794" s="1">
        <v>429.92261378713573</v>
      </c>
    </row>
    <row r="2795" spans="4:13">
      <c r="D2795" s="1" t="s">
        <v>1677</v>
      </c>
      <c r="E2795" s="1" t="s">
        <v>1672</v>
      </c>
      <c r="F2795" s="1" t="s">
        <v>56</v>
      </c>
      <c r="G2795" s="1" t="s">
        <v>57</v>
      </c>
      <c r="H2795" s="1" t="s">
        <v>22</v>
      </c>
      <c r="I2795" s="1" t="s">
        <v>65</v>
      </c>
      <c r="J2795" s="1">
        <v>0</v>
      </c>
      <c r="K2795" s="1">
        <v>14503.773773020921</v>
      </c>
      <c r="L2795" s="1">
        <v>14.503773773020921</v>
      </c>
    </row>
    <row r="2796" spans="4:13">
      <c r="D2796" s="1" t="s">
        <v>1677</v>
      </c>
      <c r="E2796" s="1" t="s">
        <v>1673</v>
      </c>
      <c r="H2796" s="1" t="s">
        <v>63</v>
      </c>
      <c r="I2796" s="1" t="s">
        <v>120</v>
      </c>
    </row>
    <row r="2797" spans="4:13">
      <c r="D2797" s="1" t="s">
        <v>1677</v>
      </c>
      <c r="E2797" s="1" t="s">
        <v>1674</v>
      </c>
      <c r="H2797" s="1" t="s">
        <v>22</v>
      </c>
      <c r="I2797" s="1" t="s">
        <v>65</v>
      </c>
      <c r="L2797" s="1">
        <v>1</v>
      </c>
    </row>
    <row r="2798" spans="4:13">
      <c r="D2798" s="1" t="s">
        <v>1677</v>
      </c>
      <c r="E2798" s="1" t="s">
        <v>123</v>
      </c>
      <c r="F2798" s="1" t="s">
        <v>124</v>
      </c>
      <c r="G2798" s="1" t="s">
        <v>125</v>
      </c>
      <c r="H2798" s="1" t="s">
        <v>22</v>
      </c>
      <c r="I2798" s="1" t="s">
        <v>70</v>
      </c>
      <c r="L2798" s="1">
        <v>35.314666699999997</v>
      </c>
    </row>
    <row r="2799" spans="4:13">
      <c r="D2799" s="1" t="s">
        <v>1677</v>
      </c>
      <c r="E2799" s="1" t="s">
        <v>1675</v>
      </c>
      <c r="F2799" s="1" t="s">
        <v>124</v>
      </c>
      <c r="G2799" s="1" t="s">
        <v>125</v>
      </c>
      <c r="H2799" s="1" t="s">
        <v>22</v>
      </c>
      <c r="I2799" s="1" t="s">
        <v>23</v>
      </c>
      <c r="L2799" s="1">
        <v>35.314666699999997</v>
      </c>
      <c r="M2799" s="1">
        <v>3.5314666699999997E-2</v>
      </c>
    </row>
    <row r="2800" spans="4:13">
      <c r="D2800" s="1" t="s">
        <v>1677</v>
      </c>
      <c r="E2800" s="1" t="s">
        <v>1676</v>
      </c>
      <c r="H2800" s="1" t="s">
        <v>22</v>
      </c>
      <c r="I2800" s="1" t="s">
        <v>23</v>
      </c>
      <c r="L2800" s="1">
        <v>1</v>
      </c>
      <c r="M2800" s="1">
        <v>0.95</v>
      </c>
    </row>
    <row r="2801" spans="4:13">
      <c r="D2801" s="1" t="s">
        <v>1678</v>
      </c>
      <c r="E2801" s="1" t="s">
        <v>1470</v>
      </c>
      <c r="H2801" s="1" t="s">
        <v>22</v>
      </c>
      <c r="I2801" s="1" t="s">
        <v>23</v>
      </c>
      <c r="J2801" s="1">
        <v>0.5</v>
      </c>
      <c r="K2801" s="1">
        <v>2</v>
      </c>
      <c r="L2801" s="1">
        <v>1</v>
      </c>
      <c r="M2801" s="1">
        <v>1</v>
      </c>
    </row>
    <row r="2802" spans="4:13">
      <c r="D2802" s="1" t="s">
        <v>1678</v>
      </c>
      <c r="E2802" s="1" t="s">
        <v>47</v>
      </c>
      <c r="H2802" s="1" t="s">
        <v>25</v>
      </c>
      <c r="I2802" s="1" t="s">
        <v>23</v>
      </c>
      <c r="M2802" s="1" t="b">
        <v>0</v>
      </c>
    </row>
    <row r="2803" spans="4:13">
      <c r="D2803" s="1" t="s">
        <v>1678</v>
      </c>
      <c r="E2803" s="1" t="s">
        <v>920</v>
      </c>
      <c r="H2803" s="1" t="s">
        <v>22</v>
      </c>
      <c r="I2803" s="1" t="s">
        <v>23</v>
      </c>
      <c r="L2803" s="1">
        <v>1</v>
      </c>
      <c r="M2803" s="1">
        <v>0</v>
      </c>
    </row>
    <row r="2804" spans="4:13">
      <c r="D2804" s="1" t="s">
        <v>1678</v>
      </c>
      <c r="E2804" s="1" t="s">
        <v>921</v>
      </c>
      <c r="H2804" s="1" t="s">
        <v>22</v>
      </c>
      <c r="I2804" s="1" t="s">
        <v>23</v>
      </c>
      <c r="J2804" s="1">
        <v>0</v>
      </c>
      <c r="K2804" s="1">
        <v>1</v>
      </c>
      <c r="L2804" s="1">
        <v>1</v>
      </c>
      <c r="M2804" s="1">
        <v>0</v>
      </c>
    </row>
    <row r="2805" spans="4:13">
      <c r="D2805" s="1" t="s">
        <v>1678</v>
      </c>
      <c r="E2805" s="1" t="s">
        <v>1654</v>
      </c>
      <c r="H2805" s="1" t="s">
        <v>22</v>
      </c>
      <c r="I2805" s="1" t="s">
        <v>23</v>
      </c>
      <c r="J2805" s="1">
        <v>0</v>
      </c>
      <c r="K2805" s="1">
        <v>1</v>
      </c>
      <c r="L2805" s="1">
        <v>1</v>
      </c>
      <c r="M2805" s="1">
        <v>1</v>
      </c>
    </row>
    <row r="2806" spans="4:13">
      <c r="D2806" s="1" t="s">
        <v>1678</v>
      </c>
      <c r="E2806" s="1" t="s">
        <v>1655</v>
      </c>
      <c r="F2806" s="1" t="s">
        <v>45</v>
      </c>
      <c r="G2806" s="1" t="s">
        <v>46</v>
      </c>
      <c r="H2806" s="1" t="s">
        <v>22</v>
      </c>
      <c r="I2806" s="1" t="s">
        <v>29</v>
      </c>
      <c r="J2806" s="1">
        <v>-6.3932502128443591</v>
      </c>
      <c r="K2806" s="1">
        <v>358.61435929656</v>
      </c>
      <c r="L2806" s="1">
        <v>114.79148749423418</v>
      </c>
    </row>
    <row r="2807" spans="4:13">
      <c r="D2807" s="1" t="s">
        <v>1678</v>
      </c>
      <c r="E2807" s="1" t="s">
        <v>1298</v>
      </c>
      <c r="F2807" s="1" t="s">
        <v>147</v>
      </c>
      <c r="G2807" s="1" t="s">
        <v>148</v>
      </c>
      <c r="H2807" s="1" t="s">
        <v>22</v>
      </c>
      <c r="I2807" s="1" t="s">
        <v>65</v>
      </c>
      <c r="L2807" s="1">
        <v>3.4121416351331</v>
      </c>
    </row>
    <row r="2808" spans="4:13">
      <c r="D2808" s="1" t="s">
        <v>1678</v>
      </c>
      <c r="E2808" s="1" t="s">
        <v>69</v>
      </c>
      <c r="H2808" s="1" t="s">
        <v>25</v>
      </c>
      <c r="I2808" s="1" t="s">
        <v>70</v>
      </c>
    </row>
    <row r="2809" spans="4:13">
      <c r="D2809" s="1" t="s">
        <v>1678</v>
      </c>
      <c r="E2809" s="1" t="s">
        <v>117</v>
      </c>
      <c r="F2809" s="1" t="s">
        <v>118</v>
      </c>
      <c r="G2809" s="1" t="s">
        <v>119</v>
      </c>
      <c r="H2809" s="1" t="s">
        <v>22</v>
      </c>
      <c r="I2809" s="1" t="s">
        <v>65</v>
      </c>
      <c r="J2809" s="1">
        <v>0</v>
      </c>
      <c r="L2809" s="1">
        <v>2.20462262185</v>
      </c>
    </row>
    <row r="2810" spans="4:13">
      <c r="D2810" s="1" t="s">
        <v>1678</v>
      </c>
      <c r="E2810" s="1" t="s">
        <v>1656</v>
      </c>
      <c r="H2810" s="1" t="s">
        <v>63</v>
      </c>
      <c r="I2810" s="1" t="s">
        <v>120</v>
      </c>
    </row>
    <row r="2811" spans="4:13">
      <c r="D2811" s="1" t="s">
        <v>1678</v>
      </c>
      <c r="E2811" s="1" t="s">
        <v>1657</v>
      </c>
      <c r="F2811" s="1" t="s">
        <v>35</v>
      </c>
      <c r="G2811" s="1" t="s">
        <v>36</v>
      </c>
      <c r="H2811" s="1" t="s">
        <v>22</v>
      </c>
      <c r="I2811" s="1" t="s">
        <v>65</v>
      </c>
      <c r="J2811" s="1">
        <v>-457.87</v>
      </c>
      <c r="K2811" s="1">
        <v>17540.330000000002</v>
      </c>
      <c r="L2811" s="1">
        <v>80.329999999999984</v>
      </c>
    </row>
    <row r="2812" spans="4:13">
      <c r="D2812" s="1" t="s">
        <v>1678</v>
      </c>
      <c r="E2812" s="1" t="s">
        <v>1658</v>
      </c>
      <c r="F2812" s="1" t="s">
        <v>35</v>
      </c>
      <c r="G2812" s="1" t="s">
        <v>36</v>
      </c>
      <c r="H2812" s="1" t="s">
        <v>22</v>
      </c>
      <c r="I2812" s="1" t="s">
        <v>65</v>
      </c>
      <c r="J2812" s="1">
        <v>-457.87</v>
      </c>
      <c r="K2812" s="1">
        <v>17540.330000000002</v>
      </c>
      <c r="L2812" s="1">
        <v>80.329999999999984</v>
      </c>
    </row>
    <row r="2813" spans="4:13">
      <c r="D2813" s="1" t="s">
        <v>1678</v>
      </c>
      <c r="E2813" s="1" t="s">
        <v>1659</v>
      </c>
      <c r="F2813" s="1" t="s">
        <v>1660</v>
      </c>
      <c r="G2813" s="1" t="s">
        <v>1661</v>
      </c>
      <c r="H2813" s="1" t="s">
        <v>22</v>
      </c>
      <c r="I2813" s="1" t="s">
        <v>65</v>
      </c>
      <c r="J2813" s="1">
        <v>0</v>
      </c>
      <c r="K2813" s="1">
        <v>194.03202999999999</v>
      </c>
      <c r="L2813" s="1">
        <v>1.9403203E-3</v>
      </c>
    </row>
    <row r="2814" spans="4:13">
      <c r="D2814" s="1" t="s">
        <v>1678</v>
      </c>
      <c r="E2814" s="1" t="s">
        <v>1662</v>
      </c>
      <c r="F2814" s="1" t="s">
        <v>41</v>
      </c>
      <c r="G2814" s="1" t="s">
        <v>42</v>
      </c>
      <c r="H2814" s="1" t="s">
        <v>22</v>
      </c>
      <c r="I2814" s="1" t="s">
        <v>65</v>
      </c>
      <c r="L2814" s="1">
        <v>1.8</v>
      </c>
    </row>
    <row r="2815" spans="4:13">
      <c r="D2815" s="1" t="s">
        <v>1678</v>
      </c>
      <c r="E2815" s="1" t="s">
        <v>1663</v>
      </c>
      <c r="F2815" s="1" t="s">
        <v>45</v>
      </c>
      <c r="G2815" s="1" t="s">
        <v>46</v>
      </c>
      <c r="H2815" s="1" t="s">
        <v>22</v>
      </c>
      <c r="I2815" s="1" t="s">
        <v>65</v>
      </c>
      <c r="J2815" s="1">
        <v>-4299226.1378713567</v>
      </c>
      <c r="K2815" s="1">
        <v>4299226.1378713567</v>
      </c>
      <c r="L2815" s="1">
        <v>429.92261378713573</v>
      </c>
    </row>
    <row r="2816" spans="4:13">
      <c r="D2816" s="1" t="s">
        <v>1678</v>
      </c>
      <c r="E2816" s="1" t="s">
        <v>1664</v>
      </c>
      <c r="F2816" s="1" t="s">
        <v>56</v>
      </c>
      <c r="G2816" s="1" t="s">
        <v>57</v>
      </c>
      <c r="H2816" s="1" t="s">
        <v>22</v>
      </c>
      <c r="I2816" s="1" t="s">
        <v>65</v>
      </c>
      <c r="J2816" s="1">
        <v>0</v>
      </c>
      <c r="K2816" s="1">
        <v>14503.773773020921</v>
      </c>
      <c r="L2816" s="1">
        <v>14.503773773020921</v>
      </c>
    </row>
    <row r="2817" spans="4:13">
      <c r="D2817" s="1" t="s">
        <v>1678</v>
      </c>
      <c r="E2817" s="1" t="s">
        <v>1665</v>
      </c>
      <c r="H2817" s="1" t="s">
        <v>63</v>
      </c>
      <c r="I2817" s="1" t="s">
        <v>120</v>
      </c>
    </row>
    <row r="2818" spans="4:13">
      <c r="D2818" s="1" t="s">
        <v>1678</v>
      </c>
      <c r="E2818" s="1" t="s">
        <v>1666</v>
      </c>
      <c r="H2818" s="1" t="s">
        <v>22</v>
      </c>
      <c r="I2818" s="1" t="s">
        <v>65</v>
      </c>
      <c r="L2818" s="1">
        <v>1</v>
      </c>
    </row>
    <row r="2819" spans="4:13">
      <c r="D2819" s="1" t="s">
        <v>1678</v>
      </c>
      <c r="E2819" s="1" t="s">
        <v>1667</v>
      </c>
      <c r="F2819" s="1" t="s">
        <v>35</v>
      </c>
      <c r="G2819" s="1" t="s">
        <v>36</v>
      </c>
      <c r="H2819" s="1" t="s">
        <v>22</v>
      </c>
      <c r="I2819" s="1" t="s">
        <v>65</v>
      </c>
      <c r="J2819" s="1">
        <v>-457.87</v>
      </c>
      <c r="K2819" s="1">
        <v>17540.330000000002</v>
      </c>
      <c r="L2819" s="1">
        <v>80.329999999999984</v>
      </c>
    </row>
    <row r="2820" spans="4:13">
      <c r="D2820" s="1" t="s">
        <v>1678</v>
      </c>
      <c r="E2820" s="1" t="s">
        <v>1668</v>
      </c>
      <c r="F2820" s="1" t="s">
        <v>35</v>
      </c>
      <c r="G2820" s="1" t="s">
        <v>36</v>
      </c>
      <c r="H2820" s="1" t="s">
        <v>22</v>
      </c>
      <c r="I2820" s="1" t="s">
        <v>65</v>
      </c>
      <c r="J2820" s="1">
        <v>-457.87</v>
      </c>
      <c r="K2820" s="1">
        <v>17540.330000000002</v>
      </c>
      <c r="L2820" s="1">
        <v>80.329999999999984</v>
      </c>
    </row>
    <row r="2821" spans="4:13">
      <c r="D2821" s="1" t="s">
        <v>1678</v>
      </c>
      <c r="E2821" s="1" t="s">
        <v>1669</v>
      </c>
      <c r="F2821" s="1" t="s">
        <v>1660</v>
      </c>
      <c r="G2821" s="1" t="s">
        <v>1661</v>
      </c>
      <c r="H2821" s="1" t="s">
        <v>22</v>
      </c>
      <c r="I2821" s="1" t="s">
        <v>65</v>
      </c>
      <c r="J2821" s="1">
        <v>0</v>
      </c>
      <c r="K2821" s="1">
        <v>194.03202999999999</v>
      </c>
      <c r="L2821" s="1">
        <v>1.9403203E-3</v>
      </c>
    </row>
    <row r="2822" spans="4:13">
      <c r="D2822" s="1" t="s">
        <v>1678</v>
      </c>
      <c r="E2822" s="1" t="s">
        <v>1670</v>
      </c>
      <c r="F2822" s="1" t="s">
        <v>41</v>
      </c>
      <c r="G2822" s="1" t="s">
        <v>42</v>
      </c>
      <c r="H2822" s="1" t="s">
        <v>22</v>
      </c>
      <c r="I2822" s="1" t="s">
        <v>65</v>
      </c>
      <c r="L2822" s="1">
        <v>1.8</v>
      </c>
    </row>
    <row r="2823" spans="4:13">
      <c r="D2823" s="1" t="s">
        <v>1678</v>
      </c>
      <c r="E2823" s="1" t="s">
        <v>1671</v>
      </c>
      <c r="F2823" s="1" t="s">
        <v>45</v>
      </c>
      <c r="G2823" s="1" t="s">
        <v>46</v>
      </c>
      <c r="H2823" s="1" t="s">
        <v>22</v>
      </c>
      <c r="I2823" s="1" t="s">
        <v>65</v>
      </c>
      <c r="J2823" s="1">
        <v>-4299226.1378713567</v>
      </c>
      <c r="K2823" s="1">
        <v>4299226.1378713567</v>
      </c>
      <c r="L2823" s="1">
        <v>429.92261378713573</v>
      </c>
    </row>
    <row r="2824" spans="4:13">
      <c r="D2824" s="1" t="s">
        <v>1678</v>
      </c>
      <c r="E2824" s="1" t="s">
        <v>1672</v>
      </c>
      <c r="F2824" s="1" t="s">
        <v>56</v>
      </c>
      <c r="G2824" s="1" t="s">
        <v>57</v>
      </c>
      <c r="H2824" s="1" t="s">
        <v>22</v>
      </c>
      <c r="I2824" s="1" t="s">
        <v>65</v>
      </c>
      <c r="J2824" s="1">
        <v>0</v>
      </c>
      <c r="K2824" s="1">
        <v>14503.773773020921</v>
      </c>
      <c r="L2824" s="1">
        <v>14.503773773020921</v>
      </c>
    </row>
    <row r="2825" spans="4:13">
      <c r="D2825" s="1" t="s">
        <v>1678</v>
      </c>
      <c r="E2825" s="1" t="s">
        <v>1673</v>
      </c>
      <c r="H2825" s="1" t="s">
        <v>63</v>
      </c>
      <c r="I2825" s="1" t="s">
        <v>120</v>
      </c>
    </row>
    <row r="2826" spans="4:13">
      <c r="D2826" s="1" t="s">
        <v>1678</v>
      </c>
      <c r="E2826" s="1" t="s">
        <v>1674</v>
      </c>
      <c r="H2826" s="1" t="s">
        <v>22</v>
      </c>
      <c r="I2826" s="1" t="s">
        <v>65</v>
      </c>
      <c r="L2826" s="1">
        <v>1</v>
      </c>
    </row>
    <row r="2827" spans="4:13">
      <c r="D2827" s="1" t="s">
        <v>1678</v>
      </c>
      <c r="E2827" s="1" t="s">
        <v>123</v>
      </c>
      <c r="F2827" s="1" t="s">
        <v>124</v>
      </c>
      <c r="G2827" s="1" t="s">
        <v>125</v>
      </c>
      <c r="H2827" s="1" t="s">
        <v>22</v>
      </c>
      <c r="I2827" s="1" t="s">
        <v>70</v>
      </c>
      <c r="L2827" s="1">
        <v>35.314666699999997</v>
      </c>
    </row>
    <row r="2828" spans="4:13">
      <c r="D2828" s="1" t="s">
        <v>1678</v>
      </c>
      <c r="E2828" s="1" t="s">
        <v>1675</v>
      </c>
      <c r="F2828" s="1" t="s">
        <v>124</v>
      </c>
      <c r="G2828" s="1" t="s">
        <v>125</v>
      </c>
      <c r="H2828" s="1" t="s">
        <v>22</v>
      </c>
      <c r="I2828" s="1" t="s">
        <v>23</v>
      </c>
      <c r="L2828" s="1">
        <v>35.314666699999997</v>
      </c>
      <c r="M2828" s="1">
        <v>3.5314666699999997E-2</v>
      </c>
    </row>
    <row r="2829" spans="4:13">
      <c r="D2829" s="1" t="s">
        <v>1678</v>
      </c>
      <c r="E2829" s="1" t="s">
        <v>1676</v>
      </c>
      <c r="H2829" s="1" t="s">
        <v>22</v>
      </c>
      <c r="I2829" s="1" t="s">
        <v>23</v>
      </c>
      <c r="L2829" s="1">
        <v>1</v>
      </c>
      <c r="M2829" s="1">
        <v>0.95</v>
      </c>
    </row>
    <row r="2830" spans="4:13">
      <c r="D2830" s="1" t="s">
        <v>1679</v>
      </c>
      <c r="E2830" s="1" t="s">
        <v>28</v>
      </c>
      <c r="H2830" s="1" t="s">
        <v>22</v>
      </c>
      <c r="I2830" s="1" t="s">
        <v>29</v>
      </c>
      <c r="J2830" s="1">
        <v>34000</v>
      </c>
      <c r="K2830" s="1">
        <v>4300000</v>
      </c>
      <c r="L2830" s="1">
        <v>349660</v>
      </c>
    </row>
    <row r="2831" spans="4:13">
      <c r="D2831" s="1" t="s">
        <v>1679</v>
      </c>
      <c r="E2831" s="1" t="s">
        <v>30</v>
      </c>
      <c r="H2831" s="1" t="s">
        <v>22</v>
      </c>
      <c r="I2831" s="1" t="s">
        <v>29</v>
      </c>
      <c r="J2831" s="1">
        <v>-3.94</v>
      </c>
      <c r="K2831" s="1">
        <v>3.66</v>
      </c>
      <c r="L2831" s="1">
        <v>1</v>
      </c>
    </row>
    <row r="2832" spans="4:13">
      <c r="D2832" s="1" t="s">
        <v>1679</v>
      </c>
      <c r="E2832" s="1" t="s">
        <v>31</v>
      </c>
      <c r="H2832" s="1" t="s">
        <v>22</v>
      </c>
      <c r="I2832" s="1" t="s">
        <v>29</v>
      </c>
      <c r="J2832" s="1">
        <v>0</v>
      </c>
      <c r="K2832" s="1">
        <v>100</v>
      </c>
      <c r="L2832" s="1">
        <v>1</v>
      </c>
    </row>
    <row r="2833" spans="4:13">
      <c r="D2833" s="1" t="s">
        <v>1679</v>
      </c>
      <c r="E2833" s="1" t="s">
        <v>32</v>
      </c>
      <c r="H2833" s="1" t="s">
        <v>22</v>
      </c>
      <c r="I2833" s="1" t="s">
        <v>29</v>
      </c>
      <c r="J2833" s="1">
        <v>-3.94</v>
      </c>
      <c r="K2833" s="1">
        <v>3.66</v>
      </c>
      <c r="L2833" s="1">
        <v>1</v>
      </c>
    </row>
    <row r="2834" spans="4:13">
      <c r="D2834" s="1" t="s">
        <v>1679</v>
      </c>
      <c r="E2834" s="1" t="s">
        <v>33</v>
      </c>
      <c r="H2834" s="1" t="s">
        <v>25</v>
      </c>
      <c r="I2834" s="1" t="s">
        <v>23</v>
      </c>
      <c r="M2834" s="1" t="b">
        <v>0</v>
      </c>
    </row>
    <row r="2835" spans="4:13">
      <c r="D2835" s="1" t="s">
        <v>1679</v>
      </c>
      <c r="E2835" s="1" t="s">
        <v>34</v>
      </c>
      <c r="F2835" s="1" t="s">
        <v>35</v>
      </c>
      <c r="G2835" s="1" t="s">
        <v>36</v>
      </c>
      <c r="H2835" s="1" t="s">
        <v>22</v>
      </c>
      <c r="I2835" s="1" t="s">
        <v>23</v>
      </c>
      <c r="J2835" s="1">
        <v>-459.67</v>
      </c>
      <c r="K2835" s="1">
        <v>980.32999999999993</v>
      </c>
      <c r="L2835" s="1">
        <v>80.329999999999984</v>
      </c>
      <c r="M2835" s="1">
        <v>67.999999999999943</v>
      </c>
    </row>
    <row r="2836" spans="4:13">
      <c r="D2836" s="1" t="s">
        <v>1679</v>
      </c>
      <c r="E2836" s="1" t="s">
        <v>37</v>
      </c>
      <c r="H2836" s="1" t="s">
        <v>25</v>
      </c>
      <c r="I2836" s="1" t="s">
        <v>23</v>
      </c>
      <c r="M2836" s="1" t="b">
        <v>0</v>
      </c>
    </row>
    <row r="2837" spans="4:13">
      <c r="D2837" s="1" t="s">
        <v>1679</v>
      </c>
      <c r="E2837" s="1" t="s">
        <v>38</v>
      </c>
      <c r="F2837" s="1" t="s">
        <v>35</v>
      </c>
      <c r="G2837" s="1" t="s">
        <v>36</v>
      </c>
      <c r="H2837" s="1" t="s">
        <v>22</v>
      </c>
      <c r="I2837" s="1" t="s">
        <v>23</v>
      </c>
      <c r="J2837" s="1">
        <v>-99.670000000000016</v>
      </c>
      <c r="K2837" s="1">
        <v>980.32999999999993</v>
      </c>
      <c r="L2837" s="1">
        <v>80.329999999999984</v>
      </c>
      <c r="M2837" s="1">
        <v>13.999999999999943</v>
      </c>
    </row>
    <row r="2838" spans="4:13">
      <c r="D2838" s="1" t="s">
        <v>1679</v>
      </c>
      <c r="E2838" s="1" t="s">
        <v>39</v>
      </c>
      <c r="H2838" s="1" t="s">
        <v>25</v>
      </c>
      <c r="I2838" s="1" t="s">
        <v>23</v>
      </c>
      <c r="M2838" s="1" t="b">
        <v>0</v>
      </c>
    </row>
    <row r="2839" spans="4:13">
      <c r="D2839" s="1" t="s">
        <v>1679</v>
      </c>
      <c r="E2839" s="1" t="s">
        <v>40</v>
      </c>
      <c r="F2839" s="1" t="s">
        <v>41</v>
      </c>
      <c r="G2839" s="1" t="s">
        <v>42</v>
      </c>
      <c r="H2839" s="1" t="s">
        <v>22</v>
      </c>
      <c r="I2839" s="1" t="s">
        <v>23</v>
      </c>
      <c r="J2839" s="1">
        <v>-900</v>
      </c>
      <c r="K2839" s="1">
        <v>900</v>
      </c>
      <c r="L2839" s="1">
        <v>1.8</v>
      </c>
      <c r="M2839" s="1">
        <v>9</v>
      </c>
    </row>
    <row r="2840" spans="4:13">
      <c r="D2840" s="1" t="s">
        <v>1679</v>
      </c>
      <c r="E2840" s="1" t="s">
        <v>43</v>
      </c>
      <c r="H2840" s="1" t="s">
        <v>25</v>
      </c>
      <c r="I2840" s="1" t="s">
        <v>23</v>
      </c>
      <c r="M2840" s="1" t="b">
        <v>0</v>
      </c>
    </row>
    <row r="2841" spans="4:13">
      <c r="D2841" s="1" t="s">
        <v>1679</v>
      </c>
      <c r="E2841" s="1" t="s">
        <v>44</v>
      </c>
      <c r="F2841" s="1" t="s">
        <v>45</v>
      </c>
      <c r="G2841" s="1" t="s">
        <v>46</v>
      </c>
      <c r="H2841" s="1" t="s">
        <v>22</v>
      </c>
      <c r="I2841" s="1" t="s">
        <v>23</v>
      </c>
      <c r="J2841" s="1">
        <v>-85.984522757427143</v>
      </c>
      <c r="K2841" s="1">
        <v>8598.4522757427148</v>
      </c>
      <c r="L2841" s="1">
        <v>114.79148749423418</v>
      </c>
      <c r="M2841" s="1">
        <v>128.97678413614071</v>
      </c>
    </row>
    <row r="2842" spans="4:13">
      <c r="D2842" s="1" t="s">
        <v>1679</v>
      </c>
      <c r="E2842" s="1" t="s">
        <v>47</v>
      </c>
      <c r="H2842" s="1" t="s">
        <v>25</v>
      </c>
      <c r="I2842" s="1" t="s">
        <v>23</v>
      </c>
      <c r="M2842" s="1" t="b">
        <v>0</v>
      </c>
    </row>
    <row r="2843" spans="4:13">
      <c r="D2843" s="1" t="s">
        <v>1679</v>
      </c>
      <c r="E2843" s="1" t="s">
        <v>48</v>
      </c>
      <c r="H2843" s="1" t="s">
        <v>25</v>
      </c>
      <c r="I2843" s="1" t="s">
        <v>23</v>
      </c>
      <c r="M2843" s="1" t="b">
        <v>0</v>
      </c>
    </row>
    <row r="2844" spans="4:13">
      <c r="D2844" s="1" t="s">
        <v>1679</v>
      </c>
      <c r="E2844" s="1" t="s">
        <v>49</v>
      </c>
      <c r="H2844" s="1" t="s">
        <v>25</v>
      </c>
      <c r="I2844" s="1" t="s">
        <v>23</v>
      </c>
      <c r="M2844" s="1" t="b">
        <v>0</v>
      </c>
    </row>
    <row r="2845" spans="4:13">
      <c r="D2845" s="1" t="s">
        <v>1679</v>
      </c>
      <c r="E2845" s="1" t="s">
        <v>50</v>
      </c>
      <c r="H2845" s="1" t="s">
        <v>25</v>
      </c>
      <c r="I2845" s="1" t="s">
        <v>23</v>
      </c>
      <c r="M2845" s="1" t="b">
        <v>0</v>
      </c>
    </row>
    <row r="2846" spans="4:13">
      <c r="D2846" s="1" t="s">
        <v>1679</v>
      </c>
      <c r="E2846" s="1" t="s">
        <v>51</v>
      </c>
      <c r="F2846" s="1" t="s">
        <v>52</v>
      </c>
      <c r="G2846" s="1" t="s">
        <v>53</v>
      </c>
      <c r="H2846" s="1" t="s">
        <v>22</v>
      </c>
      <c r="I2846" s="1" t="s">
        <v>23</v>
      </c>
      <c r="J2846" s="1">
        <v>0</v>
      </c>
      <c r="K2846" s="1">
        <v>7936641438.6555996</v>
      </c>
      <c r="L2846" s="1">
        <v>7936.6414386555998</v>
      </c>
      <c r="M2846" s="1">
        <v>7936.6414386555998</v>
      </c>
    </row>
    <row r="2847" spans="4:13">
      <c r="D2847" s="1" t="s">
        <v>1679</v>
      </c>
      <c r="E2847" s="1" t="s">
        <v>54</v>
      </c>
      <c r="H2847" s="1" t="s">
        <v>25</v>
      </c>
      <c r="I2847" s="1" t="s">
        <v>23</v>
      </c>
      <c r="M2847" s="1" t="b">
        <v>0</v>
      </c>
    </row>
    <row r="2848" spans="4:13">
      <c r="D2848" s="1" t="s">
        <v>1679</v>
      </c>
      <c r="E2848" s="1" t="s">
        <v>55</v>
      </c>
      <c r="F2848" s="1" t="s">
        <v>56</v>
      </c>
      <c r="G2848" s="1" t="s">
        <v>57</v>
      </c>
      <c r="H2848" s="1" t="s">
        <v>22</v>
      </c>
      <c r="I2848" s="1" t="s">
        <v>23</v>
      </c>
      <c r="J2848" s="1">
        <v>0</v>
      </c>
      <c r="K2848" s="1">
        <v>9427.4529524635982</v>
      </c>
      <c r="L2848" s="1">
        <v>50.713895374744951</v>
      </c>
      <c r="M2848" s="1">
        <v>50.763208205573221</v>
      </c>
    </row>
    <row r="2849" spans="4:13">
      <c r="D2849" s="1" t="s">
        <v>1679</v>
      </c>
      <c r="E2849" s="1" t="s">
        <v>58</v>
      </c>
      <c r="H2849" s="1" t="s">
        <v>25</v>
      </c>
      <c r="I2849" s="1" t="s">
        <v>23</v>
      </c>
      <c r="M2849" s="1" t="b">
        <v>0</v>
      </c>
    </row>
    <row r="2850" spans="4:13">
      <c r="D2850" s="1" t="s">
        <v>1679</v>
      </c>
      <c r="E2850" s="1" t="s">
        <v>59</v>
      </c>
      <c r="F2850" s="1" t="s">
        <v>60</v>
      </c>
      <c r="G2850" s="1" t="s">
        <v>61</v>
      </c>
      <c r="H2850" s="1" t="s">
        <v>22</v>
      </c>
      <c r="I2850" s="1" t="s">
        <v>23</v>
      </c>
      <c r="J2850" s="1">
        <v>-9.5538358650799999</v>
      </c>
      <c r="K2850" s="1">
        <v>9.5538358650799999</v>
      </c>
      <c r="L2850" s="1">
        <v>0.23884589662700001</v>
      </c>
      <c r="M2850" s="1">
        <v>0.23884589662700001</v>
      </c>
    </row>
    <row r="2851" spans="4:13">
      <c r="D2851" s="1" t="s">
        <v>1679</v>
      </c>
      <c r="E2851" s="1" t="s">
        <v>62</v>
      </c>
      <c r="H2851" s="1" t="s">
        <v>63</v>
      </c>
      <c r="I2851" s="1" t="s">
        <v>23</v>
      </c>
      <c r="M2851" s="1">
        <v>1</v>
      </c>
    </row>
    <row r="2852" spans="4:13">
      <c r="D2852" s="1" t="s">
        <v>1679</v>
      </c>
      <c r="E2852" s="1" t="s">
        <v>64</v>
      </c>
      <c r="F2852" s="1" t="s">
        <v>35</v>
      </c>
      <c r="G2852" s="1" t="s">
        <v>36</v>
      </c>
      <c r="H2852" s="1" t="s">
        <v>22</v>
      </c>
      <c r="I2852" s="1" t="s">
        <v>65</v>
      </c>
      <c r="J2852" s="1">
        <v>-459.67</v>
      </c>
      <c r="L2852" s="1">
        <v>80.329999999999984</v>
      </c>
    </row>
    <row r="2853" spans="4:13">
      <c r="D2853" s="1" t="s">
        <v>1679</v>
      </c>
      <c r="E2853" s="1" t="s">
        <v>66</v>
      </c>
      <c r="F2853" s="1" t="s">
        <v>35</v>
      </c>
      <c r="G2853" s="1" t="s">
        <v>36</v>
      </c>
      <c r="H2853" s="1" t="s">
        <v>22</v>
      </c>
      <c r="I2853" s="1" t="s">
        <v>65</v>
      </c>
      <c r="J2853" s="1">
        <v>-459.67</v>
      </c>
      <c r="L2853" s="1">
        <v>80.329999999999984</v>
      </c>
    </row>
    <row r="2854" spans="4:13">
      <c r="D2854" s="1" t="s">
        <v>1679</v>
      </c>
      <c r="E2854" s="1" t="s">
        <v>67</v>
      </c>
      <c r="F2854" s="1" t="s">
        <v>41</v>
      </c>
      <c r="G2854" s="1" t="s">
        <v>42</v>
      </c>
      <c r="H2854" s="1" t="s">
        <v>22</v>
      </c>
      <c r="I2854" s="1" t="s">
        <v>65</v>
      </c>
      <c r="L2854" s="1">
        <v>1.8</v>
      </c>
    </row>
    <row r="2855" spans="4:13">
      <c r="D2855" s="1" t="s">
        <v>1679</v>
      </c>
      <c r="E2855" s="1" t="s">
        <v>68</v>
      </c>
      <c r="F2855" s="1" t="s">
        <v>45</v>
      </c>
      <c r="G2855" s="1" t="s">
        <v>46</v>
      </c>
      <c r="H2855" s="1" t="s">
        <v>22</v>
      </c>
      <c r="I2855" s="1" t="s">
        <v>65</v>
      </c>
      <c r="L2855" s="1">
        <v>4.2992261378713571E-4</v>
      </c>
    </row>
    <row r="2856" spans="4:13">
      <c r="D2856" s="1" t="s">
        <v>1679</v>
      </c>
      <c r="E2856" s="1" t="s">
        <v>69</v>
      </c>
      <c r="H2856" s="1" t="s">
        <v>25</v>
      </c>
      <c r="I2856" s="1" t="s">
        <v>70</v>
      </c>
    </row>
    <row r="2857" spans="4:13">
      <c r="D2857" s="1" t="s">
        <v>1679</v>
      </c>
      <c r="E2857" s="1" t="s">
        <v>71</v>
      </c>
      <c r="F2857" s="1" t="s">
        <v>52</v>
      </c>
      <c r="G2857" s="1" t="s">
        <v>53</v>
      </c>
      <c r="H2857" s="1" t="s">
        <v>22</v>
      </c>
      <c r="I2857" s="1" t="s">
        <v>65</v>
      </c>
      <c r="L2857" s="1">
        <v>7936.6414386555998</v>
      </c>
    </row>
    <row r="2858" spans="4:13">
      <c r="D2858" s="1" t="s">
        <v>1679</v>
      </c>
      <c r="E2858" s="1" t="s">
        <v>72</v>
      </c>
      <c r="F2858" s="1" t="s">
        <v>56</v>
      </c>
      <c r="G2858" s="1" t="s">
        <v>57</v>
      </c>
      <c r="H2858" s="1" t="s">
        <v>22</v>
      </c>
      <c r="I2858" s="1" t="s">
        <v>65</v>
      </c>
      <c r="J2858" s="1">
        <v>0</v>
      </c>
      <c r="L2858" s="1">
        <v>14.503773773020921</v>
      </c>
    </row>
    <row r="2859" spans="4:13">
      <c r="D2859" s="1" t="s">
        <v>1679</v>
      </c>
      <c r="E2859" s="1" t="s">
        <v>73</v>
      </c>
      <c r="F2859" s="1" t="s">
        <v>60</v>
      </c>
      <c r="G2859" s="1" t="s">
        <v>61</v>
      </c>
      <c r="H2859" s="1" t="s">
        <v>22</v>
      </c>
      <c r="I2859" s="1" t="s">
        <v>65</v>
      </c>
      <c r="L2859" s="1">
        <v>2.38845896627E-4</v>
      </c>
    </row>
    <row r="2860" spans="4:13">
      <c r="D2860" s="1" t="s">
        <v>1679</v>
      </c>
      <c r="E2860" s="1" t="s">
        <v>74</v>
      </c>
      <c r="F2860" s="1" t="s">
        <v>75</v>
      </c>
      <c r="G2860" s="1" t="s">
        <v>76</v>
      </c>
      <c r="H2860" s="1" t="s">
        <v>22</v>
      </c>
      <c r="I2860" s="1" t="s">
        <v>65</v>
      </c>
      <c r="J2860" s="1">
        <v>0</v>
      </c>
      <c r="L2860" s="1">
        <v>16.018463521800001</v>
      </c>
    </row>
    <row r="2861" spans="4:13">
      <c r="D2861" s="1" t="s">
        <v>1679</v>
      </c>
      <c r="E2861" s="1" t="s">
        <v>77</v>
      </c>
      <c r="H2861" s="1" t="s">
        <v>22</v>
      </c>
      <c r="I2861" s="1" t="s">
        <v>65</v>
      </c>
      <c r="L2861" s="1">
        <v>1</v>
      </c>
    </row>
    <row r="2862" spans="4:13">
      <c r="D2862" s="1" t="s">
        <v>1679</v>
      </c>
      <c r="E2862" s="1" t="s">
        <v>78</v>
      </c>
      <c r="H2862" s="1" t="s">
        <v>25</v>
      </c>
      <c r="I2862" s="1" t="s">
        <v>23</v>
      </c>
      <c r="M2862" s="1" t="b">
        <v>0</v>
      </c>
    </row>
    <row r="2863" spans="4:13">
      <c r="D2863" s="1" t="s">
        <v>1679</v>
      </c>
      <c r="E2863" s="1" t="s">
        <v>79</v>
      </c>
      <c r="F2863" s="1" t="s">
        <v>75</v>
      </c>
      <c r="G2863" s="1" t="s">
        <v>76</v>
      </c>
      <c r="H2863" s="1" t="s">
        <v>22</v>
      </c>
      <c r="I2863" s="1" t="s">
        <v>23</v>
      </c>
      <c r="J2863" s="1">
        <v>0</v>
      </c>
      <c r="K2863" s="1">
        <v>96.110781130800007</v>
      </c>
      <c r="L2863" s="1">
        <v>16.018463521800001</v>
      </c>
      <c r="M2863" s="1">
        <v>1.6018463521800002</v>
      </c>
    </row>
    <row r="2864" spans="4:13">
      <c r="D2864" s="1" t="s">
        <v>1679</v>
      </c>
      <c r="E2864" s="1" t="s">
        <v>80</v>
      </c>
      <c r="H2864" s="1" t="s">
        <v>25</v>
      </c>
      <c r="I2864" s="1" t="s">
        <v>23</v>
      </c>
      <c r="M2864" s="1" t="b">
        <v>0</v>
      </c>
    </row>
    <row r="2865" spans="4:13">
      <c r="D2865" s="1" t="s">
        <v>1679</v>
      </c>
      <c r="E2865" s="1" t="s">
        <v>81</v>
      </c>
      <c r="H2865" s="1" t="s">
        <v>25</v>
      </c>
      <c r="I2865" s="1" t="s">
        <v>23</v>
      </c>
      <c r="M2865" s="1" t="b">
        <v>1</v>
      </c>
    </row>
    <row r="2866" spans="4:13">
      <c r="D2866" s="1" t="s">
        <v>1679</v>
      </c>
      <c r="E2866" s="1" t="s">
        <v>82</v>
      </c>
      <c r="H2866" s="1" t="s">
        <v>22</v>
      </c>
      <c r="I2866" s="1" t="s">
        <v>23</v>
      </c>
      <c r="J2866" s="1">
        <v>-1</v>
      </c>
      <c r="K2866" s="1">
        <v>3</v>
      </c>
      <c r="L2866" s="1">
        <v>1</v>
      </c>
      <c r="M2866" s="1">
        <v>1.0000100000000001</v>
      </c>
    </row>
    <row r="2870" spans="4:13">
      <c r="D2870" s="1" t="s">
        <v>1680</v>
      </c>
    </row>
    <row r="2871" spans="4:13">
      <c r="D2871" s="1" t="s">
        <v>1681</v>
      </c>
    </row>
    <row r="2872" spans="4:13">
      <c r="D2872" s="1" t="s">
        <v>1682</v>
      </c>
    </row>
    <row r="2873" spans="4:13">
      <c r="D2873" s="1" t="s">
        <v>1683</v>
      </c>
    </row>
    <row r="2874" spans="4:13">
      <c r="D2874" s="1" t="s">
        <v>1684</v>
      </c>
    </row>
    <row r="2875" spans="4:13">
      <c r="D2875" s="1" t="s">
        <v>1685</v>
      </c>
    </row>
    <row r="2877" spans="4:13">
      <c r="D2877" s="1" t="s">
        <v>1686</v>
      </c>
    </row>
    <row r="2878" spans="4:13">
      <c r="D2878" s="1" t="s">
        <v>1687</v>
      </c>
    </row>
    <row r="2879" spans="4:13">
      <c r="D2879" s="1" t="s">
        <v>1688</v>
      </c>
    </row>
    <row r="2881" spans="4:4">
      <c r="D2881" s="1" t="s">
        <v>1689</v>
      </c>
    </row>
    <row r="2882" spans="4:4">
      <c r="D2882" s="1" t="s">
        <v>1690</v>
      </c>
    </row>
    <row r="2883" spans="4:4">
      <c r="D2883" s="1" t="s">
        <v>1691</v>
      </c>
    </row>
    <row r="2885" spans="4:4">
      <c r="D2885" s="1" t="s">
        <v>1692</v>
      </c>
    </row>
    <row r="2886" spans="4:4">
      <c r="D2886" s="1" t="s">
        <v>1693</v>
      </c>
    </row>
    <row r="2887" spans="4:4">
      <c r="D2887" s="1" t="s">
        <v>1694</v>
      </c>
    </row>
    <row r="2891" spans="4:4">
      <c r="D2891" s="1" t="s">
        <v>1695</v>
      </c>
    </row>
    <row r="2892" spans="4:4">
      <c r="D2892" s="1" t="s">
        <v>1711</v>
      </c>
    </row>
  </sheetData>
  <autoFilter ref="A4:M2866" xr:uid="{00000000-0001-0000-0000-000000000000}"/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B_BoltUIToolbox">
              <controlPr defaultSize="0" autoFill="0" autoLine="0" autoPict="0">
                <anchor moveWithCells="1">
                  <from>
                    <xdr:col>3</xdr:col>
                    <xdr:colOff>184150</xdr:colOff>
                    <xdr:row>1</xdr:row>
                    <xdr:rowOff>209550</xdr:rowOff>
                  </from>
                  <to>
                    <xdr:col>4</xdr:col>
                    <xdr:colOff>298450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DD_BoltUIToolbox">
              <controlPr defaultSize="0" autoLine="0" autoPict="0">
                <anchor moveWithCells="1">
                  <from>
                    <xdr:col>4</xdr:col>
                    <xdr:colOff>69850</xdr:colOff>
                    <xdr:row>2</xdr:row>
                    <xdr:rowOff>12700</xdr:rowOff>
                  </from>
                  <to>
                    <xdr:col>4</xdr:col>
                    <xdr:colOff>1231900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T_BoltUIToolbox">
              <controlPr defaultSize="0" print="0" disabled="1" autoFill="0" autoPict="0" macro="[0]!Basic_Click">
                <anchor moveWithCells="1" sizeWithCells="1">
                  <from>
                    <xdr:col>4</xdr:col>
                    <xdr:colOff>1498600</xdr:colOff>
                    <xdr:row>2</xdr:row>
                    <xdr:rowOff>19050</xdr:rowOff>
                  </from>
                  <to>
                    <xdr:col>4</xdr:col>
                    <xdr:colOff>2171700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6D80-EA82-4C8A-B346-2FC284AB6257}">
  <sheetPr codeName="Sheet7"/>
  <dimension ref="A1:R2892"/>
  <sheetViews>
    <sheetView workbookViewId="0">
      <pane xSplit="13" topLeftCell="N1" activePane="topRight" state="frozen"/>
      <selection pane="topRight" activeCell="N8" sqref="N8"/>
    </sheetView>
  </sheetViews>
  <sheetFormatPr defaultColWidth="8.90625" defaultRowHeight="14.5"/>
  <cols>
    <col min="1" max="1" width="4" style="2" customWidth="1"/>
    <col min="2" max="2" width="5.7265625" style="3" customWidth="1"/>
    <col min="3" max="3" width="3.36328125" style="2" customWidth="1"/>
    <col min="4" max="4" width="16.08984375" style="1" customWidth="1"/>
    <col min="5" max="5" width="33.6328125" style="1" customWidth="1"/>
    <col min="6" max="6" width="12.6328125" style="1" hidden="1" customWidth="1"/>
    <col min="7" max="7" width="16.08984375" style="1" customWidth="1"/>
    <col min="8" max="8" width="11.7265625" style="1" hidden="1" customWidth="1"/>
    <col min="9" max="9" width="18.7265625" style="1" customWidth="1"/>
    <col min="10" max="10" width="11.6328125" style="1" hidden="1" customWidth="1"/>
    <col min="11" max="11" width="12.26953125" style="1" hidden="1" customWidth="1"/>
    <col min="12" max="12" width="10.26953125" style="1" hidden="1" customWidth="1"/>
    <col min="13" max="13" width="14.6328125" style="1" customWidth="1"/>
    <col min="14" max="16384" width="8.90625" style="1"/>
  </cols>
  <sheetData>
    <row r="1" spans="1:18" s="2" customFormat="1" ht="18" customHeight="1">
      <c r="A1" s="6" t="s">
        <v>1697</v>
      </c>
      <c r="B1" s="2" t="s">
        <v>1698</v>
      </c>
      <c r="D1" s="9">
        <v>44663</v>
      </c>
      <c r="E1" s="2" t="s">
        <v>1809</v>
      </c>
      <c r="F1" s="2" t="s">
        <v>1700</v>
      </c>
      <c r="G1" s="2" t="s">
        <v>1846</v>
      </c>
      <c r="I1" s="2" t="s">
        <v>11</v>
      </c>
      <c r="M1" s="2">
        <f>COUNTIF(status_columns,"Solved")</f>
        <v>0</v>
      </c>
    </row>
    <row r="2" spans="1:18" s="3" customFormat="1" ht="18" customHeight="1">
      <c r="A2" s="2"/>
      <c r="B2" s="5" t="s">
        <v>1701</v>
      </c>
      <c r="C2" s="8" t="s">
        <v>1702</v>
      </c>
      <c r="E2" s="3" t="s">
        <v>1703</v>
      </c>
      <c r="I2" s="3" t="s">
        <v>12</v>
      </c>
      <c r="M2" s="3">
        <f>COUNTIF(status_columns,"Not converged")</f>
        <v>0</v>
      </c>
      <c r="O2" s="3" t="s">
        <v>1707</v>
      </c>
      <c r="P2" s="3" t="s">
        <v>1708</v>
      </c>
      <c r="Q2" s="3" t="s">
        <v>1709</v>
      </c>
      <c r="R2" s="3" t="s">
        <v>1710</v>
      </c>
    </row>
    <row r="3" spans="1:18" s="2" customFormat="1" ht="18" customHeight="1">
      <c r="B3" s="3"/>
      <c r="C3" s="7" t="s">
        <v>1704</v>
      </c>
      <c r="I3" s="2" t="s">
        <v>13</v>
      </c>
      <c r="M3" s="2">
        <f>COLUMNS(status_columns)-M2-M1</f>
        <v>5</v>
      </c>
    </row>
    <row r="4" spans="1:18" s="4" customFormat="1">
      <c r="A4" s="2"/>
      <c r="B4" s="3"/>
      <c r="C4" s="2"/>
      <c r="D4" s="4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8</v>
      </c>
      <c r="M4" s="4" t="s">
        <v>9</v>
      </c>
      <c r="N4" s="4" t="s">
        <v>10</v>
      </c>
      <c r="O4" s="4" t="s">
        <v>10</v>
      </c>
      <c r="P4" s="4" t="s">
        <v>10</v>
      </c>
      <c r="Q4" s="4" t="s">
        <v>10</v>
      </c>
      <c r="R4" s="4" t="s">
        <v>10</v>
      </c>
    </row>
    <row r="5" spans="1:18">
      <c r="D5" s="1" t="s">
        <v>21</v>
      </c>
      <c r="H5" s="1" t="s">
        <v>22</v>
      </c>
      <c r="I5" s="1" t="s">
        <v>23</v>
      </c>
      <c r="L5" s="1">
        <v>1</v>
      </c>
      <c r="M5" s="1">
        <v>0.5</v>
      </c>
    </row>
    <row r="6" spans="1:18">
      <c r="D6" s="1" t="s">
        <v>24</v>
      </c>
      <c r="H6" s="1" t="s">
        <v>25</v>
      </c>
      <c r="I6" s="1" t="s">
        <v>23</v>
      </c>
      <c r="M6" s="1" t="b">
        <v>0</v>
      </c>
    </row>
    <row r="7" spans="1:18">
      <c r="D7" s="1" t="s">
        <v>26</v>
      </c>
      <c r="H7" s="1" t="s">
        <v>22</v>
      </c>
      <c r="I7" s="1" t="s">
        <v>23</v>
      </c>
      <c r="L7" s="1">
        <v>1</v>
      </c>
      <c r="M7" s="1">
        <v>0.97</v>
      </c>
    </row>
    <row r="8" spans="1:18">
      <c r="D8" s="1" t="s">
        <v>27</v>
      </c>
      <c r="E8" s="1" t="s">
        <v>28</v>
      </c>
      <c r="H8" s="1" t="s">
        <v>22</v>
      </c>
      <c r="I8" s="1" t="s">
        <v>29</v>
      </c>
      <c r="J8" s="1">
        <v>34000</v>
      </c>
      <c r="K8" s="1">
        <v>4300000</v>
      </c>
      <c r="L8" s="1">
        <v>349660</v>
      </c>
    </row>
    <row r="9" spans="1:18">
      <c r="D9" s="1" t="s">
        <v>27</v>
      </c>
      <c r="E9" s="1" t="s">
        <v>30</v>
      </c>
      <c r="H9" s="1" t="s">
        <v>22</v>
      </c>
      <c r="I9" s="1" t="s">
        <v>29</v>
      </c>
      <c r="J9" s="1">
        <v>-3.94</v>
      </c>
      <c r="K9" s="1">
        <v>3.66</v>
      </c>
      <c r="L9" s="1">
        <v>1</v>
      </c>
    </row>
    <row r="10" spans="1:18">
      <c r="D10" s="1" t="s">
        <v>27</v>
      </c>
      <c r="E10" s="1" t="s">
        <v>31</v>
      </c>
      <c r="H10" s="1" t="s">
        <v>22</v>
      </c>
      <c r="I10" s="1" t="s">
        <v>29</v>
      </c>
      <c r="J10" s="1">
        <v>0</v>
      </c>
      <c r="K10" s="1">
        <v>100</v>
      </c>
      <c r="L10" s="1">
        <v>1</v>
      </c>
    </row>
    <row r="11" spans="1:18">
      <c r="D11" s="1" t="s">
        <v>27</v>
      </c>
      <c r="E11" s="1" t="s">
        <v>32</v>
      </c>
      <c r="H11" s="1" t="s">
        <v>22</v>
      </c>
      <c r="I11" s="1" t="s">
        <v>29</v>
      </c>
      <c r="J11" s="1">
        <v>-3.94</v>
      </c>
      <c r="K11" s="1">
        <v>3.66</v>
      </c>
      <c r="L11" s="1">
        <v>1</v>
      </c>
    </row>
    <row r="12" spans="1:18">
      <c r="D12" s="1" t="s">
        <v>27</v>
      </c>
      <c r="E12" s="1" t="s">
        <v>33</v>
      </c>
      <c r="H12" s="1" t="s">
        <v>25</v>
      </c>
      <c r="I12" s="1" t="s">
        <v>23</v>
      </c>
      <c r="M12" s="1" t="b">
        <v>0</v>
      </c>
    </row>
    <row r="13" spans="1:18">
      <c r="D13" s="1" t="s">
        <v>27</v>
      </c>
      <c r="E13" s="1" t="s">
        <v>34</v>
      </c>
      <c r="F13" s="1" t="s">
        <v>35</v>
      </c>
      <c r="G13" s="1" t="s">
        <v>36</v>
      </c>
      <c r="H13" s="1" t="s">
        <v>22</v>
      </c>
      <c r="I13" s="1" t="s">
        <v>23</v>
      </c>
      <c r="J13" s="1">
        <v>-459.67</v>
      </c>
      <c r="K13" s="1">
        <v>980.32999999999993</v>
      </c>
      <c r="L13" s="1">
        <v>80.329999999999984</v>
      </c>
      <c r="M13" s="1">
        <v>67.999999999999943</v>
      </c>
    </row>
    <row r="14" spans="1:18">
      <c r="D14" s="1" t="s">
        <v>27</v>
      </c>
      <c r="E14" s="1" t="s">
        <v>37</v>
      </c>
      <c r="H14" s="1" t="s">
        <v>25</v>
      </c>
      <c r="I14" s="1" t="s">
        <v>23</v>
      </c>
      <c r="M14" s="1" t="b">
        <v>0</v>
      </c>
    </row>
    <row r="15" spans="1:18">
      <c r="D15" s="1" t="s">
        <v>27</v>
      </c>
      <c r="E15" s="1" t="s">
        <v>38</v>
      </c>
      <c r="F15" s="1" t="s">
        <v>35</v>
      </c>
      <c r="G15" s="1" t="s">
        <v>36</v>
      </c>
      <c r="H15" s="1" t="s">
        <v>22</v>
      </c>
      <c r="I15" s="1" t="s">
        <v>23</v>
      </c>
      <c r="J15" s="1">
        <v>-99.670000000000016</v>
      </c>
      <c r="K15" s="1">
        <v>980.32999999999993</v>
      </c>
      <c r="L15" s="1">
        <v>80.329999999999984</v>
      </c>
      <c r="M15" s="1">
        <v>13.999999999999943</v>
      </c>
    </row>
    <row r="16" spans="1:18">
      <c r="D16" s="1" t="s">
        <v>27</v>
      </c>
      <c r="E16" s="1" t="s">
        <v>39</v>
      </c>
      <c r="H16" s="1" t="s">
        <v>25</v>
      </c>
      <c r="I16" s="1" t="s">
        <v>23</v>
      </c>
      <c r="M16" s="1" t="b">
        <v>0</v>
      </c>
    </row>
    <row r="17" spans="1:13">
      <c r="D17" s="1" t="s">
        <v>27</v>
      </c>
      <c r="E17" s="1" t="s">
        <v>40</v>
      </c>
      <c r="F17" s="1" t="s">
        <v>41</v>
      </c>
      <c r="G17" s="1" t="s">
        <v>42</v>
      </c>
      <c r="H17" s="1" t="s">
        <v>22</v>
      </c>
      <c r="I17" s="1" t="s">
        <v>23</v>
      </c>
      <c r="J17" s="1">
        <v>-900</v>
      </c>
      <c r="K17" s="1">
        <v>900</v>
      </c>
      <c r="L17" s="1">
        <v>1.8</v>
      </c>
      <c r="M17" s="1">
        <v>9</v>
      </c>
    </row>
    <row r="18" spans="1:13">
      <c r="D18" s="1" t="s">
        <v>27</v>
      </c>
      <c r="E18" s="1" t="s">
        <v>43</v>
      </c>
      <c r="H18" s="1" t="s">
        <v>25</v>
      </c>
      <c r="I18" s="1" t="s">
        <v>23</v>
      </c>
      <c r="M18" s="1" t="b">
        <v>0</v>
      </c>
    </row>
    <row r="19" spans="1:13">
      <c r="D19" s="1" t="s">
        <v>27</v>
      </c>
      <c r="E19" s="1" t="s">
        <v>44</v>
      </c>
      <c r="F19" s="1" t="s">
        <v>45</v>
      </c>
      <c r="G19" s="1" t="s">
        <v>46</v>
      </c>
      <c r="H19" s="1" t="s">
        <v>22</v>
      </c>
      <c r="I19" s="1" t="s">
        <v>23</v>
      </c>
      <c r="J19" s="1">
        <v>-85.984522757427143</v>
      </c>
      <c r="K19" s="1">
        <v>8598.4522757427148</v>
      </c>
      <c r="L19" s="1">
        <v>114.79148749423418</v>
      </c>
      <c r="M19" s="1">
        <v>128.97678413614071</v>
      </c>
    </row>
    <row r="20" spans="1:13">
      <c r="D20" s="1" t="s">
        <v>27</v>
      </c>
      <c r="E20" s="1" t="s">
        <v>47</v>
      </c>
      <c r="H20" s="1" t="s">
        <v>25</v>
      </c>
      <c r="I20" s="1" t="s">
        <v>23</v>
      </c>
      <c r="M20" s="1" t="b">
        <v>0</v>
      </c>
    </row>
    <row r="21" spans="1:13">
      <c r="D21" s="1" t="s">
        <v>27</v>
      </c>
      <c r="E21" s="1" t="s">
        <v>48</v>
      </c>
      <c r="H21" s="1" t="s">
        <v>25</v>
      </c>
      <c r="I21" s="1" t="s">
        <v>23</v>
      </c>
      <c r="M21" s="1" t="b">
        <v>0</v>
      </c>
    </row>
    <row r="22" spans="1:13">
      <c r="D22" s="1" t="s">
        <v>27</v>
      </c>
      <c r="E22" s="1" t="s">
        <v>49</v>
      </c>
      <c r="H22" s="1" t="s">
        <v>25</v>
      </c>
      <c r="I22" s="1" t="s">
        <v>23</v>
      </c>
      <c r="M22" s="1" t="b">
        <v>0</v>
      </c>
    </row>
    <row r="23" spans="1:13">
      <c r="D23" s="1" t="s">
        <v>27</v>
      </c>
      <c r="E23" s="1" t="s">
        <v>50</v>
      </c>
      <c r="H23" s="1" t="s">
        <v>25</v>
      </c>
      <c r="I23" s="1" t="s">
        <v>23</v>
      </c>
      <c r="M23" s="1" t="b">
        <v>0</v>
      </c>
    </row>
    <row r="24" spans="1:13">
      <c r="D24" s="1" t="s">
        <v>27</v>
      </c>
      <c r="E24" s="1" t="s">
        <v>51</v>
      </c>
      <c r="F24" s="1" t="s">
        <v>52</v>
      </c>
      <c r="G24" s="1" t="s">
        <v>53</v>
      </c>
      <c r="H24" s="1" t="s">
        <v>22</v>
      </c>
      <c r="I24" s="1" t="s">
        <v>23</v>
      </c>
      <c r="J24" s="1">
        <v>0</v>
      </c>
      <c r="K24" s="1">
        <v>7936641438.6555996</v>
      </c>
      <c r="L24" s="1">
        <v>7936.6414386555998</v>
      </c>
      <c r="M24" s="1">
        <v>7936.6414386555998</v>
      </c>
    </row>
    <row r="25" spans="1:13">
      <c r="D25" s="1" t="s">
        <v>27</v>
      </c>
      <c r="E25" s="1" t="s">
        <v>54</v>
      </c>
      <c r="H25" s="1" t="s">
        <v>25</v>
      </c>
      <c r="I25" s="1" t="s">
        <v>23</v>
      </c>
      <c r="M25" s="1" t="b">
        <v>0</v>
      </c>
    </row>
    <row r="26" spans="1:13">
      <c r="D26" s="1" t="s">
        <v>27</v>
      </c>
      <c r="E26" s="1" t="s">
        <v>55</v>
      </c>
      <c r="F26" s="1" t="s">
        <v>56</v>
      </c>
      <c r="G26" s="1" t="s">
        <v>57</v>
      </c>
      <c r="H26" s="1" t="s">
        <v>22</v>
      </c>
      <c r="I26" s="1" t="s">
        <v>23</v>
      </c>
      <c r="J26" s="1">
        <v>0</v>
      </c>
      <c r="K26" s="1">
        <v>9427.4529524635982</v>
      </c>
      <c r="L26" s="1">
        <v>50.713895374744951</v>
      </c>
      <c r="M26" s="1">
        <v>50.763208205573221</v>
      </c>
    </row>
    <row r="27" spans="1:13">
      <c r="D27" s="1" t="s">
        <v>27</v>
      </c>
      <c r="E27" s="1" t="s">
        <v>58</v>
      </c>
      <c r="H27" s="1" t="s">
        <v>25</v>
      </c>
      <c r="I27" s="1" t="s">
        <v>23</v>
      </c>
      <c r="M27" s="1" t="b">
        <v>0</v>
      </c>
    </row>
    <row r="28" spans="1:13">
      <c r="D28" s="1" t="s">
        <v>27</v>
      </c>
      <c r="E28" s="1" t="s">
        <v>59</v>
      </c>
      <c r="F28" s="1" t="s">
        <v>60</v>
      </c>
      <c r="G28" s="1" t="s">
        <v>61</v>
      </c>
      <c r="H28" s="1" t="s">
        <v>22</v>
      </c>
      <c r="I28" s="1" t="s">
        <v>23</v>
      </c>
      <c r="J28" s="1">
        <v>-9.5538358650799999</v>
      </c>
      <c r="K28" s="1">
        <v>9.5538358650799999</v>
      </c>
      <c r="L28" s="1">
        <v>0.23884589662700001</v>
      </c>
      <c r="M28" s="1">
        <v>0.23884589662700001</v>
      </c>
    </row>
    <row r="29" spans="1:13">
      <c r="D29" s="1" t="s">
        <v>27</v>
      </c>
      <c r="E29" s="1" t="s">
        <v>62</v>
      </c>
      <c r="H29" s="1" t="s">
        <v>63</v>
      </c>
      <c r="I29" s="1" t="s">
        <v>23</v>
      </c>
      <c r="M29" s="1">
        <v>1</v>
      </c>
    </row>
    <row r="30" spans="1:13">
      <c r="A30" s="2" t="s">
        <v>1758</v>
      </c>
      <c r="B30" s="3" t="s">
        <v>1757</v>
      </c>
      <c r="D30" s="1" t="s">
        <v>27</v>
      </c>
      <c r="E30" s="1" t="s">
        <v>64</v>
      </c>
      <c r="F30" s="1" t="s">
        <v>35</v>
      </c>
      <c r="G30" s="1" t="s">
        <v>36</v>
      </c>
      <c r="H30" s="1" t="s">
        <v>22</v>
      </c>
      <c r="I30" s="1" t="s">
        <v>65</v>
      </c>
      <c r="J30" s="1">
        <v>-459.67</v>
      </c>
      <c r="L30" s="1">
        <v>80.329999999999984</v>
      </c>
    </row>
    <row r="31" spans="1:13">
      <c r="A31" s="2" t="s">
        <v>1758</v>
      </c>
      <c r="B31" s="3" t="s">
        <v>1760</v>
      </c>
      <c r="D31" s="1" t="s">
        <v>27</v>
      </c>
      <c r="E31" s="1" t="s">
        <v>66</v>
      </c>
      <c r="F31" s="1" t="s">
        <v>35</v>
      </c>
      <c r="G31" s="1" t="s">
        <v>36</v>
      </c>
      <c r="H31" s="1" t="s">
        <v>22</v>
      </c>
      <c r="I31" s="1" t="s">
        <v>65</v>
      </c>
      <c r="J31" s="1">
        <v>-459.67</v>
      </c>
      <c r="L31" s="1">
        <v>80.329999999999984</v>
      </c>
    </row>
    <row r="32" spans="1:13">
      <c r="D32" s="1" t="s">
        <v>27</v>
      </c>
      <c r="E32" s="1" t="s">
        <v>67</v>
      </c>
      <c r="F32" s="1" t="s">
        <v>41</v>
      </c>
      <c r="G32" s="1" t="s">
        <v>42</v>
      </c>
      <c r="H32" s="1" t="s">
        <v>22</v>
      </c>
      <c r="I32" s="1" t="s">
        <v>65</v>
      </c>
      <c r="L32" s="1">
        <v>1.8</v>
      </c>
    </row>
    <row r="33" spans="1:13">
      <c r="A33" s="2" t="s">
        <v>1758</v>
      </c>
      <c r="B33" s="3" t="s">
        <v>1761</v>
      </c>
      <c r="D33" s="1" t="s">
        <v>27</v>
      </c>
      <c r="E33" s="1" t="s">
        <v>68</v>
      </c>
      <c r="F33" s="1" t="s">
        <v>45</v>
      </c>
      <c r="G33" s="1" t="s">
        <v>46</v>
      </c>
      <c r="H33" s="1" t="s">
        <v>22</v>
      </c>
      <c r="I33" s="1" t="s">
        <v>65</v>
      </c>
      <c r="L33" s="1">
        <v>4.2992261378713571E-4</v>
      </c>
    </row>
    <row r="34" spans="1:13">
      <c r="D34" s="1" t="s">
        <v>27</v>
      </c>
      <c r="E34" s="1" t="s">
        <v>69</v>
      </c>
      <c r="H34" s="1" t="s">
        <v>25</v>
      </c>
      <c r="I34" s="1" t="s">
        <v>70</v>
      </c>
    </row>
    <row r="35" spans="1:13">
      <c r="A35" s="2" t="s">
        <v>1758</v>
      </c>
      <c r="B35" s="3" t="s">
        <v>1762</v>
      </c>
      <c r="D35" s="1" t="s">
        <v>27</v>
      </c>
      <c r="E35" s="1" t="s">
        <v>71</v>
      </c>
      <c r="F35" s="1" t="s">
        <v>52</v>
      </c>
      <c r="G35" s="1" t="s">
        <v>53</v>
      </c>
      <c r="H35" s="1" t="s">
        <v>22</v>
      </c>
      <c r="I35" s="1" t="s">
        <v>65</v>
      </c>
      <c r="L35" s="1">
        <v>7936.6414386555998</v>
      </c>
    </row>
    <row r="36" spans="1:13">
      <c r="A36" s="2" t="s">
        <v>1758</v>
      </c>
      <c r="B36" s="3" t="s">
        <v>1763</v>
      </c>
      <c r="D36" s="1" t="s">
        <v>27</v>
      </c>
      <c r="E36" s="1" t="s">
        <v>72</v>
      </c>
      <c r="F36" s="1" t="s">
        <v>56</v>
      </c>
      <c r="G36" s="1" t="s">
        <v>57</v>
      </c>
      <c r="H36" s="1" t="s">
        <v>22</v>
      </c>
      <c r="I36" s="1" t="s">
        <v>65</v>
      </c>
      <c r="J36" s="1">
        <v>0</v>
      </c>
      <c r="L36" s="1">
        <v>14.503773773020921</v>
      </c>
    </row>
    <row r="37" spans="1:13">
      <c r="D37" s="1" t="s">
        <v>27</v>
      </c>
      <c r="E37" s="1" t="s">
        <v>73</v>
      </c>
      <c r="F37" s="1" t="s">
        <v>60</v>
      </c>
      <c r="G37" s="1" t="s">
        <v>61</v>
      </c>
      <c r="H37" s="1" t="s">
        <v>22</v>
      </c>
      <c r="I37" s="1" t="s">
        <v>65</v>
      </c>
      <c r="L37" s="1">
        <v>2.38845896627E-4</v>
      </c>
    </row>
    <row r="38" spans="1:13">
      <c r="D38" s="1" t="s">
        <v>27</v>
      </c>
      <c r="E38" s="1" t="s">
        <v>74</v>
      </c>
      <c r="F38" s="1" t="s">
        <v>75</v>
      </c>
      <c r="G38" s="1" t="s">
        <v>76</v>
      </c>
      <c r="H38" s="1" t="s">
        <v>22</v>
      </c>
      <c r="I38" s="1" t="s">
        <v>65</v>
      </c>
      <c r="J38" s="1">
        <v>0</v>
      </c>
      <c r="L38" s="1">
        <v>16.018463521800001</v>
      </c>
    </row>
    <row r="39" spans="1:13">
      <c r="D39" s="1" t="s">
        <v>27</v>
      </c>
      <c r="E39" s="1" t="s">
        <v>77</v>
      </c>
      <c r="H39" s="1" t="s">
        <v>22</v>
      </c>
      <c r="I39" s="1" t="s">
        <v>65</v>
      </c>
      <c r="L39" s="1">
        <v>1</v>
      </c>
    </row>
    <row r="40" spans="1:13">
      <c r="D40" s="1" t="s">
        <v>27</v>
      </c>
      <c r="E40" s="1" t="s">
        <v>78</v>
      </c>
      <c r="H40" s="1" t="s">
        <v>25</v>
      </c>
      <c r="I40" s="1" t="s">
        <v>23</v>
      </c>
      <c r="M40" s="1" t="b">
        <v>0</v>
      </c>
    </row>
    <row r="41" spans="1:13">
      <c r="D41" s="1" t="s">
        <v>27</v>
      </c>
      <c r="E41" s="1" t="s">
        <v>79</v>
      </c>
      <c r="F41" s="1" t="s">
        <v>75</v>
      </c>
      <c r="G41" s="1" t="s">
        <v>76</v>
      </c>
      <c r="H41" s="1" t="s">
        <v>22</v>
      </c>
      <c r="I41" s="1" t="s">
        <v>23</v>
      </c>
      <c r="J41" s="1">
        <v>0</v>
      </c>
      <c r="K41" s="1">
        <v>96.110781130800007</v>
      </c>
      <c r="L41" s="1">
        <v>16.018463521800001</v>
      </c>
      <c r="M41" s="1">
        <v>1.6018463521800002</v>
      </c>
    </row>
    <row r="42" spans="1:13">
      <c r="D42" s="1" t="s">
        <v>27</v>
      </c>
      <c r="E42" s="1" t="s">
        <v>80</v>
      </c>
      <c r="H42" s="1" t="s">
        <v>25</v>
      </c>
      <c r="I42" s="1" t="s">
        <v>23</v>
      </c>
      <c r="M42" s="1" t="b">
        <v>0</v>
      </c>
    </row>
    <row r="43" spans="1:13">
      <c r="D43" s="1" t="s">
        <v>27</v>
      </c>
      <c r="E43" s="1" t="s">
        <v>81</v>
      </c>
      <c r="H43" s="1" t="s">
        <v>25</v>
      </c>
      <c r="I43" s="1" t="s">
        <v>23</v>
      </c>
      <c r="M43" s="1" t="b">
        <v>0</v>
      </c>
    </row>
    <row r="44" spans="1:13">
      <c r="D44" s="1" t="s">
        <v>27</v>
      </c>
      <c r="E44" s="1" t="s">
        <v>82</v>
      </c>
      <c r="H44" s="1" t="s">
        <v>22</v>
      </c>
      <c r="I44" s="1" t="s">
        <v>23</v>
      </c>
      <c r="J44" s="1">
        <v>-1</v>
      </c>
      <c r="K44" s="1">
        <v>3</v>
      </c>
      <c r="L44" s="1">
        <v>1</v>
      </c>
      <c r="M44" s="1">
        <v>1.01</v>
      </c>
    </row>
    <row r="45" spans="1:13">
      <c r="D45" s="1" t="s">
        <v>83</v>
      </c>
      <c r="E45" s="1" t="s">
        <v>28</v>
      </c>
      <c r="H45" s="1" t="s">
        <v>22</v>
      </c>
      <c r="I45" s="1" t="s">
        <v>29</v>
      </c>
      <c r="J45" s="1">
        <v>34000</v>
      </c>
      <c r="K45" s="1">
        <v>4300000</v>
      </c>
      <c r="L45" s="1">
        <v>349660</v>
      </c>
    </row>
    <row r="46" spans="1:13">
      <c r="D46" s="1" t="s">
        <v>83</v>
      </c>
      <c r="E46" s="1" t="s">
        <v>30</v>
      </c>
      <c r="H46" s="1" t="s">
        <v>22</v>
      </c>
      <c r="I46" s="1" t="s">
        <v>29</v>
      </c>
      <c r="J46" s="1">
        <v>-3.94</v>
      </c>
      <c r="K46" s="1">
        <v>3.66</v>
      </c>
      <c r="L46" s="1">
        <v>1</v>
      </c>
    </row>
    <row r="47" spans="1:13">
      <c r="D47" s="1" t="s">
        <v>83</v>
      </c>
      <c r="E47" s="1" t="s">
        <v>31</v>
      </c>
      <c r="H47" s="1" t="s">
        <v>22</v>
      </c>
      <c r="I47" s="1" t="s">
        <v>29</v>
      </c>
      <c r="J47" s="1">
        <v>0</v>
      </c>
      <c r="K47" s="1">
        <v>100</v>
      </c>
      <c r="L47" s="1">
        <v>1</v>
      </c>
    </row>
    <row r="48" spans="1:13">
      <c r="D48" s="1" t="s">
        <v>83</v>
      </c>
      <c r="E48" s="1" t="s">
        <v>32</v>
      </c>
      <c r="H48" s="1" t="s">
        <v>22</v>
      </c>
      <c r="I48" s="1" t="s">
        <v>29</v>
      </c>
      <c r="J48" s="1">
        <v>-3.94</v>
      </c>
      <c r="K48" s="1">
        <v>3.66</v>
      </c>
      <c r="L48" s="1">
        <v>1</v>
      </c>
    </row>
    <row r="49" spans="4:13">
      <c r="D49" s="1" t="s">
        <v>83</v>
      </c>
      <c r="E49" s="1" t="s">
        <v>33</v>
      </c>
      <c r="H49" s="1" t="s">
        <v>25</v>
      </c>
      <c r="I49" s="1" t="s">
        <v>23</v>
      </c>
      <c r="M49" s="1" t="b">
        <v>0</v>
      </c>
    </row>
    <row r="50" spans="4:13">
      <c r="D50" s="1" t="s">
        <v>83</v>
      </c>
      <c r="E50" s="1" t="s">
        <v>34</v>
      </c>
      <c r="F50" s="1" t="s">
        <v>35</v>
      </c>
      <c r="G50" s="1" t="s">
        <v>36</v>
      </c>
      <c r="H50" s="1" t="s">
        <v>22</v>
      </c>
      <c r="I50" s="1" t="s">
        <v>23</v>
      </c>
      <c r="J50" s="1">
        <v>-459.67</v>
      </c>
      <c r="K50" s="1">
        <v>980.32999999999993</v>
      </c>
      <c r="L50" s="1">
        <v>80.329999999999984</v>
      </c>
      <c r="M50" s="1">
        <v>67.999999999999943</v>
      </c>
    </row>
    <row r="51" spans="4:13">
      <c r="D51" s="1" t="s">
        <v>83</v>
      </c>
      <c r="E51" s="1" t="s">
        <v>37</v>
      </c>
      <c r="H51" s="1" t="s">
        <v>25</v>
      </c>
      <c r="I51" s="1" t="s">
        <v>23</v>
      </c>
      <c r="M51" s="1" t="b">
        <v>0</v>
      </c>
    </row>
    <row r="52" spans="4:13">
      <c r="D52" s="1" t="s">
        <v>83</v>
      </c>
      <c r="E52" s="1" t="s">
        <v>38</v>
      </c>
      <c r="F52" s="1" t="s">
        <v>35</v>
      </c>
      <c r="G52" s="1" t="s">
        <v>36</v>
      </c>
      <c r="H52" s="1" t="s">
        <v>22</v>
      </c>
      <c r="I52" s="1" t="s">
        <v>23</v>
      </c>
      <c r="J52" s="1">
        <v>-99.670000000000016</v>
      </c>
      <c r="K52" s="1">
        <v>980.32999999999993</v>
      </c>
      <c r="L52" s="1">
        <v>80.329999999999984</v>
      </c>
      <c r="M52" s="1">
        <v>13.999999999999943</v>
      </c>
    </row>
    <row r="53" spans="4:13">
      <c r="D53" s="1" t="s">
        <v>83</v>
      </c>
      <c r="E53" s="1" t="s">
        <v>39</v>
      </c>
      <c r="H53" s="1" t="s">
        <v>25</v>
      </c>
      <c r="I53" s="1" t="s">
        <v>23</v>
      </c>
      <c r="M53" s="1" t="b">
        <v>0</v>
      </c>
    </row>
    <row r="54" spans="4:13">
      <c r="D54" s="1" t="s">
        <v>83</v>
      </c>
      <c r="E54" s="1" t="s">
        <v>40</v>
      </c>
      <c r="F54" s="1" t="s">
        <v>41</v>
      </c>
      <c r="G54" s="1" t="s">
        <v>42</v>
      </c>
      <c r="H54" s="1" t="s">
        <v>22</v>
      </c>
      <c r="I54" s="1" t="s">
        <v>23</v>
      </c>
      <c r="J54" s="1">
        <v>-900</v>
      </c>
      <c r="K54" s="1">
        <v>900</v>
      </c>
      <c r="L54" s="1">
        <v>1.8</v>
      </c>
      <c r="M54" s="1">
        <v>9</v>
      </c>
    </row>
    <row r="55" spans="4:13">
      <c r="D55" s="1" t="s">
        <v>83</v>
      </c>
      <c r="E55" s="1" t="s">
        <v>43</v>
      </c>
      <c r="H55" s="1" t="s">
        <v>25</v>
      </c>
      <c r="I55" s="1" t="s">
        <v>23</v>
      </c>
      <c r="M55" s="1" t="b">
        <v>0</v>
      </c>
    </row>
    <row r="56" spans="4:13">
      <c r="D56" s="1" t="s">
        <v>83</v>
      </c>
      <c r="E56" s="1" t="s">
        <v>44</v>
      </c>
      <c r="F56" s="1" t="s">
        <v>45</v>
      </c>
      <c r="G56" s="1" t="s">
        <v>46</v>
      </c>
      <c r="H56" s="1" t="s">
        <v>22</v>
      </c>
      <c r="I56" s="1" t="s">
        <v>23</v>
      </c>
      <c r="J56" s="1">
        <v>-85.984522757427143</v>
      </c>
      <c r="K56" s="1">
        <v>8598.4522757427148</v>
      </c>
      <c r="L56" s="1">
        <v>114.79148749423418</v>
      </c>
      <c r="M56" s="1">
        <v>128.97678413614071</v>
      </c>
    </row>
    <row r="57" spans="4:13">
      <c r="D57" s="1" t="s">
        <v>83</v>
      </c>
      <c r="E57" s="1" t="s">
        <v>47</v>
      </c>
      <c r="H57" s="1" t="s">
        <v>25</v>
      </c>
      <c r="I57" s="1" t="s">
        <v>23</v>
      </c>
      <c r="M57" s="1" t="b">
        <v>0</v>
      </c>
    </row>
    <row r="58" spans="4:13">
      <c r="D58" s="1" t="s">
        <v>83</v>
      </c>
      <c r="E58" s="1" t="s">
        <v>48</v>
      </c>
      <c r="H58" s="1" t="s">
        <v>25</v>
      </c>
      <c r="I58" s="1" t="s">
        <v>23</v>
      </c>
      <c r="M58" s="1" t="b">
        <v>0</v>
      </c>
    </row>
    <row r="59" spans="4:13">
      <c r="D59" s="1" t="s">
        <v>83</v>
      </c>
      <c r="E59" s="1" t="s">
        <v>49</v>
      </c>
      <c r="H59" s="1" t="s">
        <v>25</v>
      </c>
      <c r="I59" s="1" t="s">
        <v>23</v>
      </c>
      <c r="M59" s="1" t="b">
        <v>0</v>
      </c>
    </row>
    <row r="60" spans="4:13">
      <c r="D60" s="1" t="s">
        <v>83</v>
      </c>
      <c r="E60" s="1" t="s">
        <v>50</v>
      </c>
      <c r="H60" s="1" t="s">
        <v>25</v>
      </c>
      <c r="I60" s="1" t="s">
        <v>23</v>
      </c>
      <c r="M60" s="1" t="b">
        <v>0</v>
      </c>
    </row>
    <row r="61" spans="4:13">
      <c r="D61" s="1" t="s">
        <v>83</v>
      </c>
      <c r="E61" s="1" t="s">
        <v>51</v>
      </c>
      <c r="F61" s="1" t="s">
        <v>52</v>
      </c>
      <c r="G61" s="1" t="s">
        <v>53</v>
      </c>
      <c r="H61" s="1" t="s">
        <v>22</v>
      </c>
      <c r="I61" s="1" t="s">
        <v>23</v>
      </c>
      <c r="J61" s="1">
        <v>0</v>
      </c>
      <c r="K61" s="1">
        <v>7936641438.6555996</v>
      </c>
      <c r="L61" s="1">
        <v>7936.6414386555998</v>
      </c>
      <c r="M61" s="1">
        <v>7936.6414386555998</v>
      </c>
    </row>
    <row r="62" spans="4:13">
      <c r="D62" s="1" t="s">
        <v>83</v>
      </c>
      <c r="E62" s="1" t="s">
        <v>54</v>
      </c>
      <c r="H62" s="1" t="s">
        <v>25</v>
      </c>
      <c r="I62" s="1" t="s">
        <v>23</v>
      </c>
      <c r="M62" s="1" t="b">
        <v>0</v>
      </c>
    </row>
    <row r="63" spans="4:13">
      <c r="D63" s="1" t="s">
        <v>83</v>
      </c>
      <c r="E63" s="1" t="s">
        <v>55</v>
      </c>
      <c r="F63" s="1" t="s">
        <v>56</v>
      </c>
      <c r="G63" s="1" t="s">
        <v>57</v>
      </c>
      <c r="H63" s="1" t="s">
        <v>22</v>
      </c>
      <c r="I63" s="1" t="s">
        <v>23</v>
      </c>
      <c r="J63" s="1">
        <v>0</v>
      </c>
      <c r="K63" s="1">
        <v>9427.4529524635982</v>
      </c>
      <c r="L63" s="1">
        <v>50.713895374744951</v>
      </c>
      <c r="M63" s="1">
        <v>50.763208205573221</v>
      </c>
    </row>
    <row r="64" spans="4:13">
      <c r="D64" s="1" t="s">
        <v>83</v>
      </c>
      <c r="E64" s="1" t="s">
        <v>58</v>
      </c>
      <c r="H64" s="1" t="s">
        <v>25</v>
      </c>
      <c r="I64" s="1" t="s">
        <v>23</v>
      </c>
      <c r="M64" s="1" t="b">
        <v>0</v>
      </c>
    </row>
    <row r="65" spans="1:13">
      <c r="D65" s="1" t="s">
        <v>83</v>
      </c>
      <c r="E65" s="1" t="s">
        <v>59</v>
      </c>
      <c r="F65" s="1" t="s">
        <v>60</v>
      </c>
      <c r="G65" s="1" t="s">
        <v>61</v>
      </c>
      <c r="H65" s="1" t="s">
        <v>22</v>
      </c>
      <c r="I65" s="1" t="s">
        <v>23</v>
      </c>
      <c r="J65" s="1">
        <v>-9.5538358650799999</v>
      </c>
      <c r="K65" s="1">
        <v>9.5538358650799999</v>
      </c>
      <c r="L65" s="1">
        <v>0.23884589662700001</v>
      </c>
      <c r="M65" s="1">
        <v>0.23884589662700001</v>
      </c>
    </row>
    <row r="66" spans="1:13">
      <c r="D66" s="1" t="s">
        <v>83</v>
      </c>
      <c r="E66" s="1" t="s">
        <v>62</v>
      </c>
      <c r="H66" s="1" t="s">
        <v>63</v>
      </c>
      <c r="I66" s="1" t="s">
        <v>23</v>
      </c>
      <c r="M66" s="1">
        <v>1</v>
      </c>
    </row>
    <row r="67" spans="1:13">
      <c r="A67" s="2" t="s">
        <v>1758</v>
      </c>
      <c r="B67" s="3" t="s">
        <v>1764</v>
      </c>
      <c r="D67" s="1" t="s">
        <v>83</v>
      </c>
      <c r="E67" s="1" t="s">
        <v>64</v>
      </c>
      <c r="F67" s="1" t="s">
        <v>35</v>
      </c>
      <c r="G67" s="1" t="s">
        <v>36</v>
      </c>
      <c r="H67" s="1" t="s">
        <v>22</v>
      </c>
      <c r="I67" s="1" t="s">
        <v>65</v>
      </c>
      <c r="J67" s="1">
        <v>-459.67</v>
      </c>
      <c r="L67" s="1">
        <v>80.329999999999984</v>
      </c>
    </row>
    <row r="68" spans="1:13">
      <c r="A68" s="2" t="s">
        <v>1758</v>
      </c>
      <c r="B68" s="3" t="s">
        <v>1765</v>
      </c>
      <c r="D68" s="1" t="s">
        <v>83</v>
      </c>
      <c r="E68" s="1" t="s">
        <v>66</v>
      </c>
      <c r="F68" s="1" t="s">
        <v>35</v>
      </c>
      <c r="G68" s="1" t="s">
        <v>36</v>
      </c>
      <c r="H68" s="1" t="s">
        <v>22</v>
      </c>
      <c r="I68" s="1" t="s">
        <v>65</v>
      </c>
      <c r="J68" s="1">
        <v>-459.67</v>
      </c>
      <c r="L68" s="1">
        <v>80.329999999999984</v>
      </c>
    </row>
    <row r="69" spans="1:13">
      <c r="D69" s="1" t="s">
        <v>83</v>
      </c>
      <c r="E69" s="1" t="s">
        <v>67</v>
      </c>
      <c r="F69" s="1" t="s">
        <v>41</v>
      </c>
      <c r="G69" s="1" t="s">
        <v>42</v>
      </c>
      <c r="H69" s="1" t="s">
        <v>22</v>
      </c>
      <c r="I69" s="1" t="s">
        <v>65</v>
      </c>
      <c r="L69" s="1">
        <v>1.8</v>
      </c>
    </row>
    <row r="70" spans="1:13">
      <c r="D70" s="1" t="s">
        <v>83</v>
      </c>
      <c r="E70" s="1" t="s">
        <v>68</v>
      </c>
      <c r="F70" s="1" t="s">
        <v>45</v>
      </c>
      <c r="G70" s="1" t="s">
        <v>46</v>
      </c>
      <c r="H70" s="1" t="s">
        <v>22</v>
      </c>
      <c r="I70" s="1" t="s">
        <v>65</v>
      </c>
      <c r="L70" s="1">
        <v>4.2992261378713571E-4</v>
      </c>
    </row>
    <row r="71" spans="1:13">
      <c r="D71" s="1" t="s">
        <v>83</v>
      </c>
      <c r="E71" s="1" t="s">
        <v>69</v>
      </c>
      <c r="H71" s="1" t="s">
        <v>25</v>
      </c>
      <c r="I71" s="1" t="s">
        <v>70</v>
      </c>
    </row>
    <row r="72" spans="1:13">
      <c r="A72" s="2" t="s">
        <v>1758</v>
      </c>
      <c r="B72" s="3" t="s">
        <v>1766</v>
      </c>
      <c r="D72" s="1" t="s">
        <v>83</v>
      </c>
      <c r="E72" s="1" t="s">
        <v>71</v>
      </c>
      <c r="F72" s="1" t="s">
        <v>52</v>
      </c>
      <c r="G72" s="1" t="s">
        <v>53</v>
      </c>
      <c r="H72" s="1" t="s">
        <v>22</v>
      </c>
      <c r="I72" s="1" t="s">
        <v>65</v>
      </c>
      <c r="L72" s="1">
        <v>7936.6414386555998</v>
      </c>
    </row>
    <row r="73" spans="1:13">
      <c r="A73" s="2" t="s">
        <v>1758</v>
      </c>
      <c r="B73" s="3" t="s">
        <v>1767</v>
      </c>
      <c r="D73" s="1" t="s">
        <v>83</v>
      </c>
      <c r="E73" s="1" t="s">
        <v>72</v>
      </c>
      <c r="F73" s="1" t="s">
        <v>56</v>
      </c>
      <c r="G73" s="1" t="s">
        <v>57</v>
      </c>
      <c r="H73" s="1" t="s">
        <v>22</v>
      </c>
      <c r="I73" s="1" t="s">
        <v>65</v>
      </c>
      <c r="J73" s="1">
        <v>0</v>
      </c>
      <c r="L73" s="1">
        <v>14.503773773020921</v>
      </c>
    </row>
    <row r="74" spans="1:13">
      <c r="D74" s="1" t="s">
        <v>83</v>
      </c>
      <c r="E74" s="1" t="s">
        <v>73</v>
      </c>
      <c r="F74" s="1" t="s">
        <v>60</v>
      </c>
      <c r="G74" s="1" t="s">
        <v>61</v>
      </c>
      <c r="H74" s="1" t="s">
        <v>22</v>
      </c>
      <c r="I74" s="1" t="s">
        <v>65</v>
      </c>
      <c r="L74" s="1">
        <v>2.38845896627E-4</v>
      </c>
    </row>
    <row r="75" spans="1:13">
      <c r="D75" s="1" t="s">
        <v>83</v>
      </c>
      <c r="E75" s="1" t="s">
        <v>74</v>
      </c>
      <c r="F75" s="1" t="s">
        <v>75</v>
      </c>
      <c r="G75" s="1" t="s">
        <v>76</v>
      </c>
      <c r="H75" s="1" t="s">
        <v>22</v>
      </c>
      <c r="I75" s="1" t="s">
        <v>65</v>
      </c>
      <c r="J75" s="1">
        <v>0</v>
      </c>
      <c r="L75" s="1">
        <v>16.018463521800001</v>
      </c>
    </row>
    <row r="76" spans="1:13">
      <c r="D76" s="1" t="s">
        <v>83</v>
      </c>
      <c r="E76" s="1" t="s">
        <v>77</v>
      </c>
      <c r="H76" s="1" t="s">
        <v>22</v>
      </c>
      <c r="I76" s="1" t="s">
        <v>65</v>
      </c>
      <c r="L76" s="1">
        <v>1</v>
      </c>
    </row>
    <row r="77" spans="1:13">
      <c r="D77" s="1" t="s">
        <v>83</v>
      </c>
      <c r="E77" s="1" t="s">
        <v>78</v>
      </c>
      <c r="H77" s="1" t="s">
        <v>25</v>
      </c>
      <c r="I77" s="1" t="s">
        <v>23</v>
      </c>
      <c r="M77" s="1" t="b">
        <v>0</v>
      </c>
    </row>
    <row r="78" spans="1:13">
      <c r="D78" s="1" t="s">
        <v>83</v>
      </c>
      <c r="E78" s="1" t="s">
        <v>79</v>
      </c>
      <c r="F78" s="1" t="s">
        <v>75</v>
      </c>
      <c r="G78" s="1" t="s">
        <v>76</v>
      </c>
      <c r="H78" s="1" t="s">
        <v>22</v>
      </c>
      <c r="I78" s="1" t="s">
        <v>23</v>
      </c>
      <c r="J78" s="1">
        <v>0</v>
      </c>
      <c r="K78" s="1">
        <v>96.110781130800007</v>
      </c>
      <c r="L78" s="1">
        <v>16.018463521800001</v>
      </c>
      <c r="M78" s="1">
        <v>1.6018463521800002</v>
      </c>
    </row>
    <row r="79" spans="1:13">
      <c r="D79" s="1" t="s">
        <v>83</v>
      </c>
      <c r="E79" s="1" t="s">
        <v>80</v>
      </c>
      <c r="H79" s="1" t="s">
        <v>25</v>
      </c>
      <c r="I79" s="1" t="s">
        <v>23</v>
      </c>
      <c r="M79" s="1" t="b">
        <v>0</v>
      </c>
    </row>
    <row r="80" spans="1:13">
      <c r="D80" s="1" t="s">
        <v>83</v>
      </c>
      <c r="E80" s="1" t="s">
        <v>81</v>
      </c>
      <c r="H80" s="1" t="s">
        <v>25</v>
      </c>
      <c r="I80" s="1" t="s">
        <v>23</v>
      </c>
      <c r="M80" s="1" t="b">
        <v>0</v>
      </c>
    </row>
    <row r="81" spans="4:13">
      <c r="D81" s="1" t="s">
        <v>83</v>
      </c>
      <c r="E81" s="1" t="s">
        <v>82</v>
      </c>
      <c r="H81" s="1" t="s">
        <v>22</v>
      </c>
      <c r="I81" s="1" t="s">
        <v>23</v>
      </c>
      <c r="J81" s="1">
        <v>-1</v>
      </c>
      <c r="K81" s="1">
        <v>3</v>
      </c>
      <c r="L81" s="1">
        <v>1</v>
      </c>
      <c r="M81" s="1">
        <v>1.01</v>
      </c>
    </row>
    <row r="82" spans="4:13">
      <c r="D82" s="1" t="s">
        <v>84</v>
      </c>
      <c r="E82" s="1" t="s">
        <v>28</v>
      </c>
      <c r="H82" s="1" t="s">
        <v>22</v>
      </c>
      <c r="I82" s="1" t="s">
        <v>29</v>
      </c>
      <c r="J82" s="1">
        <v>34000</v>
      </c>
      <c r="K82" s="1">
        <v>4300000</v>
      </c>
      <c r="L82" s="1">
        <v>349660</v>
      </c>
    </row>
    <row r="83" spans="4:13">
      <c r="D83" s="1" t="s">
        <v>84</v>
      </c>
      <c r="E83" s="1" t="s">
        <v>30</v>
      </c>
      <c r="H83" s="1" t="s">
        <v>22</v>
      </c>
      <c r="I83" s="1" t="s">
        <v>29</v>
      </c>
      <c r="J83" s="1">
        <v>-3.94</v>
      </c>
      <c r="K83" s="1">
        <v>3.66</v>
      </c>
      <c r="L83" s="1">
        <v>1</v>
      </c>
    </row>
    <row r="84" spans="4:13">
      <c r="D84" s="1" t="s">
        <v>84</v>
      </c>
      <c r="E84" s="1" t="s">
        <v>31</v>
      </c>
      <c r="H84" s="1" t="s">
        <v>22</v>
      </c>
      <c r="I84" s="1" t="s">
        <v>29</v>
      </c>
      <c r="J84" s="1">
        <v>0</v>
      </c>
      <c r="K84" s="1">
        <v>100</v>
      </c>
      <c r="L84" s="1">
        <v>1</v>
      </c>
    </row>
    <row r="85" spans="4:13">
      <c r="D85" s="1" t="s">
        <v>84</v>
      </c>
      <c r="E85" s="1" t="s">
        <v>32</v>
      </c>
      <c r="H85" s="1" t="s">
        <v>22</v>
      </c>
      <c r="I85" s="1" t="s">
        <v>29</v>
      </c>
      <c r="J85" s="1">
        <v>-3.94</v>
      </c>
      <c r="K85" s="1">
        <v>3.66</v>
      </c>
      <c r="L85" s="1">
        <v>1</v>
      </c>
    </row>
    <row r="86" spans="4:13">
      <c r="D86" s="1" t="s">
        <v>84</v>
      </c>
      <c r="E86" s="1" t="s">
        <v>33</v>
      </c>
      <c r="H86" s="1" t="s">
        <v>25</v>
      </c>
      <c r="I86" s="1" t="s">
        <v>23</v>
      </c>
      <c r="M86" s="1" t="b">
        <v>0</v>
      </c>
    </row>
    <row r="87" spans="4:13">
      <c r="D87" s="1" t="s">
        <v>84</v>
      </c>
      <c r="E87" s="1" t="s">
        <v>34</v>
      </c>
      <c r="F87" s="1" t="s">
        <v>35</v>
      </c>
      <c r="G87" s="1" t="s">
        <v>36</v>
      </c>
      <c r="H87" s="1" t="s">
        <v>22</v>
      </c>
      <c r="I87" s="1" t="s">
        <v>23</v>
      </c>
      <c r="J87" s="1">
        <v>-459.67</v>
      </c>
      <c r="K87" s="1">
        <v>980.32999999999993</v>
      </c>
      <c r="L87" s="1">
        <v>80.329999999999984</v>
      </c>
      <c r="M87" s="1">
        <v>67.999999999999943</v>
      </c>
    </row>
    <row r="88" spans="4:13">
      <c r="D88" s="1" t="s">
        <v>84</v>
      </c>
      <c r="E88" s="1" t="s">
        <v>37</v>
      </c>
      <c r="H88" s="1" t="s">
        <v>25</v>
      </c>
      <c r="I88" s="1" t="s">
        <v>23</v>
      </c>
      <c r="M88" s="1" t="b">
        <v>0</v>
      </c>
    </row>
    <row r="89" spans="4:13">
      <c r="D89" s="1" t="s">
        <v>84</v>
      </c>
      <c r="E89" s="1" t="s">
        <v>38</v>
      </c>
      <c r="F89" s="1" t="s">
        <v>35</v>
      </c>
      <c r="G89" s="1" t="s">
        <v>36</v>
      </c>
      <c r="H89" s="1" t="s">
        <v>22</v>
      </c>
      <c r="I89" s="1" t="s">
        <v>23</v>
      </c>
      <c r="J89" s="1">
        <v>-99.670000000000016</v>
      </c>
      <c r="K89" s="1">
        <v>980.32999999999993</v>
      </c>
      <c r="L89" s="1">
        <v>80.329999999999984</v>
      </c>
      <c r="M89" s="1">
        <v>13.999999999999943</v>
      </c>
    </row>
    <row r="90" spans="4:13">
      <c r="D90" s="1" t="s">
        <v>84</v>
      </c>
      <c r="E90" s="1" t="s">
        <v>39</v>
      </c>
      <c r="H90" s="1" t="s">
        <v>25</v>
      </c>
      <c r="I90" s="1" t="s">
        <v>23</v>
      </c>
      <c r="M90" s="1" t="b">
        <v>0</v>
      </c>
    </row>
    <row r="91" spans="4:13">
      <c r="D91" s="1" t="s">
        <v>84</v>
      </c>
      <c r="E91" s="1" t="s">
        <v>40</v>
      </c>
      <c r="F91" s="1" t="s">
        <v>41</v>
      </c>
      <c r="G91" s="1" t="s">
        <v>42</v>
      </c>
      <c r="H91" s="1" t="s">
        <v>22</v>
      </c>
      <c r="I91" s="1" t="s">
        <v>23</v>
      </c>
      <c r="J91" s="1">
        <v>-900</v>
      </c>
      <c r="K91" s="1">
        <v>900</v>
      </c>
      <c r="L91" s="1">
        <v>1.8</v>
      </c>
      <c r="M91" s="1">
        <v>9</v>
      </c>
    </row>
    <row r="92" spans="4:13">
      <c r="D92" s="1" t="s">
        <v>84</v>
      </c>
      <c r="E92" s="1" t="s">
        <v>43</v>
      </c>
      <c r="H92" s="1" t="s">
        <v>25</v>
      </c>
      <c r="I92" s="1" t="s">
        <v>23</v>
      </c>
      <c r="M92" s="1" t="b">
        <v>0</v>
      </c>
    </row>
    <row r="93" spans="4:13">
      <c r="D93" s="1" t="s">
        <v>84</v>
      </c>
      <c r="E93" s="1" t="s">
        <v>44</v>
      </c>
      <c r="F93" s="1" t="s">
        <v>45</v>
      </c>
      <c r="G93" s="1" t="s">
        <v>46</v>
      </c>
      <c r="H93" s="1" t="s">
        <v>22</v>
      </c>
      <c r="I93" s="1" t="s">
        <v>23</v>
      </c>
      <c r="J93" s="1">
        <v>-85.984522757427143</v>
      </c>
      <c r="K93" s="1">
        <v>8598.4522757427148</v>
      </c>
      <c r="L93" s="1">
        <v>114.79148749423418</v>
      </c>
      <c r="M93" s="1">
        <v>128.97678413614071</v>
      </c>
    </row>
    <row r="94" spans="4:13">
      <c r="D94" s="1" t="s">
        <v>84</v>
      </c>
      <c r="E94" s="1" t="s">
        <v>47</v>
      </c>
      <c r="H94" s="1" t="s">
        <v>25</v>
      </c>
      <c r="I94" s="1" t="s">
        <v>23</v>
      </c>
      <c r="M94" s="1" t="b">
        <v>0</v>
      </c>
    </row>
    <row r="95" spans="4:13">
      <c r="D95" s="1" t="s">
        <v>84</v>
      </c>
      <c r="E95" s="1" t="s">
        <v>48</v>
      </c>
      <c r="H95" s="1" t="s">
        <v>25</v>
      </c>
      <c r="I95" s="1" t="s">
        <v>23</v>
      </c>
      <c r="M95" s="1" t="b">
        <v>0</v>
      </c>
    </row>
    <row r="96" spans="4:13">
      <c r="D96" s="1" t="s">
        <v>84</v>
      </c>
      <c r="E96" s="1" t="s">
        <v>49</v>
      </c>
      <c r="H96" s="1" t="s">
        <v>25</v>
      </c>
      <c r="I96" s="1" t="s">
        <v>23</v>
      </c>
      <c r="M96" s="1" t="b">
        <v>0</v>
      </c>
    </row>
    <row r="97" spans="1:13">
      <c r="D97" s="1" t="s">
        <v>84</v>
      </c>
      <c r="E97" s="1" t="s">
        <v>50</v>
      </c>
      <c r="H97" s="1" t="s">
        <v>25</v>
      </c>
      <c r="I97" s="1" t="s">
        <v>23</v>
      </c>
      <c r="M97" s="1" t="b">
        <v>0</v>
      </c>
    </row>
    <row r="98" spans="1:13">
      <c r="D98" s="1" t="s">
        <v>84</v>
      </c>
      <c r="E98" s="1" t="s">
        <v>51</v>
      </c>
      <c r="F98" s="1" t="s">
        <v>52</v>
      </c>
      <c r="G98" s="1" t="s">
        <v>53</v>
      </c>
      <c r="H98" s="1" t="s">
        <v>22</v>
      </c>
      <c r="I98" s="1" t="s">
        <v>23</v>
      </c>
      <c r="J98" s="1">
        <v>0</v>
      </c>
      <c r="K98" s="1">
        <v>7936641438.6555996</v>
      </c>
      <c r="L98" s="1">
        <v>7936.6414386555998</v>
      </c>
      <c r="M98" s="1">
        <v>7936.6414386555998</v>
      </c>
    </row>
    <row r="99" spans="1:13">
      <c r="D99" s="1" t="s">
        <v>84</v>
      </c>
      <c r="E99" s="1" t="s">
        <v>54</v>
      </c>
      <c r="H99" s="1" t="s">
        <v>25</v>
      </c>
      <c r="I99" s="1" t="s">
        <v>23</v>
      </c>
      <c r="M99" s="1" t="b">
        <v>0</v>
      </c>
    </row>
    <row r="100" spans="1:13">
      <c r="D100" s="1" t="s">
        <v>84</v>
      </c>
      <c r="E100" s="1" t="s">
        <v>55</v>
      </c>
      <c r="F100" s="1" t="s">
        <v>56</v>
      </c>
      <c r="G100" s="1" t="s">
        <v>57</v>
      </c>
      <c r="H100" s="1" t="s">
        <v>22</v>
      </c>
      <c r="I100" s="1" t="s">
        <v>23</v>
      </c>
      <c r="J100" s="1">
        <v>0</v>
      </c>
      <c r="K100" s="1">
        <v>9427.4529524635982</v>
      </c>
      <c r="L100" s="1">
        <v>50.713895374744951</v>
      </c>
      <c r="M100" s="1">
        <v>50.763208205573221</v>
      </c>
    </row>
    <row r="101" spans="1:13">
      <c r="D101" s="1" t="s">
        <v>84</v>
      </c>
      <c r="E101" s="1" t="s">
        <v>58</v>
      </c>
      <c r="H101" s="1" t="s">
        <v>25</v>
      </c>
      <c r="I101" s="1" t="s">
        <v>23</v>
      </c>
      <c r="M101" s="1" t="b">
        <v>0</v>
      </c>
    </row>
    <row r="102" spans="1:13">
      <c r="D102" s="1" t="s">
        <v>84</v>
      </c>
      <c r="E102" s="1" t="s">
        <v>59</v>
      </c>
      <c r="F102" s="1" t="s">
        <v>60</v>
      </c>
      <c r="G102" s="1" t="s">
        <v>61</v>
      </c>
      <c r="H102" s="1" t="s">
        <v>22</v>
      </c>
      <c r="I102" s="1" t="s">
        <v>23</v>
      </c>
      <c r="J102" s="1">
        <v>-9.5538358650799999</v>
      </c>
      <c r="K102" s="1">
        <v>9.5538358650799999</v>
      </c>
      <c r="L102" s="1">
        <v>0.23884589662700001</v>
      </c>
      <c r="M102" s="1">
        <v>0.23884589662700001</v>
      </c>
    </row>
    <row r="103" spans="1:13">
      <c r="D103" s="1" t="s">
        <v>84</v>
      </c>
      <c r="E103" s="1" t="s">
        <v>62</v>
      </c>
      <c r="H103" s="1" t="s">
        <v>63</v>
      </c>
      <c r="I103" s="1" t="s">
        <v>23</v>
      </c>
      <c r="M103" s="1">
        <v>1</v>
      </c>
    </row>
    <row r="104" spans="1:13">
      <c r="A104" s="2" t="s">
        <v>1758</v>
      </c>
      <c r="B104" s="3" t="s">
        <v>1768</v>
      </c>
      <c r="D104" s="1" t="s">
        <v>84</v>
      </c>
      <c r="E104" s="1" t="s">
        <v>64</v>
      </c>
      <c r="F104" s="1" t="s">
        <v>35</v>
      </c>
      <c r="G104" s="1" t="s">
        <v>36</v>
      </c>
      <c r="H104" s="1" t="s">
        <v>22</v>
      </c>
      <c r="I104" s="1" t="s">
        <v>65</v>
      </c>
      <c r="J104" s="1">
        <v>-459.67</v>
      </c>
      <c r="L104" s="1">
        <v>80.329999999999984</v>
      </c>
    </row>
    <row r="105" spans="1:13">
      <c r="A105" s="2" t="s">
        <v>1758</v>
      </c>
      <c r="B105" s="3" t="s">
        <v>1769</v>
      </c>
      <c r="D105" s="1" t="s">
        <v>84</v>
      </c>
      <c r="E105" s="1" t="s">
        <v>66</v>
      </c>
      <c r="F105" s="1" t="s">
        <v>35</v>
      </c>
      <c r="G105" s="1" t="s">
        <v>36</v>
      </c>
      <c r="H105" s="1" t="s">
        <v>22</v>
      </c>
      <c r="I105" s="1" t="s">
        <v>65</v>
      </c>
      <c r="J105" s="1">
        <v>-459.67</v>
      </c>
      <c r="L105" s="1">
        <v>80.329999999999984</v>
      </c>
    </row>
    <row r="106" spans="1:13">
      <c r="D106" s="1" t="s">
        <v>84</v>
      </c>
      <c r="E106" s="1" t="s">
        <v>67</v>
      </c>
      <c r="F106" s="1" t="s">
        <v>41</v>
      </c>
      <c r="G106" s="1" t="s">
        <v>42</v>
      </c>
      <c r="H106" s="1" t="s">
        <v>22</v>
      </c>
      <c r="I106" s="1" t="s">
        <v>65</v>
      </c>
      <c r="L106" s="1">
        <v>1.8</v>
      </c>
    </row>
    <row r="107" spans="1:13">
      <c r="A107" s="2" t="s">
        <v>1758</v>
      </c>
      <c r="B107" s="3" t="s">
        <v>1770</v>
      </c>
      <c r="D107" s="1" t="s">
        <v>84</v>
      </c>
      <c r="E107" s="1" t="s">
        <v>68</v>
      </c>
      <c r="F107" s="1" t="s">
        <v>45</v>
      </c>
      <c r="G107" s="1" t="s">
        <v>46</v>
      </c>
      <c r="H107" s="1" t="s">
        <v>22</v>
      </c>
      <c r="I107" s="1" t="s">
        <v>65</v>
      </c>
      <c r="L107" s="1">
        <v>4.2992261378713571E-4</v>
      </c>
    </row>
    <row r="108" spans="1:13">
      <c r="D108" s="1" t="s">
        <v>84</v>
      </c>
      <c r="E108" s="1" t="s">
        <v>69</v>
      </c>
      <c r="H108" s="1" t="s">
        <v>25</v>
      </c>
      <c r="I108" s="1" t="s">
        <v>70</v>
      </c>
    </row>
    <row r="109" spans="1:13">
      <c r="D109" s="1" t="s">
        <v>84</v>
      </c>
      <c r="E109" s="1" t="s">
        <v>71</v>
      </c>
      <c r="F109" s="1" t="s">
        <v>52</v>
      </c>
      <c r="G109" s="1" t="s">
        <v>53</v>
      </c>
      <c r="H109" s="1" t="s">
        <v>22</v>
      </c>
      <c r="I109" s="1" t="s">
        <v>65</v>
      </c>
      <c r="L109" s="1">
        <v>7936.6414386555998</v>
      </c>
    </row>
    <row r="110" spans="1:13">
      <c r="A110" s="2" t="s">
        <v>1758</v>
      </c>
      <c r="B110" s="3" t="s">
        <v>1771</v>
      </c>
      <c r="D110" s="1" t="s">
        <v>84</v>
      </c>
      <c r="E110" s="1" t="s">
        <v>72</v>
      </c>
      <c r="F110" s="1" t="s">
        <v>56</v>
      </c>
      <c r="G110" s="1" t="s">
        <v>57</v>
      </c>
      <c r="H110" s="1" t="s">
        <v>22</v>
      </c>
      <c r="I110" s="1" t="s">
        <v>65</v>
      </c>
      <c r="J110" s="1">
        <v>0</v>
      </c>
      <c r="L110" s="1">
        <v>14.503773773020921</v>
      </c>
    </row>
    <row r="111" spans="1:13">
      <c r="D111" s="1" t="s">
        <v>84</v>
      </c>
      <c r="E111" s="1" t="s">
        <v>73</v>
      </c>
      <c r="F111" s="1" t="s">
        <v>60</v>
      </c>
      <c r="G111" s="1" t="s">
        <v>61</v>
      </c>
      <c r="H111" s="1" t="s">
        <v>22</v>
      </c>
      <c r="I111" s="1" t="s">
        <v>65</v>
      </c>
      <c r="L111" s="1">
        <v>2.38845896627E-4</v>
      </c>
    </row>
    <row r="112" spans="1:13">
      <c r="D112" s="1" t="s">
        <v>84</v>
      </c>
      <c r="E112" s="1" t="s">
        <v>74</v>
      </c>
      <c r="F112" s="1" t="s">
        <v>75</v>
      </c>
      <c r="G112" s="1" t="s">
        <v>76</v>
      </c>
      <c r="H112" s="1" t="s">
        <v>22</v>
      </c>
      <c r="I112" s="1" t="s">
        <v>65</v>
      </c>
      <c r="J112" s="1">
        <v>0</v>
      </c>
      <c r="L112" s="1">
        <v>16.018463521800001</v>
      </c>
    </row>
    <row r="113" spans="4:13">
      <c r="D113" s="1" t="s">
        <v>84</v>
      </c>
      <c r="E113" s="1" t="s">
        <v>77</v>
      </c>
      <c r="H113" s="1" t="s">
        <v>22</v>
      </c>
      <c r="I113" s="1" t="s">
        <v>65</v>
      </c>
      <c r="L113" s="1">
        <v>1</v>
      </c>
    </row>
    <row r="114" spans="4:13">
      <c r="D114" s="1" t="s">
        <v>84</v>
      </c>
      <c r="E114" s="1" t="s">
        <v>78</v>
      </c>
      <c r="H114" s="1" t="s">
        <v>25</v>
      </c>
      <c r="I114" s="1" t="s">
        <v>23</v>
      </c>
      <c r="M114" s="1" t="b">
        <v>0</v>
      </c>
    </row>
    <row r="115" spans="4:13">
      <c r="D115" s="1" t="s">
        <v>84</v>
      </c>
      <c r="E115" s="1" t="s">
        <v>79</v>
      </c>
      <c r="F115" s="1" t="s">
        <v>75</v>
      </c>
      <c r="G115" s="1" t="s">
        <v>76</v>
      </c>
      <c r="H115" s="1" t="s">
        <v>22</v>
      </c>
      <c r="I115" s="1" t="s">
        <v>23</v>
      </c>
      <c r="J115" s="1">
        <v>0</v>
      </c>
      <c r="K115" s="1">
        <v>96.110781130800007</v>
      </c>
      <c r="L115" s="1">
        <v>16.018463521800001</v>
      </c>
      <c r="M115" s="1">
        <v>1.6018463521800002</v>
      </c>
    </row>
    <row r="116" spans="4:13">
      <c r="D116" s="1" t="s">
        <v>84</v>
      </c>
      <c r="E116" s="1" t="s">
        <v>80</v>
      </c>
      <c r="H116" s="1" t="s">
        <v>25</v>
      </c>
      <c r="I116" s="1" t="s">
        <v>23</v>
      </c>
      <c r="M116" s="1" t="b">
        <v>0</v>
      </c>
    </row>
    <row r="117" spans="4:13">
      <c r="D117" s="1" t="s">
        <v>84</v>
      </c>
      <c r="E117" s="1" t="s">
        <v>81</v>
      </c>
      <c r="H117" s="1" t="s">
        <v>25</v>
      </c>
      <c r="I117" s="1" t="s">
        <v>23</v>
      </c>
      <c r="M117" s="1" t="b">
        <v>0</v>
      </c>
    </row>
    <row r="118" spans="4:13">
      <c r="D118" s="1" t="s">
        <v>84</v>
      </c>
      <c r="E118" s="1" t="s">
        <v>82</v>
      </c>
      <c r="H118" s="1" t="s">
        <v>22</v>
      </c>
      <c r="I118" s="1" t="s">
        <v>23</v>
      </c>
      <c r="J118" s="1">
        <v>-1</v>
      </c>
      <c r="K118" s="1">
        <v>3</v>
      </c>
      <c r="L118" s="1">
        <v>1</v>
      </c>
      <c r="M118" s="1">
        <v>1.01</v>
      </c>
    </row>
    <row r="119" spans="4:13">
      <c r="D119" s="1" t="s">
        <v>85</v>
      </c>
      <c r="E119" s="1" t="s">
        <v>28</v>
      </c>
      <c r="H119" s="1" t="s">
        <v>22</v>
      </c>
      <c r="I119" s="1" t="s">
        <v>29</v>
      </c>
      <c r="J119" s="1">
        <v>34000</v>
      </c>
      <c r="K119" s="1">
        <v>4300000</v>
      </c>
      <c r="L119" s="1">
        <v>349660</v>
      </c>
    </row>
    <row r="120" spans="4:13">
      <c r="D120" s="1" t="s">
        <v>85</v>
      </c>
      <c r="E120" s="1" t="s">
        <v>30</v>
      </c>
      <c r="H120" s="1" t="s">
        <v>22</v>
      </c>
      <c r="I120" s="1" t="s">
        <v>29</v>
      </c>
      <c r="J120" s="1">
        <v>-3.94</v>
      </c>
      <c r="K120" s="1">
        <v>3.66</v>
      </c>
      <c r="L120" s="1">
        <v>1</v>
      </c>
    </row>
    <row r="121" spans="4:13">
      <c r="D121" s="1" t="s">
        <v>85</v>
      </c>
      <c r="E121" s="1" t="s">
        <v>31</v>
      </c>
      <c r="H121" s="1" t="s">
        <v>22</v>
      </c>
      <c r="I121" s="1" t="s">
        <v>29</v>
      </c>
      <c r="J121" s="1">
        <v>0</v>
      </c>
      <c r="K121" s="1">
        <v>100</v>
      </c>
      <c r="L121" s="1">
        <v>1</v>
      </c>
    </row>
    <row r="122" spans="4:13">
      <c r="D122" s="1" t="s">
        <v>85</v>
      </c>
      <c r="E122" s="1" t="s">
        <v>32</v>
      </c>
      <c r="H122" s="1" t="s">
        <v>22</v>
      </c>
      <c r="I122" s="1" t="s">
        <v>29</v>
      </c>
      <c r="J122" s="1">
        <v>-3.94</v>
      </c>
      <c r="K122" s="1">
        <v>3.66</v>
      </c>
      <c r="L122" s="1">
        <v>1</v>
      </c>
    </row>
    <row r="123" spans="4:13">
      <c r="D123" s="1" t="s">
        <v>85</v>
      </c>
      <c r="E123" s="1" t="s">
        <v>33</v>
      </c>
      <c r="H123" s="1" t="s">
        <v>25</v>
      </c>
      <c r="I123" s="1" t="s">
        <v>23</v>
      </c>
      <c r="M123" s="1" t="b">
        <v>0</v>
      </c>
    </row>
    <row r="124" spans="4:13">
      <c r="D124" s="1" t="s">
        <v>85</v>
      </c>
      <c r="E124" s="1" t="s">
        <v>34</v>
      </c>
      <c r="F124" s="1" t="s">
        <v>35</v>
      </c>
      <c r="G124" s="1" t="s">
        <v>36</v>
      </c>
      <c r="H124" s="1" t="s">
        <v>22</v>
      </c>
      <c r="I124" s="1" t="s">
        <v>23</v>
      </c>
      <c r="J124" s="1">
        <v>-459.67</v>
      </c>
      <c r="K124" s="1">
        <v>980.32999999999993</v>
      </c>
      <c r="L124" s="1">
        <v>80.329999999999984</v>
      </c>
      <c r="M124" s="1">
        <v>67.999999999999943</v>
      </c>
    </row>
    <row r="125" spans="4:13">
      <c r="D125" s="1" t="s">
        <v>85</v>
      </c>
      <c r="E125" s="1" t="s">
        <v>37</v>
      </c>
      <c r="H125" s="1" t="s">
        <v>25</v>
      </c>
      <c r="I125" s="1" t="s">
        <v>23</v>
      </c>
      <c r="M125" s="1" t="b">
        <v>0</v>
      </c>
    </row>
    <row r="126" spans="4:13">
      <c r="D126" s="1" t="s">
        <v>85</v>
      </c>
      <c r="E126" s="1" t="s">
        <v>38</v>
      </c>
      <c r="F126" s="1" t="s">
        <v>35</v>
      </c>
      <c r="G126" s="1" t="s">
        <v>36</v>
      </c>
      <c r="H126" s="1" t="s">
        <v>22</v>
      </c>
      <c r="I126" s="1" t="s">
        <v>23</v>
      </c>
      <c r="J126" s="1">
        <v>-99.670000000000016</v>
      </c>
      <c r="K126" s="1">
        <v>980.32999999999993</v>
      </c>
      <c r="L126" s="1">
        <v>80.329999999999984</v>
      </c>
      <c r="M126" s="1">
        <v>13.999999999999943</v>
      </c>
    </row>
    <row r="127" spans="4:13">
      <c r="D127" s="1" t="s">
        <v>85</v>
      </c>
      <c r="E127" s="1" t="s">
        <v>39</v>
      </c>
      <c r="H127" s="1" t="s">
        <v>25</v>
      </c>
      <c r="I127" s="1" t="s">
        <v>23</v>
      </c>
      <c r="M127" s="1" t="b">
        <v>0</v>
      </c>
    </row>
    <row r="128" spans="4:13">
      <c r="D128" s="1" t="s">
        <v>85</v>
      </c>
      <c r="E128" s="1" t="s">
        <v>40</v>
      </c>
      <c r="F128" s="1" t="s">
        <v>41</v>
      </c>
      <c r="G128" s="1" t="s">
        <v>42</v>
      </c>
      <c r="H128" s="1" t="s">
        <v>22</v>
      </c>
      <c r="I128" s="1" t="s">
        <v>23</v>
      </c>
      <c r="J128" s="1">
        <v>-900</v>
      </c>
      <c r="K128" s="1">
        <v>900</v>
      </c>
      <c r="L128" s="1">
        <v>1.8</v>
      </c>
      <c r="M128" s="1">
        <v>9</v>
      </c>
    </row>
    <row r="129" spans="1:13">
      <c r="D129" s="1" t="s">
        <v>85</v>
      </c>
      <c r="E129" s="1" t="s">
        <v>43</v>
      </c>
      <c r="H129" s="1" t="s">
        <v>25</v>
      </c>
      <c r="I129" s="1" t="s">
        <v>23</v>
      </c>
      <c r="M129" s="1" t="b">
        <v>0</v>
      </c>
    </row>
    <row r="130" spans="1:13">
      <c r="D130" s="1" t="s">
        <v>85</v>
      </c>
      <c r="E130" s="1" t="s">
        <v>44</v>
      </c>
      <c r="F130" s="1" t="s">
        <v>45</v>
      </c>
      <c r="G130" s="1" t="s">
        <v>46</v>
      </c>
      <c r="H130" s="1" t="s">
        <v>22</v>
      </c>
      <c r="I130" s="1" t="s">
        <v>23</v>
      </c>
      <c r="J130" s="1">
        <v>-85.984522757427143</v>
      </c>
      <c r="K130" s="1">
        <v>8598.4522757427148</v>
      </c>
      <c r="L130" s="1">
        <v>114.79148749423418</v>
      </c>
      <c r="M130" s="1">
        <v>128.97678413614071</v>
      </c>
    </row>
    <row r="131" spans="1:13">
      <c r="D131" s="1" t="s">
        <v>85</v>
      </c>
      <c r="E131" s="1" t="s">
        <v>47</v>
      </c>
      <c r="H131" s="1" t="s">
        <v>25</v>
      </c>
      <c r="I131" s="1" t="s">
        <v>23</v>
      </c>
      <c r="M131" s="1" t="b">
        <v>0</v>
      </c>
    </row>
    <row r="132" spans="1:13">
      <c r="D132" s="1" t="s">
        <v>85</v>
      </c>
      <c r="E132" s="1" t="s">
        <v>48</v>
      </c>
      <c r="H132" s="1" t="s">
        <v>25</v>
      </c>
      <c r="I132" s="1" t="s">
        <v>23</v>
      </c>
      <c r="M132" s="1" t="b">
        <v>0</v>
      </c>
    </row>
    <row r="133" spans="1:13">
      <c r="D133" s="1" t="s">
        <v>85</v>
      </c>
      <c r="E133" s="1" t="s">
        <v>49</v>
      </c>
      <c r="H133" s="1" t="s">
        <v>25</v>
      </c>
      <c r="I133" s="1" t="s">
        <v>23</v>
      </c>
      <c r="M133" s="1" t="b">
        <v>0</v>
      </c>
    </row>
    <row r="134" spans="1:13">
      <c r="D134" s="1" t="s">
        <v>85</v>
      </c>
      <c r="E134" s="1" t="s">
        <v>50</v>
      </c>
      <c r="H134" s="1" t="s">
        <v>25</v>
      </c>
      <c r="I134" s="1" t="s">
        <v>23</v>
      </c>
      <c r="M134" s="1" t="b">
        <v>0</v>
      </c>
    </row>
    <row r="135" spans="1:13">
      <c r="D135" s="1" t="s">
        <v>85</v>
      </c>
      <c r="E135" s="1" t="s">
        <v>51</v>
      </c>
      <c r="F135" s="1" t="s">
        <v>52</v>
      </c>
      <c r="G135" s="1" t="s">
        <v>53</v>
      </c>
      <c r="H135" s="1" t="s">
        <v>22</v>
      </c>
      <c r="I135" s="1" t="s">
        <v>23</v>
      </c>
      <c r="J135" s="1">
        <v>0</v>
      </c>
      <c r="K135" s="1">
        <v>7936641438.6555996</v>
      </c>
      <c r="L135" s="1">
        <v>7936.6414386555998</v>
      </c>
      <c r="M135" s="1">
        <v>7936.6414386555998</v>
      </c>
    </row>
    <row r="136" spans="1:13">
      <c r="D136" s="1" t="s">
        <v>85</v>
      </c>
      <c r="E136" s="1" t="s">
        <v>54</v>
      </c>
      <c r="H136" s="1" t="s">
        <v>25</v>
      </c>
      <c r="I136" s="1" t="s">
        <v>23</v>
      </c>
      <c r="M136" s="1" t="b">
        <v>0</v>
      </c>
    </row>
    <row r="137" spans="1:13">
      <c r="D137" s="1" t="s">
        <v>85</v>
      </c>
      <c r="E137" s="1" t="s">
        <v>55</v>
      </c>
      <c r="F137" s="1" t="s">
        <v>56</v>
      </c>
      <c r="G137" s="1" t="s">
        <v>57</v>
      </c>
      <c r="H137" s="1" t="s">
        <v>22</v>
      </c>
      <c r="I137" s="1" t="s">
        <v>23</v>
      </c>
      <c r="J137" s="1">
        <v>0</v>
      </c>
      <c r="K137" s="1">
        <v>9427.4529524635982</v>
      </c>
      <c r="L137" s="1">
        <v>50.713895374744951</v>
      </c>
      <c r="M137" s="1">
        <v>50.763208205573221</v>
      </c>
    </row>
    <row r="138" spans="1:13">
      <c r="D138" s="1" t="s">
        <v>85</v>
      </c>
      <c r="E138" s="1" t="s">
        <v>58</v>
      </c>
      <c r="H138" s="1" t="s">
        <v>25</v>
      </c>
      <c r="I138" s="1" t="s">
        <v>23</v>
      </c>
      <c r="M138" s="1" t="b">
        <v>0</v>
      </c>
    </row>
    <row r="139" spans="1:13">
      <c r="D139" s="1" t="s">
        <v>85</v>
      </c>
      <c r="E139" s="1" t="s">
        <v>59</v>
      </c>
      <c r="F139" s="1" t="s">
        <v>60</v>
      </c>
      <c r="G139" s="1" t="s">
        <v>61</v>
      </c>
      <c r="H139" s="1" t="s">
        <v>22</v>
      </c>
      <c r="I139" s="1" t="s">
        <v>23</v>
      </c>
      <c r="J139" s="1">
        <v>-9.5538358650799999</v>
      </c>
      <c r="K139" s="1">
        <v>9.5538358650799999</v>
      </c>
      <c r="L139" s="1">
        <v>0.23884589662700001</v>
      </c>
      <c r="M139" s="1">
        <v>0.23884589662700001</v>
      </c>
    </row>
    <row r="140" spans="1:13">
      <c r="D140" s="1" t="s">
        <v>85</v>
      </c>
      <c r="E140" s="1" t="s">
        <v>62</v>
      </c>
      <c r="H140" s="1" t="s">
        <v>63</v>
      </c>
      <c r="I140" s="1" t="s">
        <v>23</v>
      </c>
      <c r="M140" s="1">
        <v>1</v>
      </c>
    </row>
    <row r="141" spans="1:13">
      <c r="A141" s="2" t="s">
        <v>1758</v>
      </c>
      <c r="B141" s="3" t="s">
        <v>1772</v>
      </c>
      <c r="D141" s="1" t="s">
        <v>85</v>
      </c>
      <c r="E141" s="1" t="s">
        <v>64</v>
      </c>
      <c r="F141" s="1" t="s">
        <v>35</v>
      </c>
      <c r="G141" s="1" t="s">
        <v>36</v>
      </c>
      <c r="H141" s="1" t="s">
        <v>22</v>
      </c>
      <c r="I141" s="1" t="s">
        <v>65</v>
      </c>
      <c r="J141" s="1">
        <v>-459.67</v>
      </c>
      <c r="L141" s="1">
        <v>80.329999999999984</v>
      </c>
    </row>
    <row r="142" spans="1:13">
      <c r="A142" s="2" t="s">
        <v>1758</v>
      </c>
      <c r="B142" s="3" t="s">
        <v>1773</v>
      </c>
      <c r="D142" s="1" t="s">
        <v>85</v>
      </c>
      <c r="E142" s="1" t="s">
        <v>66</v>
      </c>
      <c r="F142" s="1" t="s">
        <v>35</v>
      </c>
      <c r="G142" s="1" t="s">
        <v>36</v>
      </c>
      <c r="H142" s="1" t="s">
        <v>22</v>
      </c>
      <c r="I142" s="1" t="s">
        <v>65</v>
      </c>
      <c r="J142" s="1">
        <v>-459.67</v>
      </c>
      <c r="L142" s="1">
        <v>80.329999999999984</v>
      </c>
    </row>
    <row r="143" spans="1:13">
      <c r="D143" s="1" t="s">
        <v>85</v>
      </c>
      <c r="E143" s="1" t="s">
        <v>67</v>
      </c>
      <c r="F143" s="1" t="s">
        <v>41</v>
      </c>
      <c r="G143" s="1" t="s">
        <v>42</v>
      </c>
      <c r="H143" s="1" t="s">
        <v>22</v>
      </c>
      <c r="I143" s="1" t="s">
        <v>65</v>
      </c>
      <c r="L143" s="1">
        <v>1.8</v>
      </c>
    </row>
    <row r="144" spans="1:13">
      <c r="D144" s="1" t="s">
        <v>85</v>
      </c>
      <c r="E144" s="1" t="s">
        <v>68</v>
      </c>
      <c r="F144" s="1" t="s">
        <v>45</v>
      </c>
      <c r="G144" s="1" t="s">
        <v>46</v>
      </c>
      <c r="H144" s="1" t="s">
        <v>22</v>
      </c>
      <c r="I144" s="1" t="s">
        <v>65</v>
      </c>
      <c r="L144" s="1">
        <v>4.2992261378713571E-4</v>
      </c>
    </row>
    <row r="145" spans="1:13">
      <c r="D145" s="1" t="s">
        <v>85</v>
      </c>
      <c r="E145" s="1" t="s">
        <v>69</v>
      </c>
      <c r="H145" s="1" t="s">
        <v>25</v>
      </c>
      <c r="I145" s="1" t="s">
        <v>70</v>
      </c>
    </row>
    <row r="146" spans="1:13">
      <c r="A146" s="2" t="s">
        <v>1758</v>
      </c>
      <c r="B146" s="3" t="s">
        <v>1774</v>
      </c>
      <c r="D146" s="1" t="s">
        <v>85</v>
      </c>
      <c r="E146" s="1" t="s">
        <v>71</v>
      </c>
      <c r="F146" s="1" t="s">
        <v>52</v>
      </c>
      <c r="G146" s="1" t="s">
        <v>53</v>
      </c>
      <c r="H146" s="1" t="s">
        <v>22</v>
      </c>
      <c r="I146" s="1" t="s">
        <v>65</v>
      </c>
      <c r="L146" s="1">
        <v>7936.6414386555998</v>
      </c>
    </row>
    <row r="147" spans="1:13">
      <c r="A147" s="2" t="s">
        <v>1758</v>
      </c>
      <c r="B147" s="3" t="s">
        <v>1775</v>
      </c>
      <c r="D147" s="1" t="s">
        <v>85</v>
      </c>
      <c r="E147" s="1" t="s">
        <v>72</v>
      </c>
      <c r="F147" s="1" t="s">
        <v>56</v>
      </c>
      <c r="G147" s="1" t="s">
        <v>57</v>
      </c>
      <c r="H147" s="1" t="s">
        <v>22</v>
      </c>
      <c r="I147" s="1" t="s">
        <v>65</v>
      </c>
      <c r="J147" s="1">
        <v>0</v>
      </c>
      <c r="L147" s="1">
        <v>14.503773773020921</v>
      </c>
    </row>
    <row r="148" spans="1:13">
      <c r="D148" s="1" t="s">
        <v>85</v>
      </c>
      <c r="E148" s="1" t="s">
        <v>73</v>
      </c>
      <c r="F148" s="1" t="s">
        <v>60</v>
      </c>
      <c r="G148" s="1" t="s">
        <v>61</v>
      </c>
      <c r="H148" s="1" t="s">
        <v>22</v>
      </c>
      <c r="I148" s="1" t="s">
        <v>65</v>
      </c>
      <c r="L148" s="1">
        <v>2.38845896627E-4</v>
      </c>
    </row>
    <row r="149" spans="1:13">
      <c r="D149" s="1" t="s">
        <v>85</v>
      </c>
      <c r="E149" s="1" t="s">
        <v>74</v>
      </c>
      <c r="F149" s="1" t="s">
        <v>75</v>
      </c>
      <c r="G149" s="1" t="s">
        <v>76</v>
      </c>
      <c r="H149" s="1" t="s">
        <v>22</v>
      </c>
      <c r="I149" s="1" t="s">
        <v>65</v>
      </c>
      <c r="J149" s="1">
        <v>0</v>
      </c>
      <c r="L149" s="1">
        <v>16.018463521800001</v>
      </c>
    </row>
    <row r="150" spans="1:13">
      <c r="D150" s="1" t="s">
        <v>85</v>
      </c>
      <c r="E150" s="1" t="s">
        <v>77</v>
      </c>
      <c r="H150" s="1" t="s">
        <v>22</v>
      </c>
      <c r="I150" s="1" t="s">
        <v>65</v>
      </c>
      <c r="L150" s="1">
        <v>1</v>
      </c>
    </row>
    <row r="151" spans="1:13">
      <c r="D151" s="1" t="s">
        <v>85</v>
      </c>
      <c r="E151" s="1" t="s">
        <v>78</v>
      </c>
      <c r="H151" s="1" t="s">
        <v>25</v>
      </c>
      <c r="I151" s="1" t="s">
        <v>23</v>
      </c>
      <c r="M151" s="1" t="b">
        <v>0</v>
      </c>
    </row>
    <row r="152" spans="1:13">
      <c r="D152" s="1" t="s">
        <v>85</v>
      </c>
      <c r="E152" s="1" t="s">
        <v>79</v>
      </c>
      <c r="F152" s="1" t="s">
        <v>75</v>
      </c>
      <c r="G152" s="1" t="s">
        <v>76</v>
      </c>
      <c r="H152" s="1" t="s">
        <v>22</v>
      </c>
      <c r="I152" s="1" t="s">
        <v>23</v>
      </c>
      <c r="J152" s="1">
        <v>0</v>
      </c>
      <c r="K152" s="1">
        <v>96.110781130800007</v>
      </c>
      <c r="L152" s="1">
        <v>16.018463521800001</v>
      </c>
      <c r="M152" s="1">
        <v>1.6018463521800002</v>
      </c>
    </row>
    <row r="153" spans="1:13">
      <c r="D153" s="1" t="s">
        <v>85</v>
      </c>
      <c r="E153" s="1" t="s">
        <v>80</v>
      </c>
      <c r="H153" s="1" t="s">
        <v>25</v>
      </c>
      <c r="I153" s="1" t="s">
        <v>23</v>
      </c>
      <c r="M153" s="1" t="b">
        <v>0</v>
      </c>
    </row>
    <row r="154" spans="1:13">
      <c r="D154" s="1" t="s">
        <v>85</v>
      </c>
      <c r="E154" s="1" t="s">
        <v>81</v>
      </c>
      <c r="H154" s="1" t="s">
        <v>25</v>
      </c>
      <c r="I154" s="1" t="s">
        <v>23</v>
      </c>
      <c r="M154" s="1" t="b">
        <v>0</v>
      </c>
    </row>
    <row r="155" spans="1:13">
      <c r="D155" s="1" t="s">
        <v>85</v>
      </c>
      <c r="E155" s="1" t="s">
        <v>82</v>
      </c>
      <c r="H155" s="1" t="s">
        <v>22</v>
      </c>
      <c r="I155" s="1" t="s">
        <v>23</v>
      </c>
      <c r="J155" s="1">
        <v>-1</v>
      </c>
      <c r="K155" s="1">
        <v>3</v>
      </c>
      <c r="L155" s="1">
        <v>1</v>
      </c>
      <c r="M155" s="1">
        <v>1.01</v>
      </c>
    </row>
    <row r="156" spans="1:13">
      <c r="D156" s="1" t="s">
        <v>86</v>
      </c>
      <c r="E156" s="1" t="s">
        <v>28</v>
      </c>
      <c r="H156" s="1" t="s">
        <v>22</v>
      </c>
      <c r="I156" s="1" t="s">
        <v>29</v>
      </c>
      <c r="J156" s="1">
        <v>34000</v>
      </c>
      <c r="K156" s="1">
        <v>4300000</v>
      </c>
      <c r="L156" s="1">
        <v>349660</v>
      </c>
    </row>
    <row r="157" spans="1:13">
      <c r="D157" s="1" t="s">
        <v>86</v>
      </c>
      <c r="E157" s="1" t="s">
        <v>30</v>
      </c>
      <c r="H157" s="1" t="s">
        <v>22</v>
      </c>
      <c r="I157" s="1" t="s">
        <v>29</v>
      </c>
      <c r="J157" s="1">
        <v>-3.94</v>
      </c>
      <c r="K157" s="1">
        <v>3.66</v>
      </c>
      <c r="L157" s="1">
        <v>1</v>
      </c>
    </row>
    <row r="158" spans="1:13">
      <c r="D158" s="1" t="s">
        <v>86</v>
      </c>
      <c r="E158" s="1" t="s">
        <v>31</v>
      </c>
      <c r="H158" s="1" t="s">
        <v>22</v>
      </c>
      <c r="I158" s="1" t="s">
        <v>29</v>
      </c>
      <c r="J158" s="1">
        <v>0</v>
      </c>
      <c r="K158" s="1">
        <v>100</v>
      </c>
      <c r="L158" s="1">
        <v>1</v>
      </c>
    </row>
    <row r="159" spans="1:13">
      <c r="D159" s="1" t="s">
        <v>86</v>
      </c>
      <c r="E159" s="1" t="s">
        <v>32</v>
      </c>
      <c r="H159" s="1" t="s">
        <v>22</v>
      </c>
      <c r="I159" s="1" t="s">
        <v>29</v>
      </c>
      <c r="J159" s="1">
        <v>-3.94</v>
      </c>
      <c r="K159" s="1">
        <v>3.66</v>
      </c>
      <c r="L159" s="1">
        <v>1</v>
      </c>
    </row>
    <row r="160" spans="1:13">
      <c r="D160" s="1" t="s">
        <v>86</v>
      </c>
      <c r="E160" s="1" t="s">
        <v>33</v>
      </c>
      <c r="H160" s="1" t="s">
        <v>25</v>
      </c>
      <c r="I160" s="1" t="s">
        <v>23</v>
      </c>
      <c r="M160" s="1" t="b">
        <v>0</v>
      </c>
    </row>
    <row r="161" spans="4:13">
      <c r="D161" s="1" t="s">
        <v>86</v>
      </c>
      <c r="E161" s="1" t="s">
        <v>34</v>
      </c>
      <c r="F161" s="1" t="s">
        <v>35</v>
      </c>
      <c r="G161" s="1" t="s">
        <v>36</v>
      </c>
      <c r="H161" s="1" t="s">
        <v>22</v>
      </c>
      <c r="I161" s="1" t="s">
        <v>23</v>
      </c>
      <c r="J161" s="1">
        <v>-459.67</v>
      </c>
      <c r="K161" s="1">
        <v>980.32999999999993</v>
      </c>
      <c r="L161" s="1">
        <v>80.329999999999984</v>
      </c>
      <c r="M161" s="1">
        <v>67.999999999999943</v>
      </c>
    </row>
    <row r="162" spans="4:13">
      <c r="D162" s="1" t="s">
        <v>86</v>
      </c>
      <c r="E162" s="1" t="s">
        <v>37</v>
      </c>
      <c r="H162" s="1" t="s">
        <v>25</v>
      </c>
      <c r="I162" s="1" t="s">
        <v>23</v>
      </c>
      <c r="M162" s="1" t="b">
        <v>0</v>
      </c>
    </row>
    <row r="163" spans="4:13">
      <c r="D163" s="1" t="s">
        <v>86</v>
      </c>
      <c r="E163" s="1" t="s">
        <v>38</v>
      </c>
      <c r="F163" s="1" t="s">
        <v>35</v>
      </c>
      <c r="G163" s="1" t="s">
        <v>36</v>
      </c>
      <c r="H163" s="1" t="s">
        <v>22</v>
      </c>
      <c r="I163" s="1" t="s">
        <v>23</v>
      </c>
      <c r="J163" s="1">
        <v>-99.670000000000016</v>
      </c>
      <c r="K163" s="1">
        <v>980.32999999999993</v>
      </c>
      <c r="L163" s="1">
        <v>80.329999999999984</v>
      </c>
      <c r="M163" s="1">
        <v>13.999999999999943</v>
      </c>
    </row>
    <row r="164" spans="4:13">
      <c r="D164" s="1" t="s">
        <v>86</v>
      </c>
      <c r="E164" s="1" t="s">
        <v>39</v>
      </c>
      <c r="H164" s="1" t="s">
        <v>25</v>
      </c>
      <c r="I164" s="1" t="s">
        <v>23</v>
      </c>
      <c r="M164" s="1" t="b">
        <v>0</v>
      </c>
    </row>
    <row r="165" spans="4:13">
      <c r="D165" s="1" t="s">
        <v>86</v>
      </c>
      <c r="E165" s="1" t="s">
        <v>40</v>
      </c>
      <c r="F165" s="1" t="s">
        <v>41</v>
      </c>
      <c r="G165" s="1" t="s">
        <v>42</v>
      </c>
      <c r="H165" s="1" t="s">
        <v>22</v>
      </c>
      <c r="I165" s="1" t="s">
        <v>23</v>
      </c>
      <c r="J165" s="1">
        <v>-900</v>
      </c>
      <c r="K165" s="1">
        <v>900</v>
      </c>
      <c r="L165" s="1">
        <v>1.8</v>
      </c>
      <c r="M165" s="1">
        <v>9</v>
      </c>
    </row>
    <row r="166" spans="4:13">
      <c r="D166" s="1" t="s">
        <v>86</v>
      </c>
      <c r="E166" s="1" t="s">
        <v>43</v>
      </c>
      <c r="H166" s="1" t="s">
        <v>25</v>
      </c>
      <c r="I166" s="1" t="s">
        <v>23</v>
      </c>
      <c r="M166" s="1" t="b">
        <v>0</v>
      </c>
    </row>
    <row r="167" spans="4:13">
      <c r="D167" s="1" t="s">
        <v>86</v>
      </c>
      <c r="E167" s="1" t="s">
        <v>44</v>
      </c>
      <c r="F167" s="1" t="s">
        <v>45</v>
      </c>
      <c r="G167" s="1" t="s">
        <v>46</v>
      </c>
      <c r="H167" s="1" t="s">
        <v>22</v>
      </c>
      <c r="I167" s="1" t="s">
        <v>23</v>
      </c>
      <c r="J167" s="1">
        <v>-85.984522757427143</v>
      </c>
      <c r="K167" s="1">
        <v>8598.4522757427148</v>
      </c>
      <c r="L167" s="1">
        <v>114.79148749423418</v>
      </c>
      <c r="M167" s="1">
        <v>128.97678413614071</v>
      </c>
    </row>
    <row r="168" spans="4:13">
      <c r="D168" s="1" t="s">
        <v>86</v>
      </c>
      <c r="E168" s="1" t="s">
        <v>47</v>
      </c>
      <c r="H168" s="1" t="s">
        <v>25</v>
      </c>
      <c r="I168" s="1" t="s">
        <v>23</v>
      </c>
      <c r="M168" s="1" t="b">
        <v>0</v>
      </c>
    </row>
    <row r="169" spans="4:13">
      <c r="D169" s="1" t="s">
        <v>86</v>
      </c>
      <c r="E169" s="1" t="s">
        <v>48</v>
      </c>
      <c r="H169" s="1" t="s">
        <v>25</v>
      </c>
      <c r="I169" s="1" t="s">
        <v>23</v>
      </c>
      <c r="M169" s="1" t="b">
        <v>0</v>
      </c>
    </row>
    <row r="170" spans="4:13">
      <c r="D170" s="1" t="s">
        <v>86</v>
      </c>
      <c r="E170" s="1" t="s">
        <v>49</v>
      </c>
      <c r="H170" s="1" t="s">
        <v>25</v>
      </c>
      <c r="I170" s="1" t="s">
        <v>23</v>
      </c>
      <c r="M170" s="1" t="b">
        <v>0</v>
      </c>
    </row>
    <row r="171" spans="4:13">
      <c r="D171" s="1" t="s">
        <v>86</v>
      </c>
      <c r="E171" s="1" t="s">
        <v>50</v>
      </c>
      <c r="H171" s="1" t="s">
        <v>25</v>
      </c>
      <c r="I171" s="1" t="s">
        <v>23</v>
      </c>
      <c r="M171" s="1" t="b">
        <v>0</v>
      </c>
    </row>
    <row r="172" spans="4:13">
      <c r="D172" s="1" t="s">
        <v>86</v>
      </c>
      <c r="E172" s="1" t="s">
        <v>51</v>
      </c>
      <c r="F172" s="1" t="s">
        <v>52</v>
      </c>
      <c r="G172" s="1" t="s">
        <v>53</v>
      </c>
      <c r="H172" s="1" t="s">
        <v>22</v>
      </c>
      <c r="I172" s="1" t="s">
        <v>23</v>
      </c>
      <c r="J172" s="1">
        <v>0</v>
      </c>
      <c r="K172" s="1">
        <v>7936641438.6555996</v>
      </c>
      <c r="L172" s="1">
        <v>7936.6414386555998</v>
      </c>
      <c r="M172" s="1">
        <v>7936.6414386555998</v>
      </c>
    </row>
    <row r="173" spans="4:13">
      <c r="D173" s="1" t="s">
        <v>86</v>
      </c>
      <c r="E173" s="1" t="s">
        <v>54</v>
      </c>
      <c r="H173" s="1" t="s">
        <v>25</v>
      </c>
      <c r="I173" s="1" t="s">
        <v>23</v>
      </c>
      <c r="M173" s="1" t="b">
        <v>0</v>
      </c>
    </row>
    <row r="174" spans="4:13">
      <c r="D174" s="1" t="s">
        <v>86</v>
      </c>
      <c r="E174" s="1" t="s">
        <v>55</v>
      </c>
      <c r="F174" s="1" t="s">
        <v>56</v>
      </c>
      <c r="G174" s="1" t="s">
        <v>57</v>
      </c>
      <c r="H174" s="1" t="s">
        <v>22</v>
      </c>
      <c r="I174" s="1" t="s">
        <v>23</v>
      </c>
      <c r="J174" s="1">
        <v>0</v>
      </c>
      <c r="K174" s="1">
        <v>9427.4529524635982</v>
      </c>
      <c r="L174" s="1">
        <v>50.713895374744951</v>
      </c>
      <c r="M174" s="1">
        <v>50.763208205573221</v>
      </c>
    </row>
    <row r="175" spans="4:13">
      <c r="D175" s="1" t="s">
        <v>86</v>
      </c>
      <c r="E175" s="1" t="s">
        <v>58</v>
      </c>
      <c r="H175" s="1" t="s">
        <v>25</v>
      </c>
      <c r="I175" s="1" t="s">
        <v>23</v>
      </c>
      <c r="M175" s="1" t="b">
        <v>0</v>
      </c>
    </row>
    <row r="176" spans="4:13">
      <c r="D176" s="1" t="s">
        <v>86</v>
      </c>
      <c r="E176" s="1" t="s">
        <v>59</v>
      </c>
      <c r="F176" s="1" t="s">
        <v>60</v>
      </c>
      <c r="G176" s="1" t="s">
        <v>61</v>
      </c>
      <c r="H176" s="1" t="s">
        <v>22</v>
      </c>
      <c r="I176" s="1" t="s">
        <v>23</v>
      </c>
      <c r="J176" s="1">
        <v>-9.5538358650799999</v>
      </c>
      <c r="K176" s="1">
        <v>9.5538358650799999</v>
      </c>
      <c r="L176" s="1">
        <v>0.23884589662700001</v>
      </c>
      <c r="M176" s="1">
        <v>0.23884589662700001</v>
      </c>
    </row>
    <row r="177" spans="1:13">
      <c r="D177" s="1" t="s">
        <v>86</v>
      </c>
      <c r="E177" s="1" t="s">
        <v>62</v>
      </c>
      <c r="H177" s="1" t="s">
        <v>63</v>
      </c>
      <c r="I177" s="1" t="s">
        <v>23</v>
      </c>
      <c r="M177" s="1">
        <v>1</v>
      </c>
    </row>
    <row r="178" spans="1:13">
      <c r="A178" s="2" t="s">
        <v>1758</v>
      </c>
      <c r="B178" s="3" t="s">
        <v>1776</v>
      </c>
      <c r="D178" s="1" t="s">
        <v>86</v>
      </c>
      <c r="E178" s="1" t="s">
        <v>64</v>
      </c>
      <c r="F178" s="1" t="s">
        <v>35</v>
      </c>
      <c r="G178" s="1" t="s">
        <v>36</v>
      </c>
      <c r="H178" s="1" t="s">
        <v>22</v>
      </c>
      <c r="I178" s="1" t="s">
        <v>65</v>
      </c>
      <c r="J178" s="1">
        <v>-459.67</v>
      </c>
      <c r="L178" s="1">
        <v>80.329999999999984</v>
      </c>
    </row>
    <row r="179" spans="1:13">
      <c r="A179" s="2" t="s">
        <v>1758</v>
      </c>
      <c r="B179" s="3" t="s">
        <v>1777</v>
      </c>
      <c r="D179" s="1" t="s">
        <v>86</v>
      </c>
      <c r="E179" s="1" t="s">
        <v>66</v>
      </c>
      <c r="F179" s="1" t="s">
        <v>35</v>
      </c>
      <c r="G179" s="1" t="s">
        <v>36</v>
      </c>
      <c r="H179" s="1" t="s">
        <v>22</v>
      </c>
      <c r="I179" s="1" t="s">
        <v>65</v>
      </c>
      <c r="J179" s="1">
        <v>-459.67</v>
      </c>
      <c r="L179" s="1">
        <v>80.329999999999984</v>
      </c>
    </row>
    <row r="180" spans="1:13">
      <c r="D180" s="1" t="s">
        <v>86</v>
      </c>
      <c r="E180" s="1" t="s">
        <v>67</v>
      </c>
      <c r="F180" s="1" t="s">
        <v>41</v>
      </c>
      <c r="G180" s="1" t="s">
        <v>42</v>
      </c>
      <c r="H180" s="1" t="s">
        <v>22</v>
      </c>
      <c r="I180" s="1" t="s">
        <v>65</v>
      </c>
      <c r="L180" s="1">
        <v>1.8</v>
      </c>
    </row>
    <row r="181" spans="1:13">
      <c r="D181" s="1" t="s">
        <v>86</v>
      </c>
      <c r="E181" s="1" t="s">
        <v>68</v>
      </c>
      <c r="F181" s="1" t="s">
        <v>45</v>
      </c>
      <c r="G181" s="1" t="s">
        <v>46</v>
      </c>
      <c r="H181" s="1" t="s">
        <v>22</v>
      </c>
      <c r="I181" s="1" t="s">
        <v>65</v>
      </c>
      <c r="L181" s="1">
        <v>4.2992261378713571E-4</v>
      </c>
    </row>
    <row r="182" spans="1:13">
      <c r="D182" s="1" t="s">
        <v>86</v>
      </c>
      <c r="E182" s="1" t="s">
        <v>69</v>
      </c>
      <c r="H182" s="1" t="s">
        <v>25</v>
      </c>
      <c r="I182" s="1" t="s">
        <v>70</v>
      </c>
    </row>
    <row r="183" spans="1:13">
      <c r="D183" s="1" t="s">
        <v>86</v>
      </c>
      <c r="E183" s="1" t="s">
        <v>71</v>
      </c>
      <c r="F183" s="1" t="s">
        <v>52</v>
      </c>
      <c r="G183" s="1" t="s">
        <v>53</v>
      </c>
      <c r="H183" s="1" t="s">
        <v>22</v>
      </c>
      <c r="I183" s="1" t="s">
        <v>65</v>
      </c>
      <c r="L183" s="1">
        <v>7936.6414386555998</v>
      </c>
    </row>
    <row r="184" spans="1:13">
      <c r="A184" s="2" t="s">
        <v>1758</v>
      </c>
      <c r="B184" s="3" t="s">
        <v>1778</v>
      </c>
      <c r="D184" s="1" t="s">
        <v>86</v>
      </c>
      <c r="E184" s="1" t="s">
        <v>72</v>
      </c>
      <c r="F184" s="1" t="s">
        <v>56</v>
      </c>
      <c r="G184" s="1" t="s">
        <v>57</v>
      </c>
      <c r="H184" s="1" t="s">
        <v>22</v>
      </c>
      <c r="I184" s="1" t="s">
        <v>65</v>
      </c>
      <c r="J184" s="1">
        <v>0</v>
      </c>
      <c r="L184" s="1">
        <v>14.503773773020921</v>
      </c>
    </row>
    <row r="185" spans="1:13">
      <c r="D185" s="1" t="s">
        <v>86</v>
      </c>
      <c r="E185" s="1" t="s">
        <v>73</v>
      </c>
      <c r="F185" s="1" t="s">
        <v>60</v>
      </c>
      <c r="G185" s="1" t="s">
        <v>61</v>
      </c>
      <c r="H185" s="1" t="s">
        <v>22</v>
      </c>
      <c r="I185" s="1" t="s">
        <v>65</v>
      </c>
      <c r="L185" s="1">
        <v>2.38845896627E-4</v>
      </c>
    </row>
    <row r="186" spans="1:13">
      <c r="D186" s="1" t="s">
        <v>86</v>
      </c>
      <c r="E186" s="1" t="s">
        <v>74</v>
      </c>
      <c r="F186" s="1" t="s">
        <v>75</v>
      </c>
      <c r="G186" s="1" t="s">
        <v>76</v>
      </c>
      <c r="H186" s="1" t="s">
        <v>22</v>
      </c>
      <c r="I186" s="1" t="s">
        <v>65</v>
      </c>
      <c r="J186" s="1">
        <v>0</v>
      </c>
      <c r="L186" s="1">
        <v>16.018463521800001</v>
      </c>
    </row>
    <row r="187" spans="1:13">
      <c r="D187" s="1" t="s">
        <v>86</v>
      </c>
      <c r="E187" s="1" t="s">
        <v>77</v>
      </c>
      <c r="H187" s="1" t="s">
        <v>22</v>
      </c>
      <c r="I187" s="1" t="s">
        <v>65</v>
      </c>
      <c r="L187" s="1">
        <v>1</v>
      </c>
    </row>
    <row r="188" spans="1:13">
      <c r="D188" s="1" t="s">
        <v>86</v>
      </c>
      <c r="E188" s="1" t="s">
        <v>78</v>
      </c>
      <c r="H188" s="1" t="s">
        <v>25</v>
      </c>
      <c r="I188" s="1" t="s">
        <v>23</v>
      </c>
      <c r="M188" s="1" t="b">
        <v>0</v>
      </c>
    </row>
    <row r="189" spans="1:13">
      <c r="D189" s="1" t="s">
        <v>86</v>
      </c>
      <c r="E189" s="1" t="s">
        <v>79</v>
      </c>
      <c r="F189" s="1" t="s">
        <v>75</v>
      </c>
      <c r="G189" s="1" t="s">
        <v>76</v>
      </c>
      <c r="H189" s="1" t="s">
        <v>22</v>
      </c>
      <c r="I189" s="1" t="s">
        <v>23</v>
      </c>
      <c r="J189" s="1">
        <v>0</v>
      </c>
      <c r="K189" s="1">
        <v>96.110781130800007</v>
      </c>
      <c r="L189" s="1">
        <v>16.018463521800001</v>
      </c>
      <c r="M189" s="1">
        <v>1.6018463521800002</v>
      </c>
    </row>
    <row r="190" spans="1:13">
      <c r="D190" s="1" t="s">
        <v>86</v>
      </c>
      <c r="E190" s="1" t="s">
        <v>80</v>
      </c>
      <c r="H190" s="1" t="s">
        <v>25</v>
      </c>
      <c r="I190" s="1" t="s">
        <v>23</v>
      </c>
      <c r="M190" s="1" t="b">
        <v>0</v>
      </c>
    </row>
    <row r="191" spans="1:13">
      <c r="D191" s="1" t="s">
        <v>86</v>
      </c>
      <c r="E191" s="1" t="s">
        <v>81</v>
      </c>
      <c r="H191" s="1" t="s">
        <v>25</v>
      </c>
      <c r="I191" s="1" t="s">
        <v>23</v>
      </c>
      <c r="M191" s="1" t="b">
        <v>0</v>
      </c>
    </row>
    <row r="192" spans="1:13">
      <c r="D192" s="1" t="s">
        <v>86</v>
      </c>
      <c r="E192" s="1" t="s">
        <v>82</v>
      </c>
      <c r="H192" s="1" t="s">
        <v>22</v>
      </c>
      <c r="I192" s="1" t="s">
        <v>23</v>
      </c>
      <c r="J192" s="1">
        <v>-1</v>
      </c>
      <c r="K192" s="1">
        <v>3</v>
      </c>
      <c r="L192" s="1">
        <v>1</v>
      </c>
      <c r="M192" s="1">
        <v>1.01</v>
      </c>
    </row>
    <row r="193" spans="4:13">
      <c r="D193" s="1" t="s">
        <v>87</v>
      </c>
      <c r="E193" s="1" t="s">
        <v>28</v>
      </c>
      <c r="H193" s="1" t="s">
        <v>22</v>
      </c>
      <c r="I193" s="1" t="s">
        <v>29</v>
      </c>
      <c r="J193" s="1">
        <v>34000</v>
      </c>
      <c r="K193" s="1">
        <v>4300000</v>
      </c>
      <c r="L193" s="1">
        <v>349660</v>
      </c>
    </row>
    <row r="194" spans="4:13">
      <c r="D194" s="1" t="s">
        <v>87</v>
      </c>
      <c r="E194" s="1" t="s">
        <v>30</v>
      </c>
      <c r="H194" s="1" t="s">
        <v>22</v>
      </c>
      <c r="I194" s="1" t="s">
        <v>29</v>
      </c>
      <c r="J194" s="1">
        <v>-3.94</v>
      </c>
      <c r="K194" s="1">
        <v>3.66</v>
      </c>
      <c r="L194" s="1">
        <v>1</v>
      </c>
    </row>
    <row r="195" spans="4:13">
      <c r="D195" s="1" t="s">
        <v>87</v>
      </c>
      <c r="E195" s="1" t="s">
        <v>31</v>
      </c>
      <c r="H195" s="1" t="s">
        <v>22</v>
      </c>
      <c r="I195" s="1" t="s">
        <v>29</v>
      </c>
      <c r="J195" s="1">
        <v>0</v>
      </c>
      <c r="K195" s="1">
        <v>100</v>
      </c>
      <c r="L195" s="1">
        <v>1</v>
      </c>
    </row>
    <row r="196" spans="4:13">
      <c r="D196" s="1" t="s">
        <v>87</v>
      </c>
      <c r="E196" s="1" t="s">
        <v>32</v>
      </c>
      <c r="H196" s="1" t="s">
        <v>22</v>
      </c>
      <c r="I196" s="1" t="s">
        <v>29</v>
      </c>
      <c r="J196" s="1">
        <v>-3.94</v>
      </c>
      <c r="K196" s="1">
        <v>3.66</v>
      </c>
      <c r="L196" s="1">
        <v>1</v>
      </c>
    </row>
    <row r="197" spans="4:13">
      <c r="D197" s="1" t="s">
        <v>87</v>
      </c>
      <c r="E197" s="1" t="s">
        <v>33</v>
      </c>
      <c r="H197" s="1" t="s">
        <v>25</v>
      </c>
      <c r="I197" s="1" t="s">
        <v>23</v>
      </c>
      <c r="M197" s="1" t="b">
        <v>0</v>
      </c>
    </row>
    <row r="198" spans="4:13">
      <c r="D198" s="1" t="s">
        <v>87</v>
      </c>
      <c r="E198" s="1" t="s">
        <v>34</v>
      </c>
      <c r="F198" s="1" t="s">
        <v>35</v>
      </c>
      <c r="G198" s="1" t="s">
        <v>36</v>
      </c>
      <c r="H198" s="1" t="s">
        <v>22</v>
      </c>
      <c r="I198" s="1" t="s">
        <v>23</v>
      </c>
      <c r="J198" s="1">
        <v>-459.67</v>
      </c>
      <c r="K198" s="1">
        <v>980.32999999999993</v>
      </c>
      <c r="L198" s="1">
        <v>80.329999999999984</v>
      </c>
      <c r="M198" s="1">
        <v>67.999999999999943</v>
      </c>
    </row>
    <row r="199" spans="4:13">
      <c r="D199" s="1" t="s">
        <v>87</v>
      </c>
      <c r="E199" s="1" t="s">
        <v>37</v>
      </c>
      <c r="H199" s="1" t="s">
        <v>25</v>
      </c>
      <c r="I199" s="1" t="s">
        <v>23</v>
      </c>
      <c r="M199" s="1" t="b">
        <v>0</v>
      </c>
    </row>
    <row r="200" spans="4:13">
      <c r="D200" s="1" t="s">
        <v>87</v>
      </c>
      <c r="E200" s="1" t="s">
        <v>38</v>
      </c>
      <c r="F200" s="1" t="s">
        <v>35</v>
      </c>
      <c r="G200" s="1" t="s">
        <v>36</v>
      </c>
      <c r="H200" s="1" t="s">
        <v>22</v>
      </c>
      <c r="I200" s="1" t="s">
        <v>23</v>
      </c>
      <c r="J200" s="1">
        <v>-99.670000000000016</v>
      </c>
      <c r="K200" s="1">
        <v>980.32999999999993</v>
      </c>
      <c r="L200" s="1">
        <v>80.329999999999984</v>
      </c>
      <c r="M200" s="1">
        <v>13.999999999999943</v>
      </c>
    </row>
    <row r="201" spans="4:13">
      <c r="D201" s="1" t="s">
        <v>87</v>
      </c>
      <c r="E201" s="1" t="s">
        <v>39</v>
      </c>
      <c r="H201" s="1" t="s">
        <v>25</v>
      </c>
      <c r="I201" s="1" t="s">
        <v>23</v>
      </c>
      <c r="M201" s="1" t="b">
        <v>0</v>
      </c>
    </row>
    <row r="202" spans="4:13">
      <c r="D202" s="1" t="s">
        <v>87</v>
      </c>
      <c r="E202" s="1" t="s">
        <v>40</v>
      </c>
      <c r="F202" s="1" t="s">
        <v>41</v>
      </c>
      <c r="G202" s="1" t="s">
        <v>42</v>
      </c>
      <c r="H202" s="1" t="s">
        <v>22</v>
      </c>
      <c r="I202" s="1" t="s">
        <v>23</v>
      </c>
      <c r="J202" s="1">
        <v>-900</v>
      </c>
      <c r="K202" s="1">
        <v>900</v>
      </c>
      <c r="L202" s="1">
        <v>1.8</v>
      </c>
      <c r="M202" s="1">
        <v>9</v>
      </c>
    </row>
    <row r="203" spans="4:13">
      <c r="D203" s="1" t="s">
        <v>87</v>
      </c>
      <c r="E203" s="1" t="s">
        <v>43</v>
      </c>
      <c r="H203" s="1" t="s">
        <v>25</v>
      </c>
      <c r="I203" s="1" t="s">
        <v>23</v>
      </c>
      <c r="M203" s="1" t="b">
        <v>0</v>
      </c>
    </row>
    <row r="204" spans="4:13">
      <c r="D204" s="1" t="s">
        <v>87</v>
      </c>
      <c r="E204" s="1" t="s">
        <v>44</v>
      </c>
      <c r="F204" s="1" t="s">
        <v>45</v>
      </c>
      <c r="G204" s="1" t="s">
        <v>46</v>
      </c>
      <c r="H204" s="1" t="s">
        <v>22</v>
      </c>
      <c r="I204" s="1" t="s">
        <v>23</v>
      </c>
      <c r="J204" s="1">
        <v>-85.984522757427143</v>
      </c>
      <c r="K204" s="1">
        <v>8598.4522757427148</v>
      </c>
      <c r="L204" s="1">
        <v>114.79148749423418</v>
      </c>
      <c r="M204" s="1">
        <v>128.97678413614071</v>
      </c>
    </row>
    <row r="205" spans="4:13">
      <c r="D205" s="1" t="s">
        <v>87</v>
      </c>
      <c r="E205" s="1" t="s">
        <v>47</v>
      </c>
      <c r="H205" s="1" t="s">
        <v>25</v>
      </c>
      <c r="I205" s="1" t="s">
        <v>23</v>
      </c>
      <c r="M205" s="1" t="b">
        <v>0</v>
      </c>
    </row>
    <row r="206" spans="4:13">
      <c r="D206" s="1" t="s">
        <v>87</v>
      </c>
      <c r="E206" s="1" t="s">
        <v>48</v>
      </c>
      <c r="H206" s="1" t="s">
        <v>25</v>
      </c>
      <c r="I206" s="1" t="s">
        <v>23</v>
      </c>
      <c r="M206" s="1" t="b">
        <v>0</v>
      </c>
    </row>
    <row r="207" spans="4:13">
      <c r="D207" s="1" t="s">
        <v>87</v>
      </c>
      <c r="E207" s="1" t="s">
        <v>49</v>
      </c>
      <c r="H207" s="1" t="s">
        <v>25</v>
      </c>
      <c r="I207" s="1" t="s">
        <v>23</v>
      </c>
      <c r="M207" s="1" t="b">
        <v>0</v>
      </c>
    </row>
    <row r="208" spans="4:13">
      <c r="D208" s="1" t="s">
        <v>87</v>
      </c>
      <c r="E208" s="1" t="s">
        <v>50</v>
      </c>
      <c r="H208" s="1" t="s">
        <v>25</v>
      </c>
      <c r="I208" s="1" t="s">
        <v>23</v>
      </c>
      <c r="M208" s="1" t="b">
        <v>0</v>
      </c>
    </row>
    <row r="209" spans="1:13">
      <c r="D209" s="1" t="s">
        <v>87</v>
      </c>
      <c r="E209" s="1" t="s">
        <v>51</v>
      </c>
      <c r="F209" s="1" t="s">
        <v>52</v>
      </c>
      <c r="G209" s="1" t="s">
        <v>53</v>
      </c>
      <c r="H209" s="1" t="s">
        <v>22</v>
      </c>
      <c r="I209" s="1" t="s">
        <v>23</v>
      </c>
      <c r="J209" s="1">
        <v>0</v>
      </c>
      <c r="K209" s="1">
        <v>7936641438.6555996</v>
      </c>
      <c r="L209" s="1">
        <v>7936.6414386555998</v>
      </c>
      <c r="M209" s="1">
        <v>7936.6414386555998</v>
      </c>
    </row>
    <row r="210" spans="1:13">
      <c r="D210" s="1" t="s">
        <v>87</v>
      </c>
      <c r="E210" s="1" t="s">
        <v>54</v>
      </c>
      <c r="H210" s="1" t="s">
        <v>25</v>
      </c>
      <c r="I210" s="1" t="s">
        <v>23</v>
      </c>
      <c r="M210" s="1" t="b">
        <v>0</v>
      </c>
    </row>
    <row r="211" spans="1:13">
      <c r="D211" s="1" t="s">
        <v>87</v>
      </c>
      <c r="E211" s="1" t="s">
        <v>55</v>
      </c>
      <c r="F211" s="1" t="s">
        <v>56</v>
      </c>
      <c r="G211" s="1" t="s">
        <v>57</v>
      </c>
      <c r="H211" s="1" t="s">
        <v>22</v>
      </c>
      <c r="I211" s="1" t="s">
        <v>23</v>
      </c>
      <c r="J211" s="1">
        <v>0</v>
      </c>
      <c r="K211" s="1">
        <v>9427.4529524635982</v>
      </c>
      <c r="L211" s="1">
        <v>50.713895374744951</v>
      </c>
      <c r="M211" s="1">
        <v>50.763208205573221</v>
      </c>
    </row>
    <row r="212" spans="1:13">
      <c r="D212" s="1" t="s">
        <v>87</v>
      </c>
      <c r="E212" s="1" t="s">
        <v>58</v>
      </c>
      <c r="H212" s="1" t="s">
        <v>25</v>
      </c>
      <c r="I212" s="1" t="s">
        <v>23</v>
      </c>
      <c r="M212" s="1" t="b">
        <v>0</v>
      </c>
    </row>
    <row r="213" spans="1:13">
      <c r="D213" s="1" t="s">
        <v>87</v>
      </c>
      <c r="E213" s="1" t="s">
        <v>59</v>
      </c>
      <c r="F213" s="1" t="s">
        <v>60</v>
      </c>
      <c r="G213" s="1" t="s">
        <v>61</v>
      </c>
      <c r="H213" s="1" t="s">
        <v>22</v>
      </c>
      <c r="I213" s="1" t="s">
        <v>23</v>
      </c>
      <c r="J213" s="1">
        <v>-9.5538358650799999</v>
      </c>
      <c r="K213" s="1">
        <v>9.5538358650799999</v>
      </c>
      <c r="L213" s="1">
        <v>0.23884589662700001</v>
      </c>
      <c r="M213" s="1">
        <v>0.23884589662700001</v>
      </c>
    </row>
    <row r="214" spans="1:13">
      <c r="D214" s="1" t="s">
        <v>87</v>
      </c>
      <c r="E214" s="1" t="s">
        <v>62</v>
      </c>
      <c r="H214" s="1" t="s">
        <v>63</v>
      </c>
      <c r="I214" s="1" t="s">
        <v>23</v>
      </c>
      <c r="M214" s="1">
        <v>1</v>
      </c>
    </row>
    <row r="215" spans="1:13">
      <c r="D215" s="1" t="s">
        <v>87</v>
      </c>
      <c r="E215" s="1" t="s">
        <v>64</v>
      </c>
      <c r="F215" s="1" t="s">
        <v>35</v>
      </c>
      <c r="G215" s="1" t="s">
        <v>36</v>
      </c>
      <c r="H215" s="1" t="s">
        <v>22</v>
      </c>
      <c r="I215" s="1" t="s">
        <v>65</v>
      </c>
      <c r="J215" s="1">
        <v>-459.67</v>
      </c>
      <c r="L215" s="1">
        <v>80.329999999999984</v>
      </c>
    </row>
    <row r="216" spans="1:13">
      <c r="A216" s="2" t="s">
        <v>1758</v>
      </c>
      <c r="B216" s="3" t="s">
        <v>1779</v>
      </c>
      <c r="D216" s="1" t="s">
        <v>87</v>
      </c>
      <c r="E216" s="1" t="s">
        <v>66</v>
      </c>
      <c r="F216" s="1" t="s">
        <v>35</v>
      </c>
      <c r="G216" s="1" t="s">
        <v>36</v>
      </c>
      <c r="H216" s="1" t="s">
        <v>22</v>
      </c>
      <c r="I216" s="1" t="s">
        <v>65</v>
      </c>
      <c r="J216" s="1">
        <v>-459.67</v>
      </c>
      <c r="L216" s="1">
        <v>80.329999999999984</v>
      </c>
    </row>
    <row r="217" spans="1:13">
      <c r="D217" s="1" t="s">
        <v>87</v>
      </c>
      <c r="E217" s="1" t="s">
        <v>67</v>
      </c>
      <c r="F217" s="1" t="s">
        <v>41</v>
      </c>
      <c r="G217" s="1" t="s">
        <v>42</v>
      </c>
      <c r="H217" s="1" t="s">
        <v>22</v>
      </c>
      <c r="I217" s="1" t="s">
        <v>65</v>
      </c>
      <c r="L217" s="1">
        <v>1.8</v>
      </c>
    </row>
    <row r="218" spans="1:13">
      <c r="D218" s="1" t="s">
        <v>87</v>
      </c>
      <c r="E218" s="1" t="s">
        <v>68</v>
      </c>
      <c r="F218" s="1" t="s">
        <v>45</v>
      </c>
      <c r="G218" s="1" t="s">
        <v>46</v>
      </c>
      <c r="H218" s="1" t="s">
        <v>22</v>
      </c>
      <c r="I218" s="1" t="s">
        <v>65</v>
      </c>
      <c r="L218" s="1">
        <v>4.2992261378713571E-4</v>
      </c>
    </row>
    <row r="219" spans="1:13">
      <c r="D219" s="1" t="s">
        <v>87</v>
      </c>
      <c r="E219" s="1" t="s">
        <v>69</v>
      </c>
      <c r="H219" s="1" t="s">
        <v>25</v>
      </c>
      <c r="I219" s="1" t="s">
        <v>70</v>
      </c>
    </row>
    <row r="220" spans="1:13">
      <c r="D220" s="1" t="s">
        <v>87</v>
      </c>
      <c r="E220" s="1" t="s">
        <v>71</v>
      </c>
      <c r="F220" s="1" t="s">
        <v>52</v>
      </c>
      <c r="G220" s="1" t="s">
        <v>53</v>
      </c>
      <c r="H220" s="1" t="s">
        <v>22</v>
      </c>
      <c r="I220" s="1" t="s">
        <v>65</v>
      </c>
      <c r="L220" s="1">
        <v>7936.6414386555998</v>
      </c>
    </row>
    <row r="221" spans="1:13">
      <c r="D221" s="1" t="s">
        <v>87</v>
      </c>
      <c r="E221" s="1" t="s">
        <v>72</v>
      </c>
      <c r="F221" s="1" t="s">
        <v>56</v>
      </c>
      <c r="G221" s="1" t="s">
        <v>57</v>
      </c>
      <c r="H221" s="1" t="s">
        <v>22</v>
      </c>
      <c r="I221" s="1" t="s">
        <v>65</v>
      </c>
      <c r="J221" s="1">
        <v>0</v>
      </c>
      <c r="L221" s="1">
        <v>14.503773773020921</v>
      </c>
    </row>
    <row r="222" spans="1:13">
      <c r="D222" s="1" t="s">
        <v>87</v>
      </c>
      <c r="E222" s="1" t="s">
        <v>73</v>
      </c>
      <c r="F222" s="1" t="s">
        <v>60</v>
      </c>
      <c r="G222" s="1" t="s">
        <v>61</v>
      </c>
      <c r="H222" s="1" t="s">
        <v>22</v>
      </c>
      <c r="I222" s="1" t="s">
        <v>65</v>
      </c>
      <c r="L222" s="1">
        <v>2.38845896627E-4</v>
      </c>
    </row>
    <row r="223" spans="1:13">
      <c r="D223" s="1" t="s">
        <v>87</v>
      </c>
      <c r="E223" s="1" t="s">
        <v>74</v>
      </c>
      <c r="F223" s="1" t="s">
        <v>75</v>
      </c>
      <c r="G223" s="1" t="s">
        <v>76</v>
      </c>
      <c r="H223" s="1" t="s">
        <v>22</v>
      </c>
      <c r="I223" s="1" t="s">
        <v>65</v>
      </c>
      <c r="J223" s="1">
        <v>0</v>
      </c>
      <c r="L223" s="1">
        <v>16.018463521800001</v>
      </c>
    </row>
    <row r="224" spans="1:13">
      <c r="D224" s="1" t="s">
        <v>87</v>
      </c>
      <c r="E224" s="1" t="s">
        <v>77</v>
      </c>
      <c r="H224" s="1" t="s">
        <v>22</v>
      </c>
      <c r="I224" s="1" t="s">
        <v>65</v>
      </c>
      <c r="L224" s="1">
        <v>1</v>
      </c>
    </row>
    <row r="225" spans="4:13">
      <c r="D225" s="1" t="s">
        <v>87</v>
      </c>
      <c r="E225" s="1" t="s">
        <v>78</v>
      </c>
      <c r="H225" s="1" t="s">
        <v>25</v>
      </c>
      <c r="I225" s="1" t="s">
        <v>23</v>
      </c>
      <c r="M225" s="1" t="b">
        <v>0</v>
      </c>
    </row>
    <row r="226" spans="4:13">
      <c r="D226" s="1" t="s">
        <v>87</v>
      </c>
      <c r="E226" s="1" t="s">
        <v>79</v>
      </c>
      <c r="F226" s="1" t="s">
        <v>75</v>
      </c>
      <c r="G226" s="1" t="s">
        <v>76</v>
      </c>
      <c r="H226" s="1" t="s">
        <v>22</v>
      </c>
      <c r="I226" s="1" t="s">
        <v>23</v>
      </c>
      <c r="J226" s="1">
        <v>0</v>
      </c>
      <c r="K226" s="1">
        <v>96.110781130800007</v>
      </c>
      <c r="L226" s="1">
        <v>16.018463521800001</v>
      </c>
      <c r="M226" s="1">
        <v>1.6018463521800002</v>
      </c>
    </row>
    <row r="227" spans="4:13">
      <c r="D227" s="1" t="s">
        <v>87</v>
      </c>
      <c r="E227" s="1" t="s">
        <v>80</v>
      </c>
      <c r="H227" s="1" t="s">
        <v>25</v>
      </c>
      <c r="I227" s="1" t="s">
        <v>23</v>
      </c>
      <c r="M227" s="1" t="b">
        <v>0</v>
      </c>
    </row>
    <row r="228" spans="4:13">
      <c r="D228" s="1" t="s">
        <v>87</v>
      </c>
      <c r="E228" s="1" t="s">
        <v>81</v>
      </c>
      <c r="H228" s="1" t="s">
        <v>25</v>
      </c>
      <c r="I228" s="1" t="s">
        <v>23</v>
      </c>
      <c r="M228" s="1" t="b">
        <v>0</v>
      </c>
    </row>
    <row r="229" spans="4:13">
      <c r="D229" s="1" t="s">
        <v>87</v>
      </c>
      <c r="E229" s="1" t="s">
        <v>82</v>
      </c>
      <c r="H229" s="1" t="s">
        <v>22</v>
      </c>
      <c r="I229" s="1" t="s">
        <v>23</v>
      </c>
      <c r="J229" s="1">
        <v>-1</v>
      </c>
      <c r="K229" s="1">
        <v>3</v>
      </c>
      <c r="L229" s="1">
        <v>1</v>
      </c>
      <c r="M229" s="1">
        <v>1.01</v>
      </c>
    </row>
    <row r="230" spans="4:13">
      <c r="D230" s="1" t="s">
        <v>88</v>
      </c>
      <c r="E230" s="1" t="s">
        <v>28</v>
      </c>
      <c r="H230" s="1" t="s">
        <v>22</v>
      </c>
      <c r="I230" s="1" t="s">
        <v>29</v>
      </c>
      <c r="J230" s="1">
        <v>34000</v>
      </c>
      <c r="K230" s="1">
        <v>4300000</v>
      </c>
      <c r="L230" s="1">
        <v>349660</v>
      </c>
    </row>
    <row r="231" spans="4:13">
      <c r="D231" s="1" t="s">
        <v>88</v>
      </c>
      <c r="E231" s="1" t="s">
        <v>30</v>
      </c>
      <c r="H231" s="1" t="s">
        <v>22</v>
      </c>
      <c r="I231" s="1" t="s">
        <v>29</v>
      </c>
      <c r="J231" s="1">
        <v>-3.94</v>
      </c>
      <c r="K231" s="1">
        <v>3.66</v>
      </c>
      <c r="L231" s="1">
        <v>1</v>
      </c>
    </row>
    <row r="232" spans="4:13">
      <c r="D232" s="1" t="s">
        <v>88</v>
      </c>
      <c r="E232" s="1" t="s">
        <v>31</v>
      </c>
      <c r="H232" s="1" t="s">
        <v>22</v>
      </c>
      <c r="I232" s="1" t="s">
        <v>29</v>
      </c>
      <c r="J232" s="1">
        <v>0</v>
      </c>
      <c r="K232" s="1">
        <v>100</v>
      </c>
      <c r="L232" s="1">
        <v>1</v>
      </c>
    </row>
    <row r="233" spans="4:13">
      <c r="D233" s="1" t="s">
        <v>88</v>
      </c>
      <c r="E233" s="1" t="s">
        <v>32</v>
      </c>
      <c r="H233" s="1" t="s">
        <v>22</v>
      </c>
      <c r="I233" s="1" t="s">
        <v>29</v>
      </c>
      <c r="J233" s="1">
        <v>-3.94</v>
      </c>
      <c r="K233" s="1">
        <v>3.66</v>
      </c>
      <c r="L233" s="1">
        <v>1</v>
      </c>
    </row>
    <row r="234" spans="4:13">
      <c r="D234" s="1" t="s">
        <v>88</v>
      </c>
      <c r="E234" s="1" t="s">
        <v>33</v>
      </c>
      <c r="H234" s="1" t="s">
        <v>25</v>
      </c>
      <c r="I234" s="1" t="s">
        <v>23</v>
      </c>
      <c r="M234" s="1" t="b">
        <v>0</v>
      </c>
    </row>
    <row r="235" spans="4:13">
      <c r="D235" s="1" t="s">
        <v>88</v>
      </c>
      <c r="E235" s="1" t="s">
        <v>34</v>
      </c>
      <c r="F235" s="1" t="s">
        <v>35</v>
      </c>
      <c r="G235" s="1" t="s">
        <v>36</v>
      </c>
      <c r="H235" s="1" t="s">
        <v>22</v>
      </c>
      <c r="I235" s="1" t="s">
        <v>23</v>
      </c>
      <c r="J235" s="1">
        <v>-459.67</v>
      </c>
      <c r="K235" s="1">
        <v>980.32999999999993</v>
      </c>
      <c r="L235" s="1">
        <v>80.329999999999984</v>
      </c>
      <c r="M235" s="1">
        <v>67.999999999999943</v>
      </c>
    </row>
    <row r="236" spans="4:13">
      <c r="D236" s="1" t="s">
        <v>88</v>
      </c>
      <c r="E236" s="1" t="s">
        <v>37</v>
      </c>
      <c r="H236" s="1" t="s">
        <v>25</v>
      </c>
      <c r="I236" s="1" t="s">
        <v>23</v>
      </c>
      <c r="M236" s="1" t="b">
        <v>0</v>
      </c>
    </row>
    <row r="237" spans="4:13">
      <c r="D237" s="1" t="s">
        <v>88</v>
      </c>
      <c r="E237" s="1" t="s">
        <v>38</v>
      </c>
      <c r="F237" s="1" t="s">
        <v>35</v>
      </c>
      <c r="G237" s="1" t="s">
        <v>36</v>
      </c>
      <c r="H237" s="1" t="s">
        <v>22</v>
      </c>
      <c r="I237" s="1" t="s">
        <v>23</v>
      </c>
      <c r="J237" s="1">
        <v>-99.670000000000016</v>
      </c>
      <c r="K237" s="1">
        <v>980.32999999999993</v>
      </c>
      <c r="L237" s="1">
        <v>80.329999999999984</v>
      </c>
      <c r="M237" s="1">
        <v>13.999999999999943</v>
      </c>
    </row>
    <row r="238" spans="4:13">
      <c r="D238" s="1" t="s">
        <v>88</v>
      </c>
      <c r="E238" s="1" t="s">
        <v>39</v>
      </c>
      <c r="H238" s="1" t="s">
        <v>25</v>
      </c>
      <c r="I238" s="1" t="s">
        <v>23</v>
      </c>
      <c r="M238" s="1" t="b">
        <v>0</v>
      </c>
    </row>
    <row r="239" spans="4:13">
      <c r="D239" s="1" t="s">
        <v>88</v>
      </c>
      <c r="E239" s="1" t="s">
        <v>40</v>
      </c>
      <c r="F239" s="1" t="s">
        <v>41</v>
      </c>
      <c r="G239" s="1" t="s">
        <v>42</v>
      </c>
      <c r="H239" s="1" t="s">
        <v>22</v>
      </c>
      <c r="I239" s="1" t="s">
        <v>23</v>
      </c>
      <c r="J239" s="1">
        <v>-900</v>
      </c>
      <c r="K239" s="1">
        <v>900</v>
      </c>
      <c r="L239" s="1">
        <v>1.8</v>
      </c>
      <c r="M239" s="1">
        <v>9</v>
      </c>
    </row>
    <row r="240" spans="4:13">
      <c r="D240" s="1" t="s">
        <v>88</v>
      </c>
      <c r="E240" s="1" t="s">
        <v>43</v>
      </c>
      <c r="H240" s="1" t="s">
        <v>25</v>
      </c>
      <c r="I240" s="1" t="s">
        <v>23</v>
      </c>
      <c r="M240" s="1" t="b">
        <v>0</v>
      </c>
    </row>
    <row r="241" spans="1:13">
      <c r="D241" s="1" t="s">
        <v>88</v>
      </c>
      <c r="E241" s="1" t="s">
        <v>44</v>
      </c>
      <c r="F241" s="1" t="s">
        <v>45</v>
      </c>
      <c r="G241" s="1" t="s">
        <v>46</v>
      </c>
      <c r="H241" s="1" t="s">
        <v>22</v>
      </c>
      <c r="I241" s="1" t="s">
        <v>23</v>
      </c>
      <c r="J241" s="1">
        <v>-85.984522757427143</v>
      </c>
      <c r="K241" s="1">
        <v>8598.4522757427148</v>
      </c>
      <c r="L241" s="1">
        <v>114.79148749423418</v>
      </c>
      <c r="M241" s="1">
        <v>128.97678413614071</v>
      </c>
    </row>
    <row r="242" spans="1:13">
      <c r="D242" s="1" t="s">
        <v>88</v>
      </c>
      <c r="E242" s="1" t="s">
        <v>47</v>
      </c>
      <c r="H242" s="1" t="s">
        <v>25</v>
      </c>
      <c r="I242" s="1" t="s">
        <v>23</v>
      </c>
      <c r="M242" s="1" t="b">
        <v>0</v>
      </c>
    </row>
    <row r="243" spans="1:13">
      <c r="D243" s="1" t="s">
        <v>88</v>
      </c>
      <c r="E243" s="1" t="s">
        <v>48</v>
      </c>
      <c r="H243" s="1" t="s">
        <v>25</v>
      </c>
      <c r="I243" s="1" t="s">
        <v>23</v>
      </c>
      <c r="M243" s="1" t="b">
        <v>0</v>
      </c>
    </row>
    <row r="244" spans="1:13">
      <c r="D244" s="1" t="s">
        <v>88</v>
      </c>
      <c r="E244" s="1" t="s">
        <v>49</v>
      </c>
      <c r="H244" s="1" t="s">
        <v>25</v>
      </c>
      <c r="I244" s="1" t="s">
        <v>23</v>
      </c>
      <c r="M244" s="1" t="b">
        <v>0</v>
      </c>
    </row>
    <row r="245" spans="1:13">
      <c r="D245" s="1" t="s">
        <v>88</v>
      </c>
      <c r="E245" s="1" t="s">
        <v>50</v>
      </c>
      <c r="H245" s="1" t="s">
        <v>25</v>
      </c>
      <c r="I245" s="1" t="s">
        <v>23</v>
      </c>
      <c r="M245" s="1" t="b">
        <v>0</v>
      </c>
    </row>
    <row r="246" spans="1:13">
      <c r="D246" s="1" t="s">
        <v>88</v>
      </c>
      <c r="E246" s="1" t="s">
        <v>51</v>
      </c>
      <c r="F246" s="1" t="s">
        <v>52</v>
      </c>
      <c r="G246" s="1" t="s">
        <v>53</v>
      </c>
      <c r="H246" s="1" t="s">
        <v>22</v>
      </c>
      <c r="I246" s="1" t="s">
        <v>23</v>
      </c>
      <c r="J246" s="1">
        <v>0</v>
      </c>
      <c r="K246" s="1">
        <v>7936641438.6555996</v>
      </c>
      <c r="L246" s="1">
        <v>7936.6414386555998</v>
      </c>
      <c r="M246" s="1">
        <v>7936.6414386555998</v>
      </c>
    </row>
    <row r="247" spans="1:13">
      <c r="D247" s="1" t="s">
        <v>88</v>
      </c>
      <c r="E247" s="1" t="s">
        <v>54</v>
      </c>
      <c r="H247" s="1" t="s">
        <v>25</v>
      </c>
      <c r="I247" s="1" t="s">
        <v>23</v>
      </c>
      <c r="M247" s="1" t="b">
        <v>0</v>
      </c>
    </row>
    <row r="248" spans="1:13">
      <c r="D248" s="1" t="s">
        <v>88</v>
      </c>
      <c r="E248" s="1" t="s">
        <v>55</v>
      </c>
      <c r="F248" s="1" t="s">
        <v>56</v>
      </c>
      <c r="G248" s="1" t="s">
        <v>57</v>
      </c>
      <c r="H248" s="1" t="s">
        <v>22</v>
      </c>
      <c r="I248" s="1" t="s">
        <v>23</v>
      </c>
      <c r="J248" s="1">
        <v>0</v>
      </c>
      <c r="K248" s="1">
        <v>9427.4529524635982</v>
      </c>
      <c r="L248" s="1">
        <v>50.713895374744951</v>
      </c>
      <c r="M248" s="1">
        <v>50.763208205573221</v>
      </c>
    </row>
    <row r="249" spans="1:13">
      <c r="D249" s="1" t="s">
        <v>88</v>
      </c>
      <c r="E249" s="1" t="s">
        <v>58</v>
      </c>
      <c r="H249" s="1" t="s">
        <v>25</v>
      </c>
      <c r="I249" s="1" t="s">
        <v>23</v>
      </c>
      <c r="M249" s="1" t="b">
        <v>0</v>
      </c>
    </row>
    <row r="250" spans="1:13">
      <c r="D250" s="1" t="s">
        <v>88</v>
      </c>
      <c r="E250" s="1" t="s">
        <v>59</v>
      </c>
      <c r="F250" s="1" t="s">
        <v>60</v>
      </c>
      <c r="G250" s="1" t="s">
        <v>61</v>
      </c>
      <c r="H250" s="1" t="s">
        <v>22</v>
      </c>
      <c r="I250" s="1" t="s">
        <v>23</v>
      </c>
      <c r="J250" s="1">
        <v>-9.5538358650799999</v>
      </c>
      <c r="K250" s="1">
        <v>9.5538358650799999</v>
      </c>
      <c r="L250" s="1">
        <v>0.23884589662700001</v>
      </c>
      <c r="M250" s="1">
        <v>0.23884589662700001</v>
      </c>
    </row>
    <row r="251" spans="1:13">
      <c r="D251" s="1" t="s">
        <v>88</v>
      </c>
      <c r="E251" s="1" t="s">
        <v>62</v>
      </c>
      <c r="H251" s="1" t="s">
        <v>63</v>
      </c>
      <c r="I251" s="1" t="s">
        <v>23</v>
      </c>
      <c r="M251" s="1">
        <v>1</v>
      </c>
    </row>
    <row r="252" spans="1:13">
      <c r="D252" s="1" t="s">
        <v>88</v>
      </c>
      <c r="E252" s="1" t="s">
        <v>64</v>
      </c>
      <c r="F252" s="1" t="s">
        <v>35</v>
      </c>
      <c r="G252" s="1" t="s">
        <v>36</v>
      </c>
      <c r="H252" s="1" t="s">
        <v>22</v>
      </c>
      <c r="I252" s="1" t="s">
        <v>65</v>
      </c>
      <c r="J252" s="1">
        <v>-459.67</v>
      </c>
      <c r="L252" s="1">
        <v>80.329999999999984</v>
      </c>
    </row>
    <row r="253" spans="1:13">
      <c r="A253" s="2" t="s">
        <v>1758</v>
      </c>
      <c r="B253" s="3" t="s">
        <v>1780</v>
      </c>
      <c r="D253" s="1" t="s">
        <v>88</v>
      </c>
      <c r="E253" s="1" t="s">
        <v>66</v>
      </c>
      <c r="F253" s="1" t="s">
        <v>35</v>
      </c>
      <c r="G253" s="1" t="s">
        <v>36</v>
      </c>
      <c r="H253" s="1" t="s">
        <v>22</v>
      </c>
      <c r="I253" s="1" t="s">
        <v>65</v>
      </c>
      <c r="J253" s="1">
        <v>-459.67</v>
      </c>
      <c r="L253" s="1">
        <v>80.329999999999984</v>
      </c>
    </row>
    <row r="254" spans="1:13">
      <c r="D254" s="1" t="s">
        <v>88</v>
      </c>
      <c r="E254" s="1" t="s">
        <v>67</v>
      </c>
      <c r="F254" s="1" t="s">
        <v>41</v>
      </c>
      <c r="G254" s="1" t="s">
        <v>42</v>
      </c>
      <c r="H254" s="1" t="s">
        <v>22</v>
      </c>
      <c r="I254" s="1" t="s">
        <v>65</v>
      </c>
      <c r="L254" s="1">
        <v>1.8</v>
      </c>
    </row>
    <row r="255" spans="1:13">
      <c r="D255" s="1" t="s">
        <v>88</v>
      </c>
      <c r="E255" s="1" t="s">
        <v>68</v>
      </c>
      <c r="F255" s="1" t="s">
        <v>45</v>
      </c>
      <c r="G255" s="1" t="s">
        <v>46</v>
      </c>
      <c r="H255" s="1" t="s">
        <v>22</v>
      </c>
      <c r="I255" s="1" t="s">
        <v>65</v>
      </c>
      <c r="L255" s="1">
        <v>4.2992261378713571E-4</v>
      </c>
    </row>
    <row r="256" spans="1:13">
      <c r="D256" s="1" t="s">
        <v>88</v>
      </c>
      <c r="E256" s="1" t="s">
        <v>69</v>
      </c>
      <c r="H256" s="1" t="s">
        <v>25</v>
      </c>
      <c r="I256" s="1" t="s">
        <v>70</v>
      </c>
    </row>
    <row r="257" spans="1:13">
      <c r="D257" s="1" t="s">
        <v>88</v>
      </c>
      <c r="E257" s="1" t="s">
        <v>71</v>
      </c>
      <c r="F257" s="1" t="s">
        <v>52</v>
      </c>
      <c r="G257" s="1" t="s">
        <v>53</v>
      </c>
      <c r="H257" s="1" t="s">
        <v>22</v>
      </c>
      <c r="I257" s="1" t="s">
        <v>65</v>
      </c>
      <c r="L257" s="1">
        <v>7936.6414386555998</v>
      </c>
    </row>
    <row r="258" spans="1:13">
      <c r="A258" s="2" t="s">
        <v>1758</v>
      </c>
      <c r="B258" s="3" t="s">
        <v>1808</v>
      </c>
      <c r="D258" s="1" t="s">
        <v>88</v>
      </c>
      <c r="E258" s="1" t="s">
        <v>72</v>
      </c>
      <c r="F258" s="1" t="s">
        <v>56</v>
      </c>
      <c r="G258" s="1" t="s">
        <v>57</v>
      </c>
      <c r="H258" s="1" t="s">
        <v>22</v>
      </c>
      <c r="I258" s="1" t="s">
        <v>65</v>
      </c>
      <c r="J258" s="1">
        <v>0</v>
      </c>
      <c r="L258" s="1">
        <v>14.503773773020921</v>
      </c>
    </row>
    <row r="259" spans="1:13">
      <c r="D259" s="1" t="s">
        <v>88</v>
      </c>
      <c r="E259" s="1" t="s">
        <v>73</v>
      </c>
      <c r="F259" s="1" t="s">
        <v>60</v>
      </c>
      <c r="G259" s="1" t="s">
        <v>61</v>
      </c>
      <c r="H259" s="1" t="s">
        <v>22</v>
      </c>
      <c r="I259" s="1" t="s">
        <v>65</v>
      </c>
      <c r="L259" s="1">
        <v>2.38845896627E-4</v>
      </c>
    </row>
    <row r="260" spans="1:13">
      <c r="D260" s="1" t="s">
        <v>88</v>
      </c>
      <c r="E260" s="1" t="s">
        <v>74</v>
      </c>
      <c r="F260" s="1" t="s">
        <v>75</v>
      </c>
      <c r="G260" s="1" t="s">
        <v>76</v>
      </c>
      <c r="H260" s="1" t="s">
        <v>22</v>
      </c>
      <c r="I260" s="1" t="s">
        <v>65</v>
      </c>
      <c r="J260" s="1">
        <v>0</v>
      </c>
      <c r="L260" s="1">
        <v>16.018463521800001</v>
      </c>
    </row>
    <row r="261" spans="1:13">
      <c r="D261" s="1" t="s">
        <v>88</v>
      </c>
      <c r="E261" s="1" t="s">
        <v>77</v>
      </c>
      <c r="H261" s="1" t="s">
        <v>22</v>
      </c>
      <c r="I261" s="1" t="s">
        <v>65</v>
      </c>
      <c r="L261" s="1">
        <v>1</v>
      </c>
    </row>
    <row r="262" spans="1:13">
      <c r="D262" s="1" t="s">
        <v>88</v>
      </c>
      <c r="E262" s="1" t="s">
        <v>78</v>
      </c>
      <c r="H262" s="1" t="s">
        <v>25</v>
      </c>
      <c r="I262" s="1" t="s">
        <v>23</v>
      </c>
      <c r="M262" s="1" t="b">
        <v>0</v>
      </c>
    </row>
    <row r="263" spans="1:13">
      <c r="D263" s="1" t="s">
        <v>88</v>
      </c>
      <c r="E263" s="1" t="s">
        <v>79</v>
      </c>
      <c r="F263" s="1" t="s">
        <v>75</v>
      </c>
      <c r="G263" s="1" t="s">
        <v>76</v>
      </c>
      <c r="H263" s="1" t="s">
        <v>22</v>
      </c>
      <c r="I263" s="1" t="s">
        <v>23</v>
      </c>
      <c r="J263" s="1">
        <v>0</v>
      </c>
      <c r="K263" s="1">
        <v>96.110781130800007</v>
      </c>
      <c r="L263" s="1">
        <v>16.018463521800001</v>
      </c>
      <c r="M263" s="1">
        <v>1.6018463521800002</v>
      </c>
    </row>
    <row r="264" spans="1:13">
      <c r="D264" s="1" t="s">
        <v>88</v>
      </c>
      <c r="E264" s="1" t="s">
        <v>80</v>
      </c>
      <c r="H264" s="1" t="s">
        <v>25</v>
      </c>
      <c r="I264" s="1" t="s">
        <v>23</v>
      </c>
      <c r="M264" s="1" t="b">
        <v>0</v>
      </c>
    </row>
    <row r="265" spans="1:13">
      <c r="D265" s="1" t="s">
        <v>88</v>
      </c>
      <c r="E265" s="1" t="s">
        <v>81</v>
      </c>
      <c r="H265" s="1" t="s">
        <v>25</v>
      </c>
      <c r="I265" s="1" t="s">
        <v>23</v>
      </c>
      <c r="M265" s="1" t="b">
        <v>0</v>
      </c>
    </row>
    <row r="266" spans="1:13">
      <c r="D266" s="1" t="s">
        <v>88</v>
      </c>
      <c r="E266" s="1" t="s">
        <v>82</v>
      </c>
      <c r="H266" s="1" t="s">
        <v>22</v>
      </c>
      <c r="I266" s="1" t="s">
        <v>23</v>
      </c>
      <c r="J266" s="1">
        <v>-1</v>
      </c>
      <c r="K266" s="1">
        <v>3</v>
      </c>
      <c r="L266" s="1">
        <v>1</v>
      </c>
      <c r="M266" s="1">
        <v>1.01</v>
      </c>
    </row>
    <row r="267" spans="1:13">
      <c r="D267" s="1" t="s">
        <v>89</v>
      </c>
      <c r="E267" s="1" t="s">
        <v>28</v>
      </c>
      <c r="H267" s="1" t="s">
        <v>22</v>
      </c>
      <c r="I267" s="1" t="s">
        <v>29</v>
      </c>
      <c r="J267" s="1">
        <v>34000</v>
      </c>
      <c r="K267" s="1">
        <v>4300000</v>
      </c>
      <c r="L267" s="1">
        <v>349660</v>
      </c>
    </row>
    <row r="268" spans="1:13">
      <c r="D268" s="1" t="s">
        <v>89</v>
      </c>
      <c r="E268" s="1" t="s">
        <v>30</v>
      </c>
      <c r="H268" s="1" t="s">
        <v>22</v>
      </c>
      <c r="I268" s="1" t="s">
        <v>29</v>
      </c>
      <c r="J268" s="1">
        <v>-3.94</v>
      </c>
      <c r="K268" s="1">
        <v>3.66</v>
      </c>
      <c r="L268" s="1">
        <v>1</v>
      </c>
    </row>
    <row r="269" spans="1:13">
      <c r="D269" s="1" t="s">
        <v>89</v>
      </c>
      <c r="E269" s="1" t="s">
        <v>31</v>
      </c>
      <c r="H269" s="1" t="s">
        <v>22</v>
      </c>
      <c r="I269" s="1" t="s">
        <v>29</v>
      </c>
      <c r="J269" s="1">
        <v>0</v>
      </c>
      <c r="K269" s="1">
        <v>100</v>
      </c>
      <c r="L269" s="1">
        <v>1</v>
      </c>
    </row>
    <row r="270" spans="1:13">
      <c r="D270" s="1" t="s">
        <v>89</v>
      </c>
      <c r="E270" s="1" t="s">
        <v>32</v>
      </c>
      <c r="H270" s="1" t="s">
        <v>22</v>
      </c>
      <c r="I270" s="1" t="s">
        <v>29</v>
      </c>
      <c r="J270" s="1">
        <v>-3.94</v>
      </c>
      <c r="K270" s="1">
        <v>3.66</v>
      </c>
      <c r="L270" s="1">
        <v>1</v>
      </c>
    </row>
    <row r="271" spans="1:13">
      <c r="D271" s="1" t="s">
        <v>89</v>
      </c>
      <c r="E271" s="1" t="s">
        <v>33</v>
      </c>
      <c r="H271" s="1" t="s">
        <v>25</v>
      </c>
      <c r="I271" s="1" t="s">
        <v>23</v>
      </c>
      <c r="M271" s="1" t="b">
        <v>0</v>
      </c>
    </row>
    <row r="272" spans="1:13">
      <c r="D272" s="1" t="s">
        <v>89</v>
      </c>
      <c r="E272" s="1" t="s">
        <v>34</v>
      </c>
      <c r="F272" s="1" t="s">
        <v>35</v>
      </c>
      <c r="G272" s="1" t="s">
        <v>36</v>
      </c>
      <c r="H272" s="1" t="s">
        <v>22</v>
      </c>
      <c r="I272" s="1" t="s">
        <v>23</v>
      </c>
      <c r="J272" s="1">
        <v>-459.67</v>
      </c>
      <c r="K272" s="1">
        <v>980.32999999999993</v>
      </c>
      <c r="L272" s="1">
        <v>80.329999999999984</v>
      </c>
      <c r="M272" s="1">
        <v>67.999999999999943</v>
      </c>
    </row>
    <row r="273" spans="4:13">
      <c r="D273" s="1" t="s">
        <v>89</v>
      </c>
      <c r="E273" s="1" t="s">
        <v>37</v>
      </c>
      <c r="H273" s="1" t="s">
        <v>25</v>
      </c>
      <c r="I273" s="1" t="s">
        <v>23</v>
      </c>
      <c r="M273" s="1" t="b">
        <v>0</v>
      </c>
    </row>
    <row r="274" spans="4:13">
      <c r="D274" s="1" t="s">
        <v>89</v>
      </c>
      <c r="E274" s="1" t="s">
        <v>38</v>
      </c>
      <c r="F274" s="1" t="s">
        <v>35</v>
      </c>
      <c r="G274" s="1" t="s">
        <v>36</v>
      </c>
      <c r="H274" s="1" t="s">
        <v>22</v>
      </c>
      <c r="I274" s="1" t="s">
        <v>23</v>
      </c>
      <c r="J274" s="1">
        <v>-99.670000000000016</v>
      </c>
      <c r="K274" s="1">
        <v>980.32999999999993</v>
      </c>
      <c r="L274" s="1">
        <v>80.329999999999984</v>
      </c>
      <c r="M274" s="1">
        <v>13.999999999999943</v>
      </c>
    </row>
    <row r="275" spans="4:13">
      <c r="D275" s="1" t="s">
        <v>89</v>
      </c>
      <c r="E275" s="1" t="s">
        <v>39</v>
      </c>
      <c r="H275" s="1" t="s">
        <v>25</v>
      </c>
      <c r="I275" s="1" t="s">
        <v>23</v>
      </c>
      <c r="M275" s="1" t="b">
        <v>0</v>
      </c>
    </row>
    <row r="276" spans="4:13">
      <c r="D276" s="1" t="s">
        <v>89</v>
      </c>
      <c r="E276" s="1" t="s">
        <v>40</v>
      </c>
      <c r="F276" s="1" t="s">
        <v>41</v>
      </c>
      <c r="G276" s="1" t="s">
        <v>42</v>
      </c>
      <c r="H276" s="1" t="s">
        <v>22</v>
      </c>
      <c r="I276" s="1" t="s">
        <v>23</v>
      </c>
      <c r="J276" s="1">
        <v>-900</v>
      </c>
      <c r="K276" s="1">
        <v>900</v>
      </c>
      <c r="L276" s="1">
        <v>1.8</v>
      </c>
      <c r="M276" s="1">
        <v>9</v>
      </c>
    </row>
    <row r="277" spans="4:13">
      <c r="D277" s="1" t="s">
        <v>89</v>
      </c>
      <c r="E277" s="1" t="s">
        <v>43</v>
      </c>
      <c r="H277" s="1" t="s">
        <v>25</v>
      </c>
      <c r="I277" s="1" t="s">
        <v>23</v>
      </c>
      <c r="M277" s="1" t="b">
        <v>0</v>
      </c>
    </row>
    <row r="278" spans="4:13">
      <c r="D278" s="1" t="s">
        <v>89</v>
      </c>
      <c r="E278" s="1" t="s">
        <v>44</v>
      </c>
      <c r="F278" s="1" t="s">
        <v>45</v>
      </c>
      <c r="G278" s="1" t="s">
        <v>46</v>
      </c>
      <c r="H278" s="1" t="s">
        <v>22</v>
      </c>
      <c r="I278" s="1" t="s">
        <v>23</v>
      </c>
      <c r="J278" s="1">
        <v>-85.984522757427143</v>
      </c>
      <c r="K278" s="1">
        <v>8598.4522757427148</v>
      </c>
      <c r="L278" s="1">
        <v>114.79148749423418</v>
      </c>
      <c r="M278" s="1">
        <v>128.97678413614071</v>
      </c>
    </row>
    <row r="279" spans="4:13">
      <c r="D279" s="1" t="s">
        <v>89</v>
      </c>
      <c r="E279" s="1" t="s">
        <v>47</v>
      </c>
      <c r="H279" s="1" t="s">
        <v>25</v>
      </c>
      <c r="I279" s="1" t="s">
        <v>23</v>
      </c>
      <c r="M279" s="1" t="b">
        <v>0</v>
      </c>
    </row>
    <row r="280" spans="4:13">
      <c r="D280" s="1" t="s">
        <v>89</v>
      </c>
      <c r="E280" s="1" t="s">
        <v>48</v>
      </c>
      <c r="H280" s="1" t="s">
        <v>25</v>
      </c>
      <c r="I280" s="1" t="s">
        <v>23</v>
      </c>
      <c r="M280" s="1" t="b">
        <v>0</v>
      </c>
    </row>
    <row r="281" spans="4:13">
      <c r="D281" s="1" t="s">
        <v>89</v>
      </c>
      <c r="E281" s="1" t="s">
        <v>49</v>
      </c>
      <c r="H281" s="1" t="s">
        <v>25</v>
      </c>
      <c r="I281" s="1" t="s">
        <v>23</v>
      </c>
      <c r="M281" s="1" t="b">
        <v>0</v>
      </c>
    </row>
    <row r="282" spans="4:13">
      <c r="D282" s="1" t="s">
        <v>89</v>
      </c>
      <c r="E282" s="1" t="s">
        <v>50</v>
      </c>
      <c r="H282" s="1" t="s">
        <v>25</v>
      </c>
      <c r="I282" s="1" t="s">
        <v>23</v>
      </c>
      <c r="M282" s="1" t="b">
        <v>0</v>
      </c>
    </row>
    <row r="283" spans="4:13">
      <c r="D283" s="1" t="s">
        <v>89</v>
      </c>
      <c r="E283" s="1" t="s">
        <v>51</v>
      </c>
      <c r="F283" s="1" t="s">
        <v>52</v>
      </c>
      <c r="G283" s="1" t="s">
        <v>53</v>
      </c>
      <c r="H283" s="1" t="s">
        <v>22</v>
      </c>
      <c r="I283" s="1" t="s">
        <v>23</v>
      </c>
      <c r="J283" s="1">
        <v>0</v>
      </c>
      <c r="K283" s="1">
        <v>7936641438.6555996</v>
      </c>
      <c r="L283" s="1">
        <v>7936.6414386555998</v>
      </c>
      <c r="M283" s="1">
        <v>7936.6414386555998</v>
      </c>
    </row>
    <row r="284" spans="4:13">
      <c r="D284" s="1" t="s">
        <v>89</v>
      </c>
      <c r="E284" s="1" t="s">
        <v>54</v>
      </c>
      <c r="H284" s="1" t="s">
        <v>25</v>
      </c>
      <c r="I284" s="1" t="s">
        <v>23</v>
      </c>
      <c r="M284" s="1" t="b">
        <v>0</v>
      </c>
    </row>
    <row r="285" spans="4:13">
      <c r="D285" s="1" t="s">
        <v>89</v>
      </c>
      <c r="E285" s="1" t="s">
        <v>55</v>
      </c>
      <c r="F285" s="1" t="s">
        <v>56</v>
      </c>
      <c r="G285" s="1" t="s">
        <v>57</v>
      </c>
      <c r="H285" s="1" t="s">
        <v>22</v>
      </c>
      <c r="I285" s="1" t="s">
        <v>23</v>
      </c>
      <c r="J285" s="1">
        <v>0</v>
      </c>
      <c r="K285" s="1">
        <v>9427.4529524635982</v>
      </c>
      <c r="L285" s="1">
        <v>50.713895374744951</v>
      </c>
      <c r="M285" s="1">
        <v>50.763208205573221</v>
      </c>
    </row>
    <row r="286" spans="4:13">
      <c r="D286" s="1" t="s">
        <v>89</v>
      </c>
      <c r="E286" s="1" t="s">
        <v>58</v>
      </c>
      <c r="H286" s="1" t="s">
        <v>25</v>
      </c>
      <c r="I286" s="1" t="s">
        <v>23</v>
      </c>
      <c r="M286" s="1" t="b">
        <v>0</v>
      </c>
    </row>
    <row r="287" spans="4:13">
      <c r="D287" s="1" t="s">
        <v>89</v>
      </c>
      <c r="E287" s="1" t="s">
        <v>59</v>
      </c>
      <c r="F287" s="1" t="s">
        <v>60</v>
      </c>
      <c r="G287" s="1" t="s">
        <v>61</v>
      </c>
      <c r="H287" s="1" t="s">
        <v>22</v>
      </c>
      <c r="I287" s="1" t="s">
        <v>23</v>
      </c>
      <c r="J287" s="1">
        <v>-9.5538358650799999</v>
      </c>
      <c r="K287" s="1">
        <v>9.5538358650799999</v>
      </c>
      <c r="L287" s="1">
        <v>0.23884589662700001</v>
      </c>
      <c r="M287" s="1">
        <v>0.23884589662700001</v>
      </c>
    </row>
    <row r="288" spans="4:13">
      <c r="D288" s="1" t="s">
        <v>89</v>
      </c>
      <c r="E288" s="1" t="s">
        <v>62</v>
      </c>
      <c r="H288" s="1" t="s">
        <v>63</v>
      </c>
      <c r="I288" s="1" t="s">
        <v>23</v>
      </c>
      <c r="M288" s="1">
        <v>1</v>
      </c>
    </row>
    <row r="289" spans="1:13">
      <c r="D289" s="1" t="s">
        <v>89</v>
      </c>
      <c r="E289" s="1" t="s">
        <v>64</v>
      </c>
      <c r="F289" s="1" t="s">
        <v>35</v>
      </c>
      <c r="G289" s="1" t="s">
        <v>36</v>
      </c>
      <c r="H289" s="1" t="s">
        <v>22</v>
      </c>
      <c r="I289" s="1" t="s">
        <v>65</v>
      </c>
      <c r="J289" s="1">
        <v>-459.67</v>
      </c>
      <c r="L289" s="1">
        <v>80.329999999999984</v>
      </c>
    </row>
    <row r="290" spans="1:13">
      <c r="A290" s="2" t="s">
        <v>1758</v>
      </c>
      <c r="B290" s="3" t="s">
        <v>1781</v>
      </c>
      <c r="D290" s="1" t="s">
        <v>89</v>
      </c>
      <c r="E290" s="1" t="s">
        <v>66</v>
      </c>
      <c r="F290" s="1" t="s">
        <v>35</v>
      </c>
      <c r="G290" s="1" t="s">
        <v>36</v>
      </c>
      <c r="H290" s="1" t="s">
        <v>22</v>
      </c>
      <c r="I290" s="1" t="s">
        <v>65</v>
      </c>
      <c r="J290" s="1">
        <v>-459.67</v>
      </c>
      <c r="L290" s="1">
        <v>80.329999999999984</v>
      </c>
    </row>
    <row r="291" spans="1:13">
      <c r="D291" s="1" t="s">
        <v>89</v>
      </c>
      <c r="E291" s="1" t="s">
        <v>67</v>
      </c>
      <c r="F291" s="1" t="s">
        <v>41</v>
      </c>
      <c r="G291" s="1" t="s">
        <v>42</v>
      </c>
      <c r="H291" s="1" t="s">
        <v>22</v>
      </c>
      <c r="I291" s="1" t="s">
        <v>65</v>
      </c>
      <c r="L291" s="1">
        <v>1.8</v>
      </c>
    </row>
    <row r="292" spans="1:13">
      <c r="D292" s="1" t="s">
        <v>89</v>
      </c>
      <c r="E292" s="1" t="s">
        <v>68</v>
      </c>
      <c r="F292" s="1" t="s">
        <v>45</v>
      </c>
      <c r="G292" s="1" t="s">
        <v>46</v>
      </c>
      <c r="H292" s="1" t="s">
        <v>22</v>
      </c>
      <c r="I292" s="1" t="s">
        <v>65</v>
      </c>
      <c r="L292" s="1">
        <v>4.2992261378713571E-4</v>
      </c>
    </row>
    <row r="293" spans="1:13">
      <c r="D293" s="1" t="s">
        <v>89</v>
      </c>
      <c r="E293" s="1" t="s">
        <v>69</v>
      </c>
      <c r="H293" s="1" t="s">
        <v>25</v>
      </c>
      <c r="I293" s="1" t="s">
        <v>70</v>
      </c>
    </row>
    <row r="294" spans="1:13">
      <c r="D294" s="1" t="s">
        <v>89</v>
      </c>
      <c r="E294" s="1" t="s">
        <v>71</v>
      </c>
      <c r="F294" s="1" t="s">
        <v>52</v>
      </c>
      <c r="G294" s="1" t="s">
        <v>53</v>
      </c>
      <c r="H294" s="1" t="s">
        <v>22</v>
      </c>
      <c r="I294" s="1" t="s">
        <v>65</v>
      </c>
      <c r="L294" s="1">
        <v>7936.6414386555998</v>
      </c>
    </row>
    <row r="295" spans="1:13">
      <c r="D295" s="1" t="s">
        <v>89</v>
      </c>
      <c r="E295" s="1" t="s">
        <v>72</v>
      </c>
      <c r="F295" s="1" t="s">
        <v>56</v>
      </c>
      <c r="G295" s="1" t="s">
        <v>57</v>
      </c>
      <c r="H295" s="1" t="s">
        <v>22</v>
      </c>
      <c r="I295" s="1" t="s">
        <v>65</v>
      </c>
      <c r="J295" s="1">
        <v>0</v>
      </c>
      <c r="L295" s="1">
        <v>14.503773773020921</v>
      </c>
    </row>
    <row r="296" spans="1:13">
      <c r="D296" s="1" t="s">
        <v>89</v>
      </c>
      <c r="E296" s="1" t="s">
        <v>73</v>
      </c>
      <c r="F296" s="1" t="s">
        <v>60</v>
      </c>
      <c r="G296" s="1" t="s">
        <v>61</v>
      </c>
      <c r="H296" s="1" t="s">
        <v>22</v>
      </c>
      <c r="I296" s="1" t="s">
        <v>65</v>
      </c>
      <c r="L296" s="1">
        <v>2.38845896627E-4</v>
      </c>
    </row>
    <row r="297" spans="1:13">
      <c r="D297" s="1" t="s">
        <v>89</v>
      </c>
      <c r="E297" s="1" t="s">
        <v>74</v>
      </c>
      <c r="F297" s="1" t="s">
        <v>75</v>
      </c>
      <c r="G297" s="1" t="s">
        <v>76</v>
      </c>
      <c r="H297" s="1" t="s">
        <v>22</v>
      </c>
      <c r="I297" s="1" t="s">
        <v>65</v>
      </c>
      <c r="J297" s="1">
        <v>0</v>
      </c>
      <c r="L297" s="1">
        <v>16.018463521800001</v>
      </c>
    </row>
    <row r="298" spans="1:13">
      <c r="D298" s="1" t="s">
        <v>89</v>
      </c>
      <c r="E298" s="1" t="s">
        <v>77</v>
      </c>
      <c r="H298" s="1" t="s">
        <v>22</v>
      </c>
      <c r="I298" s="1" t="s">
        <v>65</v>
      </c>
      <c r="L298" s="1">
        <v>1</v>
      </c>
    </row>
    <row r="299" spans="1:13">
      <c r="D299" s="1" t="s">
        <v>89</v>
      </c>
      <c r="E299" s="1" t="s">
        <v>78</v>
      </c>
      <c r="H299" s="1" t="s">
        <v>25</v>
      </c>
      <c r="I299" s="1" t="s">
        <v>23</v>
      </c>
      <c r="M299" s="1" t="b">
        <v>0</v>
      </c>
    </row>
    <row r="300" spans="1:13">
      <c r="D300" s="1" t="s">
        <v>89</v>
      </c>
      <c r="E300" s="1" t="s">
        <v>79</v>
      </c>
      <c r="F300" s="1" t="s">
        <v>75</v>
      </c>
      <c r="G300" s="1" t="s">
        <v>76</v>
      </c>
      <c r="H300" s="1" t="s">
        <v>22</v>
      </c>
      <c r="I300" s="1" t="s">
        <v>23</v>
      </c>
      <c r="J300" s="1">
        <v>0</v>
      </c>
      <c r="K300" s="1">
        <v>96.110781130800007</v>
      </c>
      <c r="L300" s="1">
        <v>16.018463521800001</v>
      </c>
      <c r="M300" s="1">
        <v>1.6018463521800002</v>
      </c>
    </row>
    <row r="301" spans="1:13">
      <c r="D301" s="1" t="s">
        <v>89</v>
      </c>
      <c r="E301" s="1" t="s">
        <v>80</v>
      </c>
      <c r="H301" s="1" t="s">
        <v>25</v>
      </c>
      <c r="I301" s="1" t="s">
        <v>23</v>
      </c>
      <c r="M301" s="1" t="b">
        <v>0</v>
      </c>
    </row>
    <row r="302" spans="1:13">
      <c r="D302" s="1" t="s">
        <v>89</v>
      </c>
      <c r="E302" s="1" t="s">
        <v>81</v>
      </c>
      <c r="H302" s="1" t="s">
        <v>25</v>
      </c>
      <c r="I302" s="1" t="s">
        <v>23</v>
      </c>
      <c r="M302" s="1" t="b">
        <v>0</v>
      </c>
    </row>
    <row r="303" spans="1:13">
      <c r="D303" s="1" t="s">
        <v>89</v>
      </c>
      <c r="E303" s="1" t="s">
        <v>82</v>
      </c>
      <c r="H303" s="1" t="s">
        <v>22</v>
      </c>
      <c r="I303" s="1" t="s">
        <v>23</v>
      </c>
      <c r="J303" s="1">
        <v>-1</v>
      </c>
      <c r="K303" s="1">
        <v>3</v>
      </c>
      <c r="L303" s="1">
        <v>1</v>
      </c>
      <c r="M303" s="1">
        <v>1.01</v>
      </c>
    </row>
    <row r="304" spans="1:13">
      <c r="D304" s="1" t="s">
        <v>90</v>
      </c>
      <c r="E304" s="1" t="s">
        <v>28</v>
      </c>
      <c r="H304" s="1" t="s">
        <v>22</v>
      </c>
      <c r="I304" s="1" t="s">
        <v>29</v>
      </c>
      <c r="J304" s="1">
        <v>34000</v>
      </c>
      <c r="K304" s="1">
        <v>4300000</v>
      </c>
      <c r="L304" s="1">
        <v>349660</v>
      </c>
    </row>
    <row r="305" spans="4:13">
      <c r="D305" s="1" t="s">
        <v>90</v>
      </c>
      <c r="E305" s="1" t="s">
        <v>30</v>
      </c>
      <c r="H305" s="1" t="s">
        <v>22</v>
      </c>
      <c r="I305" s="1" t="s">
        <v>29</v>
      </c>
      <c r="J305" s="1">
        <v>-3.94</v>
      </c>
      <c r="K305" s="1">
        <v>3.66</v>
      </c>
      <c r="L305" s="1">
        <v>1</v>
      </c>
    </row>
    <row r="306" spans="4:13">
      <c r="D306" s="1" t="s">
        <v>90</v>
      </c>
      <c r="E306" s="1" t="s">
        <v>31</v>
      </c>
      <c r="H306" s="1" t="s">
        <v>22</v>
      </c>
      <c r="I306" s="1" t="s">
        <v>29</v>
      </c>
      <c r="J306" s="1">
        <v>0</v>
      </c>
      <c r="K306" s="1">
        <v>100</v>
      </c>
      <c r="L306" s="1">
        <v>1</v>
      </c>
    </row>
    <row r="307" spans="4:13">
      <c r="D307" s="1" t="s">
        <v>90</v>
      </c>
      <c r="E307" s="1" t="s">
        <v>32</v>
      </c>
      <c r="H307" s="1" t="s">
        <v>22</v>
      </c>
      <c r="I307" s="1" t="s">
        <v>29</v>
      </c>
      <c r="J307" s="1">
        <v>-3.94</v>
      </c>
      <c r="K307" s="1">
        <v>3.66</v>
      </c>
      <c r="L307" s="1">
        <v>1</v>
      </c>
    </row>
    <row r="308" spans="4:13">
      <c r="D308" s="1" t="s">
        <v>90</v>
      </c>
      <c r="E308" s="1" t="s">
        <v>33</v>
      </c>
      <c r="H308" s="1" t="s">
        <v>25</v>
      </c>
      <c r="I308" s="1" t="s">
        <v>23</v>
      </c>
      <c r="M308" s="1" t="b">
        <v>0</v>
      </c>
    </row>
    <row r="309" spans="4:13">
      <c r="D309" s="1" t="s">
        <v>90</v>
      </c>
      <c r="E309" s="1" t="s">
        <v>34</v>
      </c>
      <c r="F309" s="1" t="s">
        <v>35</v>
      </c>
      <c r="G309" s="1" t="s">
        <v>36</v>
      </c>
      <c r="H309" s="1" t="s">
        <v>22</v>
      </c>
      <c r="I309" s="1" t="s">
        <v>23</v>
      </c>
      <c r="J309" s="1">
        <v>-459.67</v>
      </c>
      <c r="K309" s="1">
        <v>980.32999999999993</v>
      </c>
      <c r="L309" s="1">
        <v>80.329999999999984</v>
      </c>
      <c r="M309" s="1">
        <v>67.999999999999943</v>
      </c>
    </row>
    <row r="310" spans="4:13">
      <c r="D310" s="1" t="s">
        <v>90</v>
      </c>
      <c r="E310" s="1" t="s">
        <v>37</v>
      </c>
      <c r="H310" s="1" t="s">
        <v>25</v>
      </c>
      <c r="I310" s="1" t="s">
        <v>23</v>
      </c>
      <c r="M310" s="1" t="b">
        <v>0</v>
      </c>
    </row>
    <row r="311" spans="4:13">
      <c r="D311" s="1" t="s">
        <v>90</v>
      </c>
      <c r="E311" s="1" t="s">
        <v>38</v>
      </c>
      <c r="F311" s="1" t="s">
        <v>35</v>
      </c>
      <c r="G311" s="1" t="s">
        <v>36</v>
      </c>
      <c r="H311" s="1" t="s">
        <v>22</v>
      </c>
      <c r="I311" s="1" t="s">
        <v>23</v>
      </c>
      <c r="J311" s="1">
        <v>-99.670000000000016</v>
      </c>
      <c r="K311" s="1">
        <v>980.32999999999993</v>
      </c>
      <c r="L311" s="1">
        <v>80.329999999999984</v>
      </c>
      <c r="M311" s="1">
        <v>13.999999999999943</v>
      </c>
    </row>
    <row r="312" spans="4:13">
      <c r="D312" s="1" t="s">
        <v>90</v>
      </c>
      <c r="E312" s="1" t="s">
        <v>39</v>
      </c>
      <c r="H312" s="1" t="s">
        <v>25</v>
      </c>
      <c r="I312" s="1" t="s">
        <v>23</v>
      </c>
      <c r="M312" s="1" t="b">
        <v>0</v>
      </c>
    </row>
    <row r="313" spans="4:13">
      <c r="D313" s="1" t="s">
        <v>90</v>
      </c>
      <c r="E313" s="1" t="s">
        <v>40</v>
      </c>
      <c r="F313" s="1" t="s">
        <v>41</v>
      </c>
      <c r="G313" s="1" t="s">
        <v>42</v>
      </c>
      <c r="H313" s="1" t="s">
        <v>22</v>
      </c>
      <c r="I313" s="1" t="s">
        <v>23</v>
      </c>
      <c r="J313" s="1">
        <v>-900</v>
      </c>
      <c r="K313" s="1">
        <v>900</v>
      </c>
      <c r="L313" s="1">
        <v>1.8</v>
      </c>
      <c r="M313" s="1">
        <v>9</v>
      </c>
    </row>
    <row r="314" spans="4:13">
      <c r="D314" s="1" t="s">
        <v>90</v>
      </c>
      <c r="E314" s="1" t="s">
        <v>43</v>
      </c>
      <c r="H314" s="1" t="s">
        <v>25</v>
      </c>
      <c r="I314" s="1" t="s">
        <v>23</v>
      </c>
      <c r="M314" s="1" t="b">
        <v>0</v>
      </c>
    </row>
    <row r="315" spans="4:13">
      <c r="D315" s="1" t="s">
        <v>90</v>
      </c>
      <c r="E315" s="1" t="s">
        <v>44</v>
      </c>
      <c r="F315" s="1" t="s">
        <v>45</v>
      </c>
      <c r="G315" s="1" t="s">
        <v>46</v>
      </c>
      <c r="H315" s="1" t="s">
        <v>22</v>
      </c>
      <c r="I315" s="1" t="s">
        <v>23</v>
      </c>
      <c r="J315" s="1">
        <v>-85.984522757427143</v>
      </c>
      <c r="K315" s="1">
        <v>8598.4522757427148</v>
      </c>
      <c r="L315" s="1">
        <v>114.79148749423418</v>
      </c>
      <c r="M315" s="1">
        <v>128.97678413614071</v>
      </c>
    </row>
    <row r="316" spans="4:13">
      <c r="D316" s="1" t="s">
        <v>90</v>
      </c>
      <c r="E316" s="1" t="s">
        <v>47</v>
      </c>
      <c r="H316" s="1" t="s">
        <v>25</v>
      </c>
      <c r="I316" s="1" t="s">
        <v>23</v>
      </c>
      <c r="M316" s="1" t="b">
        <v>0</v>
      </c>
    </row>
    <row r="317" spans="4:13">
      <c r="D317" s="1" t="s">
        <v>90</v>
      </c>
      <c r="E317" s="1" t="s">
        <v>48</v>
      </c>
      <c r="H317" s="1" t="s">
        <v>25</v>
      </c>
      <c r="I317" s="1" t="s">
        <v>23</v>
      </c>
      <c r="M317" s="1" t="b">
        <v>0</v>
      </c>
    </row>
    <row r="318" spans="4:13">
      <c r="D318" s="1" t="s">
        <v>90</v>
      </c>
      <c r="E318" s="1" t="s">
        <v>49</v>
      </c>
      <c r="H318" s="1" t="s">
        <v>25</v>
      </c>
      <c r="I318" s="1" t="s">
        <v>23</v>
      </c>
      <c r="M318" s="1" t="b">
        <v>0</v>
      </c>
    </row>
    <row r="319" spans="4:13">
      <c r="D319" s="1" t="s">
        <v>90</v>
      </c>
      <c r="E319" s="1" t="s">
        <v>50</v>
      </c>
      <c r="H319" s="1" t="s">
        <v>25</v>
      </c>
      <c r="I319" s="1" t="s">
        <v>23</v>
      </c>
      <c r="M319" s="1" t="b">
        <v>0</v>
      </c>
    </row>
    <row r="320" spans="4:13">
      <c r="D320" s="1" t="s">
        <v>90</v>
      </c>
      <c r="E320" s="1" t="s">
        <v>51</v>
      </c>
      <c r="F320" s="1" t="s">
        <v>52</v>
      </c>
      <c r="G320" s="1" t="s">
        <v>53</v>
      </c>
      <c r="H320" s="1" t="s">
        <v>22</v>
      </c>
      <c r="I320" s="1" t="s">
        <v>23</v>
      </c>
      <c r="J320" s="1">
        <v>0</v>
      </c>
      <c r="K320" s="1">
        <v>7936641438.6555996</v>
      </c>
      <c r="L320" s="1">
        <v>7936.6414386555998</v>
      </c>
      <c r="M320" s="1">
        <v>7936.6414386555998</v>
      </c>
    </row>
    <row r="321" spans="1:13">
      <c r="D321" s="1" t="s">
        <v>90</v>
      </c>
      <c r="E321" s="1" t="s">
        <v>54</v>
      </c>
      <c r="H321" s="1" t="s">
        <v>25</v>
      </c>
      <c r="I321" s="1" t="s">
        <v>23</v>
      </c>
      <c r="M321" s="1" t="b">
        <v>0</v>
      </c>
    </row>
    <row r="322" spans="1:13">
      <c r="D322" s="1" t="s">
        <v>90</v>
      </c>
      <c r="E322" s="1" t="s">
        <v>55</v>
      </c>
      <c r="F322" s="1" t="s">
        <v>56</v>
      </c>
      <c r="G322" s="1" t="s">
        <v>57</v>
      </c>
      <c r="H322" s="1" t="s">
        <v>22</v>
      </c>
      <c r="I322" s="1" t="s">
        <v>23</v>
      </c>
      <c r="J322" s="1">
        <v>0</v>
      </c>
      <c r="K322" s="1">
        <v>9427.4529524635982</v>
      </c>
      <c r="L322" s="1">
        <v>50.713895374744951</v>
      </c>
      <c r="M322" s="1">
        <v>50.763208205573221</v>
      </c>
    </row>
    <row r="323" spans="1:13">
      <c r="D323" s="1" t="s">
        <v>90</v>
      </c>
      <c r="E323" s="1" t="s">
        <v>58</v>
      </c>
      <c r="H323" s="1" t="s">
        <v>25</v>
      </c>
      <c r="I323" s="1" t="s">
        <v>23</v>
      </c>
      <c r="M323" s="1" t="b">
        <v>0</v>
      </c>
    </row>
    <row r="324" spans="1:13">
      <c r="D324" s="1" t="s">
        <v>90</v>
      </c>
      <c r="E324" s="1" t="s">
        <v>59</v>
      </c>
      <c r="F324" s="1" t="s">
        <v>60</v>
      </c>
      <c r="G324" s="1" t="s">
        <v>61</v>
      </c>
      <c r="H324" s="1" t="s">
        <v>22</v>
      </c>
      <c r="I324" s="1" t="s">
        <v>23</v>
      </c>
      <c r="J324" s="1">
        <v>-9.5538358650799999</v>
      </c>
      <c r="K324" s="1">
        <v>9.5538358650799999</v>
      </c>
      <c r="L324" s="1">
        <v>0.23884589662700001</v>
      </c>
      <c r="M324" s="1">
        <v>0.23884589662700001</v>
      </c>
    </row>
    <row r="325" spans="1:13">
      <c r="D325" s="1" t="s">
        <v>90</v>
      </c>
      <c r="E325" s="1" t="s">
        <v>62</v>
      </c>
      <c r="H325" s="1" t="s">
        <v>63</v>
      </c>
      <c r="I325" s="1" t="s">
        <v>23</v>
      </c>
      <c r="M325" s="1">
        <v>1</v>
      </c>
    </row>
    <row r="326" spans="1:13">
      <c r="D326" s="1" t="s">
        <v>90</v>
      </c>
      <c r="E326" s="1" t="s">
        <v>64</v>
      </c>
      <c r="F326" s="1" t="s">
        <v>35</v>
      </c>
      <c r="G326" s="1" t="s">
        <v>36</v>
      </c>
      <c r="H326" s="1" t="s">
        <v>22</v>
      </c>
      <c r="I326" s="1" t="s">
        <v>65</v>
      </c>
      <c r="J326" s="1">
        <v>-459.67</v>
      </c>
      <c r="L326" s="1">
        <v>80.329999999999984</v>
      </c>
    </row>
    <row r="327" spans="1:13">
      <c r="A327" s="2" t="s">
        <v>1758</v>
      </c>
      <c r="B327" s="3" t="s">
        <v>1782</v>
      </c>
      <c r="D327" s="1" t="s">
        <v>90</v>
      </c>
      <c r="E327" s="1" t="s">
        <v>66</v>
      </c>
      <c r="F327" s="1" t="s">
        <v>35</v>
      </c>
      <c r="G327" s="1" t="s">
        <v>36</v>
      </c>
      <c r="H327" s="1" t="s">
        <v>22</v>
      </c>
      <c r="I327" s="1" t="s">
        <v>65</v>
      </c>
      <c r="J327" s="1">
        <v>-459.67</v>
      </c>
      <c r="L327" s="1">
        <v>80.329999999999984</v>
      </c>
    </row>
    <row r="328" spans="1:13">
      <c r="D328" s="1" t="s">
        <v>90</v>
      </c>
      <c r="E328" s="1" t="s">
        <v>67</v>
      </c>
      <c r="F328" s="1" t="s">
        <v>41</v>
      </c>
      <c r="G328" s="1" t="s">
        <v>42</v>
      </c>
      <c r="H328" s="1" t="s">
        <v>22</v>
      </c>
      <c r="I328" s="1" t="s">
        <v>65</v>
      </c>
      <c r="L328" s="1">
        <v>1.8</v>
      </c>
    </row>
    <row r="329" spans="1:13">
      <c r="D329" s="1" t="s">
        <v>90</v>
      </c>
      <c r="E329" s="1" t="s">
        <v>68</v>
      </c>
      <c r="F329" s="1" t="s">
        <v>45</v>
      </c>
      <c r="G329" s="1" t="s">
        <v>46</v>
      </c>
      <c r="H329" s="1" t="s">
        <v>22</v>
      </c>
      <c r="I329" s="1" t="s">
        <v>65</v>
      </c>
      <c r="L329" s="1">
        <v>4.2992261378713571E-4</v>
      </c>
    </row>
    <row r="330" spans="1:13">
      <c r="D330" s="1" t="s">
        <v>90</v>
      </c>
      <c r="E330" s="1" t="s">
        <v>69</v>
      </c>
      <c r="H330" s="1" t="s">
        <v>25</v>
      </c>
      <c r="I330" s="1" t="s">
        <v>70</v>
      </c>
    </row>
    <row r="331" spans="1:13">
      <c r="D331" s="1" t="s">
        <v>90</v>
      </c>
      <c r="E331" s="1" t="s">
        <v>71</v>
      </c>
      <c r="F331" s="1" t="s">
        <v>52</v>
      </c>
      <c r="G331" s="1" t="s">
        <v>53</v>
      </c>
      <c r="H331" s="1" t="s">
        <v>22</v>
      </c>
      <c r="I331" s="1" t="s">
        <v>65</v>
      </c>
      <c r="L331" s="1">
        <v>7936.6414386555998</v>
      </c>
    </row>
    <row r="332" spans="1:13">
      <c r="A332" s="2" t="s">
        <v>1758</v>
      </c>
      <c r="B332" s="3" t="s">
        <v>1783</v>
      </c>
      <c r="D332" s="1" t="s">
        <v>90</v>
      </c>
      <c r="E332" s="1" t="s">
        <v>72</v>
      </c>
      <c r="F332" s="1" t="s">
        <v>56</v>
      </c>
      <c r="G332" s="1" t="s">
        <v>57</v>
      </c>
      <c r="H332" s="1" t="s">
        <v>22</v>
      </c>
      <c r="I332" s="1" t="s">
        <v>65</v>
      </c>
      <c r="J332" s="1">
        <v>0</v>
      </c>
      <c r="L332" s="1">
        <v>14.503773773020921</v>
      </c>
    </row>
    <row r="333" spans="1:13">
      <c r="D333" s="1" t="s">
        <v>90</v>
      </c>
      <c r="E333" s="1" t="s">
        <v>73</v>
      </c>
      <c r="F333" s="1" t="s">
        <v>60</v>
      </c>
      <c r="G333" s="1" t="s">
        <v>61</v>
      </c>
      <c r="H333" s="1" t="s">
        <v>22</v>
      </c>
      <c r="I333" s="1" t="s">
        <v>65</v>
      </c>
      <c r="L333" s="1">
        <v>2.38845896627E-4</v>
      </c>
    </row>
    <row r="334" spans="1:13">
      <c r="D334" s="1" t="s">
        <v>90</v>
      </c>
      <c r="E334" s="1" t="s">
        <v>74</v>
      </c>
      <c r="F334" s="1" t="s">
        <v>75</v>
      </c>
      <c r="G334" s="1" t="s">
        <v>76</v>
      </c>
      <c r="H334" s="1" t="s">
        <v>22</v>
      </c>
      <c r="I334" s="1" t="s">
        <v>65</v>
      </c>
      <c r="J334" s="1">
        <v>0</v>
      </c>
      <c r="L334" s="1">
        <v>16.018463521800001</v>
      </c>
    </row>
    <row r="335" spans="1:13">
      <c r="D335" s="1" t="s">
        <v>90</v>
      </c>
      <c r="E335" s="1" t="s">
        <v>77</v>
      </c>
      <c r="H335" s="1" t="s">
        <v>22</v>
      </c>
      <c r="I335" s="1" t="s">
        <v>65</v>
      </c>
      <c r="L335" s="1">
        <v>1</v>
      </c>
    </row>
    <row r="336" spans="1:13">
      <c r="D336" s="1" t="s">
        <v>90</v>
      </c>
      <c r="E336" s="1" t="s">
        <v>78</v>
      </c>
      <c r="H336" s="1" t="s">
        <v>25</v>
      </c>
      <c r="I336" s="1" t="s">
        <v>23</v>
      </c>
      <c r="M336" s="1" t="b">
        <v>0</v>
      </c>
    </row>
    <row r="337" spans="4:13">
      <c r="D337" s="1" t="s">
        <v>90</v>
      </c>
      <c r="E337" s="1" t="s">
        <v>79</v>
      </c>
      <c r="F337" s="1" t="s">
        <v>75</v>
      </c>
      <c r="G337" s="1" t="s">
        <v>76</v>
      </c>
      <c r="H337" s="1" t="s">
        <v>22</v>
      </c>
      <c r="I337" s="1" t="s">
        <v>23</v>
      </c>
      <c r="J337" s="1">
        <v>0</v>
      </c>
      <c r="K337" s="1">
        <v>96.110781130800007</v>
      </c>
      <c r="L337" s="1">
        <v>16.018463521800001</v>
      </c>
      <c r="M337" s="1">
        <v>1.6018463521800002</v>
      </c>
    </row>
    <row r="338" spans="4:13">
      <c r="D338" s="1" t="s">
        <v>90</v>
      </c>
      <c r="E338" s="1" t="s">
        <v>80</v>
      </c>
      <c r="H338" s="1" t="s">
        <v>25</v>
      </c>
      <c r="I338" s="1" t="s">
        <v>23</v>
      </c>
      <c r="M338" s="1" t="b">
        <v>0</v>
      </c>
    </row>
    <row r="339" spans="4:13">
      <c r="D339" s="1" t="s">
        <v>90</v>
      </c>
      <c r="E339" s="1" t="s">
        <v>81</v>
      </c>
      <c r="H339" s="1" t="s">
        <v>25</v>
      </c>
      <c r="I339" s="1" t="s">
        <v>23</v>
      </c>
      <c r="M339" s="1" t="b">
        <v>0</v>
      </c>
    </row>
    <row r="340" spans="4:13">
      <c r="D340" s="1" t="s">
        <v>90</v>
      </c>
      <c r="E340" s="1" t="s">
        <v>82</v>
      </c>
      <c r="H340" s="1" t="s">
        <v>22</v>
      </c>
      <c r="I340" s="1" t="s">
        <v>23</v>
      </c>
      <c r="J340" s="1">
        <v>-1</v>
      </c>
      <c r="K340" s="1">
        <v>3</v>
      </c>
      <c r="L340" s="1">
        <v>1</v>
      </c>
      <c r="M340" s="1">
        <v>1.01</v>
      </c>
    </row>
    <row r="341" spans="4:13">
      <c r="D341" s="1" t="s">
        <v>91</v>
      </c>
      <c r="H341" s="1" t="s">
        <v>22</v>
      </c>
      <c r="I341" s="1" t="s">
        <v>23</v>
      </c>
      <c r="L341" s="1">
        <v>1</v>
      </c>
      <c r="M341" s="1">
        <v>0.99</v>
      </c>
    </row>
    <row r="342" spans="4:13">
      <c r="D342" s="1" t="s">
        <v>92</v>
      </c>
      <c r="E342" s="1" t="s">
        <v>28</v>
      </c>
      <c r="H342" s="1" t="s">
        <v>22</v>
      </c>
      <c r="I342" s="1" t="s">
        <v>29</v>
      </c>
      <c r="J342" s="1">
        <v>34000</v>
      </c>
      <c r="K342" s="1">
        <v>4300000</v>
      </c>
      <c r="L342" s="1">
        <v>349660</v>
      </c>
    </row>
    <row r="343" spans="4:13">
      <c r="D343" s="1" t="s">
        <v>92</v>
      </c>
      <c r="E343" s="1" t="s">
        <v>30</v>
      </c>
      <c r="H343" s="1" t="s">
        <v>22</v>
      </c>
      <c r="I343" s="1" t="s">
        <v>29</v>
      </c>
      <c r="J343" s="1">
        <v>-3.94</v>
      </c>
      <c r="K343" s="1">
        <v>3.66</v>
      </c>
      <c r="L343" s="1">
        <v>1</v>
      </c>
    </row>
    <row r="344" spans="4:13">
      <c r="D344" s="1" t="s">
        <v>92</v>
      </c>
      <c r="E344" s="1" t="s">
        <v>31</v>
      </c>
      <c r="H344" s="1" t="s">
        <v>22</v>
      </c>
      <c r="I344" s="1" t="s">
        <v>29</v>
      </c>
      <c r="J344" s="1">
        <v>0</v>
      </c>
      <c r="K344" s="1">
        <v>100</v>
      </c>
      <c r="L344" s="1">
        <v>1</v>
      </c>
    </row>
    <row r="345" spans="4:13">
      <c r="D345" s="1" t="s">
        <v>92</v>
      </c>
      <c r="E345" s="1" t="s">
        <v>32</v>
      </c>
      <c r="H345" s="1" t="s">
        <v>22</v>
      </c>
      <c r="I345" s="1" t="s">
        <v>29</v>
      </c>
      <c r="J345" s="1">
        <v>-3.94</v>
      </c>
      <c r="K345" s="1">
        <v>3.66</v>
      </c>
      <c r="L345" s="1">
        <v>1</v>
      </c>
    </row>
    <row r="346" spans="4:13">
      <c r="D346" s="1" t="s">
        <v>92</v>
      </c>
      <c r="E346" s="1" t="s">
        <v>33</v>
      </c>
      <c r="H346" s="1" t="s">
        <v>25</v>
      </c>
      <c r="I346" s="1" t="s">
        <v>23</v>
      </c>
      <c r="M346" s="1" t="b">
        <v>0</v>
      </c>
    </row>
    <row r="347" spans="4:13">
      <c r="D347" s="1" t="s">
        <v>92</v>
      </c>
      <c r="E347" s="1" t="s">
        <v>34</v>
      </c>
      <c r="F347" s="1" t="s">
        <v>35</v>
      </c>
      <c r="G347" s="1" t="s">
        <v>36</v>
      </c>
      <c r="H347" s="1" t="s">
        <v>22</v>
      </c>
      <c r="I347" s="1" t="s">
        <v>23</v>
      </c>
      <c r="J347" s="1">
        <v>-459.67</v>
      </c>
      <c r="K347" s="1">
        <v>980.32999999999993</v>
      </c>
      <c r="L347" s="1">
        <v>80.329999999999984</v>
      </c>
      <c r="M347" s="1">
        <v>67.999999999999943</v>
      </c>
    </row>
    <row r="348" spans="4:13">
      <c r="D348" s="1" t="s">
        <v>92</v>
      </c>
      <c r="E348" s="1" t="s">
        <v>37</v>
      </c>
      <c r="H348" s="1" t="s">
        <v>25</v>
      </c>
      <c r="I348" s="1" t="s">
        <v>23</v>
      </c>
      <c r="M348" s="1" t="b">
        <v>0</v>
      </c>
    </row>
    <row r="349" spans="4:13">
      <c r="D349" s="1" t="s">
        <v>92</v>
      </c>
      <c r="E349" s="1" t="s">
        <v>38</v>
      </c>
      <c r="F349" s="1" t="s">
        <v>35</v>
      </c>
      <c r="G349" s="1" t="s">
        <v>36</v>
      </c>
      <c r="H349" s="1" t="s">
        <v>22</v>
      </c>
      <c r="I349" s="1" t="s">
        <v>23</v>
      </c>
      <c r="J349" s="1">
        <v>-99.670000000000016</v>
      </c>
      <c r="K349" s="1">
        <v>980.32999999999993</v>
      </c>
      <c r="L349" s="1">
        <v>80.329999999999984</v>
      </c>
      <c r="M349" s="1">
        <v>13.999999999999943</v>
      </c>
    </row>
    <row r="350" spans="4:13">
      <c r="D350" s="1" t="s">
        <v>92</v>
      </c>
      <c r="E350" s="1" t="s">
        <v>39</v>
      </c>
      <c r="H350" s="1" t="s">
        <v>25</v>
      </c>
      <c r="I350" s="1" t="s">
        <v>23</v>
      </c>
      <c r="M350" s="1" t="b">
        <v>0</v>
      </c>
    </row>
    <row r="351" spans="4:13">
      <c r="D351" s="1" t="s">
        <v>92</v>
      </c>
      <c r="E351" s="1" t="s">
        <v>40</v>
      </c>
      <c r="F351" s="1" t="s">
        <v>41</v>
      </c>
      <c r="G351" s="1" t="s">
        <v>42</v>
      </c>
      <c r="H351" s="1" t="s">
        <v>22</v>
      </c>
      <c r="I351" s="1" t="s">
        <v>23</v>
      </c>
      <c r="J351" s="1">
        <v>-900</v>
      </c>
      <c r="K351" s="1">
        <v>900</v>
      </c>
      <c r="L351" s="1">
        <v>1.8</v>
      </c>
      <c r="M351" s="1">
        <v>9</v>
      </c>
    </row>
    <row r="352" spans="4:13">
      <c r="D352" s="1" t="s">
        <v>92</v>
      </c>
      <c r="E352" s="1" t="s">
        <v>43</v>
      </c>
      <c r="H352" s="1" t="s">
        <v>25</v>
      </c>
      <c r="I352" s="1" t="s">
        <v>23</v>
      </c>
      <c r="M352" s="1" t="b">
        <v>0</v>
      </c>
    </row>
    <row r="353" spans="4:13">
      <c r="D353" s="1" t="s">
        <v>92</v>
      </c>
      <c r="E353" s="1" t="s">
        <v>44</v>
      </c>
      <c r="F353" s="1" t="s">
        <v>45</v>
      </c>
      <c r="G353" s="1" t="s">
        <v>46</v>
      </c>
      <c r="H353" s="1" t="s">
        <v>22</v>
      </c>
      <c r="I353" s="1" t="s">
        <v>23</v>
      </c>
      <c r="J353" s="1">
        <v>-85.984522757427143</v>
      </c>
      <c r="K353" s="1">
        <v>8598.4522757427148</v>
      </c>
      <c r="L353" s="1">
        <v>114.79148749423418</v>
      </c>
      <c r="M353" s="1">
        <v>128.97678413614071</v>
      </c>
    </row>
    <row r="354" spans="4:13">
      <c r="D354" s="1" t="s">
        <v>92</v>
      </c>
      <c r="E354" s="1" t="s">
        <v>47</v>
      </c>
      <c r="H354" s="1" t="s">
        <v>25</v>
      </c>
      <c r="I354" s="1" t="s">
        <v>23</v>
      </c>
      <c r="M354" s="1" t="b">
        <v>0</v>
      </c>
    </row>
    <row r="355" spans="4:13">
      <c r="D355" s="1" t="s">
        <v>92</v>
      </c>
      <c r="E355" s="1" t="s">
        <v>48</v>
      </c>
      <c r="H355" s="1" t="s">
        <v>25</v>
      </c>
      <c r="I355" s="1" t="s">
        <v>23</v>
      </c>
      <c r="M355" s="1" t="b">
        <v>0</v>
      </c>
    </row>
    <row r="356" spans="4:13">
      <c r="D356" s="1" t="s">
        <v>92</v>
      </c>
      <c r="E356" s="1" t="s">
        <v>49</v>
      </c>
      <c r="H356" s="1" t="s">
        <v>25</v>
      </c>
      <c r="I356" s="1" t="s">
        <v>23</v>
      </c>
      <c r="M356" s="1" t="b">
        <v>0</v>
      </c>
    </row>
    <row r="357" spans="4:13">
      <c r="D357" s="1" t="s">
        <v>92</v>
      </c>
      <c r="E357" s="1" t="s">
        <v>50</v>
      </c>
      <c r="H357" s="1" t="s">
        <v>25</v>
      </c>
      <c r="I357" s="1" t="s">
        <v>23</v>
      </c>
      <c r="M357" s="1" t="b">
        <v>0</v>
      </c>
    </row>
    <row r="358" spans="4:13">
      <c r="D358" s="1" t="s">
        <v>92</v>
      </c>
      <c r="E358" s="1" t="s">
        <v>51</v>
      </c>
      <c r="F358" s="1" t="s">
        <v>52</v>
      </c>
      <c r="G358" s="1" t="s">
        <v>53</v>
      </c>
      <c r="H358" s="1" t="s">
        <v>22</v>
      </c>
      <c r="I358" s="1" t="s">
        <v>23</v>
      </c>
      <c r="J358" s="1">
        <v>0</v>
      </c>
      <c r="K358" s="1">
        <v>7936641438.6555996</v>
      </c>
      <c r="L358" s="1">
        <v>7936.6414386555998</v>
      </c>
      <c r="M358" s="1">
        <v>7936.6414386555998</v>
      </c>
    </row>
    <row r="359" spans="4:13">
      <c r="D359" s="1" t="s">
        <v>92</v>
      </c>
      <c r="E359" s="1" t="s">
        <v>54</v>
      </c>
      <c r="H359" s="1" t="s">
        <v>25</v>
      </c>
      <c r="I359" s="1" t="s">
        <v>23</v>
      </c>
      <c r="M359" s="1" t="b">
        <v>0</v>
      </c>
    </row>
    <row r="360" spans="4:13">
      <c r="D360" s="1" t="s">
        <v>92</v>
      </c>
      <c r="E360" s="1" t="s">
        <v>55</v>
      </c>
      <c r="F360" s="1" t="s">
        <v>56</v>
      </c>
      <c r="G360" s="1" t="s">
        <v>57</v>
      </c>
      <c r="H360" s="1" t="s">
        <v>22</v>
      </c>
      <c r="I360" s="1" t="s">
        <v>23</v>
      </c>
      <c r="J360" s="1">
        <v>0</v>
      </c>
      <c r="K360" s="1">
        <v>9427.4529524635982</v>
      </c>
      <c r="L360" s="1">
        <v>50.713895374744951</v>
      </c>
      <c r="M360" s="1">
        <v>50.763208205573221</v>
      </c>
    </row>
    <row r="361" spans="4:13">
      <c r="D361" s="1" t="s">
        <v>92</v>
      </c>
      <c r="E361" s="1" t="s">
        <v>58</v>
      </c>
      <c r="H361" s="1" t="s">
        <v>25</v>
      </c>
      <c r="I361" s="1" t="s">
        <v>23</v>
      </c>
      <c r="M361" s="1" t="b">
        <v>0</v>
      </c>
    </row>
    <row r="362" spans="4:13">
      <c r="D362" s="1" t="s">
        <v>92</v>
      </c>
      <c r="E362" s="1" t="s">
        <v>59</v>
      </c>
      <c r="F362" s="1" t="s">
        <v>60</v>
      </c>
      <c r="G362" s="1" t="s">
        <v>61</v>
      </c>
      <c r="H362" s="1" t="s">
        <v>22</v>
      </c>
      <c r="I362" s="1" t="s">
        <v>23</v>
      </c>
      <c r="J362" s="1">
        <v>-9.5538358650799999</v>
      </c>
      <c r="K362" s="1">
        <v>9.5538358650799999</v>
      </c>
      <c r="L362" s="1">
        <v>0.23884589662700001</v>
      </c>
      <c r="M362" s="1">
        <v>0.23884589662700001</v>
      </c>
    </row>
    <row r="363" spans="4:13">
      <c r="D363" s="1" t="s">
        <v>92</v>
      </c>
      <c r="E363" s="1" t="s">
        <v>62</v>
      </c>
      <c r="H363" s="1" t="s">
        <v>63</v>
      </c>
      <c r="I363" s="1" t="s">
        <v>23</v>
      </c>
      <c r="M363" s="1">
        <v>1</v>
      </c>
    </row>
    <row r="364" spans="4:13">
      <c r="D364" s="1" t="s">
        <v>92</v>
      </c>
      <c r="E364" s="1" t="s">
        <v>64</v>
      </c>
      <c r="F364" s="1" t="s">
        <v>35</v>
      </c>
      <c r="G364" s="1" t="s">
        <v>36</v>
      </c>
      <c r="H364" s="1" t="s">
        <v>22</v>
      </c>
      <c r="I364" s="1" t="s">
        <v>65</v>
      </c>
      <c r="J364" s="1">
        <v>-459.67</v>
      </c>
      <c r="L364" s="1">
        <v>80.329999999999984</v>
      </c>
    </row>
    <row r="365" spans="4:13">
      <c r="D365" s="1" t="s">
        <v>92</v>
      </c>
      <c r="E365" s="1" t="s">
        <v>66</v>
      </c>
      <c r="F365" s="1" t="s">
        <v>35</v>
      </c>
      <c r="G365" s="1" t="s">
        <v>36</v>
      </c>
      <c r="H365" s="1" t="s">
        <v>22</v>
      </c>
      <c r="I365" s="1" t="s">
        <v>65</v>
      </c>
      <c r="J365" s="1">
        <v>-459.67</v>
      </c>
      <c r="L365" s="1">
        <v>80.329999999999984</v>
      </c>
    </row>
    <row r="366" spans="4:13">
      <c r="D366" s="1" t="s">
        <v>92</v>
      </c>
      <c r="E366" s="1" t="s">
        <v>67</v>
      </c>
      <c r="F366" s="1" t="s">
        <v>41</v>
      </c>
      <c r="G366" s="1" t="s">
        <v>42</v>
      </c>
      <c r="H366" s="1" t="s">
        <v>22</v>
      </c>
      <c r="I366" s="1" t="s">
        <v>65</v>
      </c>
      <c r="L366" s="1">
        <v>1.8</v>
      </c>
    </row>
    <row r="367" spans="4:13">
      <c r="D367" s="1" t="s">
        <v>92</v>
      </c>
      <c r="E367" s="1" t="s">
        <v>68</v>
      </c>
      <c r="F367" s="1" t="s">
        <v>45</v>
      </c>
      <c r="G367" s="1" t="s">
        <v>46</v>
      </c>
      <c r="H367" s="1" t="s">
        <v>22</v>
      </c>
      <c r="I367" s="1" t="s">
        <v>65</v>
      </c>
      <c r="L367" s="1">
        <v>4.2992261378713571E-4</v>
      </c>
    </row>
    <row r="368" spans="4:13">
      <c r="D368" s="1" t="s">
        <v>92</v>
      </c>
      <c r="E368" s="1" t="s">
        <v>69</v>
      </c>
      <c r="H368" s="1" t="s">
        <v>25</v>
      </c>
      <c r="I368" s="1" t="s">
        <v>70</v>
      </c>
    </row>
    <row r="369" spans="4:13">
      <c r="D369" s="1" t="s">
        <v>92</v>
      </c>
      <c r="E369" s="1" t="s">
        <v>71</v>
      </c>
      <c r="F369" s="1" t="s">
        <v>52</v>
      </c>
      <c r="G369" s="1" t="s">
        <v>53</v>
      </c>
      <c r="H369" s="1" t="s">
        <v>22</v>
      </c>
      <c r="I369" s="1" t="s">
        <v>65</v>
      </c>
      <c r="L369" s="1">
        <v>7936.6414386555998</v>
      </c>
    </row>
    <row r="370" spans="4:13">
      <c r="D370" s="1" t="s">
        <v>92</v>
      </c>
      <c r="E370" s="1" t="s">
        <v>72</v>
      </c>
      <c r="F370" s="1" t="s">
        <v>56</v>
      </c>
      <c r="G370" s="1" t="s">
        <v>57</v>
      </c>
      <c r="H370" s="1" t="s">
        <v>22</v>
      </c>
      <c r="I370" s="1" t="s">
        <v>65</v>
      </c>
      <c r="J370" s="1">
        <v>0</v>
      </c>
      <c r="L370" s="1">
        <v>14.503773773020921</v>
      </c>
    </row>
    <row r="371" spans="4:13">
      <c r="D371" s="1" t="s">
        <v>92</v>
      </c>
      <c r="E371" s="1" t="s">
        <v>73</v>
      </c>
      <c r="F371" s="1" t="s">
        <v>60</v>
      </c>
      <c r="G371" s="1" t="s">
        <v>61</v>
      </c>
      <c r="H371" s="1" t="s">
        <v>22</v>
      </c>
      <c r="I371" s="1" t="s">
        <v>65</v>
      </c>
      <c r="L371" s="1">
        <v>2.38845896627E-4</v>
      </c>
    </row>
    <row r="372" spans="4:13">
      <c r="D372" s="1" t="s">
        <v>92</v>
      </c>
      <c r="E372" s="1" t="s">
        <v>74</v>
      </c>
      <c r="F372" s="1" t="s">
        <v>75</v>
      </c>
      <c r="G372" s="1" t="s">
        <v>76</v>
      </c>
      <c r="H372" s="1" t="s">
        <v>22</v>
      </c>
      <c r="I372" s="1" t="s">
        <v>65</v>
      </c>
      <c r="J372" s="1">
        <v>0</v>
      </c>
      <c r="L372" s="1">
        <v>16.018463521800001</v>
      </c>
    </row>
    <row r="373" spans="4:13">
      <c r="D373" s="1" t="s">
        <v>92</v>
      </c>
      <c r="E373" s="1" t="s">
        <v>77</v>
      </c>
      <c r="H373" s="1" t="s">
        <v>22</v>
      </c>
      <c r="I373" s="1" t="s">
        <v>65</v>
      </c>
      <c r="L373" s="1">
        <v>1</v>
      </c>
    </row>
    <row r="374" spans="4:13">
      <c r="D374" s="1" t="s">
        <v>92</v>
      </c>
      <c r="E374" s="1" t="s">
        <v>78</v>
      </c>
      <c r="H374" s="1" t="s">
        <v>25</v>
      </c>
      <c r="I374" s="1" t="s">
        <v>23</v>
      </c>
      <c r="M374" s="1" t="b">
        <v>0</v>
      </c>
    </row>
    <row r="375" spans="4:13">
      <c r="D375" s="1" t="s">
        <v>92</v>
      </c>
      <c r="E375" s="1" t="s">
        <v>79</v>
      </c>
      <c r="F375" s="1" t="s">
        <v>75</v>
      </c>
      <c r="G375" s="1" t="s">
        <v>76</v>
      </c>
      <c r="H375" s="1" t="s">
        <v>22</v>
      </c>
      <c r="I375" s="1" t="s">
        <v>23</v>
      </c>
      <c r="J375" s="1">
        <v>0</v>
      </c>
      <c r="K375" s="1">
        <v>96.110781130800007</v>
      </c>
      <c r="L375" s="1">
        <v>16.018463521800001</v>
      </c>
      <c r="M375" s="1">
        <v>1.6018463521800002</v>
      </c>
    </row>
    <row r="376" spans="4:13">
      <c r="D376" s="1" t="s">
        <v>92</v>
      </c>
      <c r="E376" s="1" t="s">
        <v>80</v>
      </c>
      <c r="H376" s="1" t="s">
        <v>25</v>
      </c>
      <c r="I376" s="1" t="s">
        <v>23</v>
      </c>
      <c r="M376" s="1" t="b">
        <v>0</v>
      </c>
    </row>
    <row r="377" spans="4:13">
      <c r="D377" s="1" t="s">
        <v>92</v>
      </c>
      <c r="E377" s="1" t="s">
        <v>81</v>
      </c>
      <c r="H377" s="1" t="s">
        <v>25</v>
      </c>
      <c r="I377" s="1" t="s">
        <v>23</v>
      </c>
      <c r="M377" s="1" t="b">
        <v>0</v>
      </c>
    </row>
    <row r="378" spans="4:13">
      <c r="D378" s="1" t="s">
        <v>92</v>
      </c>
      <c r="E378" s="1" t="s">
        <v>82</v>
      </c>
      <c r="H378" s="1" t="s">
        <v>22</v>
      </c>
      <c r="I378" s="1" t="s">
        <v>23</v>
      </c>
      <c r="J378" s="1">
        <v>-1</v>
      </c>
      <c r="K378" s="1">
        <v>3</v>
      </c>
      <c r="L378" s="1">
        <v>1</v>
      </c>
      <c r="M378" s="1">
        <v>1.01</v>
      </c>
    </row>
    <row r="379" spans="4:13">
      <c r="D379" s="1" t="s">
        <v>93</v>
      </c>
      <c r="F379" s="1" t="s">
        <v>41</v>
      </c>
      <c r="G379" s="1" t="s">
        <v>42</v>
      </c>
      <c r="H379" s="1" t="s">
        <v>22</v>
      </c>
      <c r="I379" s="1" t="s">
        <v>23</v>
      </c>
      <c r="L379" s="1">
        <v>1.8</v>
      </c>
      <c r="M379" s="1">
        <v>10</v>
      </c>
    </row>
    <row r="380" spans="4:13">
      <c r="D380" s="1" t="s">
        <v>94</v>
      </c>
      <c r="E380" s="1" t="s">
        <v>95</v>
      </c>
      <c r="H380" s="1" t="s">
        <v>63</v>
      </c>
      <c r="I380" s="1" t="s">
        <v>23</v>
      </c>
      <c r="M380" s="1">
        <v>-1</v>
      </c>
    </row>
    <row r="381" spans="4:13">
      <c r="D381" s="1" t="s">
        <v>94</v>
      </c>
      <c r="E381" s="1" t="s">
        <v>96</v>
      </c>
      <c r="H381" s="1" t="s">
        <v>22</v>
      </c>
      <c r="I381" s="1" t="s">
        <v>23</v>
      </c>
      <c r="L381" s="1">
        <v>1</v>
      </c>
      <c r="M381" s="1">
        <v>-0.1</v>
      </c>
    </row>
    <row r="382" spans="4:13">
      <c r="D382" s="1" t="s">
        <v>94</v>
      </c>
      <c r="E382" s="1" t="s">
        <v>47</v>
      </c>
      <c r="H382" s="1" t="s">
        <v>25</v>
      </c>
      <c r="I382" s="1" t="s">
        <v>23</v>
      </c>
      <c r="M382" s="1" t="b">
        <v>0</v>
      </c>
    </row>
    <row r="383" spans="4:13">
      <c r="D383" s="1" t="s">
        <v>97</v>
      </c>
      <c r="E383" s="1" t="s">
        <v>28</v>
      </c>
      <c r="H383" s="1" t="s">
        <v>22</v>
      </c>
      <c r="I383" s="1" t="s">
        <v>29</v>
      </c>
      <c r="J383" s="1">
        <v>34000</v>
      </c>
      <c r="K383" s="1">
        <v>4300000</v>
      </c>
      <c r="L383" s="1">
        <v>349660</v>
      </c>
    </row>
    <row r="384" spans="4:13">
      <c r="D384" s="1" t="s">
        <v>97</v>
      </c>
      <c r="E384" s="1" t="s">
        <v>30</v>
      </c>
      <c r="H384" s="1" t="s">
        <v>22</v>
      </c>
      <c r="I384" s="1" t="s">
        <v>29</v>
      </c>
      <c r="J384" s="1">
        <v>-3.94</v>
      </c>
      <c r="K384" s="1">
        <v>3.66</v>
      </c>
      <c r="L384" s="1">
        <v>1</v>
      </c>
    </row>
    <row r="385" spans="4:13">
      <c r="D385" s="1" t="s">
        <v>97</v>
      </c>
      <c r="E385" s="1" t="s">
        <v>31</v>
      </c>
      <c r="H385" s="1" t="s">
        <v>22</v>
      </c>
      <c r="I385" s="1" t="s">
        <v>29</v>
      </c>
      <c r="J385" s="1">
        <v>0</v>
      </c>
      <c r="K385" s="1">
        <v>100</v>
      </c>
      <c r="L385" s="1">
        <v>1</v>
      </c>
    </row>
    <row r="386" spans="4:13">
      <c r="D386" s="1" t="s">
        <v>97</v>
      </c>
      <c r="E386" s="1" t="s">
        <v>32</v>
      </c>
      <c r="H386" s="1" t="s">
        <v>22</v>
      </c>
      <c r="I386" s="1" t="s">
        <v>29</v>
      </c>
      <c r="J386" s="1">
        <v>-3.94</v>
      </c>
      <c r="K386" s="1">
        <v>3.66</v>
      </c>
      <c r="L386" s="1">
        <v>1</v>
      </c>
    </row>
    <row r="387" spans="4:13">
      <c r="D387" s="1" t="s">
        <v>97</v>
      </c>
      <c r="E387" s="1" t="s">
        <v>33</v>
      </c>
      <c r="H387" s="1" t="s">
        <v>25</v>
      </c>
      <c r="I387" s="1" t="s">
        <v>23</v>
      </c>
      <c r="M387" s="1" t="b">
        <v>0</v>
      </c>
    </row>
    <row r="388" spans="4:13">
      <c r="D388" s="1" t="s">
        <v>97</v>
      </c>
      <c r="E388" s="1" t="s">
        <v>34</v>
      </c>
      <c r="F388" s="1" t="s">
        <v>35</v>
      </c>
      <c r="G388" s="1" t="s">
        <v>36</v>
      </c>
      <c r="H388" s="1" t="s">
        <v>22</v>
      </c>
      <c r="I388" s="1" t="s">
        <v>23</v>
      </c>
      <c r="J388" s="1">
        <v>-459.67</v>
      </c>
      <c r="K388" s="1">
        <v>980.32999999999993</v>
      </c>
      <c r="L388" s="1">
        <v>80.329999999999984</v>
      </c>
      <c r="M388" s="1">
        <v>67.999999999999943</v>
      </c>
    </row>
    <row r="389" spans="4:13">
      <c r="D389" s="1" t="s">
        <v>97</v>
      </c>
      <c r="E389" s="1" t="s">
        <v>37</v>
      </c>
      <c r="H389" s="1" t="s">
        <v>25</v>
      </c>
      <c r="I389" s="1" t="s">
        <v>23</v>
      </c>
      <c r="M389" s="1" t="b">
        <v>0</v>
      </c>
    </row>
    <row r="390" spans="4:13">
      <c r="D390" s="1" t="s">
        <v>97</v>
      </c>
      <c r="E390" s="1" t="s">
        <v>38</v>
      </c>
      <c r="F390" s="1" t="s">
        <v>35</v>
      </c>
      <c r="G390" s="1" t="s">
        <v>36</v>
      </c>
      <c r="H390" s="1" t="s">
        <v>22</v>
      </c>
      <c r="I390" s="1" t="s">
        <v>23</v>
      </c>
      <c r="J390" s="1">
        <v>-99.670000000000016</v>
      </c>
      <c r="K390" s="1">
        <v>980.32999999999993</v>
      </c>
      <c r="L390" s="1">
        <v>80.329999999999984</v>
      </c>
      <c r="M390" s="1">
        <v>13.999999999999943</v>
      </c>
    </row>
    <row r="391" spans="4:13">
      <c r="D391" s="1" t="s">
        <v>97</v>
      </c>
      <c r="E391" s="1" t="s">
        <v>39</v>
      </c>
      <c r="H391" s="1" t="s">
        <v>25</v>
      </c>
      <c r="I391" s="1" t="s">
        <v>23</v>
      </c>
      <c r="M391" s="1" t="b">
        <v>1</v>
      </c>
    </row>
    <row r="392" spans="4:13">
      <c r="D392" s="1" t="s">
        <v>97</v>
      </c>
      <c r="E392" s="1" t="s">
        <v>40</v>
      </c>
      <c r="F392" s="1" t="s">
        <v>41</v>
      </c>
      <c r="G392" s="1" t="s">
        <v>42</v>
      </c>
      <c r="H392" s="1" t="s">
        <v>22</v>
      </c>
      <c r="I392" s="1" t="s">
        <v>23</v>
      </c>
      <c r="J392" s="1">
        <v>-900</v>
      </c>
      <c r="K392" s="1">
        <v>900</v>
      </c>
      <c r="L392" s="1">
        <v>1.8</v>
      </c>
      <c r="M392" s="1">
        <v>0.5</v>
      </c>
    </row>
    <row r="393" spans="4:13">
      <c r="D393" s="1" t="s">
        <v>97</v>
      </c>
      <c r="E393" s="1" t="s">
        <v>43</v>
      </c>
      <c r="H393" s="1" t="s">
        <v>25</v>
      </c>
      <c r="I393" s="1" t="s">
        <v>23</v>
      </c>
      <c r="M393" s="1" t="b">
        <v>0</v>
      </c>
    </row>
    <row r="394" spans="4:13">
      <c r="D394" s="1" t="s">
        <v>97</v>
      </c>
      <c r="E394" s="1" t="s">
        <v>44</v>
      </c>
      <c r="F394" s="1" t="s">
        <v>45</v>
      </c>
      <c r="G394" s="1" t="s">
        <v>46</v>
      </c>
      <c r="H394" s="1" t="s">
        <v>22</v>
      </c>
      <c r="I394" s="1" t="s">
        <v>23</v>
      </c>
      <c r="J394" s="1">
        <v>-85.984522757427143</v>
      </c>
      <c r="K394" s="1">
        <v>8598.4522757427148</v>
      </c>
      <c r="L394" s="1">
        <v>114.79148749423418</v>
      </c>
      <c r="M394" s="1">
        <v>128.97678413614071</v>
      </c>
    </row>
    <row r="395" spans="4:13">
      <c r="D395" s="1" t="s">
        <v>97</v>
      </c>
      <c r="E395" s="1" t="s">
        <v>47</v>
      </c>
      <c r="H395" s="1" t="s">
        <v>25</v>
      </c>
      <c r="I395" s="1" t="s">
        <v>23</v>
      </c>
      <c r="M395" s="1" t="b">
        <v>0</v>
      </c>
    </row>
    <row r="396" spans="4:13">
      <c r="D396" s="1" t="s">
        <v>97</v>
      </c>
      <c r="E396" s="1" t="s">
        <v>48</v>
      </c>
      <c r="H396" s="1" t="s">
        <v>25</v>
      </c>
      <c r="I396" s="1" t="s">
        <v>23</v>
      </c>
      <c r="M396" s="1" t="b">
        <v>0</v>
      </c>
    </row>
    <row r="397" spans="4:13">
      <c r="D397" s="1" t="s">
        <v>97</v>
      </c>
      <c r="E397" s="1" t="s">
        <v>49</v>
      </c>
      <c r="H397" s="1" t="s">
        <v>25</v>
      </c>
      <c r="I397" s="1" t="s">
        <v>23</v>
      </c>
      <c r="M397" s="1" t="b">
        <v>0</v>
      </c>
    </row>
    <row r="398" spans="4:13">
      <c r="D398" s="1" t="s">
        <v>97</v>
      </c>
      <c r="E398" s="1" t="s">
        <v>50</v>
      </c>
      <c r="H398" s="1" t="s">
        <v>25</v>
      </c>
      <c r="I398" s="1" t="s">
        <v>23</v>
      </c>
      <c r="M398" s="1" t="b">
        <v>0</v>
      </c>
    </row>
    <row r="399" spans="4:13">
      <c r="D399" s="1" t="s">
        <v>97</v>
      </c>
      <c r="E399" s="1" t="s">
        <v>51</v>
      </c>
      <c r="F399" s="1" t="s">
        <v>52</v>
      </c>
      <c r="G399" s="1" t="s">
        <v>53</v>
      </c>
      <c r="H399" s="1" t="s">
        <v>22</v>
      </c>
      <c r="I399" s="1" t="s">
        <v>23</v>
      </c>
      <c r="J399" s="1">
        <v>0</v>
      </c>
      <c r="K399" s="1">
        <v>7936641438.6555996</v>
      </c>
      <c r="L399" s="1">
        <v>7936.6414386555998</v>
      </c>
      <c r="M399" s="1">
        <v>7936.6414386555998</v>
      </c>
    </row>
    <row r="400" spans="4:13">
      <c r="D400" s="1" t="s">
        <v>97</v>
      </c>
      <c r="E400" s="1" t="s">
        <v>54</v>
      </c>
      <c r="H400" s="1" t="s">
        <v>25</v>
      </c>
      <c r="I400" s="1" t="s">
        <v>23</v>
      </c>
      <c r="M400" s="1" t="b">
        <v>0</v>
      </c>
    </row>
    <row r="401" spans="4:13">
      <c r="D401" s="1" t="s">
        <v>97</v>
      </c>
      <c r="E401" s="1" t="s">
        <v>55</v>
      </c>
      <c r="F401" s="1" t="s">
        <v>56</v>
      </c>
      <c r="G401" s="1" t="s">
        <v>57</v>
      </c>
      <c r="H401" s="1" t="s">
        <v>22</v>
      </c>
      <c r="I401" s="1" t="s">
        <v>23</v>
      </c>
      <c r="J401" s="1">
        <v>0</v>
      </c>
      <c r="K401" s="1">
        <v>9427.4529524635982</v>
      </c>
      <c r="L401" s="1">
        <v>50.713895374744951</v>
      </c>
      <c r="M401" s="1">
        <v>50.763208205573221</v>
      </c>
    </row>
    <row r="402" spans="4:13">
      <c r="D402" s="1" t="s">
        <v>97</v>
      </c>
      <c r="E402" s="1" t="s">
        <v>58</v>
      </c>
      <c r="H402" s="1" t="s">
        <v>25</v>
      </c>
      <c r="I402" s="1" t="s">
        <v>23</v>
      </c>
      <c r="M402" s="1" t="b">
        <v>0</v>
      </c>
    </row>
    <row r="403" spans="4:13">
      <c r="D403" s="1" t="s">
        <v>97</v>
      </c>
      <c r="E403" s="1" t="s">
        <v>59</v>
      </c>
      <c r="F403" s="1" t="s">
        <v>60</v>
      </c>
      <c r="G403" s="1" t="s">
        <v>61</v>
      </c>
      <c r="H403" s="1" t="s">
        <v>22</v>
      </c>
      <c r="I403" s="1" t="s">
        <v>23</v>
      </c>
      <c r="J403" s="1">
        <v>-9.5538358650799999</v>
      </c>
      <c r="K403" s="1">
        <v>9.5538358650799999</v>
      </c>
      <c r="L403" s="1">
        <v>0.23884589662700001</v>
      </c>
      <c r="M403" s="1">
        <v>0.23884589662700001</v>
      </c>
    </row>
    <row r="404" spans="4:13">
      <c r="D404" s="1" t="s">
        <v>97</v>
      </c>
      <c r="E404" s="1" t="s">
        <v>62</v>
      </c>
      <c r="H404" s="1" t="s">
        <v>63</v>
      </c>
      <c r="I404" s="1" t="s">
        <v>23</v>
      </c>
      <c r="M404" s="1">
        <v>1</v>
      </c>
    </row>
    <row r="405" spans="4:13">
      <c r="D405" s="1" t="s">
        <v>97</v>
      </c>
      <c r="E405" s="1" t="s">
        <v>64</v>
      </c>
      <c r="F405" s="1" t="s">
        <v>35</v>
      </c>
      <c r="G405" s="1" t="s">
        <v>36</v>
      </c>
      <c r="H405" s="1" t="s">
        <v>22</v>
      </c>
      <c r="I405" s="1" t="s">
        <v>65</v>
      </c>
      <c r="J405" s="1">
        <v>-459.67</v>
      </c>
      <c r="L405" s="1">
        <v>80.329999999999984</v>
      </c>
    </row>
    <row r="406" spans="4:13">
      <c r="D406" s="1" t="s">
        <v>97</v>
      </c>
      <c r="E406" s="1" t="s">
        <v>66</v>
      </c>
      <c r="F406" s="1" t="s">
        <v>35</v>
      </c>
      <c r="G406" s="1" t="s">
        <v>36</v>
      </c>
      <c r="H406" s="1" t="s">
        <v>22</v>
      </c>
      <c r="I406" s="1" t="s">
        <v>65</v>
      </c>
      <c r="J406" s="1">
        <v>-459.67</v>
      </c>
      <c r="L406" s="1">
        <v>80.329999999999984</v>
      </c>
    </row>
    <row r="407" spans="4:13">
      <c r="D407" s="1" t="s">
        <v>97</v>
      </c>
      <c r="E407" s="1" t="s">
        <v>67</v>
      </c>
      <c r="F407" s="1" t="s">
        <v>41</v>
      </c>
      <c r="G407" s="1" t="s">
        <v>42</v>
      </c>
      <c r="H407" s="1" t="s">
        <v>22</v>
      </c>
      <c r="I407" s="1" t="s">
        <v>65</v>
      </c>
      <c r="L407" s="1">
        <v>1.8</v>
      </c>
    </row>
    <row r="408" spans="4:13">
      <c r="D408" s="1" t="s">
        <v>97</v>
      </c>
      <c r="E408" s="1" t="s">
        <v>68</v>
      </c>
      <c r="F408" s="1" t="s">
        <v>45</v>
      </c>
      <c r="G408" s="1" t="s">
        <v>46</v>
      </c>
      <c r="H408" s="1" t="s">
        <v>22</v>
      </c>
      <c r="I408" s="1" t="s">
        <v>65</v>
      </c>
      <c r="L408" s="1">
        <v>4.2992261378713571E-4</v>
      </c>
    </row>
    <row r="409" spans="4:13">
      <c r="D409" s="1" t="s">
        <v>97</v>
      </c>
      <c r="E409" s="1" t="s">
        <v>69</v>
      </c>
      <c r="H409" s="1" t="s">
        <v>25</v>
      </c>
      <c r="I409" s="1" t="s">
        <v>70</v>
      </c>
    </row>
    <row r="410" spans="4:13">
      <c r="D410" s="1" t="s">
        <v>97</v>
      </c>
      <c r="E410" s="1" t="s">
        <v>71</v>
      </c>
      <c r="F410" s="1" t="s">
        <v>52</v>
      </c>
      <c r="G410" s="1" t="s">
        <v>53</v>
      </c>
      <c r="H410" s="1" t="s">
        <v>22</v>
      </c>
      <c r="I410" s="1" t="s">
        <v>65</v>
      </c>
      <c r="L410" s="1">
        <v>7936.6414386555998</v>
      </c>
    </row>
    <row r="411" spans="4:13">
      <c r="D411" s="1" t="s">
        <v>97</v>
      </c>
      <c r="E411" s="1" t="s">
        <v>72</v>
      </c>
      <c r="F411" s="1" t="s">
        <v>56</v>
      </c>
      <c r="G411" s="1" t="s">
        <v>57</v>
      </c>
      <c r="H411" s="1" t="s">
        <v>22</v>
      </c>
      <c r="I411" s="1" t="s">
        <v>65</v>
      </c>
      <c r="J411" s="1">
        <v>0</v>
      </c>
      <c r="L411" s="1">
        <v>14.503773773020921</v>
      </c>
    </row>
    <row r="412" spans="4:13">
      <c r="D412" s="1" t="s">
        <v>97</v>
      </c>
      <c r="E412" s="1" t="s">
        <v>73</v>
      </c>
      <c r="F412" s="1" t="s">
        <v>60</v>
      </c>
      <c r="G412" s="1" t="s">
        <v>61</v>
      </c>
      <c r="H412" s="1" t="s">
        <v>22</v>
      </c>
      <c r="I412" s="1" t="s">
        <v>65</v>
      </c>
      <c r="L412" s="1">
        <v>2.38845896627E-4</v>
      </c>
    </row>
    <row r="413" spans="4:13">
      <c r="D413" s="1" t="s">
        <v>97</v>
      </c>
      <c r="E413" s="1" t="s">
        <v>74</v>
      </c>
      <c r="F413" s="1" t="s">
        <v>75</v>
      </c>
      <c r="G413" s="1" t="s">
        <v>76</v>
      </c>
      <c r="H413" s="1" t="s">
        <v>22</v>
      </c>
      <c r="I413" s="1" t="s">
        <v>65</v>
      </c>
      <c r="J413" s="1">
        <v>0</v>
      </c>
      <c r="L413" s="1">
        <v>16.018463521800001</v>
      </c>
    </row>
    <row r="414" spans="4:13">
      <c r="D414" s="1" t="s">
        <v>97</v>
      </c>
      <c r="E414" s="1" t="s">
        <v>77</v>
      </c>
      <c r="H414" s="1" t="s">
        <v>22</v>
      </c>
      <c r="I414" s="1" t="s">
        <v>65</v>
      </c>
      <c r="L414" s="1">
        <v>1</v>
      </c>
    </row>
    <row r="415" spans="4:13">
      <c r="D415" s="1" t="s">
        <v>97</v>
      </c>
      <c r="E415" s="1" t="s">
        <v>78</v>
      </c>
      <c r="H415" s="1" t="s">
        <v>25</v>
      </c>
      <c r="I415" s="1" t="s">
        <v>23</v>
      </c>
      <c r="M415" s="1" t="b">
        <v>0</v>
      </c>
    </row>
    <row r="416" spans="4:13">
      <c r="D416" s="1" t="s">
        <v>97</v>
      </c>
      <c r="E416" s="1" t="s">
        <v>79</v>
      </c>
      <c r="F416" s="1" t="s">
        <v>75</v>
      </c>
      <c r="G416" s="1" t="s">
        <v>76</v>
      </c>
      <c r="H416" s="1" t="s">
        <v>22</v>
      </c>
      <c r="I416" s="1" t="s">
        <v>23</v>
      </c>
      <c r="J416" s="1">
        <v>0</v>
      </c>
      <c r="K416" s="1">
        <v>96.110781130800007</v>
      </c>
      <c r="L416" s="1">
        <v>16.018463521800001</v>
      </c>
      <c r="M416" s="1">
        <v>1.6018463521800002</v>
      </c>
    </row>
    <row r="417" spans="4:13">
      <c r="D417" s="1" t="s">
        <v>97</v>
      </c>
      <c r="E417" s="1" t="s">
        <v>80</v>
      </c>
      <c r="H417" s="1" t="s">
        <v>25</v>
      </c>
      <c r="I417" s="1" t="s">
        <v>23</v>
      </c>
      <c r="M417" s="1" t="b">
        <v>0</v>
      </c>
    </row>
    <row r="418" spans="4:13">
      <c r="D418" s="1" t="s">
        <v>97</v>
      </c>
      <c r="E418" s="1" t="s">
        <v>81</v>
      </c>
      <c r="H418" s="1" t="s">
        <v>25</v>
      </c>
      <c r="I418" s="1" t="s">
        <v>23</v>
      </c>
      <c r="M418" s="1" t="b">
        <v>0</v>
      </c>
    </row>
    <row r="419" spans="4:13">
      <c r="D419" s="1" t="s">
        <v>97</v>
      </c>
      <c r="E419" s="1" t="s">
        <v>82</v>
      </c>
      <c r="H419" s="1" t="s">
        <v>22</v>
      </c>
      <c r="I419" s="1" t="s">
        <v>23</v>
      </c>
      <c r="J419" s="1">
        <v>-1</v>
      </c>
      <c r="K419" s="1">
        <v>3</v>
      </c>
      <c r="L419" s="1">
        <v>1</v>
      </c>
      <c r="M419" s="1">
        <v>1.01</v>
      </c>
    </row>
    <row r="420" spans="4:13">
      <c r="D420" s="1" t="s">
        <v>98</v>
      </c>
      <c r="E420" s="1" t="s">
        <v>99</v>
      </c>
      <c r="H420" s="1" t="s">
        <v>25</v>
      </c>
      <c r="I420" s="1" t="s">
        <v>23</v>
      </c>
      <c r="M420" s="1" t="b">
        <v>0</v>
      </c>
    </row>
    <row r="421" spans="4:13">
      <c r="D421" s="1" t="s">
        <v>98</v>
      </c>
      <c r="E421" s="1" t="s">
        <v>100</v>
      </c>
      <c r="H421" s="1" t="s">
        <v>22</v>
      </c>
      <c r="I421" s="1" t="s">
        <v>23</v>
      </c>
      <c r="L421" s="1">
        <v>1</v>
      </c>
      <c r="M421" s="1">
        <v>1000</v>
      </c>
    </row>
    <row r="422" spans="4:13">
      <c r="D422" s="1" t="s">
        <v>98</v>
      </c>
      <c r="E422" s="1" t="s">
        <v>101</v>
      </c>
      <c r="H422" s="1" t="s">
        <v>22</v>
      </c>
      <c r="I422" s="1" t="s">
        <v>23</v>
      </c>
      <c r="L422" s="1">
        <v>1</v>
      </c>
      <c r="M422" s="1">
        <v>0</v>
      </c>
    </row>
    <row r="423" spans="4:13">
      <c r="D423" s="1" t="s">
        <v>98</v>
      </c>
      <c r="E423" s="1" t="s">
        <v>102</v>
      </c>
      <c r="H423" s="1" t="s">
        <v>22</v>
      </c>
      <c r="I423" s="1" t="s">
        <v>23</v>
      </c>
      <c r="L423" s="1">
        <v>1</v>
      </c>
      <c r="M423" s="1">
        <v>1.4</v>
      </c>
    </row>
    <row r="424" spans="4:13">
      <c r="D424" s="1" t="s">
        <v>98</v>
      </c>
      <c r="E424" s="1" t="s">
        <v>103</v>
      </c>
      <c r="H424" s="1" t="s">
        <v>22</v>
      </c>
      <c r="I424" s="1" t="s">
        <v>29</v>
      </c>
      <c r="J424" s="1">
        <v>0</v>
      </c>
      <c r="K424" s="1">
        <v>1000</v>
      </c>
      <c r="L424" s="1">
        <v>500</v>
      </c>
    </row>
    <row r="425" spans="4:13">
      <c r="D425" s="1" t="s">
        <v>104</v>
      </c>
      <c r="E425" s="1" t="s">
        <v>105</v>
      </c>
      <c r="H425" s="1" t="s">
        <v>22</v>
      </c>
      <c r="I425" s="1" t="s">
        <v>29</v>
      </c>
      <c r="J425" s="1">
        <v>0</v>
      </c>
      <c r="K425" s="1">
        <v>10000</v>
      </c>
      <c r="L425" s="1">
        <v>5000</v>
      </c>
    </row>
    <row r="426" spans="4:13">
      <c r="D426" s="1" t="s">
        <v>104</v>
      </c>
      <c r="E426" s="1" t="s">
        <v>106</v>
      </c>
      <c r="H426" s="1" t="s">
        <v>25</v>
      </c>
      <c r="I426" s="1" t="s">
        <v>23</v>
      </c>
      <c r="M426" s="1" t="b">
        <v>0</v>
      </c>
    </row>
    <row r="427" spans="4:13">
      <c r="D427" s="1" t="s">
        <v>104</v>
      </c>
      <c r="E427" s="1" t="s">
        <v>107</v>
      </c>
      <c r="H427" s="1" t="s">
        <v>22</v>
      </c>
      <c r="I427" s="1" t="s">
        <v>23</v>
      </c>
      <c r="L427" s="1">
        <v>1</v>
      </c>
      <c r="M427" s="1">
        <v>20</v>
      </c>
    </row>
    <row r="428" spans="4:13">
      <c r="D428" s="1" t="s">
        <v>104</v>
      </c>
      <c r="E428" s="1" t="s">
        <v>108</v>
      </c>
      <c r="F428" s="1" t="s">
        <v>35</v>
      </c>
      <c r="G428" s="1" t="s">
        <v>36</v>
      </c>
      <c r="H428" s="1" t="s">
        <v>22</v>
      </c>
      <c r="I428" s="1" t="s">
        <v>23</v>
      </c>
      <c r="J428" s="1">
        <v>-459.67</v>
      </c>
      <c r="L428" s="1">
        <v>80.329999999999984</v>
      </c>
      <c r="M428" s="1">
        <v>49.999999999999943</v>
      </c>
    </row>
    <row r="429" spans="4:13">
      <c r="D429" s="1" t="s">
        <v>104</v>
      </c>
      <c r="E429" s="1" t="s">
        <v>109</v>
      </c>
      <c r="H429" s="1" t="s">
        <v>22</v>
      </c>
      <c r="I429" s="1" t="s">
        <v>23</v>
      </c>
      <c r="L429" s="1">
        <v>1</v>
      </c>
      <c r="M429" s="1">
        <v>1</v>
      </c>
    </row>
    <row r="430" spans="4:13">
      <c r="D430" s="1" t="s">
        <v>104</v>
      </c>
      <c r="E430" s="1" t="s">
        <v>110</v>
      </c>
      <c r="H430" s="1" t="s">
        <v>25</v>
      </c>
      <c r="I430" s="1" t="s">
        <v>23</v>
      </c>
      <c r="M430" s="1" t="b">
        <v>1</v>
      </c>
    </row>
    <row r="431" spans="4:13">
      <c r="D431" s="1" t="s">
        <v>104</v>
      </c>
      <c r="E431" s="1" t="s">
        <v>111</v>
      </c>
      <c r="F431" s="1" t="s">
        <v>56</v>
      </c>
      <c r="G431" s="1" t="s">
        <v>57</v>
      </c>
      <c r="H431" s="1" t="s">
        <v>22</v>
      </c>
      <c r="I431" s="1" t="s">
        <v>23</v>
      </c>
      <c r="L431" s="1">
        <v>1.4503773773020921E-4</v>
      </c>
      <c r="M431" s="1">
        <v>7.2518868865104604E-3</v>
      </c>
    </row>
    <row r="432" spans="4:13">
      <c r="D432" s="1" t="s">
        <v>104</v>
      </c>
      <c r="E432" s="1" t="s">
        <v>112</v>
      </c>
      <c r="F432" s="1" t="s">
        <v>56</v>
      </c>
      <c r="G432" s="1" t="s">
        <v>57</v>
      </c>
      <c r="H432" s="1" t="s">
        <v>22</v>
      </c>
      <c r="I432" s="1" t="s">
        <v>29</v>
      </c>
      <c r="J432" s="1">
        <v>4.9312830828271128</v>
      </c>
      <c r="K432" s="1">
        <v>623.66227223989961</v>
      </c>
      <c r="L432" s="1">
        <v>50.713895374744951</v>
      </c>
    </row>
    <row r="433" spans="4:13">
      <c r="D433" s="1" t="s">
        <v>104</v>
      </c>
      <c r="E433" s="1" t="s">
        <v>62</v>
      </c>
      <c r="H433" s="1" t="s">
        <v>63</v>
      </c>
      <c r="I433" s="1" t="s">
        <v>23</v>
      </c>
      <c r="M433" s="1">
        <v>1</v>
      </c>
    </row>
    <row r="434" spans="4:13">
      <c r="D434" s="1" t="s">
        <v>104</v>
      </c>
      <c r="E434" s="1" t="s">
        <v>113</v>
      </c>
      <c r="H434" s="1" t="s">
        <v>22</v>
      </c>
      <c r="I434" s="1" t="s">
        <v>65</v>
      </c>
      <c r="L434" s="1">
        <v>1</v>
      </c>
    </row>
    <row r="435" spans="4:13">
      <c r="D435" s="1" t="s">
        <v>104</v>
      </c>
      <c r="E435" s="1" t="s">
        <v>114</v>
      </c>
      <c r="H435" s="1" t="s">
        <v>22</v>
      </c>
      <c r="I435" s="1" t="s">
        <v>70</v>
      </c>
      <c r="L435" s="1">
        <v>1</v>
      </c>
    </row>
    <row r="436" spans="4:13">
      <c r="D436" s="1" t="s">
        <v>104</v>
      </c>
      <c r="E436" s="1" t="s">
        <v>115</v>
      </c>
      <c r="F436" s="1" t="s">
        <v>56</v>
      </c>
      <c r="G436" s="1" t="s">
        <v>57</v>
      </c>
      <c r="H436" s="1" t="s">
        <v>22</v>
      </c>
      <c r="I436" s="1" t="s">
        <v>65</v>
      </c>
      <c r="L436" s="1">
        <v>1.4503773773020921E-4</v>
      </c>
    </row>
    <row r="437" spans="4:13">
      <c r="D437" s="1" t="s">
        <v>104</v>
      </c>
      <c r="E437" s="1" t="s">
        <v>116</v>
      </c>
      <c r="H437" s="1" t="s">
        <v>25</v>
      </c>
      <c r="I437" s="1" t="s">
        <v>65</v>
      </c>
    </row>
    <row r="438" spans="4:13">
      <c r="D438" s="1" t="s">
        <v>104</v>
      </c>
      <c r="E438" s="1" t="s">
        <v>69</v>
      </c>
      <c r="H438" s="1" t="s">
        <v>25</v>
      </c>
      <c r="I438" s="1" t="s">
        <v>70</v>
      </c>
    </row>
    <row r="439" spans="4:13">
      <c r="D439" s="1" t="s">
        <v>104</v>
      </c>
      <c r="E439" s="1" t="s">
        <v>71</v>
      </c>
      <c r="F439" s="1" t="s">
        <v>52</v>
      </c>
      <c r="G439" s="1" t="s">
        <v>53</v>
      </c>
      <c r="H439" s="1" t="s">
        <v>22</v>
      </c>
      <c r="I439" s="1" t="s">
        <v>65</v>
      </c>
      <c r="L439" s="1">
        <v>7936.6414386555998</v>
      </c>
    </row>
    <row r="440" spans="4:13">
      <c r="D440" s="1" t="s">
        <v>104</v>
      </c>
      <c r="E440" s="1" t="s">
        <v>117</v>
      </c>
      <c r="F440" s="1" t="s">
        <v>118</v>
      </c>
      <c r="G440" s="1" t="s">
        <v>119</v>
      </c>
      <c r="H440" s="1" t="s">
        <v>22</v>
      </c>
      <c r="I440" s="1" t="s">
        <v>120</v>
      </c>
      <c r="J440" s="1">
        <v>0</v>
      </c>
      <c r="L440" s="1">
        <v>2.20462262185</v>
      </c>
    </row>
    <row r="441" spans="4:13">
      <c r="D441" s="1" t="s">
        <v>104</v>
      </c>
      <c r="E441" s="1" t="s">
        <v>121</v>
      </c>
      <c r="H441" s="1" t="s">
        <v>22</v>
      </c>
      <c r="I441" s="1" t="s">
        <v>120</v>
      </c>
      <c r="L441" s="1">
        <v>1</v>
      </c>
    </row>
    <row r="442" spans="4:13">
      <c r="D442" s="1" t="s">
        <v>104</v>
      </c>
      <c r="E442" s="1" t="s">
        <v>122</v>
      </c>
      <c r="F442" s="1" t="s">
        <v>56</v>
      </c>
      <c r="G442" s="1" t="s">
        <v>57</v>
      </c>
      <c r="H442" s="1" t="s">
        <v>22</v>
      </c>
      <c r="I442" s="1" t="s">
        <v>65</v>
      </c>
      <c r="L442" s="1">
        <v>1.4503773773020921E-4</v>
      </c>
    </row>
    <row r="443" spans="4:13">
      <c r="D443" s="1" t="s">
        <v>104</v>
      </c>
      <c r="E443" s="1" t="s">
        <v>123</v>
      </c>
      <c r="F443" s="1" t="s">
        <v>124</v>
      </c>
      <c r="G443" s="1" t="s">
        <v>125</v>
      </c>
      <c r="H443" s="1" t="s">
        <v>22</v>
      </c>
      <c r="I443" s="1" t="s">
        <v>120</v>
      </c>
      <c r="L443" s="1">
        <v>35.314666699999997</v>
      </c>
    </row>
    <row r="444" spans="4:13">
      <c r="D444" s="1" t="s">
        <v>104</v>
      </c>
      <c r="E444" s="1" t="s">
        <v>126</v>
      </c>
      <c r="H444" s="1" t="s">
        <v>22</v>
      </c>
      <c r="I444" s="1" t="s">
        <v>65</v>
      </c>
      <c r="L444" s="1">
        <v>1</v>
      </c>
    </row>
    <row r="445" spans="4:13">
      <c r="D445" s="1" t="s">
        <v>104</v>
      </c>
      <c r="E445" s="1" t="s">
        <v>127</v>
      </c>
      <c r="H445" s="1" t="s">
        <v>25</v>
      </c>
      <c r="I445" s="1" t="s">
        <v>23</v>
      </c>
      <c r="M445" s="1" t="b">
        <v>1</v>
      </c>
    </row>
    <row r="446" spans="4:13">
      <c r="D446" s="1" t="s">
        <v>104</v>
      </c>
      <c r="E446" s="1" t="s">
        <v>128</v>
      </c>
      <c r="H446" s="1" t="s">
        <v>25</v>
      </c>
      <c r="I446" s="1" t="s">
        <v>23</v>
      </c>
      <c r="M446" s="1" t="b">
        <v>0</v>
      </c>
    </row>
    <row r="447" spans="4:13">
      <c r="D447" s="1" t="s">
        <v>129</v>
      </c>
      <c r="E447" s="1" t="s">
        <v>28</v>
      </c>
      <c r="H447" s="1" t="s">
        <v>22</v>
      </c>
      <c r="I447" s="1" t="s">
        <v>29</v>
      </c>
      <c r="J447" s="1">
        <v>34000</v>
      </c>
      <c r="K447" s="1">
        <v>4300000</v>
      </c>
      <c r="L447" s="1">
        <v>349660</v>
      </c>
    </row>
    <row r="448" spans="4:13">
      <c r="D448" s="1" t="s">
        <v>129</v>
      </c>
      <c r="E448" s="1" t="s">
        <v>30</v>
      </c>
      <c r="H448" s="1" t="s">
        <v>22</v>
      </c>
      <c r="I448" s="1" t="s">
        <v>29</v>
      </c>
      <c r="J448" s="1">
        <v>-3.94</v>
      </c>
      <c r="K448" s="1">
        <v>3.66</v>
      </c>
      <c r="L448" s="1">
        <v>1</v>
      </c>
    </row>
    <row r="449" spans="4:13">
      <c r="D449" s="1" t="s">
        <v>129</v>
      </c>
      <c r="E449" s="1" t="s">
        <v>31</v>
      </c>
      <c r="H449" s="1" t="s">
        <v>22</v>
      </c>
      <c r="I449" s="1" t="s">
        <v>29</v>
      </c>
      <c r="J449" s="1">
        <v>0</v>
      </c>
      <c r="K449" s="1">
        <v>100</v>
      </c>
      <c r="L449" s="1">
        <v>1</v>
      </c>
    </row>
    <row r="450" spans="4:13">
      <c r="D450" s="1" t="s">
        <v>129</v>
      </c>
      <c r="E450" s="1" t="s">
        <v>32</v>
      </c>
      <c r="H450" s="1" t="s">
        <v>22</v>
      </c>
      <c r="I450" s="1" t="s">
        <v>29</v>
      </c>
      <c r="J450" s="1">
        <v>-3.94</v>
      </c>
      <c r="K450" s="1">
        <v>3.66</v>
      </c>
      <c r="L450" s="1">
        <v>1</v>
      </c>
    </row>
    <row r="451" spans="4:13">
      <c r="D451" s="1" t="s">
        <v>129</v>
      </c>
      <c r="E451" s="1" t="s">
        <v>33</v>
      </c>
      <c r="H451" s="1" t="s">
        <v>25</v>
      </c>
      <c r="I451" s="1" t="s">
        <v>23</v>
      </c>
      <c r="M451" s="1" t="b">
        <v>0</v>
      </c>
    </row>
    <row r="452" spans="4:13">
      <c r="D452" s="1" t="s">
        <v>129</v>
      </c>
      <c r="E452" s="1" t="s">
        <v>34</v>
      </c>
      <c r="F452" s="1" t="s">
        <v>35</v>
      </c>
      <c r="G452" s="1" t="s">
        <v>36</v>
      </c>
      <c r="H452" s="1" t="s">
        <v>22</v>
      </c>
      <c r="I452" s="1" t="s">
        <v>23</v>
      </c>
      <c r="J452" s="1">
        <v>-459.67</v>
      </c>
      <c r="K452" s="1">
        <v>980.32999999999993</v>
      </c>
      <c r="L452" s="1">
        <v>80.329999999999984</v>
      </c>
      <c r="M452" s="1">
        <v>67.999999999999943</v>
      </c>
    </row>
    <row r="453" spans="4:13">
      <c r="D453" s="1" t="s">
        <v>129</v>
      </c>
      <c r="E453" s="1" t="s">
        <v>37</v>
      </c>
      <c r="H453" s="1" t="s">
        <v>25</v>
      </c>
      <c r="I453" s="1" t="s">
        <v>23</v>
      </c>
      <c r="M453" s="1" t="b">
        <v>0</v>
      </c>
    </row>
    <row r="454" spans="4:13">
      <c r="D454" s="1" t="s">
        <v>129</v>
      </c>
      <c r="E454" s="1" t="s">
        <v>38</v>
      </c>
      <c r="F454" s="1" t="s">
        <v>35</v>
      </c>
      <c r="G454" s="1" t="s">
        <v>36</v>
      </c>
      <c r="H454" s="1" t="s">
        <v>22</v>
      </c>
      <c r="I454" s="1" t="s">
        <v>23</v>
      </c>
      <c r="J454" s="1">
        <v>-99.670000000000016</v>
      </c>
      <c r="K454" s="1">
        <v>980.32999999999993</v>
      </c>
      <c r="L454" s="1">
        <v>80.329999999999984</v>
      </c>
      <c r="M454" s="1">
        <v>13.999999999999943</v>
      </c>
    </row>
    <row r="455" spans="4:13">
      <c r="D455" s="1" t="s">
        <v>129</v>
      </c>
      <c r="E455" s="1" t="s">
        <v>39</v>
      </c>
      <c r="H455" s="1" t="s">
        <v>25</v>
      </c>
      <c r="I455" s="1" t="s">
        <v>23</v>
      </c>
      <c r="M455" s="1" t="b">
        <v>0</v>
      </c>
    </row>
    <row r="456" spans="4:13">
      <c r="D456" s="1" t="s">
        <v>129</v>
      </c>
      <c r="E456" s="1" t="s">
        <v>40</v>
      </c>
      <c r="F456" s="1" t="s">
        <v>41</v>
      </c>
      <c r="G456" s="1" t="s">
        <v>42</v>
      </c>
      <c r="H456" s="1" t="s">
        <v>22</v>
      </c>
      <c r="I456" s="1" t="s">
        <v>23</v>
      </c>
      <c r="J456" s="1">
        <v>-900</v>
      </c>
      <c r="K456" s="1">
        <v>900</v>
      </c>
      <c r="L456" s="1">
        <v>1.8</v>
      </c>
      <c r="M456" s="1">
        <v>9</v>
      </c>
    </row>
    <row r="457" spans="4:13">
      <c r="D457" s="1" t="s">
        <v>129</v>
      </c>
      <c r="E457" s="1" t="s">
        <v>43</v>
      </c>
      <c r="H457" s="1" t="s">
        <v>25</v>
      </c>
      <c r="I457" s="1" t="s">
        <v>23</v>
      </c>
      <c r="M457" s="1" t="b">
        <v>0</v>
      </c>
    </row>
    <row r="458" spans="4:13">
      <c r="D458" s="1" t="s">
        <v>129</v>
      </c>
      <c r="E458" s="1" t="s">
        <v>44</v>
      </c>
      <c r="F458" s="1" t="s">
        <v>45</v>
      </c>
      <c r="G458" s="1" t="s">
        <v>46</v>
      </c>
      <c r="H458" s="1" t="s">
        <v>22</v>
      </c>
      <c r="I458" s="1" t="s">
        <v>23</v>
      </c>
      <c r="J458" s="1">
        <v>-85.984522757427143</v>
      </c>
      <c r="K458" s="1">
        <v>8598.4522757427148</v>
      </c>
      <c r="L458" s="1">
        <v>114.79148749423418</v>
      </c>
      <c r="M458" s="1">
        <v>128.97678413614071</v>
      </c>
    </row>
    <row r="459" spans="4:13">
      <c r="D459" s="1" t="s">
        <v>129</v>
      </c>
      <c r="E459" s="1" t="s">
        <v>47</v>
      </c>
      <c r="H459" s="1" t="s">
        <v>25</v>
      </c>
      <c r="I459" s="1" t="s">
        <v>23</v>
      </c>
      <c r="M459" s="1" t="b">
        <v>0</v>
      </c>
    </row>
    <row r="460" spans="4:13">
      <c r="D460" s="1" t="s">
        <v>129</v>
      </c>
      <c r="E460" s="1" t="s">
        <v>48</v>
      </c>
      <c r="H460" s="1" t="s">
        <v>25</v>
      </c>
      <c r="I460" s="1" t="s">
        <v>23</v>
      </c>
      <c r="M460" s="1" t="b">
        <v>0</v>
      </c>
    </row>
    <row r="461" spans="4:13">
      <c r="D461" s="1" t="s">
        <v>129</v>
      </c>
      <c r="E461" s="1" t="s">
        <v>49</v>
      </c>
      <c r="H461" s="1" t="s">
        <v>25</v>
      </c>
      <c r="I461" s="1" t="s">
        <v>23</v>
      </c>
      <c r="M461" s="1" t="b">
        <v>0</v>
      </c>
    </row>
    <row r="462" spans="4:13">
      <c r="D462" s="1" t="s">
        <v>129</v>
      </c>
      <c r="E462" s="1" t="s">
        <v>50</v>
      </c>
      <c r="H462" s="1" t="s">
        <v>25</v>
      </c>
      <c r="I462" s="1" t="s">
        <v>23</v>
      </c>
      <c r="M462" s="1" t="b">
        <v>0</v>
      </c>
    </row>
    <row r="463" spans="4:13">
      <c r="D463" s="1" t="s">
        <v>129</v>
      </c>
      <c r="E463" s="1" t="s">
        <v>51</v>
      </c>
      <c r="F463" s="1" t="s">
        <v>52</v>
      </c>
      <c r="G463" s="1" t="s">
        <v>53</v>
      </c>
      <c r="H463" s="1" t="s">
        <v>22</v>
      </c>
      <c r="I463" s="1" t="s">
        <v>23</v>
      </c>
      <c r="J463" s="1">
        <v>0</v>
      </c>
      <c r="K463" s="1">
        <v>7936641438.6555996</v>
      </c>
      <c r="L463" s="1">
        <v>7936.6414386555998</v>
      </c>
      <c r="M463" s="1">
        <v>7936.6414386555998</v>
      </c>
    </row>
    <row r="464" spans="4:13">
      <c r="D464" s="1" t="s">
        <v>129</v>
      </c>
      <c r="E464" s="1" t="s">
        <v>54</v>
      </c>
      <c r="H464" s="1" t="s">
        <v>25</v>
      </c>
      <c r="I464" s="1" t="s">
        <v>23</v>
      </c>
      <c r="M464" s="1" t="b">
        <v>0</v>
      </c>
    </row>
    <row r="465" spans="4:13">
      <c r="D465" s="1" t="s">
        <v>129</v>
      </c>
      <c r="E465" s="1" t="s">
        <v>55</v>
      </c>
      <c r="F465" s="1" t="s">
        <v>56</v>
      </c>
      <c r="G465" s="1" t="s">
        <v>57</v>
      </c>
      <c r="H465" s="1" t="s">
        <v>22</v>
      </c>
      <c r="I465" s="1" t="s">
        <v>23</v>
      </c>
      <c r="J465" s="1">
        <v>0</v>
      </c>
      <c r="K465" s="1">
        <v>9427.4529524635982</v>
      </c>
      <c r="L465" s="1">
        <v>50.713895374744951</v>
      </c>
      <c r="M465" s="1">
        <v>50.763208205573221</v>
      </c>
    </row>
    <row r="466" spans="4:13">
      <c r="D466" s="1" t="s">
        <v>129</v>
      </c>
      <c r="E466" s="1" t="s">
        <v>58</v>
      </c>
      <c r="H466" s="1" t="s">
        <v>25</v>
      </c>
      <c r="I466" s="1" t="s">
        <v>23</v>
      </c>
      <c r="M466" s="1" t="b">
        <v>0</v>
      </c>
    </row>
    <row r="467" spans="4:13">
      <c r="D467" s="1" t="s">
        <v>129</v>
      </c>
      <c r="E467" s="1" t="s">
        <v>59</v>
      </c>
      <c r="F467" s="1" t="s">
        <v>60</v>
      </c>
      <c r="G467" s="1" t="s">
        <v>61</v>
      </c>
      <c r="H467" s="1" t="s">
        <v>22</v>
      </c>
      <c r="I467" s="1" t="s">
        <v>23</v>
      </c>
      <c r="J467" s="1">
        <v>-9.5538358650799999</v>
      </c>
      <c r="K467" s="1">
        <v>9.5538358650799999</v>
      </c>
      <c r="L467" s="1">
        <v>0.23884589662700001</v>
      </c>
      <c r="M467" s="1">
        <v>0.23884589662700001</v>
      </c>
    </row>
    <row r="468" spans="4:13">
      <c r="D468" s="1" t="s">
        <v>129</v>
      </c>
      <c r="E468" s="1" t="s">
        <v>62</v>
      </c>
      <c r="H468" s="1" t="s">
        <v>63</v>
      </c>
      <c r="I468" s="1" t="s">
        <v>23</v>
      </c>
      <c r="M468" s="1">
        <v>1</v>
      </c>
    </row>
    <row r="469" spans="4:13">
      <c r="D469" s="1" t="s">
        <v>129</v>
      </c>
      <c r="E469" s="1" t="s">
        <v>64</v>
      </c>
      <c r="F469" s="1" t="s">
        <v>35</v>
      </c>
      <c r="G469" s="1" t="s">
        <v>36</v>
      </c>
      <c r="H469" s="1" t="s">
        <v>22</v>
      </c>
      <c r="I469" s="1" t="s">
        <v>65</v>
      </c>
      <c r="J469" s="1">
        <v>-459.67</v>
      </c>
      <c r="L469" s="1">
        <v>80.329999999999984</v>
      </c>
    </row>
    <row r="470" spans="4:13">
      <c r="D470" s="1" t="s">
        <v>129</v>
      </c>
      <c r="E470" s="1" t="s">
        <v>66</v>
      </c>
      <c r="F470" s="1" t="s">
        <v>35</v>
      </c>
      <c r="G470" s="1" t="s">
        <v>36</v>
      </c>
      <c r="H470" s="1" t="s">
        <v>22</v>
      </c>
      <c r="I470" s="1" t="s">
        <v>65</v>
      </c>
      <c r="J470" s="1">
        <v>-459.67</v>
      </c>
      <c r="L470" s="1">
        <v>80.329999999999984</v>
      </c>
    </row>
    <row r="471" spans="4:13">
      <c r="D471" s="1" t="s">
        <v>129</v>
      </c>
      <c r="E471" s="1" t="s">
        <v>67</v>
      </c>
      <c r="F471" s="1" t="s">
        <v>41</v>
      </c>
      <c r="G471" s="1" t="s">
        <v>42</v>
      </c>
      <c r="H471" s="1" t="s">
        <v>22</v>
      </c>
      <c r="I471" s="1" t="s">
        <v>65</v>
      </c>
      <c r="L471" s="1">
        <v>1.8</v>
      </c>
    </row>
    <row r="472" spans="4:13">
      <c r="D472" s="1" t="s">
        <v>129</v>
      </c>
      <c r="E472" s="1" t="s">
        <v>68</v>
      </c>
      <c r="F472" s="1" t="s">
        <v>45</v>
      </c>
      <c r="G472" s="1" t="s">
        <v>46</v>
      </c>
      <c r="H472" s="1" t="s">
        <v>22</v>
      </c>
      <c r="I472" s="1" t="s">
        <v>65</v>
      </c>
      <c r="L472" s="1">
        <v>4.2992261378713571E-4</v>
      </c>
    </row>
    <row r="473" spans="4:13">
      <c r="D473" s="1" t="s">
        <v>129</v>
      </c>
      <c r="E473" s="1" t="s">
        <v>69</v>
      </c>
      <c r="H473" s="1" t="s">
        <v>25</v>
      </c>
      <c r="I473" s="1" t="s">
        <v>70</v>
      </c>
    </row>
    <row r="474" spans="4:13">
      <c r="D474" s="1" t="s">
        <v>129</v>
      </c>
      <c r="E474" s="1" t="s">
        <v>71</v>
      </c>
      <c r="F474" s="1" t="s">
        <v>52</v>
      </c>
      <c r="G474" s="1" t="s">
        <v>53</v>
      </c>
      <c r="H474" s="1" t="s">
        <v>22</v>
      </c>
      <c r="I474" s="1" t="s">
        <v>65</v>
      </c>
      <c r="L474" s="1">
        <v>7936.6414386555998</v>
      </c>
    </row>
    <row r="475" spans="4:13">
      <c r="D475" s="1" t="s">
        <v>129</v>
      </c>
      <c r="E475" s="1" t="s">
        <v>72</v>
      </c>
      <c r="F475" s="1" t="s">
        <v>56</v>
      </c>
      <c r="G475" s="1" t="s">
        <v>57</v>
      </c>
      <c r="H475" s="1" t="s">
        <v>22</v>
      </c>
      <c r="I475" s="1" t="s">
        <v>65</v>
      </c>
      <c r="J475" s="1">
        <v>0</v>
      </c>
      <c r="L475" s="1">
        <v>14.503773773020921</v>
      </c>
    </row>
    <row r="476" spans="4:13">
      <c r="D476" s="1" t="s">
        <v>129</v>
      </c>
      <c r="E476" s="1" t="s">
        <v>73</v>
      </c>
      <c r="F476" s="1" t="s">
        <v>60</v>
      </c>
      <c r="G476" s="1" t="s">
        <v>61</v>
      </c>
      <c r="H476" s="1" t="s">
        <v>22</v>
      </c>
      <c r="I476" s="1" t="s">
        <v>65</v>
      </c>
      <c r="L476" s="1">
        <v>2.38845896627E-4</v>
      </c>
    </row>
    <row r="477" spans="4:13">
      <c r="D477" s="1" t="s">
        <v>129</v>
      </c>
      <c r="E477" s="1" t="s">
        <v>74</v>
      </c>
      <c r="F477" s="1" t="s">
        <v>75</v>
      </c>
      <c r="G477" s="1" t="s">
        <v>76</v>
      </c>
      <c r="H477" s="1" t="s">
        <v>22</v>
      </c>
      <c r="I477" s="1" t="s">
        <v>65</v>
      </c>
      <c r="J477" s="1">
        <v>0</v>
      </c>
      <c r="L477" s="1">
        <v>16.018463521800001</v>
      </c>
    </row>
    <row r="478" spans="4:13">
      <c r="D478" s="1" t="s">
        <v>129</v>
      </c>
      <c r="E478" s="1" t="s">
        <v>77</v>
      </c>
      <c r="H478" s="1" t="s">
        <v>22</v>
      </c>
      <c r="I478" s="1" t="s">
        <v>65</v>
      </c>
      <c r="L478" s="1">
        <v>1</v>
      </c>
    </row>
    <row r="479" spans="4:13">
      <c r="D479" s="1" t="s">
        <v>129</v>
      </c>
      <c r="E479" s="1" t="s">
        <v>78</v>
      </c>
      <c r="H479" s="1" t="s">
        <v>25</v>
      </c>
      <c r="I479" s="1" t="s">
        <v>23</v>
      </c>
      <c r="M479" s="1" t="b">
        <v>0</v>
      </c>
    </row>
    <row r="480" spans="4:13">
      <c r="D480" s="1" t="s">
        <v>129</v>
      </c>
      <c r="E480" s="1" t="s">
        <v>79</v>
      </c>
      <c r="F480" s="1" t="s">
        <v>75</v>
      </c>
      <c r="G480" s="1" t="s">
        <v>76</v>
      </c>
      <c r="H480" s="1" t="s">
        <v>22</v>
      </c>
      <c r="I480" s="1" t="s">
        <v>23</v>
      </c>
      <c r="J480" s="1">
        <v>0</v>
      </c>
      <c r="K480" s="1">
        <v>96.110781130800007</v>
      </c>
      <c r="L480" s="1">
        <v>16.018463521800001</v>
      </c>
      <c r="M480" s="1">
        <v>1.6018463521800002</v>
      </c>
    </row>
    <row r="481" spans="4:13">
      <c r="D481" s="1" t="s">
        <v>129</v>
      </c>
      <c r="E481" s="1" t="s">
        <v>80</v>
      </c>
      <c r="H481" s="1" t="s">
        <v>25</v>
      </c>
      <c r="I481" s="1" t="s">
        <v>23</v>
      </c>
      <c r="M481" s="1" t="b">
        <v>0</v>
      </c>
    </row>
    <row r="482" spans="4:13">
      <c r="D482" s="1" t="s">
        <v>129</v>
      </c>
      <c r="E482" s="1" t="s">
        <v>81</v>
      </c>
      <c r="H482" s="1" t="s">
        <v>25</v>
      </c>
      <c r="I482" s="1" t="s">
        <v>23</v>
      </c>
      <c r="M482" s="1" t="b">
        <v>0</v>
      </c>
    </row>
    <row r="483" spans="4:13">
      <c r="D483" s="1" t="s">
        <v>129</v>
      </c>
      <c r="E483" s="1" t="s">
        <v>82</v>
      </c>
      <c r="H483" s="1" t="s">
        <v>22</v>
      </c>
      <c r="I483" s="1" t="s">
        <v>23</v>
      </c>
      <c r="J483" s="1">
        <v>-1</v>
      </c>
      <c r="K483" s="1">
        <v>3</v>
      </c>
      <c r="L483" s="1">
        <v>1</v>
      </c>
      <c r="M483" s="1">
        <v>1.01</v>
      </c>
    </row>
    <row r="484" spans="4:13">
      <c r="D484" s="1" t="s">
        <v>130</v>
      </c>
      <c r="E484" s="1" t="s">
        <v>28</v>
      </c>
      <c r="H484" s="1" t="s">
        <v>22</v>
      </c>
      <c r="I484" s="1" t="s">
        <v>29</v>
      </c>
      <c r="J484" s="1">
        <v>34000</v>
      </c>
      <c r="K484" s="1">
        <v>4300000</v>
      </c>
      <c r="L484" s="1">
        <v>349660</v>
      </c>
    </row>
    <row r="485" spans="4:13">
      <c r="D485" s="1" t="s">
        <v>130</v>
      </c>
      <c r="E485" s="1" t="s">
        <v>30</v>
      </c>
      <c r="H485" s="1" t="s">
        <v>22</v>
      </c>
      <c r="I485" s="1" t="s">
        <v>29</v>
      </c>
      <c r="J485" s="1">
        <v>-3.94</v>
      </c>
      <c r="K485" s="1">
        <v>3.66</v>
      </c>
      <c r="L485" s="1">
        <v>1</v>
      </c>
    </row>
    <row r="486" spans="4:13">
      <c r="D486" s="1" t="s">
        <v>130</v>
      </c>
      <c r="E486" s="1" t="s">
        <v>31</v>
      </c>
      <c r="H486" s="1" t="s">
        <v>22</v>
      </c>
      <c r="I486" s="1" t="s">
        <v>29</v>
      </c>
      <c r="J486" s="1">
        <v>0</v>
      </c>
      <c r="K486" s="1">
        <v>100</v>
      </c>
      <c r="L486" s="1">
        <v>1</v>
      </c>
    </row>
    <row r="487" spans="4:13">
      <c r="D487" s="1" t="s">
        <v>130</v>
      </c>
      <c r="E487" s="1" t="s">
        <v>32</v>
      </c>
      <c r="H487" s="1" t="s">
        <v>22</v>
      </c>
      <c r="I487" s="1" t="s">
        <v>29</v>
      </c>
      <c r="J487" s="1">
        <v>-3.94</v>
      </c>
      <c r="K487" s="1">
        <v>3.66</v>
      </c>
      <c r="L487" s="1">
        <v>1</v>
      </c>
    </row>
    <row r="488" spans="4:13">
      <c r="D488" s="1" t="s">
        <v>130</v>
      </c>
      <c r="E488" s="1" t="s">
        <v>33</v>
      </c>
      <c r="H488" s="1" t="s">
        <v>25</v>
      </c>
      <c r="I488" s="1" t="s">
        <v>23</v>
      </c>
      <c r="M488" s="1" t="b">
        <v>0</v>
      </c>
    </row>
    <row r="489" spans="4:13">
      <c r="D489" s="1" t="s">
        <v>130</v>
      </c>
      <c r="E489" s="1" t="s">
        <v>34</v>
      </c>
      <c r="F489" s="1" t="s">
        <v>35</v>
      </c>
      <c r="G489" s="1" t="s">
        <v>36</v>
      </c>
      <c r="H489" s="1" t="s">
        <v>22</v>
      </c>
      <c r="I489" s="1" t="s">
        <v>23</v>
      </c>
      <c r="J489" s="1">
        <v>-459.67</v>
      </c>
      <c r="K489" s="1">
        <v>980.32999999999993</v>
      </c>
      <c r="L489" s="1">
        <v>80.329999999999984</v>
      </c>
      <c r="M489" s="1">
        <v>67.999999999999943</v>
      </c>
    </row>
    <row r="490" spans="4:13">
      <c r="D490" s="1" t="s">
        <v>130</v>
      </c>
      <c r="E490" s="1" t="s">
        <v>37</v>
      </c>
      <c r="H490" s="1" t="s">
        <v>25</v>
      </c>
      <c r="I490" s="1" t="s">
        <v>23</v>
      </c>
      <c r="M490" s="1" t="b">
        <v>0</v>
      </c>
    </row>
    <row r="491" spans="4:13">
      <c r="D491" s="1" t="s">
        <v>130</v>
      </c>
      <c r="E491" s="1" t="s">
        <v>38</v>
      </c>
      <c r="F491" s="1" t="s">
        <v>35</v>
      </c>
      <c r="G491" s="1" t="s">
        <v>36</v>
      </c>
      <c r="H491" s="1" t="s">
        <v>22</v>
      </c>
      <c r="I491" s="1" t="s">
        <v>23</v>
      </c>
      <c r="J491" s="1">
        <v>-99.670000000000016</v>
      </c>
      <c r="K491" s="1">
        <v>980.32999999999993</v>
      </c>
      <c r="L491" s="1">
        <v>80.329999999999984</v>
      </c>
      <c r="M491" s="1">
        <v>13.999999999999943</v>
      </c>
    </row>
    <row r="492" spans="4:13">
      <c r="D492" s="1" t="s">
        <v>130</v>
      </c>
      <c r="E492" s="1" t="s">
        <v>39</v>
      </c>
      <c r="H492" s="1" t="s">
        <v>25</v>
      </c>
      <c r="I492" s="1" t="s">
        <v>23</v>
      </c>
      <c r="M492" s="1" t="b">
        <v>0</v>
      </c>
    </row>
    <row r="493" spans="4:13">
      <c r="D493" s="1" t="s">
        <v>130</v>
      </c>
      <c r="E493" s="1" t="s">
        <v>40</v>
      </c>
      <c r="F493" s="1" t="s">
        <v>41</v>
      </c>
      <c r="G493" s="1" t="s">
        <v>42</v>
      </c>
      <c r="H493" s="1" t="s">
        <v>22</v>
      </c>
      <c r="I493" s="1" t="s">
        <v>23</v>
      </c>
      <c r="J493" s="1">
        <v>-900</v>
      </c>
      <c r="K493" s="1">
        <v>900</v>
      </c>
      <c r="L493" s="1">
        <v>1.8</v>
      </c>
      <c r="M493" s="1">
        <v>9</v>
      </c>
    </row>
    <row r="494" spans="4:13">
      <c r="D494" s="1" t="s">
        <v>130</v>
      </c>
      <c r="E494" s="1" t="s">
        <v>43</v>
      </c>
      <c r="H494" s="1" t="s">
        <v>25</v>
      </c>
      <c r="I494" s="1" t="s">
        <v>23</v>
      </c>
      <c r="M494" s="1" t="b">
        <v>0</v>
      </c>
    </row>
    <row r="495" spans="4:13">
      <c r="D495" s="1" t="s">
        <v>130</v>
      </c>
      <c r="E495" s="1" t="s">
        <v>44</v>
      </c>
      <c r="F495" s="1" t="s">
        <v>45</v>
      </c>
      <c r="G495" s="1" t="s">
        <v>46</v>
      </c>
      <c r="H495" s="1" t="s">
        <v>22</v>
      </c>
      <c r="I495" s="1" t="s">
        <v>23</v>
      </c>
      <c r="J495" s="1">
        <v>-85.984522757427143</v>
      </c>
      <c r="K495" s="1">
        <v>8598.4522757427148</v>
      </c>
      <c r="L495" s="1">
        <v>114.79148749423418</v>
      </c>
      <c r="M495" s="1">
        <v>128.97678413614071</v>
      </c>
    </row>
    <row r="496" spans="4:13">
      <c r="D496" s="1" t="s">
        <v>130</v>
      </c>
      <c r="E496" s="1" t="s">
        <v>47</v>
      </c>
      <c r="H496" s="1" t="s">
        <v>25</v>
      </c>
      <c r="I496" s="1" t="s">
        <v>23</v>
      </c>
      <c r="M496" s="1" t="b">
        <v>0</v>
      </c>
    </row>
    <row r="497" spans="4:13">
      <c r="D497" s="1" t="s">
        <v>130</v>
      </c>
      <c r="E497" s="1" t="s">
        <v>48</v>
      </c>
      <c r="H497" s="1" t="s">
        <v>25</v>
      </c>
      <c r="I497" s="1" t="s">
        <v>23</v>
      </c>
      <c r="M497" s="1" t="b">
        <v>0</v>
      </c>
    </row>
    <row r="498" spans="4:13">
      <c r="D498" s="1" t="s">
        <v>130</v>
      </c>
      <c r="E498" s="1" t="s">
        <v>49</v>
      </c>
      <c r="H498" s="1" t="s">
        <v>25</v>
      </c>
      <c r="I498" s="1" t="s">
        <v>23</v>
      </c>
      <c r="M498" s="1" t="b">
        <v>0</v>
      </c>
    </row>
    <row r="499" spans="4:13">
      <c r="D499" s="1" t="s">
        <v>130</v>
      </c>
      <c r="E499" s="1" t="s">
        <v>50</v>
      </c>
      <c r="H499" s="1" t="s">
        <v>25</v>
      </c>
      <c r="I499" s="1" t="s">
        <v>23</v>
      </c>
      <c r="M499" s="1" t="b">
        <v>0</v>
      </c>
    </row>
    <row r="500" spans="4:13">
      <c r="D500" s="1" t="s">
        <v>130</v>
      </c>
      <c r="E500" s="1" t="s">
        <v>51</v>
      </c>
      <c r="F500" s="1" t="s">
        <v>52</v>
      </c>
      <c r="G500" s="1" t="s">
        <v>53</v>
      </c>
      <c r="H500" s="1" t="s">
        <v>22</v>
      </c>
      <c r="I500" s="1" t="s">
        <v>23</v>
      </c>
      <c r="J500" s="1">
        <v>0</v>
      </c>
      <c r="K500" s="1">
        <v>7936641438.6555996</v>
      </c>
      <c r="L500" s="1">
        <v>7936.6414386555998</v>
      </c>
      <c r="M500" s="1">
        <v>7936.6414386555998</v>
      </c>
    </row>
    <row r="501" spans="4:13">
      <c r="D501" s="1" t="s">
        <v>130</v>
      </c>
      <c r="E501" s="1" t="s">
        <v>54</v>
      </c>
      <c r="H501" s="1" t="s">
        <v>25</v>
      </c>
      <c r="I501" s="1" t="s">
        <v>23</v>
      </c>
      <c r="M501" s="1" t="b">
        <v>0</v>
      </c>
    </row>
    <row r="502" spans="4:13">
      <c r="D502" s="1" t="s">
        <v>130</v>
      </c>
      <c r="E502" s="1" t="s">
        <v>55</v>
      </c>
      <c r="F502" s="1" t="s">
        <v>56</v>
      </c>
      <c r="G502" s="1" t="s">
        <v>57</v>
      </c>
      <c r="H502" s="1" t="s">
        <v>22</v>
      </c>
      <c r="I502" s="1" t="s">
        <v>23</v>
      </c>
      <c r="J502" s="1">
        <v>0</v>
      </c>
      <c r="K502" s="1">
        <v>9427.4529524635982</v>
      </c>
      <c r="L502" s="1">
        <v>50.713895374744951</v>
      </c>
      <c r="M502" s="1">
        <v>50.763208205573221</v>
      </c>
    </row>
    <row r="503" spans="4:13">
      <c r="D503" s="1" t="s">
        <v>130</v>
      </c>
      <c r="E503" s="1" t="s">
        <v>58</v>
      </c>
      <c r="H503" s="1" t="s">
        <v>25</v>
      </c>
      <c r="I503" s="1" t="s">
        <v>23</v>
      </c>
      <c r="M503" s="1" t="b">
        <v>0</v>
      </c>
    </row>
    <row r="504" spans="4:13">
      <c r="D504" s="1" t="s">
        <v>130</v>
      </c>
      <c r="E504" s="1" t="s">
        <v>59</v>
      </c>
      <c r="F504" s="1" t="s">
        <v>60</v>
      </c>
      <c r="G504" s="1" t="s">
        <v>61</v>
      </c>
      <c r="H504" s="1" t="s">
        <v>22</v>
      </c>
      <c r="I504" s="1" t="s">
        <v>23</v>
      </c>
      <c r="J504" s="1">
        <v>-9.5538358650799999</v>
      </c>
      <c r="K504" s="1">
        <v>9.5538358650799999</v>
      </c>
      <c r="L504" s="1">
        <v>0.23884589662700001</v>
      </c>
      <c r="M504" s="1">
        <v>0.23884589662700001</v>
      </c>
    </row>
    <row r="505" spans="4:13">
      <c r="D505" s="1" t="s">
        <v>130</v>
      </c>
      <c r="E505" s="1" t="s">
        <v>62</v>
      </c>
      <c r="H505" s="1" t="s">
        <v>63</v>
      </c>
      <c r="I505" s="1" t="s">
        <v>23</v>
      </c>
      <c r="M505" s="1">
        <v>1</v>
      </c>
    </row>
    <row r="506" spans="4:13">
      <c r="D506" s="1" t="s">
        <v>130</v>
      </c>
      <c r="E506" s="1" t="s">
        <v>64</v>
      </c>
      <c r="F506" s="1" t="s">
        <v>35</v>
      </c>
      <c r="G506" s="1" t="s">
        <v>36</v>
      </c>
      <c r="H506" s="1" t="s">
        <v>22</v>
      </c>
      <c r="I506" s="1" t="s">
        <v>65</v>
      </c>
      <c r="J506" s="1">
        <v>-459.67</v>
      </c>
      <c r="L506" s="1">
        <v>80.329999999999984</v>
      </c>
    </row>
    <row r="507" spans="4:13">
      <c r="D507" s="1" t="s">
        <v>130</v>
      </c>
      <c r="E507" s="1" t="s">
        <v>66</v>
      </c>
      <c r="F507" s="1" t="s">
        <v>35</v>
      </c>
      <c r="G507" s="1" t="s">
        <v>36</v>
      </c>
      <c r="H507" s="1" t="s">
        <v>22</v>
      </c>
      <c r="I507" s="1" t="s">
        <v>65</v>
      </c>
      <c r="J507" s="1">
        <v>-459.67</v>
      </c>
      <c r="L507" s="1">
        <v>80.329999999999984</v>
      </c>
    </row>
    <row r="508" spans="4:13">
      <c r="D508" s="1" t="s">
        <v>130</v>
      </c>
      <c r="E508" s="1" t="s">
        <v>67</v>
      </c>
      <c r="F508" s="1" t="s">
        <v>41</v>
      </c>
      <c r="G508" s="1" t="s">
        <v>42</v>
      </c>
      <c r="H508" s="1" t="s">
        <v>22</v>
      </c>
      <c r="I508" s="1" t="s">
        <v>65</v>
      </c>
      <c r="L508" s="1">
        <v>1.8</v>
      </c>
    </row>
    <row r="509" spans="4:13">
      <c r="D509" s="1" t="s">
        <v>130</v>
      </c>
      <c r="E509" s="1" t="s">
        <v>68</v>
      </c>
      <c r="F509" s="1" t="s">
        <v>45</v>
      </c>
      <c r="G509" s="1" t="s">
        <v>46</v>
      </c>
      <c r="H509" s="1" t="s">
        <v>22</v>
      </c>
      <c r="I509" s="1" t="s">
        <v>65</v>
      </c>
      <c r="L509" s="1">
        <v>4.2992261378713571E-4</v>
      </c>
    </row>
    <row r="510" spans="4:13">
      <c r="D510" s="1" t="s">
        <v>130</v>
      </c>
      <c r="E510" s="1" t="s">
        <v>69</v>
      </c>
      <c r="H510" s="1" t="s">
        <v>25</v>
      </c>
      <c r="I510" s="1" t="s">
        <v>70</v>
      </c>
    </row>
    <row r="511" spans="4:13">
      <c r="D511" s="1" t="s">
        <v>130</v>
      </c>
      <c r="E511" s="1" t="s">
        <v>71</v>
      </c>
      <c r="F511" s="1" t="s">
        <v>52</v>
      </c>
      <c r="G511" s="1" t="s">
        <v>53</v>
      </c>
      <c r="H511" s="1" t="s">
        <v>22</v>
      </c>
      <c r="I511" s="1" t="s">
        <v>65</v>
      </c>
      <c r="L511" s="1">
        <v>7936.6414386555998</v>
      </c>
    </row>
    <row r="512" spans="4:13">
      <c r="D512" s="1" t="s">
        <v>130</v>
      </c>
      <c r="E512" s="1" t="s">
        <v>72</v>
      </c>
      <c r="F512" s="1" t="s">
        <v>56</v>
      </c>
      <c r="G512" s="1" t="s">
        <v>57</v>
      </c>
      <c r="H512" s="1" t="s">
        <v>22</v>
      </c>
      <c r="I512" s="1" t="s">
        <v>65</v>
      </c>
      <c r="J512" s="1">
        <v>0</v>
      </c>
      <c r="L512" s="1">
        <v>14.503773773020921</v>
      </c>
    </row>
    <row r="513" spans="4:13">
      <c r="D513" s="1" t="s">
        <v>130</v>
      </c>
      <c r="E513" s="1" t="s">
        <v>73</v>
      </c>
      <c r="F513" s="1" t="s">
        <v>60</v>
      </c>
      <c r="G513" s="1" t="s">
        <v>61</v>
      </c>
      <c r="H513" s="1" t="s">
        <v>22</v>
      </c>
      <c r="I513" s="1" t="s">
        <v>65</v>
      </c>
      <c r="L513" s="1">
        <v>2.38845896627E-4</v>
      </c>
    </row>
    <row r="514" spans="4:13">
      <c r="D514" s="1" t="s">
        <v>130</v>
      </c>
      <c r="E514" s="1" t="s">
        <v>74</v>
      </c>
      <c r="F514" s="1" t="s">
        <v>75</v>
      </c>
      <c r="G514" s="1" t="s">
        <v>76</v>
      </c>
      <c r="H514" s="1" t="s">
        <v>22</v>
      </c>
      <c r="I514" s="1" t="s">
        <v>65</v>
      </c>
      <c r="J514" s="1">
        <v>0</v>
      </c>
      <c r="L514" s="1">
        <v>16.018463521800001</v>
      </c>
    </row>
    <row r="515" spans="4:13">
      <c r="D515" s="1" t="s">
        <v>130</v>
      </c>
      <c r="E515" s="1" t="s">
        <v>77</v>
      </c>
      <c r="H515" s="1" t="s">
        <v>22</v>
      </c>
      <c r="I515" s="1" t="s">
        <v>65</v>
      </c>
      <c r="L515" s="1">
        <v>1</v>
      </c>
    </row>
    <row r="516" spans="4:13">
      <c r="D516" s="1" t="s">
        <v>130</v>
      </c>
      <c r="E516" s="1" t="s">
        <v>78</v>
      </c>
      <c r="H516" s="1" t="s">
        <v>25</v>
      </c>
      <c r="I516" s="1" t="s">
        <v>23</v>
      </c>
      <c r="M516" s="1" t="b">
        <v>0</v>
      </c>
    </row>
    <row r="517" spans="4:13">
      <c r="D517" s="1" t="s">
        <v>130</v>
      </c>
      <c r="E517" s="1" t="s">
        <v>79</v>
      </c>
      <c r="F517" s="1" t="s">
        <v>75</v>
      </c>
      <c r="G517" s="1" t="s">
        <v>76</v>
      </c>
      <c r="H517" s="1" t="s">
        <v>22</v>
      </c>
      <c r="I517" s="1" t="s">
        <v>23</v>
      </c>
      <c r="J517" s="1">
        <v>0</v>
      </c>
      <c r="K517" s="1">
        <v>96.110781130800007</v>
      </c>
      <c r="L517" s="1">
        <v>16.018463521800001</v>
      </c>
      <c r="M517" s="1">
        <v>1.6018463521800002</v>
      </c>
    </row>
    <row r="518" spans="4:13">
      <c r="D518" s="1" t="s">
        <v>130</v>
      </c>
      <c r="E518" s="1" t="s">
        <v>80</v>
      </c>
      <c r="H518" s="1" t="s">
        <v>25</v>
      </c>
      <c r="I518" s="1" t="s">
        <v>23</v>
      </c>
      <c r="M518" s="1" t="b">
        <v>0</v>
      </c>
    </row>
    <row r="519" spans="4:13">
      <c r="D519" s="1" t="s">
        <v>130</v>
      </c>
      <c r="E519" s="1" t="s">
        <v>81</v>
      </c>
      <c r="H519" s="1" t="s">
        <v>25</v>
      </c>
      <c r="I519" s="1" t="s">
        <v>23</v>
      </c>
      <c r="M519" s="1" t="b">
        <v>0</v>
      </c>
    </row>
    <row r="520" spans="4:13">
      <c r="D520" s="1" t="s">
        <v>130</v>
      </c>
      <c r="E520" s="1" t="s">
        <v>82</v>
      </c>
      <c r="H520" s="1" t="s">
        <v>22</v>
      </c>
      <c r="I520" s="1" t="s">
        <v>23</v>
      </c>
      <c r="J520" s="1">
        <v>-1</v>
      </c>
      <c r="K520" s="1">
        <v>3</v>
      </c>
      <c r="L520" s="1">
        <v>1</v>
      </c>
      <c r="M520" s="1">
        <v>1.01</v>
      </c>
    </row>
    <row r="521" spans="4:13">
      <c r="D521" s="1" t="s">
        <v>131</v>
      </c>
      <c r="H521" s="1" t="s">
        <v>22</v>
      </c>
      <c r="I521" s="1" t="s">
        <v>23</v>
      </c>
      <c r="L521" s="1">
        <v>1</v>
      </c>
      <c r="M521" s="1">
        <v>1</v>
      </c>
    </row>
    <row r="522" spans="4:13">
      <c r="D522" s="1" t="s">
        <v>132</v>
      </c>
      <c r="E522" s="1" t="s">
        <v>105</v>
      </c>
      <c r="H522" s="1" t="s">
        <v>22</v>
      </c>
      <c r="I522" s="1" t="s">
        <v>29</v>
      </c>
      <c r="J522" s="1">
        <v>0</v>
      </c>
      <c r="K522" s="1">
        <v>10000</v>
      </c>
      <c r="L522" s="1">
        <v>5000</v>
      </c>
    </row>
    <row r="523" spans="4:13">
      <c r="D523" s="1" t="s">
        <v>132</v>
      </c>
      <c r="E523" s="1" t="s">
        <v>106</v>
      </c>
      <c r="H523" s="1" t="s">
        <v>25</v>
      </c>
      <c r="I523" s="1" t="s">
        <v>23</v>
      </c>
      <c r="M523" s="1" t="b">
        <v>0</v>
      </c>
    </row>
    <row r="524" spans="4:13">
      <c r="D524" s="1" t="s">
        <v>132</v>
      </c>
      <c r="E524" s="1" t="s">
        <v>107</v>
      </c>
      <c r="H524" s="1" t="s">
        <v>22</v>
      </c>
      <c r="I524" s="1" t="s">
        <v>23</v>
      </c>
      <c r="L524" s="1">
        <v>1</v>
      </c>
      <c r="M524" s="1">
        <v>20</v>
      </c>
    </row>
    <row r="525" spans="4:13">
      <c r="D525" s="1" t="s">
        <v>132</v>
      </c>
      <c r="E525" s="1" t="s">
        <v>109</v>
      </c>
      <c r="H525" s="1" t="s">
        <v>22</v>
      </c>
      <c r="I525" s="1" t="s">
        <v>23</v>
      </c>
      <c r="L525" s="1">
        <v>1</v>
      </c>
      <c r="M525" s="1">
        <v>1</v>
      </c>
    </row>
    <row r="526" spans="4:13">
      <c r="D526" s="1" t="s">
        <v>132</v>
      </c>
      <c r="E526" s="1" t="s">
        <v>110</v>
      </c>
      <c r="H526" s="1" t="s">
        <v>25</v>
      </c>
      <c r="I526" s="1" t="s">
        <v>23</v>
      </c>
      <c r="M526" s="1" t="b">
        <v>1</v>
      </c>
    </row>
    <row r="527" spans="4:13">
      <c r="D527" s="1" t="s">
        <v>132</v>
      </c>
      <c r="E527" s="1" t="s">
        <v>111</v>
      </c>
      <c r="F527" s="1" t="s">
        <v>56</v>
      </c>
      <c r="G527" s="1" t="s">
        <v>57</v>
      </c>
      <c r="H527" s="1" t="s">
        <v>22</v>
      </c>
      <c r="I527" s="1" t="s">
        <v>23</v>
      </c>
      <c r="L527" s="1">
        <v>1.4503773773020921E-4</v>
      </c>
      <c r="M527" s="1">
        <v>7.2518868865104604E-3</v>
      </c>
    </row>
    <row r="528" spans="4:13">
      <c r="D528" s="1" t="s">
        <v>132</v>
      </c>
      <c r="E528" s="1" t="s">
        <v>47</v>
      </c>
      <c r="H528" s="1" t="s">
        <v>25</v>
      </c>
      <c r="I528" s="1" t="s">
        <v>23</v>
      </c>
      <c r="M528" s="1" t="b">
        <v>0</v>
      </c>
    </row>
    <row r="529" spans="4:13">
      <c r="D529" s="1" t="s">
        <v>132</v>
      </c>
      <c r="E529" s="1" t="s">
        <v>112</v>
      </c>
      <c r="F529" s="1" t="s">
        <v>56</v>
      </c>
      <c r="G529" s="1" t="s">
        <v>57</v>
      </c>
      <c r="H529" s="1" t="s">
        <v>22</v>
      </c>
      <c r="I529" s="1" t="s">
        <v>29</v>
      </c>
      <c r="J529" s="1">
        <v>4.9312830828271128</v>
      </c>
      <c r="K529" s="1">
        <v>623.66227223989961</v>
      </c>
      <c r="L529" s="1">
        <v>50.713895374744951</v>
      </c>
    </row>
    <row r="530" spans="4:13">
      <c r="D530" s="1" t="s">
        <v>132</v>
      </c>
      <c r="E530" s="1" t="s">
        <v>133</v>
      </c>
      <c r="H530" s="1" t="s">
        <v>22</v>
      </c>
      <c r="I530" s="1" t="s">
        <v>23</v>
      </c>
      <c r="L530" s="1">
        <v>1</v>
      </c>
      <c r="M530" s="1">
        <v>1E-3</v>
      </c>
    </row>
    <row r="531" spans="4:13">
      <c r="D531" s="1" t="s">
        <v>132</v>
      </c>
      <c r="E531" s="1" t="s">
        <v>134</v>
      </c>
      <c r="H531" s="1" t="s">
        <v>22</v>
      </c>
      <c r="I531" s="1" t="s">
        <v>23</v>
      </c>
      <c r="L531" s="1">
        <v>1</v>
      </c>
      <c r="M531" s="1">
        <v>9.9999999999999995E-7</v>
      </c>
    </row>
    <row r="532" spans="4:13">
      <c r="D532" s="1" t="s">
        <v>132</v>
      </c>
      <c r="E532" s="1" t="s">
        <v>135</v>
      </c>
      <c r="H532" s="1" t="s">
        <v>22</v>
      </c>
      <c r="I532" s="1" t="s">
        <v>23</v>
      </c>
      <c r="L532" s="1">
        <v>1</v>
      </c>
      <c r="M532" s="1">
        <v>9.9999999999999998E-13</v>
      </c>
    </row>
    <row r="533" spans="4:13">
      <c r="D533" s="1" t="s">
        <v>132</v>
      </c>
      <c r="E533" s="1" t="s">
        <v>62</v>
      </c>
      <c r="H533" s="1" t="s">
        <v>63</v>
      </c>
      <c r="I533" s="1" t="s">
        <v>23</v>
      </c>
      <c r="M533" s="1">
        <v>1</v>
      </c>
    </row>
    <row r="534" spans="4:13">
      <c r="D534" s="1" t="s">
        <v>132</v>
      </c>
      <c r="E534" s="1" t="s">
        <v>113</v>
      </c>
      <c r="H534" s="1" t="s">
        <v>22</v>
      </c>
      <c r="I534" s="1" t="s">
        <v>65</v>
      </c>
      <c r="L534" s="1">
        <v>1</v>
      </c>
    </row>
    <row r="535" spans="4:13">
      <c r="D535" s="1" t="s">
        <v>132</v>
      </c>
      <c r="E535" s="1" t="s">
        <v>114</v>
      </c>
      <c r="H535" s="1" t="s">
        <v>22</v>
      </c>
      <c r="I535" s="1" t="s">
        <v>70</v>
      </c>
      <c r="L535" s="1">
        <v>1</v>
      </c>
    </row>
    <row r="536" spans="4:13">
      <c r="D536" s="1" t="s">
        <v>132</v>
      </c>
      <c r="E536" s="1" t="s">
        <v>115</v>
      </c>
      <c r="F536" s="1" t="s">
        <v>56</v>
      </c>
      <c r="G536" s="1" t="s">
        <v>57</v>
      </c>
      <c r="H536" s="1" t="s">
        <v>22</v>
      </c>
      <c r="I536" s="1" t="s">
        <v>65</v>
      </c>
      <c r="L536" s="1">
        <v>1.4503773773020921E-4</v>
      </c>
    </row>
    <row r="537" spans="4:13">
      <c r="D537" s="1" t="s">
        <v>132</v>
      </c>
      <c r="E537" s="1" t="s">
        <v>116</v>
      </c>
      <c r="H537" s="1" t="s">
        <v>25</v>
      </c>
      <c r="I537" s="1" t="s">
        <v>65</v>
      </c>
    </row>
    <row r="538" spans="4:13">
      <c r="D538" s="1" t="s">
        <v>132</v>
      </c>
      <c r="E538" s="1" t="s">
        <v>69</v>
      </c>
      <c r="H538" s="1" t="s">
        <v>25</v>
      </c>
      <c r="I538" s="1" t="s">
        <v>70</v>
      </c>
    </row>
    <row r="539" spans="4:13">
      <c r="D539" s="1" t="s">
        <v>132</v>
      </c>
      <c r="E539" s="1" t="s">
        <v>71</v>
      </c>
      <c r="F539" s="1" t="s">
        <v>52</v>
      </c>
      <c r="G539" s="1" t="s">
        <v>53</v>
      </c>
      <c r="H539" s="1" t="s">
        <v>22</v>
      </c>
      <c r="I539" s="1" t="s">
        <v>65</v>
      </c>
      <c r="L539" s="1">
        <v>7936.6414386555998</v>
      </c>
    </row>
    <row r="540" spans="4:13">
      <c r="D540" s="1" t="s">
        <v>132</v>
      </c>
      <c r="E540" s="1" t="s">
        <v>117</v>
      </c>
      <c r="F540" s="1" t="s">
        <v>118</v>
      </c>
      <c r="G540" s="1" t="s">
        <v>119</v>
      </c>
      <c r="H540" s="1" t="s">
        <v>22</v>
      </c>
      <c r="I540" s="1" t="s">
        <v>120</v>
      </c>
      <c r="J540" s="1">
        <v>0</v>
      </c>
      <c r="L540" s="1">
        <v>2.20462262185</v>
      </c>
    </row>
    <row r="541" spans="4:13">
      <c r="D541" s="1" t="s">
        <v>132</v>
      </c>
      <c r="E541" s="1" t="s">
        <v>121</v>
      </c>
      <c r="H541" s="1" t="s">
        <v>22</v>
      </c>
      <c r="I541" s="1" t="s">
        <v>120</v>
      </c>
      <c r="L541" s="1">
        <v>1</v>
      </c>
    </row>
    <row r="542" spans="4:13">
      <c r="D542" s="1" t="s">
        <v>132</v>
      </c>
      <c r="E542" s="1" t="s">
        <v>122</v>
      </c>
      <c r="F542" s="1" t="s">
        <v>56</v>
      </c>
      <c r="G542" s="1" t="s">
        <v>57</v>
      </c>
      <c r="H542" s="1" t="s">
        <v>22</v>
      </c>
      <c r="I542" s="1" t="s">
        <v>65</v>
      </c>
      <c r="L542" s="1">
        <v>1.4503773773020921E-4</v>
      </c>
    </row>
    <row r="543" spans="4:13">
      <c r="D543" s="1" t="s">
        <v>132</v>
      </c>
      <c r="E543" s="1" t="s">
        <v>123</v>
      </c>
      <c r="F543" s="1" t="s">
        <v>124</v>
      </c>
      <c r="G543" s="1" t="s">
        <v>125</v>
      </c>
      <c r="H543" s="1" t="s">
        <v>22</v>
      </c>
      <c r="I543" s="1" t="s">
        <v>120</v>
      </c>
      <c r="L543" s="1">
        <v>35.314666699999997</v>
      </c>
    </row>
    <row r="544" spans="4:13">
      <c r="D544" s="1" t="s">
        <v>132</v>
      </c>
      <c r="E544" s="1" t="s">
        <v>126</v>
      </c>
      <c r="H544" s="1" t="s">
        <v>22</v>
      </c>
      <c r="I544" s="1" t="s">
        <v>65</v>
      </c>
      <c r="L544" s="1">
        <v>1</v>
      </c>
    </row>
    <row r="545" spans="4:13">
      <c r="D545" s="1" t="s">
        <v>132</v>
      </c>
      <c r="E545" s="1" t="s">
        <v>127</v>
      </c>
      <c r="H545" s="1" t="s">
        <v>25</v>
      </c>
      <c r="I545" s="1" t="s">
        <v>23</v>
      </c>
      <c r="M545" s="1" t="b">
        <v>1</v>
      </c>
    </row>
    <row r="546" spans="4:13">
      <c r="D546" s="1" t="s">
        <v>136</v>
      </c>
      <c r="E546" s="1" t="s">
        <v>28</v>
      </c>
      <c r="H546" s="1" t="s">
        <v>22</v>
      </c>
      <c r="I546" s="1" t="s">
        <v>29</v>
      </c>
      <c r="J546" s="1">
        <v>34000</v>
      </c>
      <c r="K546" s="1">
        <v>4300000</v>
      </c>
      <c r="L546" s="1">
        <v>349660</v>
      </c>
    </row>
    <row r="547" spans="4:13">
      <c r="D547" s="1" t="s">
        <v>136</v>
      </c>
      <c r="E547" s="1" t="s">
        <v>30</v>
      </c>
      <c r="H547" s="1" t="s">
        <v>22</v>
      </c>
      <c r="I547" s="1" t="s">
        <v>29</v>
      </c>
      <c r="J547" s="1">
        <v>-3.94</v>
      </c>
      <c r="K547" s="1">
        <v>3.66</v>
      </c>
      <c r="L547" s="1">
        <v>1</v>
      </c>
    </row>
    <row r="548" spans="4:13">
      <c r="D548" s="1" t="s">
        <v>136</v>
      </c>
      <c r="E548" s="1" t="s">
        <v>31</v>
      </c>
      <c r="H548" s="1" t="s">
        <v>22</v>
      </c>
      <c r="I548" s="1" t="s">
        <v>29</v>
      </c>
      <c r="J548" s="1">
        <v>0</v>
      </c>
      <c r="K548" s="1">
        <v>100</v>
      </c>
      <c r="L548" s="1">
        <v>1</v>
      </c>
    </row>
    <row r="549" spans="4:13">
      <c r="D549" s="1" t="s">
        <v>136</v>
      </c>
      <c r="E549" s="1" t="s">
        <v>32</v>
      </c>
      <c r="H549" s="1" t="s">
        <v>22</v>
      </c>
      <c r="I549" s="1" t="s">
        <v>29</v>
      </c>
      <c r="J549" s="1">
        <v>-3.94</v>
      </c>
      <c r="K549" s="1">
        <v>3.66</v>
      </c>
      <c r="L549" s="1">
        <v>1</v>
      </c>
    </row>
    <row r="550" spans="4:13">
      <c r="D550" s="1" t="s">
        <v>136</v>
      </c>
      <c r="E550" s="1" t="s">
        <v>33</v>
      </c>
      <c r="H550" s="1" t="s">
        <v>25</v>
      </c>
      <c r="I550" s="1" t="s">
        <v>23</v>
      </c>
      <c r="M550" s="1" t="b">
        <v>0</v>
      </c>
    </row>
    <row r="551" spans="4:13">
      <c r="D551" s="1" t="s">
        <v>136</v>
      </c>
      <c r="E551" s="1" t="s">
        <v>34</v>
      </c>
      <c r="F551" s="1" t="s">
        <v>35</v>
      </c>
      <c r="G551" s="1" t="s">
        <v>36</v>
      </c>
      <c r="H551" s="1" t="s">
        <v>22</v>
      </c>
      <c r="I551" s="1" t="s">
        <v>23</v>
      </c>
      <c r="J551" s="1">
        <v>-459.67</v>
      </c>
      <c r="K551" s="1">
        <v>980.32999999999993</v>
      </c>
      <c r="L551" s="1">
        <v>80.329999999999984</v>
      </c>
      <c r="M551" s="1">
        <v>67.999999999999943</v>
      </c>
    </row>
    <row r="552" spans="4:13">
      <c r="D552" s="1" t="s">
        <v>136</v>
      </c>
      <c r="E552" s="1" t="s">
        <v>37</v>
      </c>
      <c r="H552" s="1" t="s">
        <v>25</v>
      </c>
      <c r="I552" s="1" t="s">
        <v>23</v>
      </c>
      <c r="M552" s="1" t="b">
        <v>0</v>
      </c>
    </row>
    <row r="553" spans="4:13">
      <c r="D553" s="1" t="s">
        <v>136</v>
      </c>
      <c r="E553" s="1" t="s">
        <v>38</v>
      </c>
      <c r="F553" s="1" t="s">
        <v>35</v>
      </c>
      <c r="G553" s="1" t="s">
        <v>36</v>
      </c>
      <c r="H553" s="1" t="s">
        <v>22</v>
      </c>
      <c r="I553" s="1" t="s">
        <v>23</v>
      </c>
      <c r="J553" s="1">
        <v>-99.670000000000016</v>
      </c>
      <c r="K553" s="1">
        <v>980.32999999999993</v>
      </c>
      <c r="L553" s="1">
        <v>80.329999999999984</v>
      </c>
      <c r="M553" s="1">
        <v>13.999999999999943</v>
      </c>
    </row>
    <row r="554" spans="4:13">
      <c r="D554" s="1" t="s">
        <v>136</v>
      </c>
      <c r="E554" s="1" t="s">
        <v>39</v>
      </c>
      <c r="H554" s="1" t="s">
        <v>25</v>
      </c>
      <c r="I554" s="1" t="s">
        <v>23</v>
      </c>
      <c r="M554" s="1" t="b">
        <v>0</v>
      </c>
    </row>
    <row r="555" spans="4:13">
      <c r="D555" s="1" t="s">
        <v>136</v>
      </c>
      <c r="E555" s="1" t="s">
        <v>40</v>
      </c>
      <c r="F555" s="1" t="s">
        <v>41</v>
      </c>
      <c r="G555" s="1" t="s">
        <v>42</v>
      </c>
      <c r="H555" s="1" t="s">
        <v>22</v>
      </c>
      <c r="I555" s="1" t="s">
        <v>23</v>
      </c>
      <c r="J555" s="1">
        <v>-900</v>
      </c>
      <c r="K555" s="1">
        <v>900</v>
      </c>
      <c r="L555" s="1">
        <v>1.8</v>
      </c>
      <c r="M555" s="1">
        <v>9</v>
      </c>
    </row>
    <row r="556" spans="4:13">
      <c r="D556" s="1" t="s">
        <v>136</v>
      </c>
      <c r="E556" s="1" t="s">
        <v>43</v>
      </c>
      <c r="H556" s="1" t="s">
        <v>25</v>
      </c>
      <c r="I556" s="1" t="s">
        <v>23</v>
      </c>
      <c r="M556" s="1" t="b">
        <v>0</v>
      </c>
    </row>
    <row r="557" spans="4:13">
      <c r="D557" s="1" t="s">
        <v>136</v>
      </c>
      <c r="E557" s="1" t="s">
        <v>44</v>
      </c>
      <c r="F557" s="1" t="s">
        <v>45</v>
      </c>
      <c r="G557" s="1" t="s">
        <v>46</v>
      </c>
      <c r="H557" s="1" t="s">
        <v>22</v>
      </c>
      <c r="I557" s="1" t="s">
        <v>23</v>
      </c>
      <c r="J557" s="1">
        <v>-85.984522757427143</v>
      </c>
      <c r="K557" s="1">
        <v>8598.4522757427148</v>
      </c>
      <c r="L557" s="1">
        <v>114.79148749423418</v>
      </c>
      <c r="M557" s="1">
        <v>128.97678413614071</v>
      </c>
    </row>
    <row r="558" spans="4:13">
      <c r="D558" s="1" t="s">
        <v>136</v>
      </c>
      <c r="E558" s="1" t="s">
        <v>47</v>
      </c>
      <c r="H558" s="1" t="s">
        <v>25</v>
      </c>
      <c r="I558" s="1" t="s">
        <v>23</v>
      </c>
      <c r="M558" s="1" t="b">
        <v>0</v>
      </c>
    </row>
    <row r="559" spans="4:13">
      <c r="D559" s="1" t="s">
        <v>136</v>
      </c>
      <c r="E559" s="1" t="s">
        <v>48</v>
      </c>
      <c r="H559" s="1" t="s">
        <v>25</v>
      </c>
      <c r="I559" s="1" t="s">
        <v>23</v>
      </c>
      <c r="M559" s="1" t="b">
        <v>0</v>
      </c>
    </row>
    <row r="560" spans="4:13">
      <c r="D560" s="1" t="s">
        <v>136</v>
      </c>
      <c r="E560" s="1" t="s">
        <v>49</v>
      </c>
      <c r="H560" s="1" t="s">
        <v>25</v>
      </c>
      <c r="I560" s="1" t="s">
        <v>23</v>
      </c>
      <c r="M560" s="1" t="b">
        <v>0</v>
      </c>
    </row>
    <row r="561" spans="4:13">
      <c r="D561" s="1" t="s">
        <v>136</v>
      </c>
      <c r="E561" s="1" t="s">
        <v>50</v>
      </c>
      <c r="H561" s="1" t="s">
        <v>25</v>
      </c>
      <c r="I561" s="1" t="s">
        <v>23</v>
      </c>
      <c r="M561" s="1" t="b">
        <v>0</v>
      </c>
    </row>
    <row r="562" spans="4:13">
      <c r="D562" s="1" t="s">
        <v>136</v>
      </c>
      <c r="E562" s="1" t="s">
        <v>51</v>
      </c>
      <c r="F562" s="1" t="s">
        <v>52</v>
      </c>
      <c r="G562" s="1" t="s">
        <v>53</v>
      </c>
      <c r="H562" s="1" t="s">
        <v>22</v>
      </c>
      <c r="I562" s="1" t="s">
        <v>23</v>
      </c>
      <c r="J562" s="1">
        <v>0</v>
      </c>
      <c r="K562" s="1">
        <v>7936641438.6555996</v>
      </c>
      <c r="L562" s="1">
        <v>7936.6414386555998</v>
      </c>
      <c r="M562" s="1">
        <v>7936.6414386555998</v>
      </c>
    </row>
    <row r="563" spans="4:13">
      <c r="D563" s="1" t="s">
        <v>136</v>
      </c>
      <c r="E563" s="1" t="s">
        <v>54</v>
      </c>
      <c r="H563" s="1" t="s">
        <v>25</v>
      </c>
      <c r="I563" s="1" t="s">
        <v>23</v>
      </c>
      <c r="M563" s="1" t="b">
        <v>0</v>
      </c>
    </row>
    <row r="564" spans="4:13">
      <c r="D564" s="1" t="s">
        <v>136</v>
      </c>
      <c r="E564" s="1" t="s">
        <v>55</v>
      </c>
      <c r="F564" s="1" t="s">
        <v>56</v>
      </c>
      <c r="G564" s="1" t="s">
        <v>57</v>
      </c>
      <c r="H564" s="1" t="s">
        <v>22</v>
      </c>
      <c r="I564" s="1" t="s">
        <v>23</v>
      </c>
      <c r="J564" s="1">
        <v>0</v>
      </c>
      <c r="K564" s="1">
        <v>9427.4529524635982</v>
      </c>
      <c r="L564" s="1">
        <v>50.713895374744951</v>
      </c>
      <c r="M564" s="1">
        <v>50.763208205573221</v>
      </c>
    </row>
    <row r="565" spans="4:13">
      <c r="D565" s="1" t="s">
        <v>136</v>
      </c>
      <c r="E565" s="1" t="s">
        <v>58</v>
      </c>
      <c r="H565" s="1" t="s">
        <v>25</v>
      </c>
      <c r="I565" s="1" t="s">
        <v>23</v>
      </c>
      <c r="M565" s="1" t="b">
        <v>0</v>
      </c>
    </row>
    <row r="566" spans="4:13">
      <c r="D566" s="1" t="s">
        <v>136</v>
      </c>
      <c r="E566" s="1" t="s">
        <v>59</v>
      </c>
      <c r="F566" s="1" t="s">
        <v>60</v>
      </c>
      <c r="G566" s="1" t="s">
        <v>61</v>
      </c>
      <c r="H566" s="1" t="s">
        <v>22</v>
      </c>
      <c r="I566" s="1" t="s">
        <v>23</v>
      </c>
      <c r="J566" s="1">
        <v>-9.5538358650799999</v>
      </c>
      <c r="K566" s="1">
        <v>9.5538358650799999</v>
      </c>
      <c r="L566" s="1">
        <v>0.23884589662700001</v>
      </c>
      <c r="M566" s="1">
        <v>0.23884589662700001</v>
      </c>
    </row>
    <row r="567" spans="4:13">
      <c r="D567" s="1" t="s">
        <v>136</v>
      </c>
      <c r="E567" s="1" t="s">
        <v>62</v>
      </c>
      <c r="H567" s="1" t="s">
        <v>63</v>
      </c>
      <c r="I567" s="1" t="s">
        <v>23</v>
      </c>
      <c r="M567" s="1">
        <v>1</v>
      </c>
    </row>
    <row r="568" spans="4:13">
      <c r="D568" s="1" t="s">
        <v>136</v>
      </c>
      <c r="E568" s="1" t="s">
        <v>64</v>
      </c>
      <c r="F568" s="1" t="s">
        <v>35</v>
      </c>
      <c r="G568" s="1" t="s">
        <v>36</v>
      </c>
      <c r="H568" s="1" t="s">
        <v>22</v>
      </c>
      <c r="I568" s="1" t="s">
        <v>65</v>
      </c>
      <c r="J568" s="1">
        <v>-459.67</v>
      </c>
      <c r="L568" s="1">
        <v>80.329999999999984</v>
      </c>
    </row>
    <row r="569" spans="4:13">
      <c r="D569" s="1" t="s">
        <v>136</v>
      </c>
      <c r="E569" s="1" t="s">
        <v>66</v>
      </c>
      <c r="F569" s="1" t="s">
        <v>35</v>
      </c>
      <c r="G569" s="1" t="s">
        <v>36</v>
      </c>
      <c r="H569" s="1" t="s">
        <v>22</v>
      </c>
      <c r="I569" s="1" t="s">
        <v>65</v>
      </c>
      <c r="J569" s="1">
        <v>-459.67</v>
      </c>
      <c r="L569" s="1">
        <v>80.329999999999984</v>
      </c>
    </row>
    <row r="570" spans="4:13">
      <c r="D570" s="1" t="s">
        <v>136</v>
      </c>
      <c r="E570" s="1" t="s">
        <v>67</v>
      </c>
      <c r="F570" s="1" t="s">
        <v>41</v>
      </c>
      <c r="G570" s="1" t="s">
        <v>42</v>
      </c>
      <c r="H570" s="1" t="s">
        <v>22</v>
      </c>
      <c r="I570" s="1" t="s">
        <v>65</v>
      </c>
      <c r="L570" s="1">
        <v>1.8</v>
      </c>
    </row>
    <row r="571" spans="4:13">
      <c r="D571" s="1" t="s">
        <v>136</v>
      </c>
      <c r="E571" s="1" t="s">
        <v>68</v>
      </c>
      <c r="F571" s="1" t="s">
        <v>45</v>
      </c>
      <c r="G571" s="1" t="s">
        <v>46</v>
      </c>
      <c r="H571" s="1" t="s">
        <v>22</v>
      </c>
      <c r="I571" s="1" t="s">
        <v>65</v>
      </c>
      <c r="L571" s="1">
        <v>4.2992261378713571E-4</v>
      </c>
    </row>
    <row r="572" spans="4:13">
      <c r="D572" s="1" t="s">
        <v>136</v>
      </c>
      <c r="E572" s="1" t="s">
        <v>69</v>
      </c>
      <c r="H572" s="1" t="s">
        <v>25</v>
      </c>
      <c r="I572" s="1" t="s">
        <v>70</v>
      </c>
    </row>
    <row r="573" spans="4:13">
      <c r="D573" s="1" t="s">
        <v>136</v>
      </c>
      <c r="E573" s="1" t="s">
        <v>71</v>
      </c>
      <c r="F573" s="1" t="s">
        <v>52</v>
      </c>
      <c r="G573" s="1" t="s">
        <v>53</v>
      </c>
      <c r="H573" s="1" t="s">
        <v>22</v>
      </c>
      <c r="I573" s="1" t="s">
        <v>65</v>
      </c>
      <c r="L573" s="1">
        <v>7936.6414386555998</v>
      </c>
    </row>
    <row r="574" spans="4:13">
      <c r="D574" s="1" t="s">
        <v>136</v>
      </c>
      <c r="E574" s="1" t="s">
        <v>72</v>
      </c>
      <c r="F574" s="1" t="s">
        <v>56</v>
      </c>
      <c r="G574" s="1" t="s">
        <v>57</v>
      </c>
      <c r="H574" s="1" t="s">
        <v>22</v>
      </c>
      <c r="I574" s="1" t="s">
        <v>65</v>
      </c>
      <c r="J574" s="1">
        <v>0</v>
      </c>
      <c r="L574" s="1">
        <v>14.503773773020921</v>
      </c>
    </row>
    <row r="575" spans="4:13">
      <c r="D575" s="1" t="s">
        <v>136</v>
      </c>
      <c r="E575" s="1" t="s">
        <v>73</v>
      </c>
      <c r="F575" s="1" t="s">
        <v>60</v>
      </c>
      <c r="G575" s="1" t="s">
        <v>61</v>
      </c>
      <c r="H575" s="1" t="s">
        <v>22</v>
      </c>
      <c r="I575" s="1" t="s">
        <v>65</v>
      </c>
      <c r="L575" s="1">
        <v>2.38845896627E-4</v>
      </c>
    </row>
    <row r="576" spans="4:13">
      <c r="D576" s="1" t="s">
        <v>136</v>
      </c>
      <c r="E576" s="1" t="s">
        <v>74</v>
      </c>
      <c r="F576" s="1" t="s">
        <v>75</v>
      </c>
      <c r="G576" s="1" t="s">
        <v>76</v>
      </c>
      <c r="H576" s="1" t="s">
        <v>22</v>
      </c>
      <c r="I576" s="1" t="s">
        <v>65</v>
      </c>
      <c r="J576" s="1">
        <v>0</v>
      </c>
      <c r="L576" s="1">
        <v>16.018463521800001</v>
      </c>
    </row>
    <row r="577" spans="4:13">
      <c r="D577" s="1" t="s">
        <v>136</v>
      </c>
      <c r="E577" s="1" t="s">
        <v>77</v>
      </c>
      <c r="H577" s="1" t="s">
        <v>22</v>
      </c>
      <c r="I577" s="1" t="s">
        <v>65</v>
      </c>
      <c r="L577" s="1">
        <v>1</v>
      </c>
    </row>
    <row r="578" spans="4:13">
      <c r="D578" s="1" t="s">
        <v>136</v>
      </c>
      <c r="E578" s="1" t="s">
        <v>78</v>
      </c>
      <c r="H578" s="1" t="s">
        <v>25</v>
      </c>
      <c r="I578" s="1" t="s">
        <v>23</v>
      </c>
      <c r="M578" s="1" t="b">
        <v>0</v>
      </c>
    </row>
    <row r="579" spans="4:13">
      <c r="D579" s="1" t="s">
        <v>136</v>
      </c>
      <c r="E579" s="1" t="s">
        <v>79</v>
      </c>
      <c r="F579" s="1" t="s">
        <v>75</v>
      </c>
      <c r="G579" s="1" t="s">
        <v>76</v>
      </c>
      <c r="H579" s="1" t="s">
        <v>22</v>
      </c>
      <c r="I579" s="1" t="s">
        <v>23</v>
      </c>
      <c r="J579" s="1">
        <v>0</v>
      </c>
      <c r="K579" s="1">
        <v>96.110781130800007</v>
      </c>
      <c r="L579" s="1">
        <v>16.018463521800001</v>
      </c>
      <c r="M579" s="1">
        <v>1.6018463521800002</v>
      </c>
    </row>
    <row r="580" spans="4:13">
      <c r="D580" s="1" t="s">
        <v>136</v>
      </c>
      <c r="E580" s="1" t="s">
        <v>80</v>
      </c>
      <c r="H580" s="1" t="s">
        <v>25</v>
      </c>
      <c r="I580" s="1" t="s">
        <v>23</v>
      </c>
      <c r="M580" s="1" t="b">
        <v>0</v>
      </c>
    </row>
    <row r="581" spans="4:13">
      <c r="D581" s="1" t="s">
        <v>136</v>
      </c>
      <c r="E581" s="1" t="s">
        <v>81</v>
      </c>
      <c r="H581" s="1" t="s">
        <v>25</v>
      </c>
      <c r="I581" s="1" t="s">
        <v>23</v>
      </c>
      <c r="M581" s="1" t="b">
        <v>0</v>
      </c>
    </row>
    <row r="582" spans="4:13">
      <c r="D582" s="1" t="s">
        <v>136</v>
      </c>
      <c r="E582" s="1" t="s">
        <v>82</v>
      </c>
      <c r="H582" s="1" t="s">
        <v>22</v>
      </c>
      <c r="I582" s="1" t="s">
        <v>23</v>
      </c>
      <c r="J582" s="1">
        <v>-1</v>
      </c>
      <c r="K582" s="1">
        <v>3</v>
      </c>
      <c r="L582" s="1">
        <v>1</v>
      </c>
      <c r="M582" s="1">
        <v>1.01</v>
      </c>
    </row>
    <row r="583" spans="4:13">
      <c r="D583" s="1" t="s">
        <v>137</v>
      </c>
      <c r="E583" s="1" t="s">
        <v>28</v>
      </c>
      <c r="H583" s="1" t="s">
        <v>22</v>
      </c>
      <c r="I583" s="1" t="s">
        <v>29</v>
      </c>
      <c r="J583" s="1">
        <v>34000</v>
      </c>
      <c r="K583" s="1">
        <v>4300000</v>
      </c>
      <c r="L583" s="1">
        <v>349660</v>
      </c>
    </row>
    <row r="584" spans="4:13">
      <c r="D584" s="1" t="s">
        <v>137</v>
      </c>
      <c r="E584" s="1" t="s">
        <v>30</v>
      </c>
      <c r="H584" s="1" t="s">
        <v>22</v>
      </c>
      <c r="I584" s="1" t="s">
        <v>29</v>
      </c>
      <c r="J584" s="1">
        <v>-3.94</v>
      </c>
      <c r="K584" s="1">
        <v>3.66</v>
      </c>
      <c r="L584" s="1">
        <v>1</v>
      </c>
    </row>
    <row r="585" spans="4:13">
      <c r="D585" s="1" t="s">
        <v>137</v>
      </c>
      <c r="E585" s="1" t="s">
        <v>31</v>
      </c>
      <c r="H585" s="1" t="s">
        <v>22</v>
      </c>
      <c r="I585" s="1" t="s">
        <v>29</v>
      </c>
      <c r="J585" s="1">
        <v>0</v>
      </c>
      <c r="K585" s="1">
        <v>100</v>
      </c>
      <c r="L585" s="1">
        <v>1</v>
      </c>
    </row>
    <row r="586" spans="4:13">
      <c r="D586" s="1" t="s">
        <v>137</v>
      </c>
      <c r="E586" s="1" t="s">
        <v>32</v>
      </c>
      <c r="H586" s="1" t="s">
        <v>22</v>
      </c>
      <c r="I586" s="1" t="s">
        <v>29</v>
      </c>
      <c r="J586" s="1">
        <v>-3.94</v>
      </c>
      <c r="K586" s="1">
        <v>3.66</v>
      </c>
      <c r="L586" s="1">
        <v>1</v>
      </c>
    </row>
    <row r="587" spans="4:13">
      <c r="D587" s="1" t="s">
        <v>137</v>
      </c>
      <c r="E587" s="1" t="s">
        <v>33</v>
      </c>
      <c r="H587" s="1" t="s">
        <v>25</v>
      </c>
      <c r="I587" s="1" t="s">
        <v>23</v>
      </c>
      <c r="M587" s="1" t="b">
        <v>0</v>
      </c>
    </row>
    <row r="588" spans="4:13">
      <c r="D588" s="1" t="s">
        <v>137</v>
      </c>
      <c r="E588" s="1" t="s">
        <v>34</v>
      </c>
      <c r="F588" s="1" t="s">
        <v>35</v>
      </c>
      <c r="G588" s="1" t="s">
        <v>36</v>
      </c>
      <c r="H588" s="1" t="s">
        <v>22</v>
      </c>
      <c r="I588" s="1" t="s">
        <v>23</v>
      </c>
      <c r="J588" s="1">
        <v>-459.67</v>
      </c>
      <c r="K588" s="1">
        <v>980.32999999999993</v>
      </c>
      <c r="L588" s="1">
        <v>80.329999999999984</v>
      </c>
      <c r="M588" s="1">
        <v>67.999999999999943</v>
      </c>
    </row>
    <row r="589" spans="4:13">
      <c r="D589" s="1" t="s">
        <v>137</v>
      </c>
      <c r="E589" s="1" t="s">
        <v>37</v>
      </c>
      <c r="H589" s="1" t="s">
        <v>25</v>
      </c>
      <c r="I589" s="1" t="s">
        <v>23</v>
      </c>
      <c r="M589" s="1" t="b">
        <v>0</v>
      </c>
    </row>
    <row r="590" spans="4:13">
      <c r="D590" s="1" t="s">
        <v>137</v>
      </c>
      <c r="E590" s="1" t="s">
        <v>38</v>
      </c>
      <c r="F590" s="1" t="s">
        <v>35</v>
      </c>
      <c r="G590" s="1" t="s">
        <v>36</v>
      </c>
      <c r="H590" s="1" t="s">
        <v>22</v>
      </c>
      <c r="I590" s="1" t="s">
        <v>23</v>
      </c>
      <c r="J590" s="1">
        <v>-99.670000000000016</v>
      </c>
      <c r="K590" s="1">
        <v>980.32999999999993</v>
      </c>
      <c r="L590" s="1">
        <v>80.329999999999984</v>
      </c>
      <c r="M590" s="1">
        <v>13.999999999999943</v>
      </c>
    </row>
    <row r="591" spans="4:13">
      <c r="D591" s="1" t="s">
        <v>137</v>
      </c>
      <c r="E591" s="1" t="s">
        <v>39</v>
      </c>
      <c r="H591" s="1" t="s">
        <v>25</v>
      </c>
      <c r="I591" s="1" t="s">
        <v>23</v>
      </c>
      <c r="M591" s="1" t="b">
        <v>0</v>
      </c>
    </row>
    <row r="592" spans="4:13">
      <c r="D592" s="1" t="s">
        <v>137</v>
      </c>
      <c r="E592" s="1" t="s">
        <v>40</v>
      </c>
      <c r="F592" s="1" t="s">
        <v>41</v>
      </c>
      <c r="G592" s="1" t="s">
        <v>42</v>
      </c>
      <c r="H592" s="1" t="s">
        <v>22</v>
      </c>
      <c r="I592" s="1" t="s">
        <v>23</v>
      </c>
      <c r="J592" s="1">
        <v>-900</v>
      </c>
      <c r="K592" s="1">
        <v>900</v>
      </c>
      <c r="L592" s="1">
        <v>1.8</v>
      </c>
      <c r="M592" s="1">
        <v>9</v>
      </c>
    </row>
    <row r="593" spans="4:13">
      <c r="D593" s="1" t="s">
        <v>137</v>
      </c>
      <c r="E593" s="1" t="s">
        <v>43</v>
      </c>
      <c r="H593" s="1" t="s">
        <v>25</v>
      </c>
      <c r="I593" s="1" t="s">
        <v>23</v>
      </c>
      <c r="M593" s="1" t="b">
        <v>0</v>
      </c>
    </row>
    <row r="594" spans="4:13">
      <c r="D594" s="1" t="s">
        <v>137</v>
      </c>
      <c r="E594" s="1" t="s">
        <v>44</v>
      </c>
      <c r="F594" s="1" t="s">
        <v>45</v>
      </c>
      <c r="G594" s="1" t="s">
        <v>46</v>
      </c>
      <c r="H594" s="1" t="s">
        <v>22</v>
      </c>
      <c r="I594" s="1" t="s">
        <v>23</v>
      </c>
      <c r="J594" s="1">
        <v>-85.984522757427143</v>
      </c>
      <c r="K594" s="1">
        <v>8598.4522757427148</v>
      </c>
      <c r="L594" s="1">
        <v>114.79148749423418</v>
      </c>
      <c r="M594" s="1">
        <v>128.97678413614071</v>
      </c>
    </row>
    <row r="595" spans="4:13">
      <c r="D595" s="1" t="s">
        <v>137</v>
      </c>
      <c r="E595" s="1" t="s">
        <v>47</v>
      </c>
      <c r="H595" s="1" t="s">
        <v>25</v>
      </c>
      <c r="I595" s="1" t="s">
        <v>23</v>
      </c>
      <c r="M595" s="1" t="b">
        <v>0</v>
      </c>
    </row>
    <row r="596" spans="4:13">
      <c r="D596" s="1" t="s">
        <v>137</v>
      </c>
      <c r="E596" s="1" t="s">
        <v>48</v>
      </c>
      <c r="H596" s="1" t="s">
        <v>25</v>
      </c>
      <c r="I596" s="1" t="s">
        <v>23</v>
      </c>
      <c r="M596" s="1" t="b">
        <v>0</v>
      </c>
    </row>
    <row r="597" spans="4:13">
      <c r="D597" s="1" t="s">
        <v>137</v>
      </c>
      <c r="E597" s="1" t="s">
        <v>49</v>
      </c>
      <c r="H597" s="1" t="s">
        <v>25</v>
      </c>
      <c r="I597" s="1" t="s">
        <v>23</v>
      </c>
      <c r="M597" s="1" t="b">
        <v>0</v>
      </c>
    </row>
    <row r="598" spans="4:13">
      <c r="D598" s="1" t="s">
        <v>137</v>
      </c>
      <c r="E598" s="1" t="s">
        <v>50</v>
      </c>
      <c r="H598" s="1" t="s">
        <v>25</v>
      </c>
      <c r="I598" s="1" t="s">
        <v>23</v>
      </c>
      <c r="M598" s="1" t="b">
        <v>0</v>
      </c>
    </row>
    <row r="599" spans="4:13">
      <c r="D599" s="1" t="s">
        <v>137</v>
      </c>
      <c r="E599" s="1" t="s">
        <v>51</v>
      </c>
      <c r="F599" s="1" t="s">
        <v>52</v>
      </c>
      <c r="G599" s="1" t="s">
        <v>53</v>
      </c>
      <c r="H599" s="1" t="s">
        <v>22</v>
      </c>
      <c r="I599" s="1" t="s">
        <v>23</v>
      </c>
      <c r="J599" s="1">
        <v>0</v>
      </c>
      <c r="K599" s="1">
        <v>7936641438.6555996</v>
      </c>
      <c r="L599" s="1">
        <v>7936.6414386555998</v>
      </c>
      <c r="M599" s="1">
        <v>7936.6414386555998</v>
      </c>
    </row>
    <row r="600" spans="4:13">
      <c r="D600" s="1" t="s">
        <v>137</v>
      </c>
      <c r="E600" s="1" t="s">
        <v>54</v>
      </c>
      <c r="H600" s="1" t="s">
        <v>25</v>
      </c>
      <c r="I600" s="1" t="s">
        <v>23</v>
      </c>
      <c r="M600" s="1" t="b">
        <v>0</v>
      </c>
    </row>
    <row r="601" spans="4:13">
      <c r="D601" s="1" t="s">
        <v>137</v>
      </c>
      <c r="E601" s="1" t="s">
        <v>55</v>
      </c>
      <c r="F601" s="1" t="s">
        <v>56</v>
      </c>
      <c r="G601" s="1" t="s">
        <v>57</v>
      </c>
      <c r="H601" s="1" t="s">
        <v>22</v>
      </c>
      <c r="I601" s="1" t="s">
        <v>23</v>
      </c>
      <c r="J601" s="1">
        <v>0</v>
      </c>
      <c r="K601" s="1">
        <v>9427.4529524635982</v>
      </c>
      <c r="L601" s="1">
        <v>50.713895374744951</v>
      </c>
      <c r="M601" s="1">
        <v>50.763208205573221</v>
      </c>
    </row>
    <row r="602" spans="4:13">
      <c r="D602" s="1" t="s">
        <v>137</v>
      </c>
      <c r="E602" s="1" t="s">
        <v>58</v>
      </c>
      <c r="H602" s="1" t="s">
        <v>25</v>
      </c>
      <c r="I602" s="1" t="s">
        <v>23</v>
      </c>
      <c r="M602" s="1" t="b">
        <v>0</v>
      </c>
    </row>
    <row r="603" spans="4:13">
      <c r="D603" s="1" t="s">
        <v>137</v>
      </c>
      <c r="E603" s="1" t="s">
        <v>59</v>
      </c>
      <c r="F603" s="1" t="s">
        <v>60</v>
      </c>
      <c r="G603" s="1" t="s">
        <v>61</v>
      </c>
      <c r="H603" s="1" t="s">
        <v>22</v>
      </c>
      <c r="I603" s="1" t="s">
        <v>23</v>
      </c>
      <c r="J603" s="1">
        <v>-9.5538358650799999</v>
      </c>
      <c r="K603" s="1">
        <v>9.5538358650799999</v>
      </c>
      <c r="L603" s="1">
        <v>0.23884589662700001</v>
      </c>
      <c r="M603" s="1">
        <v>0.23884589662700001</v>
      </c>
    </row>
    <row r="604" spans="4:13">
      <c r="D604" s="1" t="s">
        <v>137</v>
      </c>
      <c r="E604" s="1" t="s">
        <v>62</v>
      </c>
      <c r="H604" s="1" t="s">
        <v>63</v>
      </c>
      <c r="I604" s="1" t="s">
        <v>23</v>
      </c>
      <c r="M604" s="1">
        <v>1</v>
      </c>
    </row>
    <row r="605" spans="4:13">
      <c r="D605" s="1" t="s">
        <v>137</v>
      </c>
      <c r="E605" s="1" t="s">
        <v>64</v>
      </c>
      <c r="F605" s="1" t="s">
        <v>35</v>
      </c>
      <c r="G605" s="1" t="s">
        <v>36</v>
      </c>
      <c r="H605" s="1" t="s">
        <v>22</v>
      </c>
      <c r="I605" s="1" t="s">
        <v>65</v>
      </c>
      <c r="J605" s="1">
        <v>-459.67</v>
      </c>
      <c r="L605" s="1">
        <v>80.329999999999984</v>
      </c>
    </row>
    <row r="606" spans="4:13">
      <c r="D606" s="1" t="s">
        <v>137</v>
      </c>
      <c r="E606" s="1" t="s">
        <v>66</v>
      </c>
      <c r="F606" s="1" t="s">
        <v>35</v>
      </c>
      <c r="G606" s="1" t="s">
        <v>36</v>
      </c>
      <c r="H606" s="1" t="s">
        <v>22</v>
      </c>
      <c r="I606" s="1" t="s">
        <v>65</v>
      </c>
      <c r="J606" s="1">
        <v>-459.67</v>
      </c>
      <c r="L606" s="1">
        <v>80.329999999999984</v>
      </c>
    </row>
    <row r="607" spans="4:13">
      <c r="D607" s="1" t="s">
        <v>137</v>
      </c>
      <c r="E607" s="1" t="s">
        <v>67</v>
      </c>
      <c r="F607" s="1" t="s">
        <v>41</v>
      </c>
      <c r="G607" s="1" t="s">
        <v>42</v>
      </c>
      <c r="H607" s="1" t="s">
        <v>22</v>
      </c>
      <c r="I607" s="1" t="s">
        <v>65</v>
      </c>
      <c r="L607" s="1">
        <v>1.8</v>
      </c>
    </row>
    <row r="608" spans="4:13">
      <c r="D608" s="1" t="s">
        <v>137</v>
      </c>
      <c r="E608" s="1" t="s">
        <v>68</v>
      </c>
      <c r="F608" s="1" t="s">
        <v>45</v>
      </c>
      <c r="G608" s="1" t="s">
        <v>46</v>
      </c>
      <c r="H608" s="1" t="s">
        <v>22</v>
      </c>
      <c r="I608" s="1" t="s">
        <v>65</v>
      </c>
      <c r="L608" s="1">
        <v>4.2992261378713571E-4</v>
      </c>
    </row>
    <row r="609" spans="4:13">
      <c r="D609" s="1" t="s">
        <v>137</v>
      </c>
      <c r="E609" s="1" t="s">
        <v>69</v>
      </c>
      <c r="H609" s="1" t="s">
        <v>25</v>
      </c>
      <c r="I609" s="1" t="s">
        <v>70</v>
      </c>
    </row>
    <row r="610" spans="4:13">
      <c r="D610" s="1" t="s">
        <v>137</v>
      </c>
      <c r="E610" s="1" t="s">
        <v>71</v>
      </c>
      <c r="F610" s="1" t="s">
        <v>52</v>
      </c>
      <c r="G610" s="1" t="s">
        <v>53</v>
      </c>
      <c r="H610" s="1" t="s">
        <v>22</v>
      </c>
      <c r="I610" s="1" t="s">
        <v>65</v>
      </c>
      <c r="L610" s="1">
        <v>7936.6414386555998</v>
      </c>
    </row>
    <row r="611" spans="4:13">
      <c r="D611" s="1" t="s">
        <v>137</v>
      </c>
      <c r="E611" s="1" t="s">
        <v>72</v>
      </c>
      <c r="F611" s="1" t="s">
        <v>56</v>
      </c>
      <c r="G611" s="1" t="s">
        <v>57</v>
      </c>
      <c r="H611" s="1" t="s">
        <v>22</v>
      </c>
      <c r="I611" s="1" t="s">
        <v>65</v>
      </c>
      <c r="J611" s="1">
        <v>0</v>
      </c>
      <c r="L611" s="1">
        <v>14.503773773020921</v>
      </c>
    </row>
    <row r="612" spans="4:13">
      <c r="D612" s="1" t="s">
        <v>137</v>
      </c>
      <c r="E612" s="1" t="s">
        <v>73</v>
      </c>
      <c r="F612" s="1" t="s">
        <v>60</v>
      </c>
      <c r="G612" s="1" t="s">
        <v>61</v>
      </c>
      <c r="H612" s="1" t="s">
        <v>22</v>
      </c>
      <c r="I612" s="1" t="s">
        <v>65</v>
      </c>
      <c r="L612" s="1">
        <v>2.38845896627E-4</v>
      </c>
    </row>
    <row r="613" spans="4:13">
      <c r="D613" s="1" t="s">
        <v>137</v>
      </c>
      <c r="E613" s="1" t="s">
        <v>74</v>
      </c>
      <c r="F613" s="1" t="s">
        <v>75</v>
      </c>
      <c r="G613" s="1" t="s">
        <v>76</v>
      </c>
      <c r="H613" s="1" t="s">
        <v>22</v>
      </c>
      <c r="I613" s="1" t="s">
        <v>65</v>
      </c>
      <c r="J613" s="1">
        <v>0</v>
      </c>
      <c r="L613" s="1">
        <v>16.018463521800001</v>
      </c>
    </row>
    <row r="614" spans="4:13">
      <c r="D614" s="1" t="s">
        <v>137</v>
      </c>
      <c r="E614" s="1" t="s">
        <v>77</v>
      </c>
      <c r="H614" s="1" t="s">
        <v>22</v>
      </c>
      <c r="I614" s="1" t="s">
        <v>65</v>
      </c>
      <c r="L614" s="1">
        <v>1</v>
      </c>
    </row>
    <row r="615" spans="4:13">
      <c r="D615" s="1" t="s">
        <v>137</v>
      </c>
      <c r="E615" s="1" t="s">
        <v>78</v>
      </c>
      <c r="H615" s="1" t="s">
        <v>25</v>
      </c>
      <c r="I615" s="1" t="s">
        <v>23</v>
      </c>
      <c r="M615" s="1" t="b">
        <v>0</v>
      </c>
    </row>
    <row r="616" spans="4:13">
      <c r="D616" s="1" t="s">
        <v>137</v>
      </c>
      <c r="E616" s="1" t="s">
        <v>79</v>
      </c>
      <c r="F616" s="1" t="s">
        <v>75</v>
      </c>
      <c r="G616" s="1" t="s">
        <v>76</v>
      </c>
      <c r="H616" s="1" t="s">
        <v>22</v>
      </c>
      <c r="I616" s="1" t="s">
        <v>23</v>
      </c>
      <c r="J616" s="1">
        <v>0</v>
      </c>
      <c r="K616" s="1">
        <v>96.110781130800007</v>
      </c>
      <c r="L616" s="1">
        <v>16.018463521800001</v>
      </c>
      <c r="M616" s="1">
        <v>1.6018463521800002</v>
      </c>
    </row>
    <row r="617" spans="4:13">
      <c r="D617" s="1" t="s">
        <v>137</v>
      </c>
      <c r="E617" s="1" t="s">
        <v>80</v>
      </c>
      <c r="H617" s="1" t="s">
        <v>25</v>
      </c>
      <c r="I617" s="1" t="s">
        <v>23</v>
      </c>
      <c r="M617" s="1" t="b">
        <v>0</v>
      </c>
    </row>
    <row r="618" spans="4:13">
      <c r="D618" s="1" t="s">
        <v>137</v>
      </c>
      <c r="E618" s="1" t="s">
        <v>81</v>
      </c>
      <c r="H618" s="1" t="s">
        <v>25</v>
      </c>
      <c r="I618" s="1" t="s">
        <v>23</v>
      </c>
      <c r="M618" s="1" t="b">
        <v>0</v>
      </c>
    </row>
    <row r="619" spans="4:13">
      <c r="D619" s="1" t="s">
        <v>137</v>
      </c>
      <c r="E619" s="1" t="s">
        <v>82</v>
      </c>
      <c r="H619" s="1" t="s">
        <v>22</v>
      </c>
      <c r="I619" s="1" t="s">
        <v>23</v>
      </c>
      <c r="J619" s="1">
        <v>-1</v>
      </c>
      <c r="K619" s="1">
        <v>3</v>
      </c>
      <c r="L619" s="1">
        <v>1</v>
      </c>
      <c r="M619" s="1">
        <v>1.01</v>
      </c>
    </row>
    <row r="620" spans="4:13">
      <c r="D620" s="1" t="s">
        <v>138</v>
      </c>
      <c r="E620" s="1" t="s">
        <v>28</v>
      </c>
      <c r="H620" s="1" t="s">
        <v>22</v>
      </c>
      <c r="I620" s="1" t="s">
        <v>29</v>
      </c>
      <c r="J620" s="1">
        <v>34000</v>
      </c>
      <c r="K620" s="1">
        <v>4300000</v>
      </c>
      <c r="L620" s="1">
        <v>349660</v>
      </c>
    </row>
    <row r="621" spans="4:13">
      <c r="D621" s="1" t="s">
        <v>138</v>
      </c>
      <c r="E621" s="1" t="s">
        <v>30</v>
      </c>
      <c r="H621" s="1" t="s">
        <v>22</v>
      </c>
      <c r="I621" s="1" t="s">
        <v>29</v>
      </c>
      <c r="J621" s="1">
        <v>-3.94</v>
      </c>
      <c r="K621" s="1">
        <v>3.66</v>
      </c>
      <c r="L621" s="1">
        <v>1</v>
      </c>
    </row>
    <row r="622" spans="4:13">
      <c r="D622" s="1" t="s">
        <v>138</v>
      </c>
      <c r="E622" s="1" t="s">
        <v>31</v>
      </c>
      <c r="H622" s="1" t="s">
        <v>22</v>
      </c>
      <c r="I622" s="1" t="s">
        <v>29</v>
      </c>
      <c r="J622" s="1">
        <v>0</v>
      </c>
      <c r="K622" s="1">
        <v>100</v>
      </c>
      <c r="L622" s="1">
        <v>1</v>
      </c>
    </row>
    <row r="623" spans="4:13">
      <c r="D623" s="1" t="s">
        <v>138</v>
      </c>
      <c r="E623" s="1" t="s">
        <v>32</v>
      </c>
      <c r="H623" s="1" t="s">
        <v>22</v>
      </c>
      <c r="I623" s="1" t="s">
        <v>29</v>
      </c>
      <c r="J623" s="1">
        <v>-3.94</v>
      </c>
      <c r="K623" s="1">
        <v>3.66</v>
      </c>
      <c r="L623" s="1">
        <v>1</v>
      </c>
    </row>
    <row r="624" spans="4:13">
      <c r="D624" s="1" t="s">
        <v>138</v>
      </c>
      <c r="E624" s="1" t="s">
        <v>33</v>
      </c>
      <c r="H624" s="1" t="s">
        <v>25</v>
      </c>
      <c r="I624" s="1" t="s">
        <v>23</v>
      </c>
      <c r="M624" s="1" t="b">
        <v>0</v>
      </c>
    </row>
    <row r="625" spans="4:13">
      <c r="D625" s="1" t="s">
        <v>138</v>
      </c>
      <c r="E625" s="1" t="s">
        <v>34</v>
      </c>
      <c r="F625" s="1" t="s">
        <v>35</v>
      </c>
      <c r="G625" s="1" t="s">
        <v>36</v>
      </c>
      <c r="H625" s="1" t="s">
        <v>22</v>
      </c>
      <c r="I625" s="1" t="s">
        <v>23</v>
      </c>
      <c r="J625" s="1">
        <v>-459.67</v>
      </c>
      <c r="K625" s="1">
        <v>980.32999999999993</v>
      </c>
      <c r="L625" s="1">
        <v>80.329999999999984</v>
      </c>
      <c r="M625" s="1">
        <v>67.999999999999943</v>
      </c>
    </row>
    <row r="626" spans="4:13">
      <c r="D626" s="1" t="s">
        <v>138</v>
      </c>
      <c r="E626" s="1" t="s">
        <v>37</v>
      </c>
      <c r="H626" s="1" t="s">
        <v>25</v>
      </c>
      <c r="I626" s="1" t="s">
        <v>23</v>
      </c>
      <c r="M626" s="1" t="b">
        <v>0</v>
      </c>
    </row>
    <row r="627" spans="4:13">
      <c r="D627" s="1" t="s">
        <v>138</v>
      </c>
      <c r="E627" s="1" t="s">
        <v>38</v>
      </c>
      <c r="F627" s="1" t="s">
        <v>35</v>
      </c>
      <c r="G627" s="1" t="s">
        <v>36</v>
      </c>
      <c r="H627" s="1" t="s">
        <v>22</v>
      </c>
      <c r="I627" s="1" t="s">
        <v>23</v>
      </c>
      <c r="J627" s="1">
        <v>-99.670000000000016</v>
      </c>
      <c r="K627" s="1">
        <v>980.32999999999993</v>
      </c>
      <c r="L627" s="1">
        <v>80.329999999999984</v>
      </c>
      <c r="M627" s="1">
        <v>13.999999999999943</v>
      </c>
    </row>
    <row r="628" spans="4:13">
      <c r="D628" s="1" t="s">
        <v>138</v>
      </c>
      <c r="E628" s="1" t="s">
        <v>39</v>
      </c>
      <c r="H628" s="1" t="s">
        <v>25</v>
      </c>
      <c r="I628" s="1" t="s">
        <v>23</v>
      </c>
      <c r="M628" s="1" t="b">
        <v>0</v>
      </c>
    </row>
    <row r="629" spans="4:13">
      <c r="D629" s="1" t="s">
        <v>138</v>
      </c>
      <c r="E629" s="1" t="s">
        <v>40</v>
      </c>
      <c r="F629" s="1" t="s">
        <v>41</v>
      </c>
      <c r="G629" s="1" t="s">
        <v>42</v>
      </c>
      <c r="H629" s="1" t="s">
        <v>22</v>
      </c>
      <c r="I629" s="1" t="s">
        <v>23</v>
      </c>
      <c r="J629" s="1">
        <v>-900</v>
      </c>
      <c r="K629" s="1">
        <v>900</v>
      </c>
      <c r="L629" s="1">
        <v>1.8</v>
      </c>
      <c r="M629" s="1">
        <v>9</v>
      </c>
    </row>
    <row r="630" spans="4:13">
      <c r="D630" s="1" t="s">
        <v>138</v>
      </c>
      <c r="E630" s="1" t="s">
        <v>43</v>
      </c>
      <c r="H630" s="1" t="s">
        <v>25</v>
      </c>
      <c r="I630" s="1" t="s">
        <v>23</v>
      </c>
      <c r="M630" s="1" t="b">
        <v>0</v>
      </c>
    </row>
    <row r="631" spans="4:13">
      <c r="D631" s="1" t="s">
        <v>138</v>
      </c>
      <c r="E631" s="1" t="s">
        <v>44</v>
      </c>
      <c r="F631" s="1" t="s">
        <v>45</v>
      </c>
      <c r="G631" s="1" t="s">
        <v>46</v>
      </c>
      <c r="H631" s="1" t="s">
        <v>22</v>
      </c>
      <c r="I631" s="1" t="s">
        <v>23</v>
      </c>
      <c r="J631" s="1">
        <v>-85.984522757427143</v>
      </c>
      <c r="K631" s="1">
        <v>8598.4522757427148</v>
      </c>
      <c r="L631" s="1">
        <v>114.79148749423418</v>
      </c>
      <c r="M631" s="1">
        <v>128.97678413614071</v>
      </c>
    </row>
    <row r="632" spans="4:13">
      <c r="D632" s="1" t="s">
        <v>138</v>
      </c>
      <c r="E632" s="1" t="s">
        <v>47</v>
      </c>
      <c r="H632" s="1" t="s">
        <v>25</v>
      </c>
      <c r="I632" s="1" t="s">
        <v>23</v>
      </c>
      <c r="M632" s="1" t="b">
        <v>0</v>
      </c>
    </row>
    <row r="633" spans="4:13">
      <c r="D633" s="1" t="s">
        <v>138</v>
      </c>
      <c r="E633" s="1" t="s">
        <v>48</v>
      </c>
      <c r="H633" s="1" t="s">
        <v>25</v>
      </c>
      <c r="I633" s="1" t="s">
        <v>23</v>
      </c>
      <c r="M633" s="1" t="b">
        <v>0</v>
      </c>
    </row>
    <row r="634" spans="4:13">
      <c r="D634" s="1" t="s">
        <v>138</v>
      </c>
      <c r="E634" s="1" t="s">
        <v>49</v>
      </c>
      <c r="H634" s="1" t="s">
        <v>25</v>
      </c>
      <c r="I634" s="1" t="s">
        <v>23</v>
      </c>
      <c r="M634" s="1" t="b">
        <v>0</v>
      </c>
    </row>
    <row r="635" spans="4:13">
      <c r="D635" s="1" t="s">
        <v>138</v>
      </c>
      <c r="E635" s="1" t="s">
        <v>50</v>
      </c>
      <c r="H635" s="1" t="s">
        <v>25</v>
      </c>
      <c r="I635" s="1" t="s">
        <v>23</v>
      </c>
      <c r="M635" s="1" t="b">
        <v>0</v>
      </c>
    </row>
    <row r="636" spans="4:13">
      <c r="D636" s="1" t="s">
        <v>138</v>
      </c>
      <c r="E636" s="1" t="s">
        <v>51</v>
      </c>
      <c r="F636" s="1" t="s">
        <v>52</v>
      </c>
      <c r="G636" s="1" t="s">
        <v>53</v>
      </c>
      <c r="H636" s="1" t="s">
        <v>22</v>
      </c>
      <c r="I636" s="1" t="s">
        <v>23</v>
      </c>
      <c r="J636" s="1">
        <v>0</v>
      </c>
      <c r="K636" s="1">
        <v>7936641438.6555996</v>
      </c>
      <c r="L636" s="1">
        <v>7936.6414386555998</v>
      </c>
      <c r="M636" s="1">
        <v>7936.6414386555998</v>
      </c>
    </row>
    <row r="637" spans="4:13">
      <c r="D637" s="1" t="s">
        <v>138</v>
      </c>
      <c r="E637" s="1" t="s">
        <v>54</v>
      </c>
      <c r="H637" s="1" t="s">
        <v>25</v>
      </c>
      <c r="I637" s="1" t="s">
        <v>23</v>
      </c>
      <c r="M637" s="1" t="b">
        <v>0</v>
      </c>
    </row>
    <row r="638" spans="4:13">
      <c r="D638" s="1" t="s">
        <v>138</v>
      </c>
      <c r="E638" s="1" t="s">
        <v>55</v>
      </c>
      <c r="F638" s="1" t="s">
        <v>56</v>
      </c>
      <c r="G638" s="1" t="s">
        <v>57</v>
      </c>
      <c r="H638" s="1" t="s">
        <v>22</v>
      </c>
      <c r="I638" s="1" t="s">
        <v>23</v>
      </c>
      <c r="J638" s="1">
        <v>0</v>
      </c>
      <c r="K638" s="1">
        <v>9427.4529524635982</v>
      </c>
      <c r="L638" s="1">
        <v>50.713895374744951</v>
      </c>
      <c r="M638" s="1">
        <v>50.763208205573221</v>
      </c>
    </row>
    <row r="639" spans="4:13">
      <c r="D639" s="1" t="s">
        <v>138</v>
      </c>
      <c r="E639" s="1" t="s">
        <v>58</v>
      </c>
      <c r="H639" s="1" t="s">
        <v>25</v>
      </c>
      <c r="I639" s="1" t="s">
        <v>23</v>
      </c>
      <c r="M639" s="1" t="b">
        <v>0</v>
      </c>
    </row>
    <row r="640" spans="4:13">
      <c r="D640" s="1" t="s">
        <v>138</v>
      </c>
      <c r="E640" s="1" t="s">
        <v>59</v>
      </c>
      <c r="F640" s="1" t="s">
        <v>60</v>
      </c>
      <c r="G640" s="1" t="s">
        <v>61</v>
      </c>
      <c r="H640" s="1" t="s">
        <v>22</v>
      </c>
      <c r="I640" s="1" t="s">
        <v>23</v>
      </c>
      <c r="J640" s="1">
        <v>-9.5538358650799999</v>
      </c>
      <c r="K640" s="1">
        <v>9.5538358650799999</v>
      </c>
      <c r="L640" s="1">
        <v>0.23884589662700001</v>
      </c>
      <c r="M640" s="1">
        <v>0.23884589662700001</v>
      </c>
    </row>
    <row r="641" spans="4:13">
      <c r="D641" s="1" t="s">
        <v>138</v>
      </c>
      <c r="E641" s="1" t="s">
        <v>62</v>
      </c>
      <c r="H641" s="1" t="s">
        <v>63</v>
      </c>
      <c r="I641" s="1" t="s">
        <v>23</v>
      </c>
      <c r="M641" s="1">
        <v>1</v>
      </c>
    </row>
    <row r="642" spans="4:13">
      <c r="D642" s="1" t="s">
        <v>138</v>
      </c>
      <c r="E642" s="1" t="s">
        <v>64</v>
      </c>
      <c r="F642" s="1" t="s">
        <v>35</v>
      </c>
      <c r="G642" s="1" t="s">
        <v>36</v>
      </c>
      <c r="H642" s="1" t="s">
        <v>22</v>
      </c>
      <c r="I642" s="1" t="s">
        <v>65</v>
      </c>
      <c r="J642" s="1">
        <v>-459.67</v>
      </c>
      <c r="L642" s="1">
        <v>80.329999999999984</v>
      </c>
    </row>
    <row r="643" spans="4:13">
      <c r="D643" s="1" t="s">
        <v>138</v>
      </c>
      <c r="E643" s="1" t="s">
        <v>66</v>
      </c>
      <c r="F643" s="1" t="s">
        <v>35</v>
      </c>
      <c r="G643" s="1" t="s">
        <v>36</v>
      </c>
      <c r="H643" s="1" t="s">
        <v>22</v>
      </c>
      <c r="I643" s="1" t="s">
        <v>65</v>
      </c>
      <c r="J643" s="1">
        <v>-459.67</v>
      </c>
      <c r="L643" s="1">
        <v>80.329999999999984</v>
      </c>
    </row>
    <row r="644" spans="4:13">
      <c r="D644" s="1" t="s">
        <v>138</v>
      </c>
      <c r="E644" s="1" t="s">
        <v>67</v>
      </c>
      <c r="F644" s="1" t="s">
        <v>41</v>
      </c>
      <c r="G644" s="1" t="s">
        <v>42</v>
      </c>
      <c r="H644" s="1" t="s">
        <v>22</v>
      </c>
      <c r="I644" s="1" t="s">
        <v>65</v>
      </c>
      <c r="L644" s="1">
        <v>1.8</v>
      </c>
    </row>
    <row r="645" spans="4:13">
      <c r="D645" s="1" t="s">
        <v>138</v>
      </c>
      <c r="E645" s="1" t="s">
        <v>68</v>
      </c>
      <c r="F645" s="1" t="s">
        <v>45</v>
      </c>
      <c r="G645" s="1" t="s">
        <v>46</v>
      </c>
      <c r="H645" s="1" t="s">
        <v>22</v>
      </c>
      <c r="I645" s="1" t="s">
        <v>65</v>
      </c>
      <c r="L645" s="1">
        <v>4.2992261378713571E-4</v>
      </c>
    </row>
    <row r="646" spans="4:13">
      <c r="D646" s="1" t="s">
        <v>138</v>
      </c>
      <c r="E646" s="1" t="s">
        <v>69</v>
      </c>
      <c r="H646" s="1" t="s">
        <v>25</v>
      </c>
      <c r="I646" s="1" t="s">
        <v>70</v>
      </c>
    </row>
    <row r="647" spans="4:13">
      <c r="D647" s="1" t="s">
        <v>138</v>
      </c>
      <c r="E647" s="1" t="s">
        <v>71</v>
      </c>
      <c r="F647" s="1" t="s">
        <v>52</v>
      </c>
      <c r="G647" s="1" t="s">
        <v>53</v>
      </c>
      <c r="H647" s="1" t="s">
        <v>22</v>
      </c>
      <c r="I647" s="1" t="s">
        <v>65</v>
      </c>
      <c r="L647" s="1">
        <v>7936.6414386555998</v>
      </c>
    </row>
    <row r="648" spans="4:13">
      <c r="D648" s="1" t="s">
        <v>138</v>
      </c>
      <c r="E648" s="1" t="s">
        <v>72</v>
      </c>
      <c r="F648" s="1" t="s">
        <v>56</v>
      </c>
      <c r="G648" s="1" t="s">
        <v>57</v>
      </c>
      <c r="H648" s="1" t="s">
        <v>22</v>
      </c>
      <c r="I648" s="1" t="s">
        <v>65</v>
      </c>
      <c r="J648" s="1">
        <v>0</v>
      </c>
      <c r="L648" s="1">
        <v>14.503773773020921</v>
      </c>
    </row>
    <row r="649" spans="4:13">
      <c r="D649" s="1" t="s">
        <v>138</v>
      </c>
      <c r="E649" s="1" t="s">
        <v>73</v>
      </c>
      <c r="F649" s="1" t="s">
        <v>60</v>
      </c>
      <c r="G649" s="1" t="s">
        <v>61</v>
      </c>
      <c r="H649" s="1" t="s">
        <v>22</v>
      </c>
      <c r="I649" s="1" t="s">
        <v>65</v>
      </c>
      <c r="L649" s="1">
        <v>2.38845896627E-4</v>
      </c>
    </row>
    <row r="650" spans="4:13">
      <c r="D650" s="1" t="s">
        <v>138</v>
      </c>
      <c r="E650" s="1" t="s">
        <v>74</v>
      </c>
      <c r="F650" s="1" t="s">
        <v>75</v>
      </c>
      <c r="G650" s="1" t="s">
        <v>76</v>
      </c>
      <c r="H650" s="1" t="s">
        <v>22</v>
      </c>
      <c r="I650" s="1" t="s">
        <v>65</v>
      </c>
      <c r="J650" s="1">
        <v>0</v>
      </c>
      <c r="L650" s="1">
        <v>16.018463521800001</v>
      </c>
    </row>
    <row r="651" spans="4:13">
      <c r="D651" s="1" t="s">
        <v>138</v>
      </c>
      <c r="E651" s="1" t="s">
        <v>77</v>
      </c>
      <c r="H651" s="1" t="s">
        <v>22</v>
      </c>
      <c r="I651" s="1" t="s">
        <v>65</v>
      </c>
      <c r="L651" s="1">
        <v>1</v>
      </c>
    </row>
    <row r="652" spans="4:13">
      <c r="D652" s="1" t="s">
        <v>138</v>
      </c>
      <c r="E652" s="1" t="s">
        <v>78</v>
      </c>
      <c r="H652" s="1" t="s">
        <v>25</v>
      </c>
      <c r="I652" s="1" t="s">
        <v>23</v>
      </c>
      <c r="M652" s="1" t="b">
        <v>0</v>
      </c>
    </row>
    <row r="653" spans="4:13">
      <c r="D653" s="1" t="s">
        <v>138</v>
      </c>
      <c r="E653" s="1" t="s">
        <v>79</v>
      </c>
      <c r="F653" s="1" t="s">
        <v>75</v>
      </c>
      <c r="G653" s="1" t="s">
        <v>76</v>
      </c>
      <c r="H653" s="1" t="s">
        <v>22</v>
      </c>
      <c r="I653" s="1" t="s">
        <v>23</v>
      </c>
      <c r="J653" s="1">
        <v>0</v>
      </c>
      <c r="K653" s="1">
        <v>96.110781130800007</v>
      </c>
      <c r="L653" s="1">
        <v>16.018463521800001</v>
      </c>
      <c r="M653" s="1">
        <v>1.6018463521800002</v>
      </c>
    </row>
    <row r="654" spans="4:13">
      <c r="D654" s="1" t="s">
        <v>138</v>
      </c>
      <c r="E654" s="1" t="s">
        <v>80</v>
      </c>
      <c r="H654" s="1" t="s">
        <v>25</v>
      </c>
      <c r="I654" s="1" t="s">
        <v>23</v>
      </c>
      <c r="M654" s="1" t="b">
        <v>0</v>
      </c>
    </row>
    <row r="655" spans="4:13">
      <c r="D655" s="1" t="s">
        <v>138</v>
      </c>
      <c r="E655" s="1" t="s">
        <v>81</v>
      </c>
      <c r="H655" s="1" t="s">
        <v>25</v>
      </c>
      <c r="I655" s="1" t="s">
        <v>23</v>
      </c>
      <c r="M655" s="1" t="b">
        <v>0</v>
      </c>
    </row>
    <row r="656" spans="4:13">
      <c r="D656" s="1" t="s">
        <v>138</v>
      </c>
      <c r="E656" s="1" t="s">
        <v>82</v>
      </c>
      <c r="H656" s="1" t="s">
        <v>22</v>
      </c>
      <c r="I656" s="1" t="s">
        <v>23</v>
      </c>
      <c r="J656" s="1">
        <v>-1</v>
      </c>
      <c r="K656" s="1">
        <v>3</v>
      </c>
      <c r="L656" s="1">
        <v>1</v>
      </c>
      <c r="M656" s="1">
        <v>1.01</v>
      </c>
    </row>
    <row r="657" spans="1:18">
      <c r="D657" s="1" t="s">
        <v>139</v>
      </c>
      <c r="E657" s="1" t="s">
        <v>99</v>
      </c>
      <c r="H657" s="1" t="s">
        <v>25</v>
      </c>
      <c r="I657" s="1" t="s">
        <v>23</v>
      </c>
      <c r="M657" s="1" t="b">
        <v>0</v>
      </c>
    </row>
    <row r="658" spans="1:18">
      <c r="D658" s="1" t="s">
        <v>139</v>
      </c>
      <c r="E658" s="1" t="s">
        <v>100</v>
      </c>
      <c r="H658" s="1" t="s">
        <v>22</v>
      </c>
      <c r="I658" s="1" t="s">
        <v>23</v>
      </c>
      <c r="L658" s="1">
        <v>1</v>
      </c>
      <c r="M658" s="1">
        <v>100</v>
      </c>
    </row>
    <row r="659" spans="1:18">
      <c r="D659" s="1" t="s">
        <v>139</v>
      </c>
      <c r="E659" s="1" t="s">
        <v>101</v>
      </c>
      <c r="H659" s="1" t="s">
        <v>22</v>
      </c>
      <c r="I659" s="1" t="s">
        <v>23</v>
      </c>
      <c r="L659" s="1">
        <v>1</v>
      </c>
      <c r="M659" s="1">
        <v>0</v>
      </c>
    </row>
    <row r="660" spans="1:18">
      <c r="D660" s="1" t="s">
        <v>139</v>
      </c>
      <c r="E660" s="1" t="s">
        <v>102</v>
      </c>
      <c r="H660" s="1" t="s">
        <v>22</v>
      </c>
      <c r="I660" s="1" t="s">
        <v>23</v>
      </c>
      <c r="L660" s="1">
        <v>1</v>
      </c>
      <c r="M660" s="1">
        <v>20</v>
      </c>
    </row>
    <row r="661" spans="1:18">
      <c r="D661" s="1" t="s">
        <v>139</v>
      </c>
      <c r="E661" s="1" t="s">
        <v>103</v>
      </c>
      <c r="H661" s="1" t="s">
        <v>22</v>
      </c>
      <c r="I661" s="1" t="s">
        <v>29</v>
      </c>
      <c r="J661" s="1">
        <v>0</v>
      </c>
      <c r="K661" s="1">
        <v>100</v>
      </c>
      <c r="L661" s="1">
        <v>50</v>
      </c>
    </row>
    <row r="662" spans="1:18">
      <c r="D662" s="1" t="s">
        <v>140</v>
      </c>
      <c r="H662" s="1" t="s">
        <v>22</v>
      </c>
      <c r="I662" s="1" t="s">
        <v>23</v>
      </c>
      <c r="L662" s="1">
        <v>1</v>
      </c>
      <c r="M662" s="1">
        <v>0.55000000000000004</v>
      </c>
    </row>
    <row r="663" spans="1:18">
      <c r="B663" s="3" t="s">
        <v>1705</v>
      </c>
      <c r="D663" s="1" t="s">
        <v>141</v>
      </c>
      <c r="E663" s="1" t="s">
        <v>142</v>
      </c>
      <c r="F663" s="1" t="s">
        <v>143</v>
      </c>
      <c r="G663" s="1" t="s">
        <v>144</v>
      </c>
      <c r="H663" s="1" t="s">
        <v>22</v>
      </c>
      <c r="I663" s="1" t="s">
        <v>23</v>
      </c>
      <c r="L663" s="1">
        <v>5.6782633429906824</v>
      </c>
      <c r="M663" s="1">
        <v>2.5000000000000001E-4</v>
      </c>
      <c r="O663" s="1">
        <v>2.5000000008264901E-4</v>
      </c>
      <c r="P663" s="1">
        <v>2.5000000008264901E-4</v>
      </c>
      <c r="Q663" s="1">
        <v>2.5000000008264901E-4</v>
      </c>
      <c r="R663" s="1">
        <v>2.5000000008264901E-4</v>
      </c>
    </row>
    <row r="664" spans="1:18">
      <c r="B664" s="3" t="s">
        <v>1705</v>
      </c>
      <c r="D664" s="1" t="s">
        <v>141</v>
      </c>
      <c r="E664" s="1" t="s">
        <v>145</v>
      </c>
      <c r="F664" s="1" t="s">
        <v>143</v>
      </c>
      <c r="G664" s="1" t="s">
        <v>144</v>
      </c>
      <c r="H664" s="1" t="s">
        <v>22</v>
      </c>
      <c r="I664" s="1" t="s">
        <v>23</v>
      </c>
      <c r="L664" s="1">
        <v>5.6782633429906824</v>
      </c>
      <c r="M664" s="1">
        <v>9.9999999999999978E-5</v>
      </c>
      <c r="O664" s="1">
        <v>1.00000000033059E-4</v>
      </c>
      <c r="P664" s="1">
        <v>1.00000000033059E-4</v>
      </c>
      <c r="Q664" s="1">
        <v>1.00000000033059E-4</v>
      </c>
      <c r="R664" s="1">
        <v>1.00000000033059E-4</v>
      </c>
    </row>
    <row r="665" spans="1:18">
      <c r="B665" s="3" t="s">
        <v>1705</v>
      </c>
      <c r="D665" s="1" t="s">
        <v>141</v>
      </c>
      <c r="E665" s="1" t="s">
        <v>146</v>
      </c>
      <c r="F665" s="1" t="s">
        <v>147</v>
      </c>
      <c r="G665" s="1" t="s">
        <v>148</v>
      </c>
      <c r="H665" s="1" t="s">
        <v>22</v>
      </c>
      <c r="I665" s="1" t="s">
        <v>23</v>
      </c>
      <c r="L665" s="1">
        <v>3.4121416351331</v>
      </c>
      <c r="M665" s="1">
        <v>10799836.354944</v>
      </c>
      <c r="P665" s="1">
        <f>O2680*0.75</f>
        <v>0</v>
      </c>
      <c r="Q665" s="1">
        <f>O2680*0.5</f>
        <v>0</v>
      </c>
      <c r="R665" s="1">
        <f>O2680*0.25</f>
        <v>0</v>
      </c>
    </row>
    <row r="666" spans="1:18">
      <c r="D666" s="1" t="s">
        <v>141</v>
      </c>
      <c r="E666" s="1" t="s">
        <v>149</v>
      </c>
      <c r="H666" s="1" t="s">
        <v>150</v>
      </c>
      <c r="I666" s="1" t="s">
        <v>23</v>
      </c>
      <c r="M666" s="1" t="s">
        <v>151</v>
      </c>
    </row>
    <row r="667" spans="1:18">
      <c r="D667" s="1" t="s">
        <v>141</v>
      </c>
      <c r="E667" s="1" t="s">
        <v>152</v>
      </c>
      <c r="H667" s="1" t="s">
        <v>150</v>
      </c>
      <c r="I667" s="1" t="s">
        <v>23</v>
      </c>
      <c r="M667" s="1" t="s">
        <v>153</v>
      </c>
    </row>
    <row r="668" spans="1:18">
      <c r="D668" s="1" t="s">
        <v>141</v>
      </c>
      <c r="E668" s="1" t="s">
        <v>154</v>
      </c>
      <c r="H668" s="1" t="s">
        <v>150</v>
      </c>
      <c r="I668" s="1" t="s">
        <v>23</v>
      </c>
      <c r="M668" s="1" t="s">
        <v>155</v>
      </c>
    </row>
    <row r="669" spans="1:18">
      <c r="D669" s="1" t="s">
        <v>141</v>
      </c>
      <c r="E669" s="1" t="s">
        <v>156</v>
      </c>
      <c r="H669" s="1" t="s">
        <v>150</v>
      </c>
      <c r="I669" s="1" t="s">
        <v>23</v>
      </c>
      <c r="M669" s="1" t="s">
        <v>157</v>
      </c>
    </row>
    <row r="670" spans="1:18">
      <c r="B670" s="3" t="s">
        <v>1705</v>
      </c>
      <c r="D670" s="1" t="s">
        <v>151</v>
      </c>
      <c r="E670" s="1" t="s">
        <v>33</v>
      </c>
      <c r="H670" s="1" t="s">
        <v>25</v>
      </c>
      <c r="I670" s="1" t="s">
        <v>23</v>
      </c>
      <c r="M670" s="1" t="b">
        <v>1</v>
      </c>
      <c r="O670" s="1" t="b">
        <v>1</v>
      </c>
      <c r="P670" s="1" t="b">
        <v>0</v>
      </c>
      <c r="Q670" s="1" t="b">
        <v>0</v>
      </c>
      <c r="R670" s="1" t="b">
        <v>0</v>
      </c>
    </row>
    <row r="671" spans="1:18">
      <c r="D671" s="1" t="s">
        <v>151</v>
      </c>
      <c r="E671" s="1" t="s">
        <v>158</v>
      </c>
      <c r="H671" s="1" t="s">
        <v>22</v>
      </c>
      <c r="I671" s="1" t="s">
        <v>29</v>
      </c>
      <c r="J671" s="1">
        <v>238.14</v>
      </c>
      <c r="K671" s="1">
        <v>398.15</v>
      </c>
      <c r="L671" s="1">
        <v>300</v>
      </c>
    </row>
    <row r="672" spans="1:18">
      <c r="A672" s="2" t="s">
        <v>1721</v>
      </c>
      <c r="B672" s="3" t="s">
        <v>1713</v>
      </c>
      <c r="D672" s="1" t="s">
        <v>151</v>
      </c>
      <c r="E672" s="1" t="s">
        <v>34</v>
      </c>
      <c r="F672" s="1" t="s">
        <v>35</v>
      </c>
      <c r="G672" s="1" t="s">
        <v>36</v>
      </c>
      <c r="H672" s="1" t="s">
        <v>22</v>
      </c>
      <c r="I672" s="1" t="s">
        <v>23</v>
      </c>
      <c r="J672" s="1">
        <v>-99.670000000000016</v>
      </c>
      <c r="K672" s="1">
        <v>980.32999999999993</v>
      </c>
      <c r="L672" s="1">
        <v>80.329999999999984</v>
      </c>
      <c r="M672" s="1">
        <v>94.299999999997965</v>
      </c>
      <c r="O672" s="1">
        <v>94.299999999999898</v>
      </c>
    </row>
    <row r="673" spans="4:13">
      <c r="D673" s="1" t="s">
        <v>151</v>
      </c>
      <c r="E673" s="1" t="s">
        <v>159</v>
      </c>
      <c r="H673" s="1" t="s">
        <v>25</v>
      </c>
      <c r="I673" s="1" t="s">
        <v>23</v>
      </c>
      <c r="M673" s="1" t="b">
        <v>0</v>
      </c>
    </row>
    <row r="674" spans="4:13">
      <c r="D674" s="1" t="s">
        <v>151</v>
      </c>
      <c r="E674" s="1" t="s">
        <v>160</v>
      </c>
      <c r="F674" s="1" t="s">
        <v>161</v>
      </c>
      <c r="G674" s="1" t="s">
        <v>162</v>
      </c>
      <c r="H674" s="1" t="s">
        <v>22</v>
      </c>
      <c r="I674" s="1" t="s">
        <v>23</v>
      </c>
      <c r="J674" s="1">
        <v>0</v>
      </c>
      <c r="K674" s="1">
        <v>9510193342.230648</v>
      </c>
      <c r="L674" s="1">
        <v>15850.322237051079</v>
      </c>
      <c r="M674" s="1">
        <v>1585.032223705108</v>
      </c>
    </row>
    <row r="675" spans="4:13">
      <c r="D675" s="1" t="s">
        <v>151</v>
      </c>
      <c r="E675" s="1" t="s">
        <v>163</v>
      </c>
      <c r="H675" s="1" t="s">
        <v>22</v>
      </c>
      <c r="I675" s="1" t="s">
        <v>23</v>
      </c>
      <c r="J675" s="1">
        <v>0</v>
      </c>
      <c r="K675" s="1">
        <v>1</v>
      </c>
      <c r="L675" s="1">
        <v>0.1</v>
      </c>
      <c r="M675" s="1">
        <v>0.2</v>
      </c>
    </row>
    <row r="676" spans="4:13">
      <c r="D676" s="1" t="s">
        <v>151</v>
      </c>
      <c r="E676" s="1" t="s">
        <v>164</v>
      </c>
      <c r="F676" s="1" t="s">
        <v>35</v>
      </c>
      <c r="G676" s="1" t="s">
        <v>36</v>
      </c>
      <c r="H676" s="1" t="s">
        <v>22</v>
      </c>
      <c r="I676" s="1" t="s">
        <v>29</v>
      </c>
      <c r="J676" s="1">
        <v>-31.018000000000029</v>
      </c>
      <c r="K676" s="1">
        <v>256.99999999999994</v>
      </c>
      <c r="L676" s="1">
        <v>80.329999999999984</v>
      </c>
    </row>
    <row r="677" spans="4:13">
      <c r="D677" s="1" t="s">
        <v>151</v>
      </c>
      <c r="E677" s="1" t="s">
        <v>43</v>
      </c>
      <c r="H677" s="1" t="s">
        <v>25</v>
      </c>
      <c r="I677" s="1" t="s">
        <v>23</v>
      </c>
      <c r="M677" s="1" t="b">
        <v>0</v>
      </c>
    </row>
    <row r="678" spans="4:13">
      <c r="D678" s="1" t="s">
        <v>151</v>
      </c>
      <c r="E678" s="1" t="s">
        <v>44</v>
      </c>
      <c r="F678" s="1" t="s">
        <v>45</v>
      </c>
      <c r="G678" s="1" t="s">
        <v>46</v>
      </c>
      <c r="H678" s="1" t="s">
        <v>22</v>
      </c>
      <c r="I678" s="1" t="s">
        <v>23</v>
      </c>
      <c r="J678" s="1">
        <v>-85.984522757427143</v>
      </c>
      <c r="K678" s="1">
        <v>859.84522757427146</v>
      </c>
      <c r="L678" s="1">
        <v>429.92261378713573</v>
      </c>
      <c r="M678" s="1">
        <v>128.97678413614071</v>
      </c>
    </row>
    <row r="679" spans="4:13">
      <c r="D679" s="1" t="s">
        <v>151</v>
      </c>
      <c r="E679" s="1" t="s">
        <v>47</v>
      </c>
      <c r="H679" s="1" t="s">
        <v>25</v>
      </c>
      <c r="I679" s="1" t="s">
        <v>23</v>
      </c>
      <c r="M679" s="1" t="b">
        <v>0</v>
      </c>
    </row>
    <row r="680" spans="4:13">
      <c r="D680" s="1" t="s">
        <v>151</v>
      </c>
      <c r="E680" s="1" t="s">
        <v>54</v>
      </c>
      <c r="H680" s="1" t="s">
        <v>25</v>
      </c>
      <c r="I680" s="1" t="s">
        <v>23</v>
      </c>
      <c r="M680" s="1" t="b">
        <v>1</v>
      </c>
    </row>
    <row r="681" spans="4:13">
      <c r="D681" s="1" t="s">
        <v>151</v>
      </c>
      <c r="E681" s="1" t="s">
        <v>165</v>
      </c>
      <c r="H681" s="1" t="s">
        <v>22</v>
      </c>
      <c r="I681" s="1" t="s">
        <v>29</v>
      </c>
      <c r="J681" s="1">
        <v>1000</v>
      </c>
      <c r="K681" s="1">
        <v>10000000</v>
      </c>
      <c r="L681" s="1">
        <v>100000</v>
      </c>
    </row>
    <row r="682" spans="4:13">
      <c r="D682" s="1" t="s">
        <v>151</v>
      </c>
      <c r="E682" s="1" t="s">
        <v>55</v>
      </c>
      <c r="F682" s="1" t="s">
        <v>56</v>
      </c>
      <c r="G682" s="1" t="s">
        <v>57</v>
      </c>
      <c r="H682" s="1" t="s">
        <v>22</v>
      </c>
      <c r="I682" s="1" t="s">
        <v>23</v>
      </c>
      <c r="J682" s="1">
        <v>0</v>
      </c>
      <c r="K682" s="1">
        <v>942.74529524635989</v>
      </c>
      <c r="L682" s="1">
        <v>14.503773773020921</v>
      </c>
      <c r="M682" s="1">
        <v>14.503773773020921</v>
      </c>
    </row>
    <row r="683" spans="4:13">
      <c r="D683" s="1" t="s">
        <v>151</v>
      </c>
      <c r="E683" s="1" t="s">
        <v>58</v>
      </c>
      <c r="H683" s="1" t="s">
        <v>25</v>
      </c>
      <c r="I683" s="1" t="s">
        <v>23</v>
      </c>
      <c r="M683" s="1" t="b">
        <v>0</v>
      </c>
    </row>
    <row r="684" spans="4:13">
      <c r="D684" s="1" t="s">
        <v>151</v>
      </c>
      <c r="E684" s="1" t="s">
        <v>59</v>
      </c>
      <c r="F684" s="1" t="s">
        <v>60</v>
      </c>
      <c r="G684" s="1" t="s">
        <v>61</v>
      </c>
      <c r="H684" s="1" t="s">
        <v>22</v>
      </c>
      <c r="I684" s="1" t="s">
        <v>23</v>
      </c>
      <c r="J684" s="1">
        <v>-0.95538358650800004</v>
      </c>
      <c r="K684" s="1">
        <v>9.5538358650799999</v>
      </c>
      <c r="L684" s="1">
        <v>0.23884589662700001</v>
      </c>
      <c r="M684" s="1">
        <v>0.23884589662700001</v>
      </c>
    </row>
    <row r="685" spans="4:13">
      <c r="D685" s="1" t="s">
        <v>151</v>
      </c>
      <c r="E685" s="1" t="s">
        <v>64</v>
      </c>
      <c r="F685" s="1" t="s">
        <v>35</v>
      </c>
      <c r="G685" s="1" t="s">
        <v>36</v>
      </c>
      <c r="H685" s="1" t="s">
        <v>22</v>
      </c>
      <c r="I685" s="1" t="s">
        <v>65</v>
      </c>
      <c r="J685" s="1">
        <v>-459.67</v>
      </c>
      <c r="L685" s="1">
        <v>80.329999999999984</v>
      </c>
    </row>
    <row r="686" spans="4:13">
      <c r="D686" s="1" t="s">
        <v>151</v>
      </c>
      <c r="E686" s="1" t="s">
        <v>166</v>
      </c>
      <c r="F686" s="1" t="s">
        <v>161</v>
      </c>
      <c r="G686" s="1" t="s">
        <v>162</v>
      </c>
      <c r="H686" s="1" t="s">
        <v>22</v>
      </c>
      <c r="I686" s="1" t="s">
        <v>65</v>
      </c>
      <c r="L686" s="1">
        <v>15850.322237051079</v>
      </c>
    </row>
    <row r="687" spans="4:13">
      <c r="D687" s="1" t="s">
        <v>151</v>
      </c>
      <c r="E687" s="1" t="s">
        <v>68</v>
      </c>
      <c r="F687" s="1" t="s">
        <v>45</v>
      </c>
      <c r="G687" s="1" t="s">
        <v>46</v>
      </c>
      <c r="H687" s="1" t="s">
        <v>22</v>
      </c>
      <c r="I687" s="1" t="s">
        <v>65</v>
      </c>
      <c r="L687" s="1">
        <v>4.2992261378713571E-4</v>
      </c>
    </row>
    <row r="688" spans="4:13">
      <c r="D688" s="1" t="s">
        <v>151</v>
      </c>
      <c r="E688" s="1" t="s">
        <v>69</v>
      </c>
      <c r="H688" s="1" t="s">
        <v>25</v>
      </c>
      <c r="I688" s="1" t="s">
        <v>70</v>
      </c>
    </row>
    <row r="689" spans="1:18">
      <c r="D689" s="1" t="s">
        <v>151</v>
      </c>
      <c r="E689" s="1" t="s">
        <v>72</v>
      </c>
      <c r="F689" s="1" t="s">
        <v>56</v>
      </c>
      <c r="G689" s="1" t="s">
        <v>57</v>
      </c>
      <c r="H689" s="1" t="s">
        <v>22</v>
      </c>
      <c r="I689" s="1" t="s">
        <v>65</v>
      </c>
      <c r="J689" s="1">
        <v>0</v>
      </c>
      <c r="L689" s="1">
        <v>14.503773773020921</v>
      </c>
    </row>
    <row r="690" spans="1:18">
      <c r="D690" s="1" t="s">
        <v>151</v>
      </c>
      <c r="E690" s="1" t="s">
        <v>73</v>
      </c>
      <c r="F690" s="1" t="s">
        <v>60</v>
      </c>
      <c r="G690" s="1" t="s">
        <v>61</v>
      </c>
      <c r="H690" s="1" t="s">
        <v>22</v>
      </c>
      <c r="I690" s="1" t="s">
        <v>65</v>
      </c>
      <c r="L690" s="1">
        <v>2.38845896627E-4</v>
      </c>
    </row>
    <row r="691" spans="1:18">
      <c r="D691" s="1" t="s">
        <v>151</v>
      </c>
      <c r="E691" s="1" t="s">
        <v>74</v>
      </c>
      <c r="F691" s="1" t="s">
        <v>75</v>
      </c>
      <c r="G691" s="1" t="s">
        <v>76</v>
      </c>
      <c r="H691" s="1" t="s">
        <v>22</v>
      </c>
      <c r="I691" s="1" t="s">
        <v>65</v>
      </c>
      <c r="J691" s="1">
        <v>0</v>
      </c>
      <c r="L691" s="1">
        <v>16.018463521800001</v>
      </c>
    </row>
    <row r="692" spans="1:18">
      <c r="D692" s="1" t="s">
        <v>151</v>
      </c>
      <c r="E692" s="1" t="s">
        <v>78</v>
      </c>
      <c r="H692" s="1" t="s">
        <v>25</v>
      </c>
      <c r="I692" s="1" t="s">
        <v>23</v>
      </c>
      <c r="M692" s="1" t="b">
        <v>0</v>
      </c>
    </row>
    <row r="693" spans="1:18">
      <c r="D693" s="1" t="s">
        <v>151</v>
      </c>
      <c r="E693" s="1" t="s">
        <v>79</v>
      </c>
      <c r="F693" s="1" t="s">
        <v>75</v>
      </c>
      <c r="G693" s="1" t="s">
        <v>76</v>
      </c>
      <c r="H693" s="1" t="s">
        <v>22</v>
      </c>
      <c r="I693" s="1" t="s">
        <v>23</v>
      </c>
      <c r="J693" s="1">
        <v>0</v>
      </c>
      <c r="K693" s="1">
        <v>0.96110781130800005</v>
      </c>
      <c r="L693" s="1">
        <v>16.018463521800001</v>
      </c>
      <c r="M693" s="1">
        <v>1.6018463521800002</v>
      </c>
    </row>
    <row r="694" spans="1:18">
      <c r="B694" s="3" t="s">
        <v>1705</v>
      </c>
      <c r="D694" s="1" t="s">
        <v>153</v>
      </c>
      <c r="E694" s="1" t="s">
        <v>33</v>
      </c>
      <c r="H694" s="1" t="s">
        <v>25</v>
      </c>
      <c r="I694" s="1" t="s">
        <v>23</v>
      </c>
      <c r="M694" s="1" t="b">
        <v>1</v>
      </c>
      <c r="O694" s="1" t="b">
        <v>1</v>
      </c>
      <c r="P694" s="1" t="b">
        <v>1</v>
      </c>
      <c r="Q694" s="1" t="b">
        <v>1</v>
      </c>
      <c r="R694" s="1" t="b">
        <v>1</v>
      </c>
    </row>
    <row r="695" spans="1:18">
      <c r="D695" s="1" t="s">
        <v>153</v>
      </c>
      <c r="E695" s="1" t="s">
        <v>158</v>
      </c>
      <c r="H695" s="1" t="s">
        <v>22</v>
      </c>
      <c r="I695" s="1" t="s">
        <v>29</v>
      </c>
      <c r="J695" s="1">
        <v>238.14</v>
      </c>
      <c r="K695" s="1">
        <v>398.15</v>
      </c>
      <c r="L695" s="1">
        <v>300</v>
      </c>
    </row>
    <row r="696" spans="1:18">
      <c r="A696" s="2" t="s">
        <v>1721</v>
      </c>
      <c r="B696" s="3" t="s">
        <v>1715</v>
      </c>
      <c r="D696" s="1" t="s">
        <v>153</v>
      </c>
      <c r="E696" s="1" t="s">
        <v>34</v>
      </c>
      <c r="F696" s="1" t="s">
        <v>35</v>
      </c>
      <c r="G696" s="1" t="s">
        <v>36</v>
      </c>
      <c r="H696" s="1" t="s">
        <v>22</v>
      </c>
      <c r="I696" s="1" t="s">
        <v>23</v>
      </c>
      <c r="J696" s="1">
        <v>-99.670000000000016</v>
      </c>
      <c r="K696" s="1">
        <v>980.32999999999993</v>
      </c>
      <c r="L696" s="1">
        <v>80.329999999999984</v>
      </c>
      <c r="M696" s="1">
        <v>44.000000000006025</v>
      </c>
      <c r="O696" s="1">
        <v>44</v>
      </c>
      <c r="P696" s="1">
        <v>44</v>
      </c>
      <c r="Q696" s="1">
        <v>44</v>
      </c>
      <c r="R696" s="1">
        <v>44</v>
      </c>
    </row>
    <row r="697" spans="1:18">
      <c r="D697" s="1" t="s">
        <v>153</v>
      </c>
      <c r="E697" s="1" t="s">
        <v>159</v>
      </c>
      <c r="H697" s="1" t="s">
        <v>25</v>
      </c>
      <c r="I697" s="1" t="s">
        <v>23</v>
      </c>
      <c r="M697" s="1" t="b">
        <v>0</v>
      </c>
    </row>
    <row r="698" spans="1:18">
      <c r="D698" s="1" t="s">
        <v>153</v>
      </c>
      <c r="E698" s="1" t="s">
        <v>160</v>
      </c>
      <c r="F698" s="1" t="s">
        <v>161</v>
      </c>
      <c r="G698" s="1" t="s">
        <v>162</v>
      </c>
      <c r="H698" s="1" t="s">
        <v>22</v>
      </c>
      <c r="I698" s="1" t="s">
        <v>23</v>
      </c>
      <c r="J698" s="1">
        <v>0</v>
      </c>
      <c r="K698" s="1">
        <v>9510193342.230648</v>
      </c>
      <c r="L698" s="1">
        <v>15850.322237051079</v>
      </c>
      <c r="M698" s="1">
        <v>1585.032223705108</v>
      </c>
    </row>
    <row r="699" spans="1:18">
      <c r="D699" s="1" t="s">
        <v>153</v>
      </c>
      <c r="E699" s="1" t="s">
        <v>163</v>
      </c>
      <c r="H699" s="1" t="s">
        <v>22</v>
      </c>
      <c r="I699" s="1" t="s">
        <v>23</v>
      </c>
      <c r="J699" s="1">
        <v>0</v>
      </c>
      <c r="K699" s="1">
        <v>1</v>
      </c>
      <c r="L699" s="1">
        <v>0.1</v>
      </c>
      <c r="M699" s="1">
        <v>0.2</v>
      </c>
    </row>
    <row r="700" spans="1:18">
      <c r="D700" s="1" t="s">
        <v>153</v>
      </c>
      <c r="E700" s="1" t="s">
        <v>164</v>
      </c>
      <c r="F700" s="1" t="s">
        <v>35</v>
      </c>
      <c r="G700" s="1" t="s">
        <v>36</v>
      </c>
      <c r="H700" s="1" t="s">
        <v>22</v>
      </c>
      <c r="I700" s="1" t="s">
        <v>29</v>
      </c>
      <c r="J700" s="1">
        <v>-31.018000000000029</v>
      </c>
      <c r="K700" s="1">
        <v>256.99999999999994</v>
      </c>
      <c r="L700" s="1">
        <v>80.329999999999984</v>
      </c>
    </row>
    <row r="701" spans="1:18">
      <c r="D701" s="1" t="s">
        <v>153</v>
      </c>
      <c r="E701" s="1" t="s">
        <v>43</v>
      </c>
      <c r="H701" s="1" t="s">
        <v>25</v>
      </c>
      <c r="I701" s="1" t="s">
        <v>23</v>
      </c>
      <c r="M701" s="1" t="b">
        <v>0</v>
      </c>
    </row>
    <row r="702" spans="1:18">
      <c r="D702" s="1" t="s">
        <v>153</v>
      </c>
      <c r="E702" s="1" t="s">
        <v>44</v>
      </c>
      <c r="F702" s="1" t="s">
        <v>45</v>
      </c>
      <c r="G702" s="1" t="s">
        <v>46</v>
      </c>
      <c r="H702" s="1" t="s">
        <v>22</v>
      </c>
      <c r="I702" s="1" t="s">
        <v>23</v>
      </c>
      <c r="J702" s="1">
        <v>-85.984522757427143</v>
      </c>
      <c r="K702" s="1">
        <v>859.84522757427146</v>
      </c>
      <c r="L702" s="1">
        <v>429.92261378713573</v>
      </c>
      <c r="M702" s="1">
        <v>128.97678413614071</v>
      </c>
    </row>
    <row r="703" spans="1:18">
      <c r="D703" s="1" t="s">
        <v>153</v>
      </c>
      <c r="E703" s="1" t="s">
        <v>47</v>
      </c>
      <c r="H703" s="1" t="s">
        <v>25</v>
      </c>
      <c r="I703" s="1" t="s">
        <v>23</v>
      </c>
      <c r="M703" s="1" t="b">
        <v>0</v>
      </c>
    </row>
    <row r="704" spans="1:18">
      <c r="D704" s="1" t="s">
        <v>153</v>
      </c>
      <c r="E704" s="1" t="s">
        <v>54</v>
      </c>
      <c r="H704" s="1" t="s">
        <v>25</v>
      </c>
      <c r="I704" s="1" t="s">
        <v>23</v>
      </c>
      <c r="M704" s="1" t="b">
        <v>1</v>
      </c>
    </row>
    <row r="705" spans="1:18">
      <c r="D705" s="1" t="s">
        <v>153</v>
      </c>
      <c r="E705" s="1" t="s">
        <v>165</v>
      </c>
      <c r="H705" s="1" t="s">
        <v>22</v>
      </c>
      <c r="I705" s="1" t="s">
        <v>29</v>
      </c>
      <c r="J705" s="1">
        <v>1000</v>
      </c>
      <c r="K705" s="1">
        <v>10000000</v>
      </c>
      <c r="L705" s="1">
        <v>100000</v>
      </c>
    </row>
    <row r="706" spans="1:18">
      <c r="D706" s="1" t="s">
        <v>153</v>
      </c>
      <c r="E706" s="1" t="s">
        <v>55</v>
      </c>
      <c r="F706" s="1" t="s">
        <v>56</v>
      </c>
      <c r="G706" s="1" t="s">
        <v>57</v>
      </c>
      <c r="H706" s="1" t="s">
        <v>22</v>
      </c>
      <c r="I706" s="1" t="s">
        <v>23</v>
      </c>
      <c r="J706" s="1">
        <v>0</v>
      </c>
      <c r="K706" s="1">
        <v>942.74529524635989</v>
      </c>
      <c r="L706" s="1">
        <v>14.503773773020921</v>
      </c>
      <c r="M706" s="1">
        <v>14.503773773020921</v>
      </c>
    </row>
    <row r="707" spans="1:18">
      <c r="D707" s="1" t="s">
        <v>153</v>
      </c>
      <c r="E707" s="1" t="s">
        <v>58</v>
      </c>
      <c r="H707" s="1" t="s">
        <v>25</v>
      </c>
      <c r="I707" s="1" t="s">
        <v>23</v>
      </c>
      <c r="M707" s="1" t="b">
        <v>0</v>
      </c>
    </row>
    <row r="708" spans="1:18">
      <c r="D708" s="1" t="s">
        <v>153</v>
      </c>
      <c r="E708" s="1" t="s">
        <v>59</v>
      </c>
      <c r="F708" s="1" t="s">
        <v>60</v>
      </c>
      <c r="G708" s="1" t="s">
        <v>61</v>
      </c>
      <c r="H708" s="1" t="s">
        <v>22</v>
      </c>
      <c r="I708" s="1" t="s">
        <v>23</v>
      </c>
      <c r="J708" s="1">
        <v>-0.95538358650800004</v>
      </c>
      <c r="K708" s="1">
        <v>9.5538358650799999</v>
      </c>
      <c r="L708" s="1">
        <v>0.23884589662700001</v>
      </c>
      <c r="M708" s="1">
        <v>0.23884589662700001</v>
      </c>
    </row>
    <row r="709" spans="1:18">
      <c r="D709" s="1" t="s">
        <v>153</v>
      </c>
      <c r="E709" s="1" t="s">
        <v>64</v>
      </c>
      <c r="F709" s="1" t="s">
        <v>35</v>
      </c>
      <c r="G709" s="1" t="s">
        <v>36</v>
      </c>
      <c r="H709" s="1" t="s">
        <v>22</v>
      </c>
      <c r="I709" s="1" t="s">
        <v>65</v>
      </c>
      <c r="J709" s="1">
        <v>-459.67</v>
      </c>
      <c r="L709" s="1">
        <v>80.329999999999984</v>
      </c>
    </row>
    <row r="710" spans="1:18">
      <c r="D710" s="1" t="s">
        <v>153</v>
      </c>
      <c r="E710" s="1" t="s">
        <v>166</v>
      </c>
      <c r="F710" s="1" t="s">
        <v>161</v>
      </c>
      <c r="G710" s="1" t="s">
        <v>162</v>
      </c>
      <c r="H710" s="1" t="s">
        <v>22</v>
      </c>
      <c r="I710" s="1" t="s">
        <v>65</v>
      </c>
      <c r="L710" s="1">
        <v>15850.322237051079</v>
      </c>
    </row>
    <row r="711" spans="1:18">
      <c r="D711" s="1" t="s">
        <v>153</v>
      </c>
      <c r="E711" s="1" t="s">
        <v>68</v>
      </c>
      <c r="F711" s="1" t="s">
        <v>45</v>
      </c>
      <c r="G711" s="1" t="s">
        <v>46</v>
      </c>
      <c r="H711" s="1" t="s">
        <v>22</v>
      </c>
      <c r="I711" s="1" t="s">
        <v>65</v>
      </c>
      <c r="L711" s="1">
        <v>4.2992261378713571E-4</v>
      </c>
    </row>
    <row r="712" spans="1:18">
      <c r="D712" s="1" t="s">
        <v>153</v>
      </c>
      <c r="E712" s="1" t="s">
        <v>69</v>
      </c>
      <c r="H712" s="1" t="s">
        <v>25</v>
      </c>
      <c r="I712" s="1" t="s">
        <v>70</v>
      </c>
    </row>
    <row r="713" spans="1:18">
      <c r="D713" s="1" t="s">
        <v>153</v>
      </c>
      <c r="E713" s="1" t="s">
        <v>72</v>
      </c>
      <c r="F713" s="1" t="s">
        <v>56</v>
      </c>
      <c r="G713" s="1" t="s">
        <v>57</v>
      </c>
      <c r="H713" s="1" t="s">
        <v>22</v>
      </c>
      <c r="I713" s="1" t="s">
        <v>65</v>
      </c>
      <c r="J713" s="1">
        <v>0</v>
      </c>
      <c r="L713" s="1">
        <v>14.503773773020921</v>
      </c>
    </row>
    <row r="714" spans="1:18">
      <c r="D714" s="1" t="s">
        <v>153</v>
      </c>
      <c r="E714" s="1" t="s">
        <v>73</v>
      </c>
      <c r="F714" s="1" t="s">
        <v>60</v>
      </c>
      <c r="G714" s="1" t="s">
        <v>61</v>
      </c>
      <c r="H714" s="1" t="s">
        <v>22</v>
      </c>
      <c r="I714" s="1" t="s">
        <v>65</v>
      </c>
      <c r="L714" s="1">
        <v>2.38845896627E-4</v>
      </c>
    </row>
    <row r="715" spans="1:18">
      <c r="D715" s="1" t="s">
        <v>153</v>
      </c>
      <c r="E715" s="1" t="s">
        <v>74</v>
      </c>
      <c r="F715" s="1" t="s">
        <v>75</v>
      </c>
      <c r="G715" s="1" t="s">
        <v>76</v>
      </c>
      <c r="H715" s="1" t="s">
        <v>22</v>
      </c>
      <c r="I715" s="1" t="s">
        <v>65</v>
      </c>
      <c r="J715" s="1">
        <v>0</v>
      </c>
      <c r="L715" s="1">
        <v>16.018463521800001</v>
      </c>
    </row>
    <row r="716" spans="1:18">
      <c r="D716" s="1" t="s">
        <v>153</v>
      </c>
      <c r="E716" s="1" t="s">
        <v>78</v>
      </c>
      <c r="H716" s="1" t="s">
        <v>25</v>
      </c>
      <c r="I716" s="1" t="s">
        <v>23</v>
      </c>
      <c r="M716" s="1" t="b">
        <v>0</v>
      </c>
    </row>
    <row r="717" spans="1:18">
      <c r="D717" s="1" t="s">
        <v>153</v>
      </c>
      <c r="E717" s="1" t="s">
        <v>79</v>
      </c>
      <c r="F717" s="1" t="s">
        <v>75</v>
      </c>
      <c r="G717" s="1" t="s">
        <v>76</v>
      </c>
      <c r="H717" s="1" t="s">
        <v>22</v>
      </c>
      <c r="I717" s="1" t="s">
        <v>23</v>
      </c>
      <c r="J717" s="1">
        <v>0</v>
      </c>
      <c r="K717" s="1">
        <v>0.96110781130800005</v>
      </c>
      <c r="L717" s="1">
        <v>16.018463521800001</v>
      </c>
      <c r="M717" s="1">
        <v>1.6018463521800002</v>
      </c>
    </row>
    <row r="718" spans="1:18">
      <c r="B718" s="3" t="s">
        <v>1705</v>
      </c>
      <c r="D718" s="1" t="s">
        <v>155</v>
      </c>
      <c r="E718" s="1" t="s">
        <v>33</v>
      </c>
      <c r="H718" s="1" t="s">
        <v>25</v>
      </c>
      <c r="I718" s="1" t="s">
        <v>23</v>
      </c>
      <c r="M718" s="1" t="b">
        <v>1</v>
      </c>
      <c r="O718" s="1" t="b">
        <v>1</v>
      </c>
      <c r="P718" s="1" t="b">
        <v>1</v>
      </c>
      <c r="Q718" s="1" t="b">
        <v>1</v>
      </c>
      <c r="R718" s="1" t="b">
        <v>1</v>
      </c>
    </row>
    <row r="719" spans="1:18">
      <c r="D719" s="1" t="s">
        <v>155</v>
      </c>
      <c r="E719" s="1" t="s">
        <v>158</v>
      </c>
      <c r="H719" s="1" t="s">
        <v>22</v>
      </c>
      <c r="I719" s="1" t="s">
        <v>29</v>
      </c>
      <c r="J719" s="1">
        <v>238.14</v>
      </c>
      <c r="K719" s="1">
        <v>398.15</v>
      </c>
      <c r="L719" s="1">
        <v>300</v>
      </c>
    </row>
    <row r="720" spans="1:18">
      <c r="A720" s="2" t="s">
        <v>1721</v>
      </c>
      <c r="B720" s="3" t="s">
        <v>1717</v>
      </c>
      <c r="D720" s="1" t="s">
        <v>155</v>
      </c>
      <c r="E720" s="1" t="s">
        <v>34</v>
      </c>
      <c r="F720" s="1" t="s">
        <v>35</v>
      </c>
      <c r="G720" s="1" t="s">
        <v>36</v>
      </c>
      <c r="H720" s="1" t="s">
        <v>22</v>
      </c>
      <c r="I720" s="1" t="s">
        <v>23</v>
      </c>
      <c r="J720" s="1">
        <v>-99.670000000000016</v>
      </c>
      <c r="K720" s="1">
        <v>980.32999999999993</v>
      </c>
      <c r="L720" s="1">
        <v>80.329999999999984</v>
      </c>
      <c r="M720" s="1">
        <v>84.999999999991985</v>
      </c>
      <c r="O720" s="1">
        <v>84.999999999999901</v>
      </c>
      <c r="P720" s="1">
        <v>75.000000000000099</v>
      </c>
      <c r="Q720" s="1">
        <v>64.999999999999901</v>
      </c>
      <c r="R720" s="1">
        <v>64.999999999999901</v>
      </c>
    </row>
    <row r="721" spans="2:18">
      <c r="B721" s="3" t="s">
        <v>1705</v>
      </c>
      <c r="D721" s="1" t="s">
        <v>155</v>
      </c>
      <c r="E721" s="1" t="s">
        <v>159</v>
      </c>
      <c r="H721" s="1" t="s">
        <v>25</v>
      </c>
      <c r="I721" s="1" t="s">
        <v>23</v>
      </c>
      <c r="M721" s="1" t="b">
        <v>0</v>
      </c>
      <c r="O721" s="1" t="b">
        <v>0</v>
      </c>
      <c r="P721" s="1" t="b">
        <v>1</v>
      </c>
      <c r="Q721" s="1" t="b">
        <v>1</v>
      </c>
      <c r="R721" s="1" t="b">
        <v>1</v>
      </c>
    </row>
    <row r="722" spans="2:18">
      <c r="D722" s="1" t="s">
        <v>155</v>
      </c>
      <c r="E722" s="1" t="s">
        <v>167</v>
      </c>
      <c r="H722" s="1" t="s">
        <v>22</v>
      </c>
      <c r="I722" s="1" t="s">
        <v>29</v>
      </c>
      <c r="J722" s="1">
        <v>9.9999999999999995E-8</v>
      </c>
      <c r="K722" s="1">
        <v>100</v>
      </c>
      <c r="L722" s="1">
        <v>0.2</v>
      </c>
    </row>
    <row r="723" spans="2:18">
      <c r="B723" s="3" t="s">
        <v>1705</v>
      </c>
      <c r="D723" s="1" t="s">
        <v>155</v>
      </c>
      <c r="E723" s="1" t="s">
        <v>160</v>
      </c>
      <c r="F723" s="1" t="s">
        <v>161</v>
      </c>
      <c r="G723" s="1" t="s">
        <v>162</v>
      </c>
      <c r="H723" s="1" t="s">
        <v>22</v>
      </c>
      <c r="I723" s="1" t="s">
        <v>23</v>
      </c>
      <c r="J723" s="1">
        <v>0</v>
      </c>
      <c r="K723" s="1">
        <v>9510193342.230648</v>
      </c>
      <c r="L723" s="1">
        <v>15850.322237051079</v>
      </c>
      <c r="M723" s="1">
        <v>1756.3001068311719</v>
      </c>
      <c r="O723" s="1">
        <v>158.503222370511</v>
      </c>
      <c r="P723" s="1">
        <f>O734</f>
        <v>0</v>
      </c>
      <c r="Q723" s="1">
        <f>O734</f>
        <v>0</v>
      </c>
      <c r="R723" s="1">
        <f>O734</f>
        <v>0</v>
      </c>
    </row>
    <row r="724" spans="2:18">
      <c r="D724" s="1" t="s">
        <v>155</v>
      </c>
      <c r="E724" s="1" t="s">
        <v>163</v>
      </c>
      <c r="H724" s="1" t="s">
        <v>22</v>
      </c>
      <c r="I724" s="1" t="s">
        <v>23</v>
      </c>
      <c r="J724" s="1">
        <v>0</v>
      </c>
      <c r="K724" s="1">
        <v>1</v>
      </c>
      <c r="L724" s="1">
        <v>0.1</v>
      </c>
      <c r="M724" s="1">
        <v>0.2</v>
      </c>
    </row>
    <row r="725" spans="2:18">
      <c r="D725" s="1" t="s">
        <v>155</v>
      </c>
      <c r="E725" s="1" t="s">
        <v>164</v>
      </c>
      <c r="F725" s="1" t="s">
        <v>35</v>
      </c>
      <c r="G725" s="1" t="s">
        <v>36</v>
      </c>
      <c r="H725" s="1" t="s">
        <v>22</v>
      </c>
      <c r="I725" s="1" t="s">
        <v>29</v>
      </c>
      <c r="J725" s="1">
        <v>-31.018000000000029</v>
      </c>
      <c r="K725" s="1">
        <v>256.99999999999994</v>
      </c>
      <c r="L725" s="1">
        <v>80.329999999999984</v>
      </c>
    </row>
    <row r="726" spans="2:18">
      <c r="D726" s="1" t="s">
        <v>155</v>
      </c>
      <c r="E726" s="1" t="s">
        <v>43</v>
      </c>
      <c r="H726" s="1" t="s">
        <v>25</v>
      </c>
      <c r="I726" s="1" t="s">
        <v>23</v>
      </c>
      <c r="M726" s="1" t="b">
        <v>0</v>
      </c>
    </row>
    <row r="727" spans="2:18">
      <c r="D727" s="1" t="s">
        <v>155</v>
      </c>
      <c r="E727" s="1" t="s">
        <v>44</v>
      </c>
      <c r="F727" s="1" t="s">
        <v>45</v>
      </c>
      <c r="G727" s="1" t="s">
        <v>46</v>
      </c>
      <c r="H727" s="1" t="s">
        <v>22</v>
      </c>
      <c r="I727" s="1" t="s">
        <v>23</v>
      </c>
      <c r="J727" s="1">
        <v>-85.984522757427143</v>
      </c>
      <c r="K727" s="1">
        <v>859.84522757427146</v>
      </c>
      <c r="L727" s="1">
        <v>429.92261378713573</v>
      </c>
      <c r="M727" s="1">
        <v>128.97678413614071</v>
      </c>
    </row>
    <row r="728" spans="2:18">
      <c r="D728" s="1" t="s">
        <v>155</v>
      </c>
      <c r="E728" s="1" t="s">
        <v>47</v>
      </c>
      <c r="H728" s="1" t="s">
        <v>25</v>
      </c>
      <c r="I728" s="1" t="s">
        <v>23</v>
      </c>
      <c r="M728" s="1" t="b">
        <v>0</v>
      </c>
    </row>
    <row r="729" spans="2:18">
      <c r="D729" s="1" t="s">
        <v>155</v>
      </c>
      <c r="E729" s="1" t="s">
        <v>54</v>
      </c>
      <c r="H729" s="1" t="s">
        <v>25</v>
      </c>
      <c r="I729" s="1" t="s">
        <v>23</v>
      </c>
      <c r="M729" s="1" t="b">
        <v>0</v>
      </c>
    </row>
    <row r="730" spans="2:18">
      <c r="D730" s="1" t="s">
        <v>155</v>
      </c>
      <c r="E730" s="1" t="s">
        <v>55</v>
      </c>
      <c r="F730" s="1" t="s">
        <v>56</v>
      </c>
      <c r="G730" s="1" t="s">
        <v>57</v>
      </c>
      <c r="H730" s="1" t="s">
        <v>22</v>
      </c>
      <c r="I730" s="1" t="s">
        <v>23</v>
      </c>
      <c r="J730" s="1">
        <v>0</v>
      </c>
      <c r="K730" s="1">
        <v>942.74529524635989</v>
      </c>
      <c r="L730" s="1">
        <v>14.503773773020921</v>
      </c>
      <c r="M730" s="1">
        <v>39.999998299180966</v>
      </c>
    </row>
    <row r="731" spans="2:18">
      <c r="D731" s="1" t="s">
        <v>155</v>
      </c>
      <c r="E731" s="1" t="s">
        <v>58</v>
      </c>
      <c r="H731" s="1" t="s">
        <v>25</v>
      </c>
      <c r="I731" s="1" t="s">
        <v>23</v>
      </c>
      <c r="M731" s="1" t="b">
        <v>0</v>
      </c>
    </row>
    <row r="732" spans="2:18">
      <c r="D732" s="1" t="s">
        <v>155</v>
      </c>
      <c r="E732" s="1" t="s">
        <v>59</v>
      </c>
      <c r="F732" s="1" t="s">
        <v>60</v>
      </c>
      <c r="G732" s="1" t="s">
        <v>61</v>
      </c>
      <c r="H732" s="1" t="s">
        <v>22</v>
      </c>
      <c r="I732" s="1" t="s">
        <v>23</v>
      </c>
      <c r="J732" s="1">
        <v>-0.95538358650800004</v>
      </c>
      <c r="K732" s="1">
        <v>9.5538358650799999</v>
      </c>
      <c r="L732" s="1">
        <v>0.23884589662700001</v>
      </c>
      <c r="M732" s="1">
        <v>0.23884589662700001</v>
      </c>
    </row>
    <row r="733" spans="2:18">
      <c r="D733" s="1" t="s">
        <v>155</v>
      </c>
      <c r="E733" s="1" t="s">
        <v>64</v>
      </c>
      <c r="F733" s="1" t="s">
        <v>35</v>
      </c>
      <c r="G733" s="1" t="s">
        <v>36</v>
      </c>
      <c r="H733" s="1" t="s">
        <v>22</v>
      </c>
      <c r="I733" s="1" t="s">
        <v>65</v>
      </c>
      <c r="J733" s="1">
        <v>-459.67</v>
      </c>
      <c r="L733" s="1">
        <v>80.329999999999984</v>
      </c>
    </row>
    <row r="734" spans="2:18">
      <c r="B734" s="3" t="s">
        <v>1706</v>
      </c>
      <c r="D734" s="1" t="s">
        <v>155</v>
      </c>
      <c r="E734" s="1" t="s">
        <v>166</v>
      </c>
      <c r="F734" s="1" t="s">
        <v>161</v>
      </c>
      <c r="G734" s="1" t="s">
        <v>162</v>
      </c>
      <c r="H734" s="1" t="s">
        <v>22</v>
      </c>
      <c r="I734" s="1" t="s">
        <v>65</v>
      </c>
      <c r="L734" s="1">
        <v>15850.322237051079</v>
      </c>
    </row>
    <row r="735" spans="2:18">
      <c r="D735" s="1" t="s">
        <v>155</v>
      </c>
      <c r="E735" s="1" t="s">
        <v>68</v>
      </c>
      <c r="F735" s="1" t="s">
        <v>45</v>
      </c>
      <c r="G735" s="1" t="s">
        <v>46</v>
      </c>
      <c r="H735" s="1" t="s">
        <v>22</v>
      </c>
      <c r="I735" s="1" t="s">
        <v>65</v>
      </c>
      <c r="L735" s="1">
        <v>4.2992261378713571E-4</v>
      </c>
    </row>
    <row r="736" spans="2:18">
      <c r="D736" s="1" t="s">
        <v>155</v>
      </c>
      <c r="E736" s="1" t="s">
        <v>69</v>
      </c>
      <c r="H736" s="1" t="s">
        <v>25</v>
      </c>
      <c r="I736" s="1" t="s">
        <v>70</v>
      </c>
    </row>
    <row r="737" spans="1:18">
      <c r="D737" s="1" t="s">
        <v>155</v>
      </c>
      <c r="E737" s="1" t="s">
        <v>72</v>
      </c>
      <c r="F737" s="1" t="s">
        <v>56</v>
      </c>
      <c r="G737" s="1" t="s">
        <v>57</v>
      </c>
      <c r="H737" s="1" t="s">
        <v>22</v>
      </c>
      <c r="I737" s="1" t="s">
        <v>65</v>
      </c>
      <c r="J737" s="1">
        <v>0</v>
      </c>
      <c r="L737" s="1">
        <v>14.503773773020921</v>
      </c>
    </row>
    <row r="738" spans="1:18">
      <c r="D738" s="1" t="s">
        <v>155</v>
      </c>
      <c r="E738" s="1" t="s">
        <v>73</v>
      </c>
      <c r="F738" s="1" t="s">
        <v>60</v>
      </c>
      <c r="G738" s="1" t="s">
        <v>61</v>
      </c>
      <c r="H738" s="1" t="s">
        <v>22</v>
      </c>
      <c r="I738" s="1" t="s">
        <v>65</v>
      </c>
      <c r="L738" s="1">
        <v>2.38845896627E-4</v>
      </c>
    </row>
    <row r="739" spans="1:18">
      <c r="D739" s="1" t="s">
        <v>155</v>
      </c>
      <c r="E739" s="1" t="s">
        <v>74</v>
      </c>
      <c r="F739" s="1" t="s">
        <v>75</v>
      </c>
      <c r="G739" s="1" t="s">
        <v>76</v>
      </c>
      <c r="H739" s="1" t="s">
        <v>22</v>
      </c>
      <c r="I739" s="1" t="s">
        <v>65</v>
      </c>
      <c r="J739" s="1">
        <v>0</v>
      </c>
      <c r="L739" s="1">
        <v>16.018463521800001</v>
      </c>
    </row>
    <row r="740" spans="1:18">
      <c r="D740" s="1" t="s">
        <v>155</v>
      </c>
      <c r="E740" s="1" t="s">
        <v>78</v>
      </c>
      <c r="H740" s="1" t="s">
        <v>25</v>
      </c>
      <c r="I740" s="1" t="s">
        <v>23</v>
      </c>
      <c r="M740" s="1" t="b">
        <v>0</v>
      </c>
    </row>
    <row r="741" spans="1:18">
      <c r="D741" s="1" t="s">
        <v>155</v>
      </c>
      <c r="E741" s="1" t="s">
        <v>79</v>
      </c>
      <c r="F741" s="1" t="s">
        <v>75</v>
      </c>
      <c r="G741" s="1" t="s">
        <v>76</v>
      </c>
      <c r="H741" s="1" t="s">
        <v>22</v>
      </c>
      <c r="I741" s="1" t="s">
        <v>23</v>
      </c>
      <c r="J741" s="1">
        <v>0</v>
      </c>
      <c r="K741" s="1">
        <v>0.96110781130800005</v>
      </c>
      <c r="L741" s="1">
        <v>16.018463521800001</v>
      </c>
      <c r="M741" s="1">
        <v>1.6018463521800003E-2</v>
      </c>
    </row>
    <row r="742" spans="1:18">
      <c r="B742" s="3" t="s">
        <v>1705</v>
      </c>
      <c r="D742" s="1" t="s">
        <v>157</v>
      </c>
      <c r="E742" s="1" t="s">
        <v>33</v>
      </c>
      <c r="H742" s="1" t="s">
        <v>25</v>
      </c>
      <c r="I742" s="1" t="s">
        <v>23</v>
      </c>
      <c r="M742" s="1" t="b">
        <v>1</v>
      </c>
      <c r="O742" s="1" t="b">
        <v>1</v>
      </c>
      <c r="P742" s="1" t="b">
        <v>0</v>
      </c>
      <c r="Q742" s="1" t="b">
        <v>0</v>
      </c>
      <c r="R742" s="1" t="b">
        <v>0</v>
      </c>
    </row>
    <row r="743" spans="1:18">
      <c r="D743" s="1" t="s">
        <v>157</v>
      </c>
      <c r="E743" s="1" t="s">
        <v>158</v>
      </c>
      <c r="H743" s="1" t="s">
        <v>22</v>
      </c>
      <c r="I743" s="1" t="s">
        <v>29</v>
      </c>
      <c r="J743" s="1">
        <v>238.14</v>
      </c>
      <c r="K743" s="1">
        <v>398.15</v>
      </c>
      <c r="L743" s="1">
        <v>300</v>
      </c>
    </row>
    <row r="744" spans="1:18">
      <c r="A744" s="2" t="s">
        <v>1721</v>
      </c>
      <c r="B744" s="3" t="s">
        <v>1719</v>
      </c>
      <c r="D744" s="1" t="s">
        <v>157</v>
      </c>
      <c r="E744" s="1" t="s">
        <v>34</v>
      </c>
      <c r="F744" s="1" t="s">
        <v>35</v>
      </c>
      <c r="G744" s="1" t="s">
        <v>36</v>
      </c>
      <c r="H744" s="1" t="s">
        <v>22</v>
      </c>
      <c r="I744" s="1" t="s">
        <v>23</v>
      </c>
      <c r="J744" s="1">
        <v>-99.670000000000016</v>
      </c>
      <c r="K744" s="1">
        <v>980.32999999999993</v>
      </c>
      <c r="L744" s="1">
        <v>80.329999999999984</v>
      </c>
      <c r="M744" s="1">
        <v>53.999999999995964</v>
      </c>
      <c r="O744" s="1">
        <v>53.999999999999901</v>
      </c>
    </row>
    <row r="745" spans="1:18">
      <c r="B745" s="3" t="s">
        <v>1705</v>
      </c>
      <c r="D745" s="1" t="s">
        <v>157</v>
      </c>
      <c r="E745" s="1" t="s">
        <v>159</v>
      </c>
      <c r="H745" s="1" t="s">
        <v>25</v>
      </c>
      <c r="I745" s="1" t="s">
        <v>23</v>
      </c>
      <c r="M745" s="1" t="b">
        <v>0</v>
      </c>
      <c r="O745" s="1" t="b">
        <v>0</v>
      </c>
      <c r="P745" s="1" t="b">
        <v>1</v>
      </c>
      <c r="Q745" s="1" t="b">
        <v>1</v>
      </c>
      <c r="R745" s="1" t="b">
        <v>1</v>
      </c>
    </row>
    <row r="746" spans="1:18">
      <c r="D746" s="1" t="s">
        <v>157</v>
      </c>
      <c r="E746" s="1" t="s">
        <v>167</v>
      </c>
      <c r="H746" s="1" t="s">
        <v>22</v>
      </c>
      <c r="I746" s="1" t="s">
        <v>29</v>
      </c>
      <c r="J746" s="1">
        <v>9.9999999999999995E-8</v>
      </c>
      <c r="K746" s="1">
        <v>100</v>
      </c>
      <c r="L746" s="1">
        <v>0.2</v>
      </c>
    </row>
    <row r="747" spans="1:18">
      <c r="B747" s="3" t="s">
        <v>1705</v>
      </c>
      <c r="D747" s="1" t="s">
        <v>157</v>
      </c>
      <c r="E747" s="1" t="s">
        <v>160</v>
      </c>
      <c r="F747" s="1" t="s">
        <v>161</v>
      </c>
      <c r="G747" s="1" t="s">
        <v>162</v>
      </c>
      <c r="H747" s="1" t="s">
        <v>22</v>
      </c>
      <c r="I747" s="1" t="s">
        <v>23</v>
      </c>
      <c r="J747" s="1">
        <v>0</v>
      </c>
      <c r="K747" s="1">
        <v>9510193342.230648</v>
      </c>
      <c r="L747" s="1">
        <v>15850.322237051079</v>
      </c>
      <c r="M747" s="1">
        <v>1438.0607923259079</v>
      </c>
      <c r="O747" s="1">
        <v>158.503222370511</v>
      </c>
      <c r="P747" s="1">
        <f>O758</f>
        <v>0</v>
      </c>
      <c r="Q747" s="1">
        <f>O758</f>
        <v>0</v>
      </c>
      <c r="R747" s="1">
        <f>O758</f>
        <v>0</v>
      </c>
    </row>
    <row r="748" spans="1:18">
      <c r="D748" s="1" t="s">
        <v>157</v>
      </c>
      <c r="E748" s="1" t="s">
        <v>163</v>
      </c>
      <c r="H748" s="1" t="s">
        <v>22</v>
      </c>
      <c r="I748" s="1" t="s">
        <v>23</v>
      </c>
      <c r="J748" s="1">
        <v>0</v>
      </c>
      <c r="K748" s="1">
        <v>1</v>
      </c>
      <c r="L748" s="1">
        <v>0.1</v>
      </c>
      <c r="M748" s="1">
        <v>0.2</v>
      </c>
    </row>
    <row r="749" spans="1:18">
      <c r="D749" s="1" t="s">
        <v>157</v>
      </c>
      <c r="E749" s="1" t="s">
        <v>164</v>
      </c>
      <c r="F749" s="1" t="s">
        <v>35</v>
      </c>
      <c r="G749" s="1" t="s">
        <v>36</v>
      </c>
      <c r="H749" s="1" t="s">
        <v>22</v>
      </c>
      <c r="I749" s="1" t="s">
        <v>29</v>
      </c>
      <c r="J749" s="1">
        <v>-31.018000000000029</v>
      </c>
      <c r="K749" s="1">
        <v>256.99999999999994</v>
      </c>
      <c r="L749" s="1">
        <v>80.329999999999984</v>
      </c>
    </row>
    <row r="750" spans="1:18">
      <c r="D750" s="1" t="s">
        <v>157</v>
      </c>
      <c r="E750" s="1" t="s">
        <v>43</v>
      </c>
      <c r="H750" s="1" t="s">
        <v>25</v>
      </c>
      <c r="I750" s="1" t="s">
        <v>23</v>
      </c>
      <c r="M750" s="1" t="b">
        <v>0</v>
      </c>
    </row>
    <row r="751" spans="1:18">
      <c r="D751" s="1" t="s">
        <v>157</v>
      </c>
      <c r="E751" s="1" t="s">
        <v>44</v>
      </c>
      <c r="F751" s="1" t="s">
        <v>45</v>
      </c>
      <c r="G751" s="1" t="s">
        <v>46</v>
      </c>
      <c r="H751" s="1" t="s">
        <v>22</v>
      </c>
      <c r="I751" s="1" t="s">
        <v>23</v>
      </c>
      <c r="J751" s="1">
        <v>-85.984522757427143</v>
      </c>
      <c r="K751" s="1">
        <v>859.84522757427146</v>
      </c>
      <c r="L751" s="1">
        <v>429.92261378713573</v>
      </c>
      <c r="M751" s="1">
        <v>128.97678413614071</v>
      </c>
    </row>
    <row r="752" spans="1:18">
      <c r="D752" s="1" t="s">
        <v>157</v>
      </c>
      <c r="E752" s="1" t="s">
        <v>47</v>
      </c>
      <c r="H752" s="1" t="s">
        <v>25</v>
      </c>
      <c r="I752" s="1" t="s">
        <v>23</v>
      </c>
      <c r="M752" s="1" t="b">
        <v>0</v>
      </c>
    </row>
    <row r="753" spans="2:13">
      <c r="D753" s="1" t="s">
        <v>157</v>
      </c>
      <c r="E753" s="1" t="s">
        <v>54</v>
      </c>
      <c r="H753" s="1" t="s">
        <v>25</v>
      </c>
      <c r="I753" s="1" t="s">
        <v>23</v>
      </c>
      <c r="M753" s="1" t="b">
        <v>0</v>
      </c>
    </row>
    <row r="754" spans="2:13">
      <c r="D754" s="1" t="s">
        <v>157</v>
      </c>
      <c r="E754" s="1" t="s">
        <v>55</v>
      </c>
      <c r="F754" s="1" t="s">
        <v>56</v>
      </c>
      <c r="G754" s="1" t="s">
        <v>57</v>
      </c>
      <c r="H754" s="1" t="s">
        <v>22</v>
      </c>
      <c r="I754" s="1" t="s">
        <v>23</v>
      </c>
      <c r="J754" s="1">
        <v>0</v>
      </c>
      <c r="K754" s="1">
        <v>942.74529524635989</v>
      </c>
      <c r="L754" s="1">
        <v>14.503773773020921</v>
      </c>
      <c r="M754" s="1">
        <v>39.999998299180966</v>
      </c>
    </row>
    <row r="755" spans="2:13">
      <c r="D755" s="1" t="s">
        <v>157</v>
      </c>
      <c r="E755" s="1" t="s">
        <v>58</v>
      </c>
      <c r="H755" s="1" t="s">
        <v>25</v>
      </c>
      <c r="I755" s="1" t="s">
        <v>23</v>
      </c>
      <c r="M755" s="1" t="b">
        <v>0</v>
      </c>
    </row>
    <row r="756" spans="2:13">
      <c r="D756" s="1" t="s">
        <v>157</v>
      </c>
      <c r="E756" s="1" t="s">
        <v>59</v>
      </c>
      <c r="F756" s="1" t="s">
        <v>60</v>
      </c>
      <c r="G756" s="1" t="s">
        <v>61</v>
      </c>
      <c r="H756" s="1" t="s">
        <v>22</v>
      </c>
      <c r="I756" s="1" t="s">
        <v>23</v>
      </c>
      <c r="J756" s="1">
        <v>-0.95538358650800004</v>
      </c>
      <c r="K756" s="1">
        <v>9.5538358650799999</v>
      </c>
      <c r="L756" s="1">
        <v>0.23884589662700001</v>
      </c>
      <c r="M756" s="1">
        <v>0.23884589662700001</v>
      </c>
    </row>
    <row r="757" spans="2:13">
      <c r="D757" s="1" t="s">
        <v>157</v>
      </c>
      <c r="E757" s="1" t="s">
        <v>64</v>
      </c>
      <c r="F757" s="1" t="s">
        <v>35</v>
      </c>
      <c r="G757" s="1" t="s">
        <v>36</v>
      </c>
      <c r="H757" s="1" t="s">
        <v>22</v>
      </c>
      <c r="I757" s="1" t="s">
        <v>65</v>
      </c>
      <c r="J757" s="1">
        <v>-459.67</v>
      </c>
      <c r="L757" s="1">
        <v>80.329999999999984</v>
      </c>
    </row>
    <row r="758" spans="2:13">
      <c r="B758" s="3" t="s">
        <v>1706</v>
      </c>
      <c r="D758" s="1" t="s">
        <v>157</v>
      </c>
      <c r="E758" s="1" t="s">
        <v>166</v>
      </c>
      <c r="F758" s="1" t="s">
        <v>161</v>
      </c>
      <c r="G758" s="1" t="s">
        <v>162</v>
      </c>
      <c r="H758" s="1" t="s">
        <v>22</v>
      </c>
      <c r="I758" s="1" t="s">
        <v>65</v>
      </c>
      <c r="L758" s="1">
        <v>15850.322237051079</v>
      </c>
    </row>
    <row r="759" spans="2:13">
      <c r="D759" s="1" t="s">
        <v>157</v>
      </c>
      <c r="E759" s="1" t="s">
        <v>68</v>
      </c>
      <c r="F759" s="1" t="s">
        <v>45</v>
      </c>
      <c r="G759" s="1" t="s">
        <v>46</v>
      </c>
      <c r="H759" s="1" t="s">
        <v>22</v>
      </c>
      <c r="I759" s="1" t="s">
        <v>65</v>
      </c>
      <c r="L759" s="1">
        <v>4.2992261378713571E-4</v>
      </c>
    </row>
    <row r="760" spans="2:13">
      <c r="D760" s="1" t="s">
        <v>157</v>
      </c>
      <c r="E760" s="1" t="s">
        <v>69</v>
      </c>
      <c r="H760" s="1" t="s">
        <v>25</v>
      </c>
      <c r="I760" s="1" t="s">
        <v>70</v>
      </c>
    </row>
    <row r="761" spans="2:13">
      <c r="D761" s="1" t="s">
        <v>157</v>
      </c>
      <c r="E761" s="1" t="s">
        <v>72</v>
      </c>
      <c r="F761" s="1" t="s">
        <v>56</v>
      </c>
      <c r="G761" s="1" t="s">
        <v>57</v>
      </c>
      <c r="H761" s="1" t="s">
        <v>22</v>
      </c>
      <c r="I761" s="1" t="s">
        <v>65</v>
      </c>
      <c r="J761" s="1">
        <v>0</v>
      </c>
      <c r="L761" s="1">
        <v>14.503773773020921</v>
      </c>
    </row>
    <row r="762" spans="2:13">
      <c r="D762" s="1" t="s">
        <v>157</v>
      </c>
      <c r="E762" s="1" t="s">
        <v>73</v>
      </c>
      <c r="F762" s="1" t="s">
        <v>60</v>
      </c>
      <c r="G762" s="1" t="s">
        <v>61</v>
      </c>
      <c r="H762" s="1" t="s">
        <v>22</v>
      </c>
      <c r="I762" s="1" t="s">
        <v>65</v>
      </c>
      <c r="L762" s="1">
        <v>2.38845896627E-4</v>
      </c>
    </row>
    <row r="763" spans="2:13">
      <c r="D763" s="1" t="s">
        <v>157</v>
      </c>
      <c r="E763" s="1" t="s">
        <v>74</v>
      </c>
      <c r="F763" s="1" t="s">
        <v>75</v>
      </c>
      <c r="G763" s="1" t="s">
        <v>76</v>
      </c>
      <c r="H763" s="1" t="s">
        <v>22</v>
      </c>
      <c r="I763" s="1" t="s">
        <v>65</v>
      </c>
      <c r="J763" s="1">
        <v>0</v>
      </c>
      <c r="L763" s="1">
        <v>16.018463521800001</v>
      </c>
    </row>
    <row r="764" spans="2:13">
      <c r="D764" s="1" t="s">
        <v>157</v>
      </c>
      <c r="E764" s="1" t="s">
        <v>78</v>
      </c>
      <c r="H764" s="1" t="s">
        <v>25</v>
      </c>
      <c r="I764" s="1" t="s">
        <v>23</v>
      </c>
      <c r="M764" s="1" t="b">
        <v>0</v>
      </c>
    </row>
    <row r="765" spans="2:13">
      <c r="D765" s="1" t="s">
        <v>157</v>
      </c>
      <c r="E765" s="1" t="s">
        <v>79</v>
      </c>
      <c r="F765" s="1" t="s">
        <v>75</v>
      </c>
      <c r="G765" s="1" t="s">
        <v>76</v>
      </c>
      <c r="H765" s="1" t="s">
        <v>22</v>
      </c>
      <c r="I765" s="1" t="s">
        <v>23</v>
      </c>
      <c r="J765" s="1">
        <v>0</v>
      </c>
      <c r="K765" s="1">
        <v>0.96110781130800005</v>
      </c>
      <c r="L765" s="1">
        <v>16.018463521800001</v>
      </c>
      <c r="M765" s="1">
        <v>1.6018463521800003E-2</v>
      </c>
    </row>
    <row r="766" spans="2:13">
      <c r="D766" s="1" t="s">
        <v>168</v>
      </c>
      <c r="E766" s="1" t="s">
        <v>169</v>
      </c>
      <c r="H766" s="1" t="s">
        <v>25</v>
      </c>
      <c r="I766" s="1" t="s">
        <v>23</v>
      </c>
      <c r="M766" s="1" t="b">
        <v>1</v>
      </c>
    </row>
    <row r="767" spans="2:13">
      <c r="D767" s="1" t="s">
        <v>170</v>
      </c>
      <c r="E767" s="1" t="s">
        <v>171</v>
      </c>
      <c r="H767" s="1" t="s">
        <v>22</v>
      </c>
      <c r="I767" s="1" t="s">
        <v>23</v>
      </c>
      <c r="L767" s="1">
        <v>1</v>
      </c>
      <c r="M767" s="1">
        <v>3.0558000000000001</v>
      </c>
    </row>
    <row r="768" spans="2:13">
      <c r="D768" s="1" t="s">
        <v>170</v>
      </c>
      <c r="E768" s="1" t="s">
        <v>172</v>
      </c>
      <c r="H768" s="1" t="s">
        <v>22</v>
      </c>
      <c r="I768" s="1" t="s">
        <v>29</v>
      </c>
      <c r="J768" s="1">
        <v>0</v>
      </c>
      <c r="K768" s="1">
        <v>10000</v>
      </c>
      <c r="L768" s="1">
        <v>5000</v>
      </c>
    </row>
    <row r="769" spans="1:13">
      <c r="D769" s="1" t="s">
        <v>170</v>
      </c>
      <c r="E769" s="1" t="s">
        <v>173</v>
      </c>
      <c r="H769" s="1" t="s">
        <v>22</v>
      </c>
      <c r="I769" s="1" t="s">
        <v>29</v>
      </c>
      <c r="J769" s="1">
        <v>9.9999999999999995E-7</v>
      </c>
      <c r="K769" s="1">
        <v>0.01</v>
      </c>
      <c r="L769" s="1">
        <v>5.0004999999999997E-3</v>
      </c>
    </row>
    <row r="770" spans="1:13">
      <c r="D770" s="1" t="s">
        <v>170</v>
      </c>
      <c r="E770" s="1" t="s">
        <v>174</v>
      </c>
      <c r="H770" s="1" t="s">
        <v>25</v>
      </c>
      <c r="I770" s="1" t="s">
        <v>23</v>
      </c>
      <c r="M770" s="1" t="b">
        <v>1</v>
      </c>
    </row>
    <row r="771" spans="1:13">
      <c r="A771" s="2" t="s">
        <v>1721</v>
      </c>
      <c r="B771" s="3" t="s">
        <v>1723</v>
      </c>
      <c r="D771" s="1" t="s">
        <v>170</v>
      </c>
      <c r="E771" s="1" t="s">
        <v>175</v>
      </c>
      <c r="F771" s="1" t="s">
        <v>176</v>
      </c>
      <c r="G771" s="1" t="s">
        <v>177</v>
      </c>
      <c r="H771" s="1" t="s">
        <v>22</v>
      </c>
      <c r="I771" s="1" t="s">
        <v>23</v>
      </c>
      <c r="L771" s="1">
        <v>39.370078740157467</v>
      </c>
      <c r="M771" s="1">
        <v>6.0649999999999977</v>
      </c>
    </row>
    <row r="772" spans="1:13">
      <c r="D772" s="1" t="s">
        <v>170</v>
      </c>
      <c r="E772" s="1" t="s">
        <v>178</v>
      </c>
      <c r="H772" s="1" t="s">
        <v>25</v>
      </c>
      <c r="I772" s="1" t="s">
        <v>23</v>
      </c>
      <c r="M772" s="1" t="b">
        <v>0</v>
      </c>
    </row>
    <row r="773" spans="1:13">
      <c r="D773" s="1" t="s">
        <v>170</v>
      </c>
      <c r="E773" s="1" t="s">
        <v>111</v>
      </c>
      <c r="F773" s="1" t="s">
        <v>56</v>
      </c>
      <c r="G773" s="1" t="s">
        <v>57</v>
      </c>
      <c r="H773" s="1" t="s">
        <v>22</v>
      </c>
      <c r="I773" s="1" t="s">
        <v>23</v>
      </c>
      <c r="L773" s="1">
        <v>1.4503773773020921E-4</v>
      </c>
      <c r="M773" s="1">
        <v>7.2518868865104604E-3</v>
      </c>
    </row>
    <row r="774" spans="1:13">
      <c r="D774" s="1" t="s">
        <v>170</v>
      </c>
      <c r="E774" s="1" t="s">
        <v>179</v>
      </c>
      <c r="H774" s="1" t="s">
        <v>22</v>
      </c>
      <c r="I774" s="1" t="s">
        <v>23</v>
      </c>
      <c r="L774" s="1">
        <v>1</v>
      </c>
      <c r="M774" s="1">
        <v>10000</v>
      </c>
    </row>
    <row r="775" spans="1:13">
      <c r="D775" s="1" t="s">
        <v>170</v>
      </c>
      <c r="E775" s="1" t="s">
        <v>180</v>
      </c>
      <c r="H775" s="1" t="s">
        <v>181</v>
      </c>
      <c r="I775" s="1" t="s">
        <v>23</v>
      </c>
      <c r="J775" s="1">
        <v>1</v>
      </c>
      <c r="K775" s="1">
        <v>3</v>
      </c>
      <c r="M775" s="1" t="s">
        <v>182</v>
      </c>
    </row>
    <row r="776" spans="1:13">
      <c r="D776" s="1" t="s">
        <v>170</v>
      </c>
      <c r="E776" s="1" t="s">
        <v>47</v>
      </c>
      <c r="H776" s="1" t="s">
        <v>25</v>
      </c>
      <c r="I776" s="1" t="s">
        <v>23</v>
      </c>
      <c r="M776" s="1" t="b">
        <v>0</v>
      </c>
    </row>
    <row r="777" spans="1:13">
      <c r="D777" s="1" t="s">
        <v>170</v>
      </c>
      <c r="E777" s="1" t="s">
        <v>183</v>
      </c>
      <c r="H777" s="1" t="s">
        <v>25</v>
      </c>
      <c r="I777" s="1" t="s">
        <v>23</v>
      </c>
      <c r="M777" s="1" t="b">
        <v>1</v>
      </c>
    </row>
    <row r="778" spans="1:13">
      <c r="D778" s="1" t="s">
        <v>170</v>
      </c>
      <c r="E778" s="1" t="s">
        <v>112</v>
      </c>
      <c r="F778" s="1" t="s">
        <v>56</v>
      </c>
      <c r="G778" s="1" t="s">
        <v>57</v>
      </c>
      <c r="H778" s="1" t="s">
        <v>22</v>
      </c>
      <c r="I778" s="1" t="s">
        <v>29</v>
      </c>
      <c r="J778" s="1">
        <v>4.9312830828271128</v>
      </c>
      <c r="K778" s="1">
        <v>623.66227223989961</v>
      </c>
      <c r="L778" s="1">
        <v>50.713895374744951</v>
      </c>
    </row>
    <row r="779" spans="1:13">
      <c r="D779" s="1" t="s">
        <v>170</v>
      </c>
      <c r="E779" s="1" t="s">
        <v>62</v>
      </c>
      <c r="H779" s="1" t="s">
        <v>63</v>
      </c>
      <c r="I779" s="1" t="s">
        <v>23</v>
      </c>
      <c r="M779" s="1">
        <v>1</v>
      </c>
    </row>
    <row r="780" spans="1:13">
      <c r="D780" s="1" t="s">
        <v>170</v>
      </c>
      <c r="E780" s="1" t="s">
        <v>184</v>
      </c>
      <c r="H780" s="1" t="s">
        <v>22</v>
      </c>
      <c r="I780" s="1" t="s">
        <v>120</v>
      </c>
      <c r="L780" s="1">
        <v>1</v>
      </c>
    </row>
    <row r="781" spans="1:13">
      <c r="D781" s="1" t="s">
        <v>170</v>
      </c>
      <c r="E781" s="1" t="s">
        <v>185</v>
      </c>
      <c r="F781" s="1" t="s">
        <v>176</v>
      </c>
      <c r="G781" s="1" t="s">
        <v>177</v>
      </c>
      <c r="H781" s="1" t="s">
        <v>22</v>
      </c>
      <c r="I781" s="1" t="s">
        <v>65</v>
      </c>
      <c r="L781" s="1">
        <v>39.370078740157467</v>
      </c>
    </row>
    <row r="782" spans="1:13">
      <c r="A782" s="2" t="s">
        <v>1758</v>
      </c>
      <c r="B782" s="3" t="s">
        <v>1784</v>
      </c>
      <c r="D782" s="1" t="s">
        <v>170</v>
      </c>
      <c r="E782" s="1" t="s">
        <v>115</v>
      </c>
      <c r="F782" s="1" t="s">
        <v>56</v>
      </c>
      <c r="G782" s="1" t="s">
        <v>57</v>
      </c>
      <c r="H782" s="1" t="s">
        <v>22</v>
      </c>
      <c r="I782" s="1" t="s">
        <v>65</v>
      </c>
      <c r="L782" s="1">
        <v>1.4503773773020921E-4</v>
      </c>
    </row>
    <row r="783" spans="1:13">
      <c r="D783" s="1" t="s">
        <v>170</v>
      </c>
      <c r="E783" s="1" t="s">
        <v>69</v>
      </c>
      <c r="H783" s="1" t="s">
        <v>25</v>
      </c>
      <c r="I783" s="1" t="s">
        <v>70</v>
      </c>
    </row>
    <row r="784" spans="1:13">
      <c r="D784" s="1" t="s">
        <v>170</v>
      </c>
      <c r="E784" s="1" t="s">
        <v>186</v>
      </c>
      <c r="H784" s="1" t="s">
        <v>22</v>
      </c>
      <c r="I784" s="1" t="s">
        <v>65</v>
      </c>
      <c r="L784" s="1">
        <v>1</v>
      </c>
    </row>
    <row r="785" spans="4:13">
      <c r="D785" s="1" t="s">
        <v>170</v>
      </c>
      <c r="E785" s="1" t="s">
        <v>71</v>
      </c>
      <c r="F785" s="1" t="s">
        <v>52</v>
      </c>
      <c r="G785" s="1" t="s">
        <v>53</v>
      </c>
      <c r="H785" s="1" t="s">
        <v>22</v>
      </c>
      <c r="I785" s="1" t="s">
        <v>65</v>
      </c>
      <c r="L785" s="1">
        <v>7936.6414386555998</v>
      </c>
    </row>
    <row r="786" spans="4:13">
      <c r="D786" s="1" t="s">
        <v>170</v>
      </c>
      <c r="E786" s="1" t="s">
        <v>117</v>
      </c>
      <c r="F786" s="1" t="s">
        <v>118</v>
      </c>
      <c r="G786" s="1" t="s">
        <v>119</v>
      </c>
      <c r="H786" s="1" t="s">
        <v>22</v>
      </c>
      <c r="I786" s="1" t="s">
        <v>120</v>
      </c>
      <c r="J786" s="1">
        <v>0</v>
      </c>
      <c r="L786" s="1">
        <v>2.20462262185</v>
      </c>
    </row>
    <row r="787" spans="4:13">
      <c r="D787" s="1" t="s">
        <v>170</v>
      </c>
      <c r="E787" s="1" t="s">
        <v>123</v>
      </c>
      <c r="F787" s="1" t="s">
        <v>124</v>
      </c>
      <c r="G787" s="1" t="s">
        <v>125</v>
      </c>
      <c r="H787" s="1" t="s">
        <v>22</v>
      </c>
      <c r="I787" s="1" t="s">
        <v>120</v>
      </c>
      <c r="L787" s="1">
        <v>35.314666699999997</v>
      </c>
    </row>
    <row r="788" spans="4:13">
      <c r="D788" s="1" t="s">
        <v>170</v>
      </c>
      <c r="E788" s="1" t="s">
        <v>126</v>
      </c>
      <c r="H788" s="1" t="s">
        <v>22</v>
      </c>
      <c r="I788" s="1" t="s">
        <v>65</v>
      </c>
      <c r="L788" s="1">
        <v>1</v>
      </c>
    </row>
    <row r="789" spans="4:13">
      <c r="D789" s="1" t="s">
        <v>187</v>
      </c>
      <c r="E789" s="1" t="s">
        <v>28</v>
      </c>
      <c r="H789" s="1" t="s">
        <v>22</v>
      </c>
      <c r="I789" s="1" t="s">
        <v>29</v>
      </c>
      <c r="J789" s="1">
        <v>34000</v>
      </c>
      <c r="K789" s="1">
        <v>4300000</v>
      </c>
      <c r="L789" s="1">
        <v>349660</v>
      </c>
    </row>
    <row r="790" spans="4:13">
      <c r="D790" s="1" t="s">
        <v>187</v>
      </c>
      <c r="E790" s="1" t="s">
        <v>30</v>
      </c>
      <c r="H790" s="1" t="s">
        <v>22</v>
      </c>
      <c r="I790" s="1" t="s">
        <v>29</v>
      </c>
      <c r="J790" s="1">
        <v>-3.94</v>
      </c>
      <c r="K790" s="1">
        <v>3.66</v>
      </c>
      <c r="L790" s="1">
        <v>1</v>
      </c>
    </row>
    <row r="791" spans="4:13">
      <c r="D791" s="1" t="s">
        <v>187</v>
      </c>
      <c r="E791" s="1" t="s">
        <v>31</v>
      </c>
      <c r="H791" s="1" t="s">
        <v>22</v>
      </c>
      <c r="I791" s="1" t="s">
        <v>29</v>
      </c>
      <c r="J791" s="1">
        <v>0</v>
      </c>
      <c r="K791" s="1">
        <v>100</v>
      </c>
      <c r="L791" s="1">
        <v>1</v>
      </c>
    </row>
    <row r="792" spans="4:13">
      <c r="D792" s="1" t="s">
        <v>187</v>
      </c>
      <c r="E792" s="1" t="s">
        <v>32</v>
      </c>
      <c r="H792" s="1" t="s">
        <v>22</v>
      </c>
      <c r="I792" s="1" t="s">
        <v>29</v>
      </c>
      <c r="J792" s="1">
        <v>-3.94</v>
      </c>
      <c r="K792" s="1">
        <v>3.66</v>
      </c>
      <c r="L792" s="1">
        <v>1</v>
      </c>
    </row>
    <row r="793" spans="4:13">
      <c r="D793" s="1" t="s">
        <v>187</v>
      </c>
      <c r="E793" s="1" t="s">
        <v>33</v>
      </c>
      <c r="H793" s="1" t="s">
        <v>25</v>
      </c>
      <c r="I793" s="1" t="s">
        <v>23</v>
      </c>
      <c r="M793" s="1" t="b">
        <v>0</v>
      </c>
    </row>
    <row r="794" spans="4:13">
      <c r="D794" s="1" t="s">
        <v>187</v>
      </c>
      <c r="E794" s="1" t="s">
        <v>34</v>
      </c>
      <c r="F794" s="1" t="s">
        <v>35</v>
      </c>
      <c r="G794" s="1" t="s">
        <v>36</v>
      </c>
      <c r="H794" s="1" t="s">
        <v>22</v>
      </c>
      <c r="I794" s="1" t="s">
        <v>23</v>
      </c>
      <c r="J794" s="1">
        <v>-459.67</v>
      </c>
      <c r="K794" s="1">
        <v>980.32999999999993</v>
      </c>
      <c r="L794" s="1">
        <v>80.329999999999984</v>
      </c>
      <c r="M794" s="1">
        <v>67.999999999999943</v>
      </c>
    </row>
    <row r="795" spans="4:13">
      <c r="D795" s="1" t="s">
        <v>187</v>
      </c>
      <c r="E795" s="1" t="s">
        <v>37</v>
      </c>
      <c r="H795" s="1" t="s">
        <v>25</v>
      </c>
      <c r="I795" s="1" t="s">
        <v>23</v>
      </c>
      <c r="M795" s="1" t="b">
        <v>0</v>
      </c>
    </row>
    <row r="796" spans="4:13">
      <c r="D796" s="1" t="s">
        <v>187</v>
      </c>
      <c r="E796" s="1" t="s">
        <v>38</v>
      </c>
      <c r="F796" s="1" t="s">
        <v>35</v>
      </c>
      <c r="G796" s="1" t="s">
        <v>36</v>
      </c>
      <c r="H796" s="1" t="s">
        <v>22</v>
      </c>
      <c r="I796" s="1" t="s">
        <v>23</v>
      </c>
      <c r="J796" s="1">
        <v>-99.670000000000016</v>
      </c>
      <c r="K796" s="1">
        <v>980.32999999999993</v>
      </c>
      <c r="L796" s="1">
        <v>80.329999999999984</v>
      </c>
      <c r="M796" s="1">
        <v>13.999999999999943</v>
      </c>
    </row>
    <row r="797" spans="4:13">
      <c r="D797" s="1" t="s">
        <v>187</v>
      </c>
      <c r="E797" s="1" t="s">
        <v>39</v>
      </c>
      <c r="H797" s="1" t="s">
        <v>25</v>
      </c>
      <c r="I797" s="1" t="s">
        <v>23</v>
      </c>
      <c r="M797" s="1" t="b">
        <v>0</v>
      </c>
    </row>
    <row r="798" spans="4:13">
      <c r="D798" s="1" t="s">
        <v>187</v>
      </c>
      <c r="E798" s="1" t="s">
        <v>40</v>
      </c>
      <c r="F798" s="1" t="s">
        <v>41</v>
      </c>
      <c r="G798" s="1" t="s">
        <v>42</v>
      </c>
      <c r="H798" s="1" t="s">
        <v>22</v>
      </c>
      <c r="I798" s="1" t="s">
        <v>23</v>
      </c>
      <c r="J798" s="1">
        <v>-900</v>
      </c>
      <c r="K798" s="1">
        <v>900</v>
      </c>
      <c r="L798" s="1">
        <v>1.8</v>
      </c>
      <c r="M798" s="1">
        <v>9</v>
      </c>
    </row>
    <row r="799" spans="4:13">
      <c r="D799" s="1" t="s">
        <v>187</v>
      </c>
      <c r="E799" s="1" t="s">
        <v>43</v>
      </c>
      <c r="H799" s="1" t="s">
        <v>25</v>
      </c>
      <c r="I799" s="1" t="s">
        <v>23</v>
      </c>
      <c r="M799" s="1" t="b">
        <v>0</v>
      </c>
    </row>
    <row r="800" spans="4:13">
      <c r="D800" s="1" t="s">
        <v>187</v>
      </c>
      <c r="E800" s="1" t="s">
        <v>44</v>
      </c>
      <c r="F800" s="1" t="s">
        <v>45</v>
      </c>
      <c r="G800" s="1" t="s">
        <v>46</v>
      </c>
      <c r="H800" s="1" t="s">
        <v>22</v>
      </c>
      <c r="I800" s="1" t="s">
        <v>23</v>
      </c>
      <c r="J800" s="1">
        <v>-85.984522757427143</v>
      </c>
      <c r="K800" s="1">
        <v>8598.4522757427148</v>
      </c>
      <c r="L800" s="1">
        <v>114.79148749423418</v>
      </c>
      <c r="M800" s="1">
        <v>128.97678413614071</v>
      </c>
    </row>
    <row r="801" spans="4:13">
      <c r="D801" s="1" t="s">
        <v>187</v>
      </c>
      <c r="E801" s="1" t="s">
        <v>47</v>
      </c>
      <c r="H801" s="1" t="s">
        <v>25</v>
      </c>
      <c r="I801" s="1" t="s">
        <v>23</v>
      </c>
      <c r="M801" s="1" t="b">
        <v>0</v>
      </c>
    </row>
    <row r="802" spans="4:13">
      <c r="D802" s="1" t="s">
        <v>187</v>
      </c>
      <c r="E802" s="1" t="s">
        <v>48</v>
      </c>
      <c r="H802" s="1" t="s">
        <v>25</v>
      </c>
      <c r="I802" s="1" t="s">
        <v>23</v>
      </c>
      <c r="M802" s="1" t="b">
        <v>0</v>
      </c>
    </row>
    <row r="803" spans="4:13">
      <c r="D803" s="1" t="s">
        <v>187</v>
      </c>
      <c r="E803" s="1" t="s">
        <v>49</v>
      </c>
      <c r="H803" s="1" t="s">
        <v>25</v>
      </c>
      <c r="I803" s="1" t="s">
        <v>23</v>
      </c>
      <c r="M803" s="1" t="b">
        <v>0</v>
      </c>
    </row>
    <row r="804" spans="4:13">
      <c r="D804" s="1" t="s">
        <v>187</v>
      </c>
      <c r="E804" s="1" t="s">
        <v>50</v>
      </c>
      <c r="H804" s="1" t="s">
        <v>25</v>
      </c>
      <c r="I804" s="1" t="s">
        <v>23</v>
      </c>
      <c r="M804" s="1" t="b">
        <v>0</v>
      </c>
    </row>
    <row r="805" spans="4:13">
      <c r="D805" s="1" t="s">
        <v>187</v>
      </c>
      <c r="E805" s="1" t="s">
        <v>51</v>
      </c>
      <c r="F805" s="1" t="s">
        <v>52</v>
      </c>
      <c r="G805" s="1" t="s">
        <v>53</v>
      </c>
      <c r="H805" s="1" t="s">
        <v>22</v>
      </c>
      <c r="I805" s="1" t="s">
        <v>23</v>
      </c>
      <c r="J805" s="1">
        <v>0</v>
      </c>
      <c r="K805" s="1">
        <v>7936641438.6555996</v>
      </c>
      <c r="L805" s="1">
        <v>7936.6414386555998</v>
      </c>
      <c r="M805" s="1">
        <v>7936.6414386555998</v>
      </c>
    </row>
    <row r="806" spans="4:13">
      <c r="D806" s="1" t="s">
        <v>187</v>
      </c>
      <c r="E806" s="1" t="s">
        <v>54</v>
      </c>
      <c r="H806" s="1" t="s">
        <v>25</v>
      </c>
      <c r="I806" s="1" t="s">
        <v>23</v>
      </c>
      <c r="M806" s="1" t="b">
        <v>0</v>
      </c>
    </row>
    <row r="807" spans="4:13">
      <c r="D807" s="1" t="s">
        <v>187</v>
      </c>
      <c r="E807" s="1" t="s">
        <v>55</v>
      </c>
      <c r="F807" s="1" t="s">
        <v>56</v>
      </c>
      <c r="G807" s="1" t="s">
        <v>57</v>
      </c>
      <c r="H807" s="1" t="s">
        <v>22</v>
      </c>
      <c r="I807" s="1" t="s">
        <v>23</v>
      </c>
      <c r="J807" s="1">
        <v>0</v>
      </c>
      <c r="K807" s="1">
        <v>9427.4529524635982</v>
      </c>
      <c r="L807" s="1">
        <v>50.713895374744951</v>
      </c>
      <c r="M807" s="1">
        <v>50.763208205573221</v>
      </c>
    </row>
    <row r="808" spans="4:13">
      <c r="D808" s="1" t="s">
        <v>187</v>
      </c>
      <c r="E808" s="1" t="s">
        <v>58</v>
      </c>
      <c r="H808" s="1" t="s">
        <v>25</v>
      </c>
      <c r="I808" s="1" t="s">
        <v>23</v>
      </c>
      <c r="M808" s="1" t="b">
        <v>0</v>
      </c>
    </row>
    <row r="809" spans="4:13">
      <c r="D809" s="1" t="s">
        <v>187</v>
      </c>
      <c r="E809" s="1" t="s">
        <v>59</v>
      </c>
      <c r="F809" s="1" t="s">
        <v>60</v>
      </c>
      <c r="G809" s="1" t="s">
        <v>61</v>
      </c>
      <c r="H809" s="1" t="s">
        <v>22</v>
      </c>
      <c r="I809" s="1" t="s">
        <v>23</v>
      </c>
      <c r="J809" s="1">
        <v>-9.5538358650799999</v>
      </c>
      <c r="K809" s="1">
        <v>9.5538358650799999</v>
      </c>
      <c r="L809" s="1">
        <v>0.23884589662700001</v>
      </c>
      <c r="M809" s="1">
        <v>0.23884589662700001</v>
      </c>
    </row>
    <row r="810" spans="4:13">
      <c r="D810" s="1" t="s">
        <v>187</v>
      </c>
      <c r="E810" s="1" t="s">
        <v>62</v>
      </c>
      <c r="H810" s="1" t="s">
        <v>63</v>
      </c>
      <c r="I810" s="1" t="s">
        <v>23</v>
      </c>
      <c r="M810" s="1">
        <v>1</v>
      </c>
    </row>
    <row r="811" spans="4:13">
      <c r="D811" s="1" t="s">
        <v>187</v>
      </c>
      <c r="E811" s="1" t="s">
        <v>64</v>
      </c>
      <c r="F811" s="1" t="s">
        <v>35</v>
      </c>
      <c r="G811" s="1" t="s">
        <v>36</v>
      </c>
      <c r="H811" s="1" t="s">
        <v>22</v>
      </c>
      <c r="I811" s="1" t="s">
        <v>65</v>
      </c>
      <c r="J811" s="1">
        <v>-459.67</v>
      </c>
      <c r="L811" s="1">
        <v>80.329999999999984</v>
      </c>
    </row>
    <row r="812" spans="4:13">
      <c r="D812" s="1" t="s">
        <v>187</v>
      </c>
      <c r="E812" s="1" t="s">
        <v>66</v>
      </c>
      <c r="F812" s="1" t="s">
        <v>35</v>
      </c>
      <c r="G812" s="1" t="s">
        <v>36</v>
      </c>
      <c r="H812" s="1" t="s">
        <v>22</v>
      </c>
      <c r="I812" s="1" t="s">
        <v>65</v>
      </c>
      <c r="J812" s="1">
        <v>-459.67</v>
      </c>
      <c r="L812" s="1">
        <v>80.329999999999984</v>
      </c>
    </row>
    <row r="813" spans="4:13">
      <c r="D813" s="1" t="s">
        <v>187</v>
      </c>
      <c r="E813" s="1" t="s">
        <v>67</v>
      </c>
      <c r="F813" s="1" t="s">
        <v>41</v>
      </c>
      <c r="G813" s="1" t="s">
        <v>42</v>
      </c>
      <c r="H813" s="1" t="s">
        <v>22</v>
      </c>
      <c r="I813" s="1" t="s">
        <v>65</v>
      </c>
      <c r="L813" s="1">
        <v>1.8</v>
      </c>
    </row>
    <row r="814" spans="4:13">
      <c r="D814" s="1" t="s">
        <v>187</v>
      </c>
      <c r="E814" s="1" t="s">
        <v>68</v>
      </c>
      <c r="F814" s="1" t="s">
        <v>45</v>
      </c>
      <c r="G814" s="1" t="s">
        <v>46</v>
      </c>
      <c r="H814" s="1" t="s">
        <v>22</v>
      </c>
      <c r="I814" s="1" t="s">
        <v>65</v>
      </c>
      <c r="L814" s="1">
        <v>4.2992261378713571E-4</v>
      </c>
    </row>
    <row r="815" spans="4:13">
      <c r="D815" s="1" t="s">
        <v>187</v>
      </c>
      <c r="E815" s="1" t="s">
        <v>69</v>
      </c>
      <c r="H815" s="1" t="s">
        <v>25</v>
      </c>
      <c r="I815" s="1" t="s">
        <v>70</v>
      </c>
    </row>
    <row r="816" spans="4:13">
      <c r="D816" s="1" t="s">
        <v>187</v>
      </c>
      <c r="E816" s="1" t="s">
        <v>71</v>
      </c>
      <c r="F816" s="1" t="s">
        <v>52</v>
      </c>
      <c r="G816" s="1" t="s">
        <v>53</v>
      </c>
      <c r="H816" s="1" t="s">
        <v>22</v>
      </c>
      <c r="I816" s="1" t="s">
        <v>65</v>
      </c>
      <c r="L816" s="1">
        <v>7936.6414386555998</v>
      </c>
    </row>
    <row r="817" spans="1:13">
      <c r="D817" s="1" t="s">
        <v>187</v>
      </c>
      <c r="E817" s="1" t="s">
        <v>72</v>
      </c>
      <c r="F817" s="1" t="s">
        <v>56</v>
      </c>
      <c r="G817" s="1" t="s">
        <v>57</v>
      </c>
      <c r="H817" s="1" t="s">
        <v>22</v>
      </c>
      <c r="I817" s="1" t="s">
        <v>65</v>
      </c>
      <c r="J817" s="1">
        <v>0</v>
      </c>
      <c r="L817" s="1">
        <v>14.503773773020921</v>
      </c>
    </row>
    <row r="818" spans="1:13">
      <c r="D818" s="1" t="s">
        <v>187</v>
      </c>
      <c r="E818" s="1" t="s">
        <v>73</v>
      </c>
      <c r="F818" s="1" t="s">
        <v>60</v>
      </c>
      <c r="G818" s="1" t="s">
        <v>61</v>
      </c>
      <c r="H818" s="1" t="s">
        <v>22</v>
      </c>
      <c r="I818" s="1" t="s">
        <v>65</v>
      </c>
      <c r="L818" s="1">
        <v>2.38845896627E-4</v>
      </c>
    </row>
    <row r="819" spans="1:13">
      <c r="D819" s="1" t="s">
        <v>187</v>
      </c>
      <c r="E819" s="1" t="s">
        <v>74</v>
      </c>
      <c r="F819" s="1" t="s">
        <v>75</v>
      </c>
      <c r="G819" s="1" t="s">
        <v>76</v>
      </c>
      <c r="H819" s="1" t="s">
        <v>22</v>
      </c>
      <c r="I819" s="1" t="s">
        <v>65</v>
      </c>
      <c r="J819" s="1">
        <v>0</v>
      </c>
      <c r="L819" s="1">
        <v>16.018463521800001</v>
      </c>
    </row>
    <row r="820" spans="1:13">
      <c r="D820" s="1" t="s">
        <v>187</v>
      </c>
      <c r="E820" s="1" t="s">
        <v>77</v>
      </c>
      <c r="H820" s="1" t="s">
        <v>22</v>
      </c>
      <c r="I820" s="1" t="s">
        <v>65</v>
      </c>
      <c r="L820" s="1">
        <v>1</v>
      </c>
    </row>
    <row r="821" spans="1:13">
      <c r="D821" s="1" t="s">
        <v>187</v>
      </c>
      <c r="E821" s="1" t="s">
        <v>78</v>
      </c>
      <c r="H821" s="1" t="s">
        <v>25</v>
      </c>
      <c r="I821" s="1" t="s">
        <v>23</v>
      </c>
      <c r="M821" s="1" t="b">
        <v>0</v>
      </c>
    </row>
    <row r="822" spans="1:13">
      <c r="D822" s="1" t="s">
        <v>187</v>
      </c>
      <c r="E822" s="1" t="s">
        <v>79</v>
      </c>
      <c r="F822" s="1" t="s">
        <v>75</v>
      </c>
      <c r="G822" s="1" t="s">
        <v>76</v>
      </c>
      <c r="H822" s="1" t="s">
        <v>22</v>
      </c>
      <c r="I822" s="1" t="s">
        <v>23</v>
      </c>
      <c r="J822" s="1">
        <v>0</v>
      </c>
      <c r="K822" s="1">
        <v>96.110781130800007</v>
      </c>
      <c r="L822" s="1">
        <v>16.018463521800001</v>
      </c>
      <c r="M822" s="1">
        <v>1.6018463521800002</v>
      </c>
    </row>
    <row r="823" spans="1:13">
      <c r="D823" s="1" t="s">
        <v>187</v>
      </c>
      <c r="E823" s="1" t="s">
        <v>80</v>
      </c>
      <c r="H823" s="1" t="s">
        <v>25</v>
      </c>
      <c r="I823" s="1" t="s">
        <v>23</v>
      </c>
      <c r="M823" s="1" t="b">
        <v>0</v>
      </c>
    </row>
    <row r="824" spans="1:13">
      <c r="D824" s="1" t="s">
        <v>187</v>
      </c>
      <c r="E824" s="1" t="s">
        <v>81</v>
      </c>
      <c r="H824" s="1" t="s">
        <v>25</v>
      </c>
      <c r="I824" s="1" t="s">
        <v>23</v>
      </c>
      <c r="M824" s="1" t="b">
        <v>0</v>
      </c>
    </row>
    <row r="825" spans="1:13">
      <c r="D825" s="1" t="s">
        <v>187</v>
      </c>
      <c r="E825" s="1" t="s">
        <v>82</v>
      </c>
      <c r="H825" s="1" t="s">
        <v>22</v>
      </c>
      <c r="I825" s="1" t="s">
        <v>23</v>
      </c>
      <c r="J825" s="1">
        <v>-1</v>
      </c>
      <c r="K825" s="1">
        <v>3</v>
      </c>
      <c r="L825" s="1">
        <v>1</v>
      </c>
      <c r="M825" s="1">
        <v>1.01</v>
      </c>
    </row>
    <row r="826" spans="1:13">
      <c r="D826" s="1" t="s">
        <v>188</v>
      </c>
      <c r="E826" s="1" t="s">
        <v>171</v>
      </c>
      <c r="H826" s="1" t="s">
        <v>22</v>
      </c>
      <c r="I826" s="1" t="s">
        <v>23</v>
      </c>
      <c r="L826" s="1">
        <v>1</v>
      </c>
      <c r="M826" s="1">
        <v>3.0558000000000001</v>
      </c>
    </row>
    <row r="827" spans="1:13">
      <c r="D827" s="1" t="s">
        <v>188</v>
      </c>
      <c r="E827" s="1" t="s">
        <v>172</v>
      </c>
      <c r="H827" s="1" t="s">
        <v>22</v>
      </c>
      <c r="I827" s="1" t="s">
        <v>29</v>
      </c>
      <c r="J827" s="1">
        <v>0</v>
      </c>
      <c r="K827" s="1">
        <v>10000</v>
      </c>
      <c r="L827" s="1">
        <v>5000</v>
      </c>
    </row>
    <row r="828" spans="1:13">
      <c r="D828" s="1" t="s">
        <v>188</v>
      </c>
      <c r="E828" s="1" t="s">
        <v>173</v>
      </c>
      <c r="H828" s="1" t="s">
        <v>22</v>
      </c>
      <c r="I828" s="1" t="s">
        <v>29</v>
      </c>
      <c r="J828" s="1">
        <v>9.9999999999999995E-7</v>
      </c>
      <c r="K828" s="1">
        <v>0.01</v>
      </c>
      <c r="L828" s="1">
        <v>5.0004999999999997E-3</v>
      </c>
    </row>
    <row r="829" spans="1:13">
      <c r="D829" s="1" t="s">
        <v>188</v>
      </c>
      <c r="E829" s="1" t="s">
        <v>174</v>
      </c>
      <c r="H829" s="1" t="s">
        <v>25</v>
      </c>
      <c r="I829" s="1" t="s">
        <v>23</v>
      </c>
      <c r="M829" s="1" t="b">
        <v>1</v>
      </c>
    </row>
    <row r="830" spans="1:13">
      <c r="A830" s="2" t="s">
        <v>1721</v>
      </c>
      <c r="B830" s="3" t="s">
        <v>1724</v>
      </c>
      <c r="D830" s="1" t="s">
        <v>188</v>
      </c>
      <c r="E830" s="1" t="s">
        <v>175</v>
      </c>
      <c r="F830" s="1" t="s">
        <v>176</v>
      </c>
      <c r="G830" s="1" t="s">
        <v>177</v>
      </c>
      <c r="H830" s="1" t="s">
        <v>22</v>
      </c>
      <c r="I830" s="1" t="s">
        <v>23</v>
      </c>
      <c r="L830" s="1">
        <v>39.370078740157467</v>
      </c>
      <c r="M830" s="1">
        <v>6.0649999999999977</v>
      </c>
    </row>
    <row r="831" spans="1:13">
      <c r="D831" s="1" t="s">
        <v>188</v>
      </c>
      <c r="E831" s="1" t="s">
        <v>178</v>
      </c>
      <c r="H831" s="1" t="s">
        <v>25</v>
      </c>
      <c r="I831" s="1" t="s">
        <v>23</v>
      </c>
      <c r="M831" s="1" t="b">
        <v>0</v>
      </c>
    </row>
    <row r="832" spans="1:13">
      <c r="D832" s="1" t="s">
        <v>188</v>
      </c>
      <c r="E832" s="1" t="s">
        <v>111</v>
      </c>
      <c r="F832" s="1" t="s">
        <v>56</v>
      </c>
      <c r="G832" s="1" t="s">
        <v>57</v>
      </c>
      <c r="H832" s="1" t="s">
        <v>22</v>
      </c>
      <c r="I832" s="1" t="s">
        <v>23</v>
      </c>
      <c r="L832" s="1">
        <v>1.4503773773020921E-4</v>
      </c>
      <c r="M832" s="1">
        <v>7.2518868865104604E-3</v>
      </c>
    </row>
    <row r="833" spans="1:13">
      <c r="D833" s="1" t="s">
        <v>188</v>
      </c>
      <c r="E833" s="1" t="s">
        <v>179</v>
      </c>
      <c r="H833" s="1" t="s">
        <v>22</v>
      </c>
      <c r="I833" s="1" t="s">
        <v>23</v>
      </c>
      <c r="L833" s="1">
        <v>1</v>
      </c>
      <c r="M833" s="1">
        <v>10000</v>
      </c>
    </row>
    <row r="834" spans="1:13">
      <c r="D834" s="1" t="s">
        <v>188</v>
      </c>
      <c r="E834" s="1" t="s">
        <v>180</v>
      </c>
      <c r="H834" s="1" t="s">
        <v>181</v>
      </c>
      <c r="I834" s="1" t="s">
        <v>23</v>
      </c>
      <c r="J834" s="1">
        <v>1</v>
      </c>
      <c r="K834" s="1">
        <v>3</v>
      </c>
      <c r="M834" s="1" t="s">
        <v>182</v>
      </c>
    </row>
    <row r="835" spans="1:13">
      <c r="D835" s="1" t="s">
        <v>188</v>
      </c>
      <c r="E835" s="1" t="s">
        <v>47</v>
      </c>
      <c r="H835" s="1" t="s">
        <v>25</v>
      </c>
      <c r="I835" s="1" t="s">
        <v>23</v>
      </c>
      <c r="M835" s="1" t="b">
        <v>0</v>
      </c>
    </row>
    <row r="836" spans="1:13">
      <c r="D836" s="1" t="s">
        <v>188</v>
      </c>
      <c r="E836" s="1" t="s">
        <v>183</v>
      </c>
      <c r="H836" s="1" t="s">
        <v>25</v>
      </c>
      <c r="I836" s="1" t="s">
        <v>23</v>
      </c>
      <c r="M836" s="1" t="b">
        <v>1</v>
      </c>
    </row>
    <row r="837" spans="1:13">
      <c r="D837" s="1" t="s">
        <v>188</v>
      </c>
      <c r="E837" s="1" t="s">
        <v>189</v>
      </c>
      <c r="H837" s="1" t="s">
        <v>22</v>
      </c>
      <c r="I837" s="1" t="s">
        <v>23</v>
      </c>
      <c r="L837" s="1">
        <v>1</v>
      </c>
      <c r="M837" s="1">
        <v>1.1900000000000001E-4</v>
      </c>
    </row>
    <row r="838" spans="1:13">
      <c r="D838" s="1" t="s">
        <v>188</v>
      </c>
      <c r="E838" s="1" t="s">
        <v>112</v>
      </c>
      <c r="F838" s="1" t="s">
        <v>56</v>
      </c>
      <c r="G838" s="1" t="s">
        <v>57</v>
      </c>
      <c r="H838" s="1" t="s">
        <v>22</v>
      </c>
      <c r="I838" s="1" t="s">
        <v>29</v>
      </c>
      <c r="J838" s="1">
        <v>4.9312830828271128</v>
      </c>
      <c r="K838" s="1">
        <v>623.66227223989961</v>
      </c>
      <c r="L838" s="1">
        <v>50.713895374744951</v>
      </c>
    </row>
    <row r="839" spans="1:13">
      <c r="D839" s="1" t="s">
        <v>188</v>
      </c>
      <c r="E839" s="1" t="s">
        <v>62</v>
      </c>
      <c r="H839" s="1" t="s">
        <v>63</v>
      </c>
      <c r="I839" s="1" t="s">
        <v>23</v>
      </c>
      <c r="M839" s="1">
        <v>1</v>
      </c>
    </row>
    <row r="840" spans="1:13">
      <c r="D840" s="1" t="s">
        <v>188</v>
      </c>
      <c r="E840" s="1" t="s">
        <v>184</v>
      </c>
      <c r="H840" s="1" t="s">
        <v>22</v>
      </c>
      <c r="I840" s="1" t="s">
        <v>120</v>
      </c>
      <c r="L840" s="1">
        <v>1</v>
      </c>
    </row>
    <row r="841" spans="1:13">
      <c r="D841" s="1" t="s">
        <v>188</v>
      </c>
      <c r="E841" s="1" t="s">
        <v>185</v>
      </c>
      <c r="F841" s="1" t="s">
        <v>176</v>
      </c>
      <c r="G841" s="1" t="s">
        <v>177</v>
      </c>
      <c r="H841" s="1" t="s">
        <v>22</v>
      </c>
      <c r="I841" s="1" t="s">
        <v>65</v>
      </c>
      <c r="L841" s="1">
        <v>39.370078740157467</v>
      </c>
    </row>
    <row r="842" spans="1:13">
      <c r="A842" s="2" t="s">
        <v>1758</v>
      </c>
      <c r="B842" s="3" t="s">
        <v>1785</v>
      </c>
      <c r="D842" s="1" t="s">
        <v>188</v>
      </c>
      <c r="E842" s="1" t="s">
        <v>115</v>
      </c>
      <c r="F842" s="1" t="s">
        <v>56</v>
      </c>
      <c r="G842" s="1" t="s">
        <v>57</v>
      </c>
      <c r="H842" s="1" t="s">
        <v>22</v>
      </c>
      <c r="I842" s="1" t="s">
        <v>65</v>
      </c>
      <c r="L842" s="1">
        <v>1.4503773773020921E-4</v>
      </c>
    </row>
    <row r="843" spans="1:13">
      <c r="D843" s="1" t="s">
        <v>188</v>
      </c>
      <c r="E843" s="1" t="s">
        <v>69</v>
      </c>
      <c r="H843" s="1" t="s">
        <v>25</v>
      </c>
      <c r="I843" s="1" t="s">
        <v>70</v>
      </c>
    </row>
    <row r="844" spans="1:13">
      <c r="D844" s="1" t="s">
        <v>188</v>
      </c>
      <c r="E844" s="1" t="s">
        <v>186</v>
      </c>
      <c r="H844" s="1" t="s">
        <v>22</v>
      </c>
      <c r="I844" s="1" t="s">
        <v>65</v>
      </c>
      <c r="L844" s="1">
        <v>1</v>
      </c>
    </row>
    <row r="845" spans="1:13">
      <c r="D845" s="1" t="s">
        <v>188</v>
      </c>
      <c r="E845" s="1" t="s">
        <v>71</v>
      </c>
      <c r="F845" s="1" t="s">
        <v>52</v>
      </c>
      <c r="G845" s="1" t="s">
        <v>53</v>
      </c>
      <c r="H845" s="1" t="s">
        <v>22</v>
      </c>
      <c r="I845" s="1" t="s">
        <v>65</v>
      </c>
      <c r="L845" s="1">
        <v>7936.6414386555998</v>
      </c>
    </row>
    <row r="846" spans="1:13">
      <c r="D846" s="1" t="s">
        <v>188</v>
      </c>
      <c r="E846" s="1" t="s">
        <v>117</v>
      </c>
      <c r="F846" s="1" t="s">
        <v>118</v>
      </c>
      <c r="G846" s="1" t="s">
        <v>119</v>
      </c>
      <c r="H846" s="1" t="s">
        <v>22</v>
      </c>
      <c r="I846" s="1" t="s">
        <v>120</v>
      </c>
      <c r="J846" s="1">
        <v>0</v>
      </c>
      <c r="L846" s="1">
        <v>2.20462262185</v>
      </c>
    </row>
    <row r="847" spans="1:13">
      <c r="D847" s="1" t="s">
        <v>188</v>
      </c>
      <c r="E847" s="1" t="s">
        <v>123</v>
      </c>
      <c r="F847" s="1" t="s">
        <v>124</v>
      </c>
      <c r="G847" s="1" t="s">
        <v>125</v>
      </c>
      <c r="H847" s="1" t="s">
        <v>22</v>
      </c>
      <c r="I847" s="1" t="s">
        <v>120</v>
      </c>
      <c r="L847" s="1">
        <v>35.314666699999997</v>
      </c>
    </row>
    <row r="848" spans="1:13">
      <c r="D848" s="1" t="s">
        <v>188</v>
      </c>
      <c r="E848" s="1" t="s">
        <v>126</v>
      </c>
      <c r="H848" s="1" t="s">
        <v>22</v>
      </c>
      <c r="I848" s="1" t="s">
        <v>65</v>
      </c>
      <c r="L848" s="1">
        <v>1</v>
      </c>
    </row>
    <row r="849" spans="4:13">
      <c r="D849" s="1" t="s">
        <v>190</v>
      </c>
      <c r="E849" s="1" t="s">
        <v>28</v>
      </c>
      <c r="H849" s="1" t="s">
        <v>22</v>
      </c>
      <c r="I849" s="1" t="s">
        <v>29</v>
      </c>
      <c r="J849" s="1">
        <v>34000</v>
      </c>
      <c r="K849" s="1">
        <v>4300000</v>
      </c>
      <c r="L849" s="1">
        <v>349660</v>
      </c>
    </row>
    <row r="850" spans="4:13">
      <c r="D850" s="1" t="s">
        <v>190</v>
      </c>
      <c r="E850" s="1" t="s">
        <v>30</v>
      </c>
      <c r="H850" s="1" t="s">
        <v>22</v>
      </c>
      <c r="I850" s="1" t="s">
        <v>29</v>
      </c>
      <c r="J850" s="1">
        <v>-3.94</v>
      </c>
      <c r="K850" s="1">
        <v>3.66</v>
      </c>
      <c r="L850" s="1">
        <v>1</v>
      </c>
    </row>
    <row r="851" spans="4:13">
      <c r="D851" s="1" t="s">
        <v>190</v>
      </c>
      <c r="E851" s="1" t="s">
        <v>31</v>
      </c>
      <c r="H851" s="1" t="s">
        <v>22</v>
      </c>
      <c r="I851" s="1" t="s">
        <v>29</v>
      </c>
      <c r="J851" s="1">
        <v>0</v>
      </c>
      <c r="K851" s="1">
        <v>100</v>
      </c>
      <c r="L851" s="1">
        <v>1</v>
      </c>
    </row>
    <row r="852" spans="4:13">
      <c r="D852" s="1" t="s">
        <v>190</v>
      </c>
      <c r="E852" s="1" t="s">
        <v>32</v>
      </c>
      <c r="H852" s="1" t="s">
        <v>22</v>
      </c>
      <c r="I852" s="1" t="s">
        <v>29</v>
      </c>
      <c r="J852" s="1">
        <v>-3.94</v>
      </c>
      <c r="K852" s="1">
        <v>3.66</v>
      </c>
      <c r="L852" s="1">
        <v>1</v>
      </c>
    </row>
    <row r="853" spans="4:13">
      <c r="D853" s="1" t="s">
        <v>190</v>
      </c>
      <c r="E853" s="1" t="s">
        <v>33</v>
      </c>
      <c r="H853" s="1" t="s">
        <v>25</v>
      </c>
      <c r="I853" s="1" t="s">
        <v>23</v>
      </c>
      <c r="M853" s="1" t="b">
        <v>0</v>
      </c>
    </row>
    <row r="854" spans="4:13">
      <c r="D854" s="1" t="s">
        <v>190</v>
      </c>
      <c r="E854" s="1" t="s">
        <v>34</v>
      </c>
      <c r="F854" s="1" t="s">
        <v>35</v>
      </c>
      <c r="G854" s="1" t="s">
        <v>36</v>
      </c>
      <c r="H854" s="1" t="s">
        <v>22</v>
      </c>
      <c r="I854" s="1" t="s">
        <v>23</v>
      </c>
      <c r="J854" s="1">
        <v>-459.67</v>
      </c>
      <c r="K854" s="1">
        <v>980.32999999999993</v>
      </c>
      <c r="L854" s="1">
        <v>80.329999999999984</v>
      </c>
      <c r="M854" s="1">
        <v>67.999999999999943</v>
      </c>
    </row>
    <row r="855" spans="4:13">
      <c r="D855" s="1" t="s">
        <v>190</v>
      </c>
      <c r="E855" s="1" t="s">
        <v>37</v>
      </c>
      <c r="H855" s="1" t="s">
        <v>25</v>
      </c>
      <c r="I855" s="1" t="s">
        <v>23</v>
      </c>
      <c r="M855" s="1" t="b">
        <v>0</v>
      </c>
    </row>
    <row r="856" spans="4:13">
      <c r="D856" s="1" t="s">
        <v>190</v>
      </c>
      <c r="E856" s="1" t="s">
        <v>38</v>
      </c>
      <c r="F856" s="1" t="s">
        <v>35</v>
      </c>
      <c r="G856" s="1" t="s">
        <v>36</v>
      </c>
      <c r="H856" s="1" t="s">
        <v>22</v>
      </c>
      <c r="I856" s="1" t="s">
        <v>23</v>
      </c>
      <c r="J856" s="1">
        <v>-99.670000000000016</v>
      </c>
      <c r="K856" s="1">
        <v>980.32999999999993</v>
      </c>
      <c r="L856" s="1">
        <v>80.329999999999984</v>
      </c>
      <c r="M856" s="1">
        <v>13.999999999999943</v>
      </c>
    </row>
    <row r="857" spans="4:13">
      <c r="D857" s="1" t="s">
        <v>190</v>
      </c>
      <c r="E857" s="1" t="s">
        <v>39</v>
      </c>
      <c r="H857" s="1" t="s">
        <v>25</v>
      </c>
      <c r="I857" s="1" t="s">
        <v>23</v>
      </c>
      <c r="M857" s="1" t="b">
        <v>0</v>
      </c>
    </row>
    <row r="858" spans="4:13">
      <c r="D858" s="1" t="s">
        <v>190</v>
      </c>
      <c r="E858" s="1" t="s">
        <v>40</v>
      </c>
      <c r="F858" s="1" t="s">
        <v>41</v>
      </c>
      <c r="G858" s="1" t="s">
        <v>42</v>
      </c>
      <c r="H858" s="1" t="s">
        <v>22</v>
      </c>
      <c r="I858" s="1" t="s">
        <v>23</v>
      </c>
      <c r="J858" s="1">
        <v>-900</v>
      </c>
      <c r="K858" s="1">
        <v>900</v>
      </c>
      <c r="L858" s="1">
        <v>1.8</v>
      </c>
      <c r="M858" s="1">
        <v>9</v>
      </c>
    </row>
    <row r="859" spans="4:13">
      <c r="D859" s="1" t="s">
        <v>190</v>
      </c>
      <c r="E859" s="1" t="s">
        <v>43</v>
      </c>
      <c r="H859" s="1" t="s">
        <v>25</v>
      </c>
      <c r="I859" s="1" t="s">
        <v>23</v>
      </c>
      <c r="M859" s="1" t="b">
        <v>0</v>
      </c>
    </row>
    <row r="860" spans="4:13">
      <c r="D860" s="1" t="s">
        <v>190</v>
      </c>
      <c r="E860" s="1" t="s">
        <v>44</v>
      </c>
      <c r="F860" s="1" t="s">
        <v>45</v>
      </c>
      <c r="G860" s="1" t="s">
        <v>46</v>
      </c>
      <c r="H860" s="1" t="s">
        <v>22</v>
      </c>
      <c r="I860" s="1" t="s">
        <v>23</v>
      </c>
      <c r="J860" s="1">
        <v>-85.984522757427143</v>
      </c>
      <c r="K860" s="1">
        <v>8598.4522757427148</v>
      </c>
      <c r="L860" s="1">
        <v>114.79148749423418</v>
      </c>
      <c r="M860" s="1">
        <v>128.97678413614071</v>
      </c>
    </row>
    <row r="861" spans="4:13">
      <c r="D861" s="1" t="s">
        <v>190</v>
      </c>
      <c r="E861" s="1" t="s">
        <v>47</v>
      </c>
      <c r="H861" s="1" t="s">
        <v>25</v>
      </c>
      <c r="I861" s="1" t="s">
        <v>23</v>
      </c>
      <c r="M861" s="1" t="b">
        <v>0</v>
      </c>
    </row>
    <row r="862" spans="4:13">
      <c r="D862" s="1" t="s">
        <v>190</v>
      </c>
      <c r="E862" s="1" t="s">
        <v>48</v>
      </c>
      <c r="H862" s="1" t="s">
        <v>25</v>
      </c>
      <c r="I862" s="1" t="s">
        <v>23</v>
      </c>
      <c r="M862" s="1" t="b">
        <v>0</v>
      </c>
    </row>
    <row r="863" spans="4:13">
      <c r="D863" s="1" t="s">
        <v>190</v>
      </c>
      <c r="E863" s="1" t="s">
        <v>49</v>
      </c>
      <c r="H863" s="1" t="s">
        <v>25</v>
      </c>
      <c r="I863" s="1" t="s">
        <v>23</v>
      </c>
      <c r="M863" s="1" t="b">
        <v>0</v>
      </c>
    </row>
    <row r="864" spans="4:13">
      <c r="D864" s="1" t="s">
        <v>190</v>
      </c>
      <c r="E864" s="1" t="s">
        <v>50</v>
      </c>
      <c r="H864" s="1" t="s">
        <v>25</v>
      </c>
      <c r="I864" s="1" t="s">
        <v>23</v>
      </c>
      <c r="M864" s="1" t="b">
        <v>0</v>
      </c>
    </row>
    <row r="865" spans="4:13">
      <c r="D865" s="1" t="s">
        <v>190</v>
      </c>
      <c r="E865" s="1" t="s">
        <v>51</v>
      </c>
      <c r="F865" s="1" t="s">
        <v>52</v>
      </c>
      <c r="G865" s="1" t="s">
        <v>53</v>
      </c>
      <c r="H865" s="1" t="s">
        <v>22</v>
      </c>
      <c r="I865" s="1" t="s">
        <v>23</v>
      </c>
      <c r="J865" s="1">
        <v>0</v>
      </c>
      <c r="K865" s="1">
        <v>7936641438.6555996</v>
      </c>
      <c r="L865" s="1">
        <v>7936.6414386555998</v>
      </c>
      <c r="M865" s="1">
        <v>7936.6414386555998</v>
      </c>
    </row>
    <row r="866" spans="4:13">
      <c r="D866" s="1" t="s">
        <v>190</v>
      </c>
      <c r="E866" s="1" t="s">
        <v>54</v>
      </c>
      <c r="H866" s="1" t="s">
        <v>25</v>
      </c>
      <c r="I866" s="1" t="s">
        <v>23</v>
      </c>
      <c r="M866" s="1" t="b">
        <v>0</v>
      </c>
    </row>
    <row r="867" spans="4:13">
      <c r="D867" s="1" t="s">
        <v>190</v>
      </c>
      <c r="E867" s="1" t="s">
        <v>55</v>
      </c>
      <c r="F867" s="1" t="s">
        <v>56</v>
      </c>
      <c r="G867" s="1" t="s">
        <v>57</v>
      </c>
      <c r="H867" s="1" t="s">
        <v>22</v>
      </c>
      <c r="I867" s="1" t="s">
        <v>23</v>
      </c>
      <c r="J867" s="1">
        <v>0</v>
      </c>
      <c r="K867" s="1">
        <v>9427.4529524635982</v>
      </c>
      <c r="L867" s="1">
        <v>50.713895374744951</v>
      </c>
      <c r="M867" s="1">
        <v>50.763208205573221</v>
      </c>
    </row>
    <row r="868" spans="4:13">
      <c r="D868" s="1" t="s">
        <v>190</v>
      </c>
      <c r="E868" s="1" t="s">
        <v>58</v>
      </c>
      <c r="H868" s="1" t="s">
        <v>25</v>
      </c>
      <c r="I868" s="1" t="s">
        <v>23</v>
      </c>
      <c r="M868" s="1" t="b">
        <v>0</v>
      </c>
    </row>
    <row r="869" spans="4:13">
      <c r="D869" s="1" t="s">
        <v>190</v>
      </c>
      <c r="E869" s="1" t="s">
        <v>59</v>
      </c>
      <c r="F869" s="1" t="s">
        <v>60</v>
      </c>
      <c r="G869" s="1" t="s">
        <v>61</v>
      </c>
      <c r="H869" s="1" t="s">
        <v>22</v>
      </c>
      <c r="I869" s="1" t="s">
        <v>23</v>
      </c>
      <c r="J869" s="1">
        <v>-9.5538358650799999</v>
      </c>
      <c r="K869" s="1">
        <v>9.5538358650799999</v>
      </c>
      <c r="L869" s="1">
        <v>0.23884589662700001</v>
      </c>
      <c r="M869" s="1">
        <v>0.23884589662700001</v>
      </c>
    </row>
    <row r="870" spans="4:13">
      <c r="D870" s="1" t="s">
        <v>190</v>
      </c>
      <c r="E870" s="1" t="s">
        <v>62</v>
      </c>
      <c r="H870" s="1" t="s">
        <v>63</v>
      </c>
      <c r="I870" s="1" t="s">
        <v>23</v>
      </c>
      <c r="M870" s="1">
        <v>1</v>
      </c>
    </row>
    <row r="871" spans="4:13">
      <c r="D871" s="1" t="s">
        <v>190</v>
      </c>
      <c r="E871" s="1" t="s">
        <v>64</v>
      </c>
      <c r="F871" s="1" t="s">
        <v>35</v>
      </c>
      <c r="G871" s="1" t="s">
        <v>36</v>
      </c>
      <c r="H871" s="1" t="s">
        <v>22</v>
      </c>
      <c r="I871" s="1" t="s">
        <v>65</v>
      </c>
      <c r="J871" s="1">
        <v>-459.67</v>
      </c>
      <c r="L871" s="1">
        <v>80.329999999999984</v>
      </c>
    </row>
    <row r="872" spans="4:13">
      <c r="D872" s="1" t="s">
        <v>190</v>
      </c>
      <c r="E872" s="1" t="s">
        <v>66</v>
      </c>
      <c r="F872" s="1" t="s">
        <v>35</v>
      </c>
      <c r="G872" s="1" t="s">
        <v>36</v>
      </c>
      <c r="H872" s="1" t="s">
        <v>22</v>
      </c>
      <c r="I872" s="1" t="s">
        <v>65</v>
      </c>
      <c r="J872" s="1">
        <v>-459.67</v>
      </c>
      <c r="L872" s="1">
        <v>80.329999999999984</v>
      </c>
    </row>
    <row r="873" spans="4:13">
      <c r="D873" s="1" t="s">
        <v>190</v>
      </c>
      <c r="E873" s="1" t="s">
        <v>67</v>
      </c>
      <c r="F873" s="1" t="s">
        <v>41</v>
      </c>
      <c r="G873" s="1" t="s">
        <v>42</v>
      </c>
      <c r="H873" s="1" t="s">
        <v>22</v>
      </c>
      <c r="I873" s="1" t="s">
        <v>65</v>
      </c>
      <c r="L873" s="1">
        <v>1.8</v>
      </c>
    </row>
    <row r="874" spans="4:13">
      <c r="D874" s="1" t="s">
        <v>190</v>
      </c>
      <c r="E874" s="1" t="s">
        <v>68</v>
      </c>
      <c r="F874" s="1" t="s">
        <v>45</v>
      </c>
      <c r="G874" s="1" t="s">
        <v>46</v>
      </c>
      <c r="H874" s="1" t="s">
        <v>22</v>
      </c>
      <c r="I874" s="1" t="s">
        <v>65</v>
      </c>
      <c r="L874" s="1">
        <v>4.2992261378713571E-4</v>
      </c>
    </row>
    <row r="875" spans="4:13">
      <c r="D875" s="1" t="s">
        <v>190</v>
      </c>
      <c r="E875" s="1" t="s">
        <v>69</v>
      </c>
      <c r="H875" s="1" t="s">
        <v>25</v>
      </c>
      <c r="I875" s="1" t="s">
        <v>70</v>
      </c>
    </row>
    <row r="876" spans="4:13">
      <c r="D876" s="1" t="s">
        <v>190</v>
      </c>
      <c r="E876" s="1" t="s">
        <v>71</v>
      </c>
      <c r="F876" s="1" t="s">
        <v>52</v>
      </c>
      <c r="G876" s="1" t="s">
        <v>53</v>
      </c>
      <c r="H876" s="1" t="s">
        <v>22</v>
      </c>
      <c r="I876" s="1" t="s">
        <v>65</v>
      </c>
      <c r="L876" s="1">
        <v>7936.6414386555998</v>
      </c>
    </row>
    <row r="877" spans="4:13">
      <c r="D877" s="1" t="s">
        <v>190</v>
      </c>
      <c r="E877" s="1" t="s">
        <v>72</v>
      </c>
      <c r="F877" s="1" t="s">
        <v>56</v>
      </c>
      <c r="G877" s="1" t="s">
        <v>57</v>
      </c>
      <c r="H877" s="1" t="s">
        <v>22</v>
      </c>
      <c r="I877" s="1" t="s">
        <v>65</v>
      </c>
      <c r="J877" s="1">
        <v>0</v>
      </c>
      <c r="L877" s="1">
        <v>14.503773773020921</v>
      </c>
    </row>
    <row r="878" spans="4:13">
      <c r="D878" s="1" t="s">
        <v>190</v>
      </c>
      <c r="E878" s="1" t="s">
        <v>73</v>
      </c>
      <c r="F878" s="1" t="s">
        <v>60</v>
      </c>
      <c r="G878" s="1" t="s">
        <v>61</v>
      </c>
      <c r="H878" s="1" t="s">
        <v>22</v>
      </c>
      <c r="I878" s="1" t="s">
        <v>65</v>
      </c>
      <c r="L878" s="1">
        <v>2.38845896627E-4</v>
      </c>
    </row>
    <row r="879" spans="4:13">
      <c r="D879" s="1" t="s">
        <v>190</v>
      </c>
      <c r="E879" s="1" t="s">
        <v>74</v>
      </c>
      <c r="F879" s="1" t="s">
        <v>75</v>
      </c>
      <c r="G879" s="1" t="s">
        <v>76</v>
      </c>
      <c r="H879" s="1" t="s">
        <v>22</v>
      </c>
      <c r="I879" s="1" t="s">
        <v>65</v>
      </c>
      <c r="J879" s="1">
        <v>0</v>
      </c>
      <c r="L879" s="1">
        <v>16.018463521800001</v>
      </c>
    </row>
    <row r="880" spans="4:13">
      <c r="D880" s="1" t="s">
        <v>190</v>
      </c>
      <c r="E880" s="1" t="s">
        <v>77</v>
      </c>
      <c r="H880" s="1" t="s">
        <v>22</v>
      </c>
      <c r="I880" s="1" t="s">
        <v>65</v>
      </c>
      <c r="L880" s="1">
        <v>1</v>
      </c>
    </row>
    <row r="881" spans="4:13">
      <c r="D881" s="1" t="s">
        <v>190</v>
      </c>
      <c r="E881" s="1" t="s">
        <v>78</v>
      </c>
      <c r="H881" s="1" t="s">
        <v>25</v>
      </c>
      <c r="I881" s="1" t="s">
        <v>23</v>
      </c>
      <c r="M881" s="1" t="b">
        <v>0</v>
      </c>
    </row>
    <row r="882" spans="4:13">
      <c r="D882" s="1" t="s">
        <v>190</v>
      </c>
      <c r="E882" s="1" t="s">
        <v>79</v>
      </c>
      <c r="F882" s="1" t="s">
        <v>75</v>
      </c>
      <c r="G882" s="1" t="s">
        <v>76</v>
      </c>
      <c r="H882" s="1" t="s">
        <v>22</v>
      </c>
      <c r="I882" s="1" t="s">
        <v>23</v>
      </c>
      <c r="J882" s="1">
        <v>0</v>
      </c>
      <c r="K882" s="1">
        <v>96.110781130800007</v>
      </c>
      <c r="L882" s="1">
        <v>16.018463521800001</v>
      </c>
      <c r="M882" s="1">
        <v>1.6018463521800002</v>
      </c>
    </row>
    <row r="883" spans="4:13">
      <c r="D883" s="1" t="s">
        <v>190</v>
      </c>
      <c r="E883" s="1" t="s">
        <v>80</v>
      </c>
      <c r="H883" s="1" t="s">
        <v>25</v>
      </c>
      <c r="I883" s="1" t="s">
        <v>23</v>
      </c>
      <c r="M883" s="1" t="b">
        <v>0</v>
      </c>
    </row>
    <row r="884" spans="4:13">
      <c r="D884" s="1" t="s">
        <v>190</v>
      </c>
      <c r="E884" s="1" t="s">
        <v>81</v>
      </c>
      <c r="H884" s="1" t="s">
        <v>25</v>
      </c>
      <c r="I884" s="1" t="s">
        <v>23</v>
      </c>
      <c r="M884" s="1" t="b">
        <v>0</v>
      </c>
    </row>
    <row r="885" spans="4:13">
      <c r="D885" s="1" t="s">
        <v>190</v>
      </c>
      <c r="E885" s="1" t="s">
        <v>82</v>
      </c>
      <c r="H885" s="1" t="s">
        <v>22</v>
      </c>
      <c r="I885" s="1" t="s">
        <v>23</v>
      </c>
      <c r="J885" s="1">
        <v>-1</v>
      </c>
      <c r="K885" s="1">
        <v>3</v>
      </c>
      <c r="L885" s="1">
        <v>1</v>
      </c>
      <c r="M885" s="1">
        <v>1.01</v>
      </c>
    </row>
    <row r="886" spans="4:13">
      <c r="D886" s="1" t="s">
        <v>191</v>
      </c>
      <c r="E886" s="1" t="s">
        <v>28</v>
      </c>
      <c r="H886" s="1" t="s">
        <v>22</v>
      </c>
      <c r="I886" s="1" t="s">
        <v>29</v>
      </c>
      <c r="J886" s="1">
        <v>34000</v>
      </c>
      <c r="K886" s="1">
        <v>4300000</v>
      </c>
      <c r="L886" s="1">
        <v>349660</v>
      </c>
    </row>
    <row r="887" spans="4:13">
      <c r="D887" s="1" t="s">
        <v>191</v>
      </c>
      <c r="E887" s="1" t="s">
        <v>30</v>
      </c>
      <c r="H887" s="1" t="s">
        <v>22</v>
      </c>
      <c r="I887" s="1" t="s">
        <v>29</v>
      </c>
      <c r="J887" s="1">
        <v>-3.94</v>
      </c>
      <c r="K887" s="1">
        <v>3.66</v>
      </c>
      <c r="L887" s="1">
        <v>1</v>
      </c>
    </row>
    <row r="888" spans="4:13">
      <c r="D888" s="1" t="s">
        <v>191</v>
      </c>
      <c r="E888" s="1" t="s">
        <v>31</v>
      </c>
      <c r="H888" s="1" t="s">
        <v>22</v>
      </c>
      <c r="I888" s="1" t="s">
        <v>29</v>
      </c>
      <c r="J888" s="1">
        <v>0</v>
      </c>
      <c r="K888" s="1">
        <v>100</v>
      </c>
      <c r="L888" s="1">
        <v>1</v>
      </c>
    </row>
    <row r="889" spans="4:13">
      <c r="D889" s="1" t="s">
        <v>191</v>
      </c>
      <c r="E889" s="1" t="s">
        <v>32</v>
      </c>
      <c r="H889" s="1" t="s">
        <v>22</v>
      </c>
      <c r="I889" s="1" t="s">
        <v>29</v>
      </c>
      <c r="J889" s="1">
        <v>-3.94</v>
      </c>
      <c r="K889" s="1">
        <v>3.66</v>
      </c>
      <c r="L889" s="1">
        <v>1</v>
      </c>
    </row>
    <row r="890" spans="4:13">
      <c r="D890" s="1" t="s">
        <v>191</v>
      </c>
      <c r="E890" s="1" t="s">
        <v>33</v>
      </c>
      <c r="H890" s="1" t="s">
        <v>25</v>
      </c>
      <c r="I890" s="1" t="s">
        <v>23</v>
      </c>
      <c r="M890" s="1" t="b">
        <v>0</v>
      </c>
    </row>
    <row r="891" spans="4:13">
      <c r="D891" s="1" t="s">
        <v>191</v>
      </c>
      <c r="E891" s="1" t="s">
        <v>34</v>
      </c>
      <c r="F891" s="1" t="s">
        <v>35</v>
      </c>
      <c r="G891" s="1" t="s">
        <v>36</v>
      </c>
      <c r="H891" s="1" t="s">
        <v>22</v>
      </c>
      <c r="I891" s="1" t="s">
        <v>23</v>
      </c>
      <c r="J891" s="1">
        <v>-459.67</v>
      </c>
      <c r="K891" s="1">
        <v>980.32999999999993</v>
      </c>
      <c r="L891" s="1">
        <v>80.329999999999984</v>
      </c>
      <c r="M891" s="1">
        <v>67.999999999999943</v>
      </c>
    </row>
    <row r="892" spans="4:13">
      <c r="D892" s="1" t="s">
        <v>191</v>
      </c>
      <c r="E892" s="1" t="s">
        <v>37</v>
      </c>
      <c r="H892" s="1" t="s">
        <v>25</v>
      </c>
      <c r="I892" s="1" t="s">
        <v>23</v>
      </c>
      <c r="M892" s="1" t="b">
        <v>0</v>
      </c>
    </row>
    <row r="893" spans="4:13">
      <c r="D893" s="1" t="s">
        <v>191</v>
      </c>
      <c r="E893" s="1" t="s">
        <v>38</v>
      </c>
      <c r="F893" s="1" t="s">
        <v>35</v>
      </c>
      <c r="G893" s="1" t="s">
        <v>36</v>
      </c>
      <c r="H893" s="1" t="s">
        <v>22</v>
      </c>
      <c r="I893" s="1" t="s">
        <v>23</v>
      </c>
      <c r="J893" s="1">
        <v>-99.670000000000016</v>
      </c>
      <c r="K893" s="1">
        <v>980.32999999999993</v>
      </c>
      <c r="L893" s="1">
        <v>80.329999999999984</v>
      </c>
      <c r="M893" s="1">
        <v>13.999999999999943</v>
      </c>
    </row>
    <row r="894" spans="4:13">
      <c r="D894" s="1" t="s">
        <v>191</v>
      </c>
      <c r="E894" s="1" t="s">
        <v>39</v>
      </c>
      <c r="H894" s="1" t="s">
        <v>25</v>
      </c>
      <c r="I894" s="1" t="s">
        <v>23</v>
      </c>
      <c r="M894" s="1" t="b">
        <v>0</v>
      </c>
    </row>
    <row r="895" spans="4:13">
      <c r="D895" s="1" t="s">
        <v>191</v>
      </c>
      <c r="E895" s="1" t="s">
        <v>40</v>
      </c>
      <c r="F895" s="1" t="s">
        <v>41</v>
      </c>
      <c r="G895" s="1" t="s">
        <v>42</v>
      </c>
      <c r="H895" s="1" t="s">
        <v>22</v>
      </c>
      <c r="I895" s="1" t="s">
        <v>23</v>
      </c>
      <c r="J895" s="1">
        <v>-900</v>
      </c>
      <c r="K895" s="1">
        <v>900</v>
      </c>
      <c r="L895" s="1">
        <v>1.8</v>
      </c>
      <c r="M895" s="1">
        <v>9</v>
      </c>
    </row>
    <row r="896" spans="4:13">
      <c r="D896" s="1" t="s">
        <v>191</v>
      </c>
      <c r="E896" s="1" t="s">
        <v>43</v>
      </c>
      <c r="H896" s="1" t="s">
        <v>25</v>
      </c>
      <c r="I896" s="1" t="s">
        <v>23</v>
      </c>
      <c r="M896" s="1" t="b">
        <v>0</v>
      </c>
    </row>
    <row r="897" spans="4:13">
      <c r="D897" s="1" t="s">
        <v>191</v>
      </c>
      <c r="E897" s="1" t="s">
        <v>44</v>
      </c>
      <c r="F897" s="1" t="s">
        <v>45</v>
      </c>
      <c r="G897" s="1" t="s">
        <v>46</v>
      </c>
      <c r="H897" s="1" t="s">
        <v>22</v>
      </c>
      <c r="I897" s="1" t="s">
        <v>23</v>
      </c>
      <c r="J897" s="1">
        <v>-85.984522757427143</v>
      </c>
      <c r="K897" s="1">
        <v>8598.4522757427148</v>
      </c>
      <c r="L897" s="1">
        <v>114.79148749423418</v>
      </c>
      <c r="M897" s="1">
        <v>128.97678413614071</v>
      </c>
    </row>
    <row r="898" spans="4:13">
      <c r="D898" s="1" t="s">
        <v>191</v>
      </c>
      <c r="E898" s="1" t="s">
        <v>47</v>
      </c>
      <c r="H898" s="1" t="s">
        <v>25</v>
      </c>
      <c r="I898" s="1" t="s">
        <v>23</v>
      </c>
      <c r="M898" s="1" t="b">
        <v>0</v>
      </c>
    </row>
    <row r="899" spans="4:13">
      <c r="D899" s="1" t="s">
        <v>191</v>
      </c>
      <c r="E899" s="1" t="s">
        <v>48</v>
      </c>
      <c r="H899" s="1" t="s">
        <v>25</v>
      </c>
      <c r="I899" s="1" t="s">
        <v>23</v>
      </c>
      <c r="M899" s="1" t="b">
        <v>0</v>
      </c>
    </row>
    <row r="900" spans="4:13">
      <c r="D900" s="1" t="s">
        <v>191</v>
      </c>
      <c r="E900" s="1" t="s">
        <v>49</v>
      </c>
      <c r="H900" s="1" t="s">
        <v>25</v>
      </c>
      <c r="I900" s="1" t="s">
        <v>23</v>
      </c>
      <c r="M900" s="1" t="b">
        <v>0</v>
      </c>
    </row>
    <row r="901" spans="4:13">
      <c r="D901" s="1" t="s">
        <v>191</v>
      </c>
      <c r="E901" s="1" t="s">
        <v>50</v>
      </c>
      <c r="H901" s="1" t="s">
        <v>25</v>
      </c>
      <c r="I901" s="1" t="s">
        <v>23</v>
      </c>
      <c r="M901" s="1" t="b">
        <v>0</v>
      </c>
    </row>
    <row r="902" spans="4:13">
      <c r="D902" s="1" t="s">
        <v>191</v>
      </c>
      <c r="E902" s="1" t="s">
        <v>51</v>
      </c>
      <c r="F902" s="1" t="s">
        <v>52</v>
      </c>
      <c r="G902" s="1" t="s">
        <v>53</v>
      </c>
      <c r="H902" s="1" t="s">
        <v>22</v>
      </c>
      <c r="I902" s="1" t="s">
        <v>23</v>
      </c>
      <c r="J902" s="1">
        <v>0</v>
      </c>
      <c r="K902" s="1">
        <v>7936641438.6555996</v>
      </c>
      <c r="L902" s="1">
        <v>7936.6414386555998</v>
      </c>
      <c r="M902" s="1">
        <v>7936.6414386555998</v>
      </c>
    </row>
    <row r="903" spans="4:13">
      <c r="D903" s="1" t="s">
        <v>191</v>
      </c>
      <c r="E903" s="1" t="s">
        <v>54</v>
      </c>
      <c r="H903" s="1" t="s">
        <v>25</v>
      </c>
      <c r="I903" s="1" t="s">
        <v>23</v>
      </c>
      <c r="M903" s="1" t="b">
        <v>0</v>
      </c>
    </row>
    <row r="904" spans="4:13">
      <c r="D904" s="1" t="s">
        <v>191</v>
      </c>
      <c r="E904" s="1" t="s">
        <v>55</v>
      </c>
      <c r="F904" s="1" t="s">
        <v>56</v>
      </c>
      <c r="G904" s="1" t="s">
        <v>57</v>
      </c>
      <c r="H904" s="1" t="s">
        <v>22</v>
      </c>
      <c r="I904" s="1" t="s">
        <v>23</v>
      </c>
      <c r="J904" s="1">
        <v>0</v>
      </c>
      <c r="K904" s="1">
        <v>9427.4529524635982</v>
      </c>
      <c r="L904" s="1">
        <v>50.713895374744951</v>
      </c>
      <c r="M904" s="1">
        <v>50.763208205573221</v>
      </c>
    </row>
    <row r="905" spans="4:13">
      <c r="D905" s="1" t="s">
        <v>191</v>
      </c>
      <c r="E905" s="1" t="s">
        <v>58</v>
      </c>
      <c r="H905" s="1" t="s">
        <v>25</v>
      </c>
      <c r="I905" s="1" t="s">
        <v>23</v>
      </c>
      <c r="M905" s="1" t="b">
        <v>0</v>
      </c>
    </row>
    <row r="906" spans="4:13">
      <c r="D906" s="1" t="s">
        <v>191</v>
      </c>
      <c r="E906" s="1" t="s">
        <v>59</v>
      </c>
      <c r="F906" s="1" t="s">
        <v>60</v>
      </c>
      <c r="G906" s="1" t="s">
        <v>61</v>
      </c>
      <c r="H906" s="1" t="s">
        <v>22</v>
      </c>
      <c r="I906" s="1" t="s">
        <v>23</v>
      </c>
      <c r="J906" s="1">
        <v>-9.5538358650799999</v>
      </c>
      <c r="K906" s="1">
        <v>9.5538358650799999</v>
      </c>
      <c r="L906" s="1">
        <v>0.23884589662700001</v>
      </c>
      <c r="M906" s="1">
        <v>0.23884589662700001</v>
      </c>
    </row>
    <row r="907" spans="4:13">
      <c r="D907" s="1" t="s">
        <v>191</v>
      </c>
      <c r="E907" s="1" t="s">
        <v>62</v>
      </c>
      <c r="H907" s="1" t="s">
        <v>63</v>
      </c>
      <c r="I907" s="1" t="s">
        <v>23</v>
      </c>
      <c r="M907" s="1">
        <v>1</v>
      </c>
    </row>
    <row r="908" spans="4:13">
      <c r="D908" s="1" t="s">
        <v>191</v>
      </c>
      <c r="E908" s="1" t="s">
        <v>64</v>
      </c>
      <c r="F908" s="1" t="s">
        <v>35</v>
      </c>
      <c r="G908" s="1" t="s">
        <v>36</v>
      </c>
      <c r="H908" s="1" t="s">
        <v>22</v>
      </c>
      <c r="I908" s="1" t="s">
        <v>65</v>
      </c>
      <c r="J908" s="1">
        <v>-459.67</v>
      </c>
      <c r="L908" s="1">
        <v>80.329999999999984</v>
      </c>
    </row>
    <row r="909" spans="4:13">
      <c r="D909" s="1" t="s">
        <v>191</v>
      </c>
      <c r="E909" s="1" t="s">
        <v>66</v>
      </c>
      <c r="F909" s="1" t="s">
        <v>35</v>
      </c>
      <c r="G909" s="1" t="s">
        <v>36</v>
      </c>
      <c r="H909" s="1" t="s">
        <v>22</v>
      </c>
      <c r="I909" s="1" t="s">
        <v>65</v>
      </c>
      <c r="J909" s="1">
        <v>-459.67</v>
      </c>
      <c r="L909" s="1">
        <v>80.329999999999984</v>
      </c>
    </row>
    <row r="910" spans="4:13">
      <c r="D910" s="1" t="s">
        <v>191</v>
      </c>
      <c r="E910" s="1" t="s">
        <v>67</v>
      </c>
      <c r="F910" s="1" t="s">
        <v>41</v>
      </c>
      <c r="G910" s="1" t="s">
        <v>42</v>
      </c>
      <c r="H910" s="1" t="s">
        <v>22</v>
      </c>
      <c r="I910" s="1" t="s">
        <v>65</v>
      </c>
      <c r="L910" s="1">
        <v>1.8</v>
      </c>
    </row>
    <row r="911" spans="4:13">
      <c r="D911" s="1" t="s">
        <v>191</v>
      </c>
      <c r="E911" s="1" t="s">
        <v>68</v>
      </c>
      <c r="F911" s="1" t="s">
        <v>45</v>
      </c>
      <c r="G911" s="1" t="s">
        <v>46</v>
      </c>
      <c r="H911" s="1" t="s">
        <v>22</v>
      </c>
      <c r="I911" s="1" t="s">
        <v>65</v>
      </c>
      <c r="L911" s="1">
        <v>4.2992261378713571E-4</v>
      </c>
    </row>
    <row r="912" spans="4:13">
      <c r="D912" s="1" t="s">
        <v>191</v>
      </c>
      <c r="E912" s="1" t="s">
        <v>69</v>
      </c>
      <c r="H912" s="1" t="s">
        <v>25</v>
      </c>
      <c r="I912" s="1" t="s">
        <v>70</v>
      </c>
    </row>
    <row r="913" spans="1:13">
      <c r="D913" s="1" t="s">
        <v>191</v>
      </c>
      <c r="E913" s="1" t="s">
        <v>71</v>
      </c>
      <c r="F913" s="1" t="s">
        <v>52</v>
      </c>
      <c r="G913" s="1" t="s">
        <v>53</v>
      </c>
      <c r="H913" s="1" t="s">
        <v>22</v>
      </c>
      <c r="I913" s="1" t="s">
        <v>65</v>
      </c>
      <c r="L913" s="1">
        <v>7936.6414386555998</v>
      </c>
    </row>
    <row r="914" spans="1:13">
      <c r="D914" s="1" t="s">
        <v>191</v>
      </c>
      <c r="E914" s="1" t="s">
        <v>72</v>
      </c>
      <c r="F914" s="1" t="s">
        <v>56</v>
      </c>
      <c r="G914" s="1" t="s">
        <v>57</v>
      </c>
      <c r="H914" s="1" t="s">
        <v>22</v>
      </c>
      <c r="I914" s="1" t="s">
        <v>65</v>
      </c>
      <c r="J914" s="1">
        <v>0</v>
      </c>
      <c r="L914" s="1">
        <v>14.503773773020921</v>
      </c>
    </row>
    <row r="915" spans="1:13">
      <c r="D915" s="1" t="s">
        <v>191</v>
      </c>
      <c r="E915" s="1" t="s">
        <v>73</v>
      </c>
      <c r="F915" s="1" t="s">
        <v>60</v>
      </c>
      <c r="G915" s="1" t="s">
        <v>61</v>
      </c>
      <c r="H915" s="1" t="s">
        <v>22</v>
      </c>
      <c r="I915" s="1" t="s">
        <v>65</v>
      </c>
      <c r="L915" s="1">
        <v>2.38845896627E-4</v>
      </c>
    </row>
    <row r="916" spans="1:13">
      <c r="D916" s="1" t="s">
        <v>191</v>
      </c>
      <c r="E916" s="1" t="s">
        <v>74</v>
      </c>
      <c r="F916" s="1" t="s">
        <v>75</v>
      </c>
      <c r="G916" s="1" t="s">
        <v>76</v>
      </c>
      <c r="H916" s="1" t="s">
        <v>22</v>
      </c>
      <c r="I916" s="1" t="s">
        <v>65</v>
      </c>
      <c r="J916" s="1">
        <v>0</v>
      </c>
      <c r="L916" s="1">
        <v>16.018463521800001</v>
      </c>
    </row>
    <row r="917" spans="1:13">
      <c r="D917" s="1" t="s">
        <v>191</v>
      </c>
      <c r="E917" s="1" t="s">
        <v>77</v>
      </c>
      <c r="H917" s="1" t="s">
        <v>22</v>
      </c>
      <c r="I917" s="1" t="s">
        <v>65</v>
      </c>
      <c r="L917" s="1">
        <v>1</v>
      </c>
    </row>
    <row r="918" spans="1:13">
      <c r="D918" s="1" t="s">
        <v>191</v>
      </c>
      <c r="E918" s="1" t="s">
        <v>78</v>
      </c>
      <c r="H918" s="1" t="s">
        <v>25</v>
      </c>
      <c r="I918" s="1" t="s">
        <v>23</v>
      </c>
      <c r="M918" s="1" t="b">
        <v>0</v>
      </c>
    </row>
    <row r="919" spans="1:13">
      <c r="D919" s="1" t="s">
        <v>191</v>
      </c>
      <c r="E919" s="1" t="s">
        <v>79</v>
      </c>
      <c r="F919" s="1" t="s">
        <v>75</v>
      </c>
      <c r="G919" s="1" t="s">
        <v>76</v>
      </c>
      <c r="H919" s="1" t="s">
        <v>22</v>
      </c>
      <c r="I919" s="1" t="s">
        <v>23</v>
      </c>
      <c r="J919" s="1">
        <v>0</v>
      </c>
      <c r="K919" s="1">
        <v>96.110781130800007</v>
      </c>
      <c r="L919" s="1">
        <v>16.018463521800001</v>
      </c>
      <c r="M919" s="1">
        <v>1.6018463521800002</v>
      </c>
    </row>
    <row r="920" spans="1:13">
      <c r="D920" s="1" t="s">
        <v>191</v>
      </c>
      <c r="E920" s="1" t="s">
        <v>80</v>
      </c>
      <c r="H920" s="1" t="s">
        <v>25</v>
      </c>
      <c r="I920" s="1" t="s">
        <v>23</v>
      </c>
      <c r="M920" s="1" t="b">
        <v>0</v>
      </c>
    </row>
    <row r="921" spans="1:13">
      <c r="D921" s="1" t="s">
        <v>191</v>
      </c>
      <c r="E921" s="1" t="s">
        <v>81</v>
      </c>
      <c r="H921" s="1" t="s">
        <v>25</v>
      </c>
      <c r="I921" s="1" t="s">
        <v>23</v>
      </c>
      <c r="M921" s="1" t="b">
        <v>0</v>
      </c>
    </row>
    <row r="922" spans="1:13">
      <c r="D922" s="1" t="s">
        <v>191</v>
      </c>
      <c r="E922" s="1" t="s">
        <v>82</v>
      </c>
      <c r="H922" s="1" t="s">
        <v>22</v>
      </c>
      <c r="I922" s="1" t="s">
        <v>23</v>
      </c>
      <c r="J922" s="1">
        <v>-1</v>
      </c>
      <c r="K922" s="1">
        <v>3</v>
      </c>
      <c r="L922" s="1">
        <v>1</v>
      </c>
      <c r="M922" s="1">
        <v>1.01</v>
      </c>
    </row>
    <row r="923" spans="1:13">
      <c r="D923" s="1" t="s">
        <v>192</v>
      </c>
      <c r="E923" s="1" t="s">
        <v>171</v>
      </c>
      <c r="H923" s="1" t="s">
        <v>22</v>
      </c>
      <c r="I923" s="1" t="s">
        <v>23</v>
      </c>
      <c r="L923" s="1">
        <v>1</v>
      </c>
      <c r="M923" s="1">
        <v>3.0558000000000001</v>
      </c>
    </row>
    <row r="924" spans="1:13">
      <c r="D924" s="1" t="s">
        <v>192</v>
      </c>
      <c r="E924" s="1" t="s">
        <v>172</v>
      </c>
      <c r="H924" s="1" t="s">
        <v>22</v>
      </c>
      <c r="I924" s="1" t="s">
        <v>29</v>
      </c>
      <c r="J924" s="1">
        <v>0</v>
      </c>
      <c r="K924" s="1">
        <v>10000</v>
      </c>
      <c r="L924" s="1">
        <v>5000</v>
      </c>
    </row>
    <row r="925" spans="1:13">
      <c r="D925" s="1" t="s">
        <v>192</v>
      </c>
      <c r="E925" s="1" t="s">
        <v>173</v>
      </c>
      <c r="H925" s="1" t="s">
        <v>22</v>
      </c>
      <c r="I925" s="1" t="s">
        <v>29</v>
      </c>
      <c r="J925" s="1">
        <v>9.9999999999999995E-7</v>
      </c>
      <c r="K925" s="1">
        <v>0.01</v>
      </c>
      <c r="L925" s="1">
        <v>5.0004999999999997E-3</v>
      </c>
    </row>
    <row r="926" spans="1:13">
      <c r="D926" s="1" t="s">
        <v>192</v>
      </c>
      <c r="E926" s="1" t="s">
        <v>174</v>
      </c>
      <c r="H926" s="1" t="s">
        <v>25</v>
      </c>
      <c r="I926" s="1" t="s">
        <v>23</v>
      </c>
      <c r="M926" s="1" t="b">
        <v>1</v>
      </c>
    </row>
    <row r="927" spans="1:13">
      <c r="A927" s="2" t="s">
        <v>1721</v>
      </c>
      <c r="B927" s="3" t="s">
        <v>1725</v>
      </c>
      <c r="D927" s="1" t="s">
        <v>192</v>
      </c>
      <c r="E927" s="1" t="s">
        <v>175</v>
      </c>
      <c r="F927" s="1" t="s">
        <v>176</v>
      </c>
      <c r="G927" s="1" t="s">
        <v>177</v>
      </c>
      <c r="H927" s="1" t="s">
        <v>22</v>
      </c>
      <c r="I927" s="1" t="s">
        <v>23</v>
      </c>
      <c r="L927" s="1">
        <v>39.370078740157467</v>
      </c>
      <c r="M927" s="1">
        <v>2.4349999999999992</v>
      </c>
    </row>
    <row r="928" spans="1:13">
      <c r="D928" s="1" t="s">
        <v>192</v>
      </c>
      <c r="E928" s="1" t="s">
        <v>178</v>
      </c>
      <c r="H928" s="1" t="s">
        <v>25</v>
      </c>
      <c r="I928" s="1" t="s">
        <v>23</v>
      </c>
      <c r="M928" s="1" t="b">
        <v>0</v>
      </c>
    </row>
    <row r="929" spans="1:13">
      <c r="D929" s="1" t="s">
        <v>192</v>
      </c>
      <c r="E929" s="1" t="s">
        <v>111</v>
      </c>
      <c r="F929" s="1" t="s">
        <v>56</v>
      </c>
      <c r="G929" s="1" t="s">
        <v>57</v>
      </c>
      <c r="H929" s="1" t="s">
        <v>22</v>
      </c>
      <c r="I929" s="1" t="s">
        <v>23</v>
      </c>
      <c r="L929" s="1">
        <v>1.4503773773020921E-4</v>
      </c>
      <c r="M929" s="1">
        <v>7.2518868865104604E-3</v>
      </c>
    </row>
    <row r="930" spans="1:13">
      <c r="D930" s="1" t="s">
        <v>192</v>
      </c>
      <c r="E930" s="1" t="s">
        <v>179</v>
      </c>
      <c r="H930" s="1" t="s">
        <v>22</v>
      </c>
      <c r="I930" s="1" t="s">
        <v>23</v>
      </c>
      <c r="L930" s="1">
        <v>1</v>
      </c>
      <c r="M930" s="1">
        <v>10000</v>
      </c>
    </row>
    <row r="931" spans="1:13">
      <c r="D931" s="1" t="s">
        <v>192</v>
      </c>
      <c r="E931" s="1" t="s">
        <v>180</v>
      </c>
      <c r="H931" s="1" t="s">
        <v>181</v>
      </c>
      <c r="I931" s="1" t="s">
        <v>23</v>
      </c>
      <c r="J931" s="1">
        <v>1</v>
      </c>
      <c r="K931" s="1">
        <v>3</v>
      </c>
      <c r="M931" s="1" t="s">
        <v>182</v>
      </c>
    </row>
    <row r="932" spans="1:13">
      <c r="D932" s="1" t="s">
        <v>192</v>
      </c>
      <c r="E932" s="1" t="s">
        <v>47</v>
      </c>
      <c r="H932" s="1" t="s">
        <v>25</v>
      </c>
      <c r="I932" s="1" t="s">
        <v>23</v>
      </c>
      <c r="M932" s="1" t="b">
        <v>0</v>
      </c>
    </row>
    <row r="933" spans="1:13">
      <c r="D933" s="1" t="s">
        <v>192</v>
      </c>
      <c r="E933" s="1" t="s">
        <v>183</v>
      </c>
      <c r="H933" s="1" t="s">
        <v>25</v>
      </c>
      <c r="I933" s="1" t="s">
        <v>23</v>
      </c>
      <c r="M933" s="1" t="b">
        <v>1</v>
      </c>
    </row>
    <row r="934" spans="1:13">
      <c r="D934" s="1" t="s">
        <v>192</v>
      </c>
      <c r="E934" s="1" t="s">
        <v>189</v>
      </c>
      <c r="H934" s="1" t="s">
        <v>22</v>
      </c>
      <c r="I934" s="1" t="s">
        <v>23</v>
      </c>
      <c r="L934" s="1">
        <v>1</v>
      </c>
      <c r="M934" s="1">
        <v>3.2400000000000001E-4</v>
      </c>
    </row>
    <row r="935" spans="1:13">
      <c r="D935" s="1" t="s">
        <v>192</v>
      </c>
      <c r="E935" s="1" t="s">
        <v>112</v>
      </c>
      <c r="F935" s="1" t="s">
        <v>56</v>
      </c>
      <c r="G935" s="1" t="s">
        <v>57</v>
      </c>
      <c r="H935" s="1" t="s">
        <v>22</v>
      </c>
      <c r="I935" s="1" t="s">
        <v>29</v>
      </c>
      <c r="J935" s="1">
        <v>4.9312830828271128</v>
      </c>
      <c r="K935" s="1">
        <v>623.66227223989961</v>
      </c>
      <c r="L935" s="1">
        <v>50.713895374744951</v>
      </c>
    </row>
    <row r="936" spans="1:13">
      <c r="D936" s="1" t="s">
        <v>192</v>
      </c>
      <c r="E936" s="1" t="s">
        <v>62</v>
      </c>
      <c r="H936" s="1" t="s">
        <v>63</v>
      </c>
      <c r="I936" s="1" t="s">
        <v>23</v>
      </c>
      <c r="M936" s="1">
        <v>1</v>
      </c>
    </row>
    <row r="937" spans="1:13">
      <c r="D937" s="1" t="s">
        <v>192</v>
      </c>
      <c r="E937" s="1" t="s">
        <v>184</v>
      </c>
      <c r="H937" s="1" t="s">
        <v>22</v>
      </c>
      <c r="I937" s="1" t="s">
        <v>120</v>
      </c>
      <c r="L937" s="1">
        <v>1</v>
      </c>
    </row>
    <row r="938" spans="1:13">
      <c r="D938" s="1" t="s">
        <v>192</v>
      </c>
      <c r="E938" s="1" t="s">
        <v>185</v>
      </c>
      <c r="F938" s="1" t="s">
        <v>176</v>
      </c>
      <c r="G938" s="1" t="s">
        <v>177</v>
      </c>
      <c r="H938" s="1" t="s">
        <v>22</v>
      </c>
      <c r="I938" s="1" t="s">
        <v>65</v>
      </c>
      <c r="L938" s="1">
        <v>39.370078740157467</v>
      </c>
    </row>
    <row r="939" spans="1:13">
      <c r="A939" s="2" t="s">
        <v>1758</v>
      </c>
      <c r="B939" s="3" t="s">
        <v>1786</v>
      </c>
      <c r="D939" s="1" t="s">
        <v>192</v>
      </c>
      <c r="E939" s="1" t="s">
        <v>115</v>
      </c>
      <c r="F939" s="1" t="s">
        <v>56</v>
      </c>
      <c r="G939" s="1" t="s">
        <v>57</v>
      </c>
      <c r="H939" s="1" t="s">
        <v>22</v>
      </c>
      <c r="I939" s="1" t="s">
        <v>65</v>
      </c>
      <c r="L939" s="1">
        <v>1.4503773773020921E-4</v>
      </c>
    </row>
    <row r="940" spans="1:13">
      <c r="D940" s="1" t="s">
        <v>192</v>
      </c>
      <c r="E940" s="1" t="s">
        <v>69</v>
      </c>
      <c r="H940" s="1" t="s">
        <v>25</v>
      </c>
      <c r="I940" s="1" t="s">
        <v>70</v>
      </c>
    </row>
    <row r="941" spans="1:13">
      <c r="D941" s="1" t="s">
        <v>192</v>
      </c>
      <c r="E941" s="1" t="s">
        <v>186</v>
      </c>
      <c r="H941" s="1" t="s">
        <v>22</v>
      </c>
      <c r="I941" s="1" t="s">
        <v>65</v>
      </c>
      <c r="L941" s="1">
        <v>1</v>
      </c>
    </row>
    <row r="942" spans="1:13">
      <c r="D942" s="1" t="s">
        <v>192</v>
      </c>
      <c r="E942" s="1" t="s">
        <v>71</v>
      </c>
      <c r="F942" s="1" t="s">
        <v>52</v>
      </c>
      <c r="G942" s="1" t="s">
        <v>53</v>
      </c>
      <c r="H942" s="1" t="s">
        <v>22</v>
      </c>
      <c r="I942" s="1" t="s">
        <v>65</v>
      </c>
      <c r="L942" s="1">
        <v>7936.6414386555998</v>
      </c>
    </row>
    <row r="943" spans="1:13">
      <c r="D943" s="1" t="s">
        <v>192</v>
      </c>
      <c r="E943" s="1" t="s">
        <v>117</v>
      </c>
      <c r="F943" s="1" t="s">
        <v>118</v>
      </c>
      <c r="G943" s="1" t="s">
        <v>119</v>
      </c>
      <c r="H943" s="1" t="s">
        <v>22</v>
      </c>
      <c r="I943" s="1" t="s">
        <v>120</v>
      </c>
      <c r="J943" s="1">
        <v>0</v>
      </c>
      <c r="L943" s="1">
        <v>2.20462262185</v>
      </c>
    </row>
    <row r="944" spans="1:13">
      <c r="D944" s="1" t="s">
        <v>192</v>
      </c>
      <c r="E944" s="1" t="s">
        <v>123</v>
      </c>
      <c r="F944" s="1" t="s">
        <v>124</v>
      </c>
      <c r="G944" s="1" t="s">
        <v>125</v>
      </c>
      <c r="H944" s="1" t="s">
        <v>22</v>
      </c>
      <c r="I944" s="1" t="s">
        <v>120</v>
      </c>
      <c r="L944" s="1">
        <v>35.314666699999997</v>
      </c>
    </row>
    <row r="945" spans="4:13">
      <c r="D945" s="1" t="s">
        <v>192</v>
      </c>
      <c r="E945" s="1" t="s">
        <v>126</v>
      </c>
      <c r="H945" s="1" t="s">
        <v>22</v>
      </c>
      <c r="I945" s="1" t="s">
        <v>65</v>
      </c>
      <c r="L945" s="1">
        <v>1</v>
      </c>
    </row>
    <row r="946" spans="4:13">
      <c r="D946" s="1" t="s">
        <v>193</v>
      </c>
      <c r="E946" s="1" t="s">
        <v>28</v>
      </c>
      <c r="H946" s="1" t="s">
        <v>22</v>
      </c>
      <c r="I946" s="1" t="s">
        <v>29</v>
      </c>
      <c r="J946" s="1">
        <v>34000</v>
      </c>
      <c r="K946" s="1">
        <v>4300000</v>
      </c>
      <c r="L946" s="1">
        <v>349660</v>
      </c>
    </row>
    <row r="947" spans="4:13">
      <c r="D947" s="1" t="s">
        <v>193</v>
      </c>
      <c r="E947" s="1" t="s">
        <v>30</v>
      </c>
      <c r="H947" s="1" t="s">
        <v>22</v>
      </c>
      <c r="I947" s="1" t="s">
        <v>29</v>
      </c>
      <c r="J947" s="1">
        <v>-3.94</v>
      </c>
      <c r="K947" s="1">
        <v>3.66</v>
      </c>
      <c r="L947" s="1">
        <v>1</v>
      </c>
    </row>
    <row r="948" spans="4:13">
      <c r="D948" s="1" t="s">
        <v>193</v>
      </c>
      <c r="E948" s="1" t="s">
        <v>31</v>
      </c>
      <c r="H948" s="1" t="s">
        <v>22</v>
      </c>
      <c r="I948" s="1" t="s">
        <v>29</v>
      </c>
      <c r="J948" s="1">
        <v>0</v>
      </c>
      <c r="K948" s="1">
        <v>100</v>
      </c>
      <c r="L948" s="1">
        <v>1</v>
      </c>
    </row>
    <row r="949" spans="4:13">
      <c r="D949" s="1" t="s">
        <v>193</v>
      </c>
      <c r="E949" s="1" t="s">
        <v>32</v>
      </c>
      <c r="H949" s="1" t="s">
        <v>22</v>
      </c>
      <c r="I949" s="1" t="s">
        <v>29</v>
      </c>
      <c r="J949" s="1">
        <v>-3.94</v>
      </c>
      <c r="K949" s="1">
        <v>3.66</v>
      </c>
      <c r="L949" s="1">
        <v>1</v>
      </c>
    </row>
    <row r="950" spans="4:13">
      <c r="D950" s="1" t="s">
        <v>193</v>
      </c>
      <c r="E950" s="1" t="s">
        <v>33</v>
      </c>
      <c r="H950" s="1" t="s">
        <v>25</v>
      </c>
      <c r="I950" s="1" t="s">
        <v>23</v>
      </c>
      <c r="M950" s="1" t="b">
        <v>0</v>
      </c>
    </row>
    <row r="951" spans="4:13">
      <c r="D951" s="1" t="s">
        <v>193</v>
      </c>
      <c r="E951" s="1" t="s">
        <v>34</v>
      </c>
      <c r="F951" s="1" t="s">
        <v>35</v>
      </c>
      <c r="G951" s="1" t="s">
        <v>36</v>
      </c>
      <c r="H951" s="1" t="s">
        <v>22</v>
      </c>
      <c r="I951" s="1" t="s">
        <v>23</v>
      </c>
      <c r="J951" s="1">
        <v>-459.67</v>
      </c>
      <c r="K951" s="1">
        <v>980.32999999999993</v>
      </c>
      <c r="L951" s="1">
        <v>80.329999999999984</v>
      </c>
      <c r="M951" s="1">
        <v>67.999999999999943</v>
      </c>
    </row>
    <row r="952" spans="4:13">
      <c r="D952" s="1" t="s">
        <v>193</v>
      </c>
      <c r="E952" s="1" t="s">
        <v>37</v>
      </c>
      <c r="H952" s="1" t="s">
        <v>25</v>
      </c>
      <c r="I952" s="1" t="s">
        <v>23</v>
      </c>
      <c r="M952" s="1" t="b">
        <v>0</v>
      </c>
    </row>
    <row r="953" spans="4:13">
      <c r="D953" s="1" t="s">
        <v>193</v>
      </c>
      <c r="E953" s="1" t="s">
        <v>38</v>
      </c>
      <c r="F953" s="1" t="s">
        <v>35</v>
      </c>
      <c r="G953" s="1" t="s">
        <v>36</v>
      </c>
      <c r="H953" s="1" t="s">
        <v>22</v>
      </c>
      <c r="I953" s="1" t="s">
        <v>23</v>
      </c>
      <c r="J953" s="1">
        <v>-99.670000000000016</v>
      </c>
      <c r="K953" s="1">
        <v>980.32999999999993</v>
      </c>
      <c r="L953" s="1">
        <v>80.329999999999984</v>
      </c>
      <c r="M953" s="1">
        <v>13.999999999999943</v>
      </c>
    </row>
    <row r="954" spans="4:13">
      <c r="D954" s="1" t="s">
        <v>193</v>
      </c>
      <c r="E954" s="1" t="s">
        <v>39</v>
      </c>
      <c r="H954" s="1" t="s">
        <v>25</v>
      </c>
      <c r="I954" s="1" t="s">
        <v>23</v>
      </c>
      <c r="M954" s="1" t="b">
        <v>0</v>
      </c>
    </row>
    <row r="955" spans="4:13">
      <c r="D955" s="1" t="s">
        <v>193</v>
      </c>
      <c r="E955" s="1" t="s">
        <v>40</v>
      </c>
      <c r="F955" s="1" t="s">
        <v>41</v>
      </c>
      <c r="G955" s="1" t="s">
        <v>42</v>
      </c>
      <c r="H955" s="1" t="s">
        <v>22</v>
      </c>
      <c r="I955" s="1" t="s">
        <v>23</v>
      </c>
      <c r="J955" s="1">
        <v>-900</v>
      </c>
      <c r="K955" s="1">
        <v>900</v>
      </c>
      <c r="L955" s="1">
        <v>1.8</v>
      </c>
      <c r="M955" s="1">
        <v>9</v>
      </c>
    </row>
    <row r="956" spans="4:13">
      <c r="D956" s="1" t="s">
        <v>193</v>
      </c>
      <c r="E956" s="1" t="s">
        <v>43</v>
      </c>
      <c r="H956" s="1" t="s">
        <v>25</v>
      </c>
      <c r="I956" s="1" t="s">
        <v>23</v>
      </c>
      <c r="M956" s="1" t="b">
        <v>0</v>
      </c>
    </row>
    <row r="957" spans="4:13">
      <c r="D957" s="1" t="s">
        <v>193</v>
      </c>
      <c r="E957" s="1" t="s">
        <v>44</v>
      </c>
      <c r="F957" s="1" t="s">
        <v>45</v>
      </c>
      <c r="G957" s="1" t="s">
        <v>46</v>
      </c>
      <c r="H957" s="1" t="s">
        <v>22</v>
      </c>
      <c r="I957" s="1" t="s">
        <v>23</v>
      </c>
      <c r="J957" s="1">
        <v>-85.984522757427143</v>
      </c>
      <c r="K957" s="1">
        <v>8598.4522757427148</v>
      </c>
      <c r="L957" s="1">
        <v>114.79148749423418</v>
      </c>
      <c r="M957" s="1">
        <v>128.97678413614071</v>
      </c>
    </row>
    <row r="958" spans="4:13">
      <c r="D958" s="1" t="s">
        <v>193</v>
      </c>
      <c r="E958" s="1" t="s">
        <v>47</v>
      </c>
      <c r="H958" s="1" t="s">
        <v>25</v>
      </c>
      <c r="I958" s="1" t="s">
        <v>23</v>
      </c>
      <c r="M958" s="1" t="b">
        <v>0</v>
      </c>
    </row>
    <row r="959" spans="4:13">
      <c r="D959" s="1" t="s">
        <v>193</v>
      </c>
      <c r="E959" s="1" t="s">
        <v>48</v>
      </c>
      <c r="H959" s="1" t="s">
        <v>25</v>
      </c>
      <c r="I959" s="1" t="s">
        <v>23</v>
      </c>
      <c r="M959" s="1" t="b">
        <v>0</v>
      </c>
    </row>
    <row r="960" spans="4:13">
      <c r="D960" s="1" t="s">
        <v>193</v>
      </c>
      <c r="E960" s="1" t="s">
        <v>49</v>
      </c>
      <c r="H960" s="1" t="s">
        <v>25</v>
      </c>
      <c r="I960" s="1" t="s">
        <v>23</v>
      </c>
      <c r="M960" s="1" t="b">
        <v>0</v>
      </c>
    </row>
    <row r="961" spans="4:13">
      <c r="D961" s="1" t="s">
        <v>193</v>
      </c>
      <c r="E961" s="1" t="s">
        <v>50</v>
      </c>
      <c r="H961" s="1" t="s">
        <v>25</v>
      </c>
      <c r="I961" s="1" t="s">
        <v>23</v>
      </c>
      <c r="M961" s="1" t="b">
        <v>0</v>
      </c>
    </row>
    <row r="962" spans="4:13">
      <c r="D962" s="1" t="s">
        <v>193</v>
      </c>
      <c r="E962" s="1" t="s">
        <v>51</v>
      </c>
      <c r="F962" s="1" t="s">
        <v>52</v>
      </c>
      <c r="G962" s="1" t="s">
        <v>53</v>
      </c>
      <c r="H962" s="1" t="s">
        <v>22</v>
      </c>
      <c r="I962" s="1" t="s">
        <v>23</v>
      </c>
      <c r="J962" s="1">
        <v>0</v>
      </c>
      <c r="K962" s="1">
        <v>7936641438.6555996</v>
      </c>
      <c r="L962" s="1">
        <v>7936.6414386555998</v>
      </c>
      <c r="M962" s="1">
        <v>7936.6414386555998</v>
      </c>
    </row>
    <row r="963" spans="4:13">
      <c r="D963" s="1" t="s">
        <v>193</v>
      </c>
      <c r="E963" s="1" t="s">
        <v>54</v>
      </c>
      <c r="H963" s="1" t="s">
        <v>25</v>
      </c>
      <c r="I963" s="1" t="s">
        <v>23</v>
      </c>
      <c r="M963" s="1" t="b">
        <v>0</v>
      </c>
    </row>
    <row r="964" spans="4:13">
      <c r="D964" s="1" t="s">
        <v>193</v>
      </c>
      <c r="E964" s="1" t="s">
        <v>55</v>
      </c>
      <c r="F964" s="1" t="s">
        <v>56</v>
      </c>
      <c r="G964" s="1" t="s">
        <v>57</v>
      </c>
      <c r="H964" s="1" t="s">
        <v>22</v>
      </c>
      <c r="I964" s="1" t="s">
        <v>23</v>
      </c>
      <c r="J964" s="1">
        <v>0</v>
      </c>
      <c r="K964" s="1">
        <v>9427.4529524635982</v>
      </c>
      <c r="L964" s="1">
        <v>50.713895374744951</v>
      </c>
      <c r="M964" s="1">
        <v>50.763208205573221</v>
      </c>
    </row>
    <row r="965" spans="4:13">
      <c r="D965" s="1" t="s">
        <v>193</v>
      </c>
      <c r="E965" s="1" t="s">
        <v>58</v>
      </c>
      <c r="H965" s="1" t="s">
        <v>25</v>
      </c>
      <c r="I965" s="1" t="s">
        <v>23</v>
      </c>
      <c r="M965" s="1" t="b">
        <v>0</v>
      </c>
    </row>
    <row r="966" spans="4:13">
      <c r="D966" s="1" t="s">
        <v>193</v>
      </c>
      <c r="E966" s="1" t="s">
        <v>59</v>
      </c>
      <c r="F966" s="1" t="s">
        <v>60</v>
      </c>
      <c r="G966" s="1" t="s">
        <v>61</v>
      </c>
      <c r="H966" s="1" t="s">
        <v>22</v>
      </c>
      <c r="I966" s="1" t="s">
        <v>23</v>
      </c>
      <c r="J966" s="1">
        <v>-9.5538358650799999</v>
      </c>
      <c r="K966" s="1">
        <v>9.5538358650799999</v>
      </c>
      <c r="L966" s="1">
        <v>0.23884589662700001</v>
      </c>
      <c r="M966" s="1">
        <v>0.23884589662700001</v>
      </c>
    </row>
    <row r="967" spans="4:13">
      <c r="D967" s="1" t="s">
        <v>193</v>
      </c>
      <c r="E967" s="1" t="s">
        <v>62</v>
      </c>
      <c r="H967" s="1" t="s">
        <v>63</v>
      </c>
      <c r="I967" s="1" t="s">
        <v>23</v>
      </c>
      <c r="M967" s="1">
        <v>1</v>
      </c>
    </row>
    <row r="968" spans="4:13">
      <c r="D968" s="1" t="s">
        <v>193</v>
      </c>
      <c r="E968" s="1" t="s">
        <v>64</v>
      </c>
      <c r="F968" s="1" t="s">
        <v>35</v>
      </c>
      <c r="G968" s="1" t="s">
        <v>36</v>
      </c>
      <c r="H968" s="1" t="s">
        <v>22</v>
      </c>
      <c r="I968" s="1" t="s">
        <v>65</v>
      </c>
      <c r="J968" s="1">
        <v>-459.67</v>
      </c>
      <c r="L968" s="1">
        <v>80.329999999999984</v>
      </c>
    </row>
    <row r="969" spans="4:13">
      <c r="D969" s="1" t="s">
        <v>193</v>
      </c>
      <c r="E969" s="1" t="s">
        <v>66</v>
      </c>
      <c r="F969" s="1" t="s">
        <v>35</v>
      </c>
      <c r="G969" s="1" t="s">
        <v>36</v>
      </c>
      <c r="H969" s="1" t="s">
        <v>22</v>
      </c>
      <c r="I969" s="1" t="s">
        <v>65</v>
      </c>
      <c r="J969" s="1">
        <v>-459.67</v>
      </c>
      <c r="L969" s="1">
        <v>80.329999999999984</v>
      </c>
    </row>
    <row r="970" spans="4:13">
      <c r="D970" s="1" t="s">
        <v>193</v>
      </c>
      <c r="E970" s="1" t="s">
        <v>67</v>
      </c>
      <c r="F970" s="1" t="s">
        <v>41</v>
      </c>
      <c r="G970" s="1" t="s">
        <v>42</v>
      </c>
      <c r="H970" s="1" t="s">
        <v>22</v>
      </c>
      <c r="I970" s="1" t="s">
        <v>65</v>
      </c>
      <c r="L970" s="1">
        <v>1.8</v>
      </c>
    </row>
    <row r="971" spans="4:13">
      <c r="D971" s="1" t="s">
        <v>193</v>
      </c>
      <c r="E971" s="1" t="s">
        <v>68</v>
      </c>
      <c r="F971" s="1" t="s">
        <v>45</v>
      </c>
      <c r="G971" s="1" t="s">
        <v>46</v>
      </c>
      <c r="H971" s="1" t="s">
        <v>22</v>
      </c>
      <c r="I971" s="1" t="s">
        <v>65</v>
      </c>
      <c r="L971" s="1">
        <v>4.2992261378713571E-4</v>
      </c>
    </row>
    <row r="972" spans="4:13">
      <c r="D972" s="1" t="s">
        <v>193</v>
      </c>
      <c r="E972" s="1" t="s">
        <v>69</v>
      </c>
      <c r="H972" s="1" t="s">
        <v>25</v>
      </c>
      <c r="I972" s="1" t="s">
        <v>70</v>
      </c>
    </row>
    <row r="973" spans="4:13">
      <c r="D973" s="1" t="s">
        <v>193</v>
      </c>
      <c r="E973" s="1" t="s">
        <v>71</v>
      </c>
      <c r="F973" s="1" t="s">
        <v>52</v>
      </c>
      <c r="G973" s="1" t="s">
        <v>53</v>
      </c>
      <c r="H973" s="1" t="s">
        <v>22</v>
      </c>
      <c r="I973" s="1" t="s">
        <v>65</v>
      </c>
      <c r="L973" s="1">
        <v>7936.6414386555998</v>
      </c>
    </row>
    <row r="974" spans="4:13">
      <c r="D974" s="1" t="s">
        <v>193</v>
      </c>
      <c r="E974" s="1" t="s">
        <v>72</v>
      </c>
      <c r="F974" s="1" t="s">
        <v>56</v>
      </c>
      <c r="G974" s="1" t="s">
        <v>57</v>
      </c>
      <c r="H974" s="1" t="s">
        <v>22</v>
      </c>
      <c r="I974" s="1" t="s">
        <v>65</v>
      </c>
      <c r="J974" s="1">
        <v>0</v>
      </c>
      <c r="L974" s="1">
        <v>14.503773773020921</v>
      </c>
    </row>
    <row r="975" spans="4:13">
      <c r="D975" s="1" t="s">
        <v>193</v>
      </c>
      <c r="E975" s="1" t="s">
        <v>73</v>
      </c>
      <c r="F975" s="1" t="s">
        <v>60</v>
      </c>
      <c r="G975" s="1" t="s">
        <v>61</v>
      </c>
      <c r="H975" s="1" t="s">
        <v>22</v>
      </c>
      <c r="I975" s="1" t="s">
        <v>65</v>
      </c>
      <c r="L975" s="1">
        <v>2.38845896627E-4</v>
      </c>
    </row>
    <row r="976" spans="4:13">
      <c r="D976" s="1" t="s">
        <v>193</v>
      </c>
      <c r="E976" s="1" t="s">
        <v>74</v>
      </c>
      <c r="F976" s="1" t="s">
        <v>75</v>
      </c>
      <c r="G976" s="1" t="s">
        <v>76</v>
      </c>
      <c r="H976" s="1" t="s">
        <v>22</v>
      </c>
      <c r="I976" s="1" t="s">
        <v>65</v>
      </c>
      <c r="J976" s="1">
        <v>0</v>
      </c>
      <c r="L976" s="1">
        <v>16.018463521800001</v>
      </c>
    </row>
    <row r="977" spans="1:13">
      <c r="D977" s="1" t="s">
        <v>193</v>
      </c>
      <c r="E977" s="1" t="s">
        <v>77</v>
      </c>
      <c r="H977" s="1" t="s">
        <v>22</v>
      </c>
      <c r="I977" s="1" t="s">
        <v>65</v>
      </c>
      <c r="L977" s="1">
        <v>1</v>
      </c>
    </row>
    <row r="978" spans="1:13">
      <c r="D978" s="1" t="s">
        <v>193</v>
      </c>
      <c r="E978" s="1" t="s">
        <v>78</v>
      </c>
      <c r="H978" s="1" t="s">
        <v>25</v>
      </c>
      <c r="I978" s="1" t="s">
        <v>23</v>
      </c>
      <c r="M978" s="1" t="b">
        <v>0</v>
      </c>
    </row>
    <row r="979" spans="1:13">
      <c r="D979" s="1" t="s">
        <v>193</v>
      </c>
      <c r="E979" s="1" t="s">
        <v>79</v>
      </c>
      <c r="F979" s="1" t="s">
        <v>75</v>
      </c>
      <c r="G979" s="1" t="s">
        <v>76</v>
      </c>
      <c r="H979" s="1" t="s">
        <v>22</v>
      </c>
      <c r="I979" s="1" t="s">
        <v>23</v>
      </c>
      <c r="J979" s="1">
        <v>0</v>
      </c>
      <c r="K979" s="1">
        <v>96.110781130800007</v>
      </c>
      <c r="L979" s="1">
        <v>16.018463521800001</v>
      </c>
      <c r="M979" s="1">
        <v>1.6018463521800002</v>
      </c>
    </row>
    <row r="980" spans="1:13">
      <c r="D980" s="1" t="s">
        <v>193</v>
      </c>
      <c r="E980" s="1" t="s">
        <v>80</v>
      </c>
      <c r="H980" s="1" t="s">
        <v>25</v>
      </c>
      <c r="I980" s="1" t="s">
        <v>23</v>
      </c>
      <c r="M980" s="1" t="b">
        <v>0</v>
      </c>
    </row>
    <row r="981" spans="1:13">
      <c r="D981" s="1" t="s">
        <v>193</v>
      </c>
      <c r="E981" s="1" t="s">
        <v>81</v>
      </c>
      <c r="H981" s="1" t="s">
        <v>25</v>
      </c>
      <c r="I981" s="1" t="s">
        <v>23</v>
      </c>
      <c r="M981" s="1" t="b">
        <v>0</v>
      </c>
    </row>
    <row r="982" spans="1:13">
      <c r="D982" s="1" t="s">
        <v>193</v>
      </c>
      <c r="E982" s="1" t="s">
        <v>82</v>
      </c>
      <c r="H982" s="1" t="s">
        <v>22</v>
      </c>
      <c r="I982" s="1" t="s">
        <v>23</v>
      </c>
      <c r="J982" s="1">
        <v>-1</v>
      </c>
      <c r="K982" s="1">
        <v>3</v>
      </c>
      <c r="L982" s="1">
        <v>1</v>
      </c>
      <c r="M982" s="1">
        <v>1.01</v>
      </c>
    </row>
    <row r="983" spans="1:13">
      <c r="D983" s="1" t="s">
        <v>194</v>
      </c>
      <c r="E983" s="1" t="s">
        <v>171</v>
      </c>
      <c r="H983" s="1" t="s">
        <v>22</v>
      </c>
      <c r="I983" s="1" t="s">
        <v>23</v>
      </c>
      <c r="L983" s="1">
        <v>1</v>
      </c>
      <c r="M983" s="1">
        <v>3.0558000000000001</v>
      </c>
    </row>
    <row r="984" spans="1:13">
      <c r="D984" s="1" t="s">
        <v>194</v>
      </c>
      <c r="E984" s="1" t="s">
        <v>172</v>
      </c>
      <c r="H984" s="1" t="s">
        <v>22</v>
      </c>
      <c r="I984" s="1" t="s">
        <v>29</v>
      </c>
      <c r="J984" s="1">
        <v>0</v>
      </c>
      <c r="K984" s="1">
        <v>10000</v>
      </c>
      <c r="L984" s="1">
        <v>5000</v>
      </c>
    </row>
    <row r="985" spans="1:13">
      <c r="D985" s="1" t="s">
        <v>194</v>
      </c>
      <c r="E985" s="1" t="s">
        <v>173</v>
      </c>
      <c r="H985" s="1" t="s">
        <v>22</v>
      </c>
      <c r="I985" s="1" t="s">
        <v>29</v>
      </c>
      <c r="J985" s="1">
        <v>9.9999999999999995E-7</v>
      </c>
      <c r="K985" s="1">
        <v>0.01</v>
      </c>
      <c r="L985" s="1">
        <v>5.0004999999999997E-3</v>
      </c>
    </row>
    <row r="986" spans="1:13">
      <c r="D986" s="1" t="s">
        <v>194</v>
      </c>
      <c r="E986" s="1" t="s">
        <v>174</v>
      </c>
      <c r="H986" s="1" t="s">
        <v>25</v>
      </c>
      <c r="I986" s="1" t="s">
        <v>23</v>
      </c>
      <c r="M986" s="1" t="b">
        <v>1</v>
      </c>
    </row>
    <row r="987" spans="1:13">
      <c r="A987" s="2" t="s">
        <v>1721</v>
      </c>
      <c r="B987" s="3" t="s">
        <v>1726</v>
      </c>
      <c r="D987" s="1" t="s">
        <v>194</v>
      </c>
      <c r="E987" s="1" t="s">
        <v>175</v>
      </c>
      <c r="F987" s="1" t="s">
        <v>176</v>
      </c>
      <c r="G987" s="1" t="s">
        <v>177</v>
      </c>
      <c r="H987" s="1" t="s">
        <v>22</v>
      </c>
      <c r="I987" s="1" t="s">
        <v>23</v>
      </c>
      <c r="L987" s="1">
        <v>39.370078740157467</v>
      </c>
      <c r="M987" s="1">
        <v>7.9809999999999972</v>
      </c>
    </row>
    <row r="988" spans="1:13">
      <c r="D988" s="1" t="s">
        <v>194</v>
      </c>
      <c r="E988" s="1" t="s">
        <v>178</v>
      </c>
      <c r="H988" s="1" t="s">
        <v>25</v>
      </c>
      <c r="I988" s="1" t="s">
        <v>23</v>
      </c>
      <c r="M988" s="1" t="b">
        <v>0</v>
      </c>
    </row>
    <row r="989" spans="1:13">
      <c r="D989" s="1" t="s">
        <v>194</v>
      </c>
      <c r="E989" s="1" t="s">
        <v>111</v>
      </c>
      <c r="F989" s="1" t="s">
        <v>56</v>
      </c>
      <c r="G989" s="1" t="s">
        <v>57</v>
      </c>
      <c r="H989" s="1" t="s">
        <v>22</v>
      </c>
      <c r="I989" s="1" t="s">
        <v>23</v>
      </c>
      <c r="L989" s="1">
        <v>1.4503773773020921E-4</v>
      </c>
      <c r="M989" s="1">
        <v>7.2518868865104604E-3</v>
      </c>
    </row>
    <row r="990" spans="1:13">
      <c r="D990" s="1" t="s">
        <v>194</v>
      </c>
      <c r="E990" s="1" t="s">
        <v>179</v>
      </c>
      <c r="H990" s="1" t="s">
        <v>22</v>
      </c>
      <c r="I990" s="1" t="s">
        <v>23</v>
      </c>
      <c r="L990" s="1">
        <v>1</v>
      </c>
      <c r="M990" s="1">
        <v>10000</v>
      </c>
    </row>
    <row r="991" spans="1:13">
      <c r="D991" s="1" t="s">
        <v>194</v>
      </c>
      <c r="E991" s="1" t="s">
        <v>180</v>
      </c>
      <c r="H991" s="1" t="s">
        <v>181</v>
      </c>
      <c r="I991" s="1" t="s">
        <v>23</v>
      </c>
      <c r="J991" s="1">
        <v>1</v>
      </c>
      <c r="K991" s="1">
        <v>3</v>
      </c>
      <c r="M991" s="1" t="s">
        <v>182</v>
      </c>
    </row>
    <row r="992" spans="1:13">
      <c r="D992" s="1" t="s">
        <v>194</v>
      </c>
      <c r="E992" s="1" t="s">
        <v>47</v>
      </c>
      <c r="H992" s="1" t="s">
        <v>25</v>
      </c>
      <c r="I992" s="1" t="s">
        <v>23</v>
      </c>
      <c r="M992" s="1" t="b">
        <v>0</v>
      </c>
    </row>
    <row r="993" spans="1:13">
      <c r="D993" s="1" t="s">
        <v>194</v>
      </c>
      <c r="E993" s="1" t="s">
        <v>183</v>
      </c>
      <c r="H993" s="1" t="s">
        <v>25</v>
      </c>
      <c r="I993" s="1" t="s">
        <v>23</v>
      </c>
      <c r="M993" s="1" t="b">
        <v>1</v>
      </c>
    </row>
    <row r="994" spans="1:13">
      <c r="D994" s="1" t="s">
        <v>194</v>
      </c>
      <c r="E994" s="1" t="s">
        <v>189</v>
      </c>
      <c r="H994" s="1" t="s">
        <v>22</v>
      </c>
      <c r="I994" s="1" t="s">
        <v>23</v>
      </c>
      <c r="L994" s="1">
        <v>1</v>
      </c>
      <c r="M994" s="1">
        <v>3.5599999999999998E-4</v>
      </c>
    </row>
    <row r="995" spans="1:13">
      <c r="D995" s="1" t="s">
        <v>194</v>
      </c>
      <c r="E995" s="1" t="s">
        <v>112</v>
      </c>
      <c r="F995" s="1" t="s">
        <v>56</v>
      </c>
      <c r="G995" s="1" t="s">
        <v>57</v>
      </c>
      <c r="H995" s="1" t="s">
        <v>22</v>
      </c>
      <c r="I995" s="1" t="s">
        <v>29</v>
      </c>
      <c r="J995" s="1">
        <v>4.9312830828271128</v>
      </c>
      <c r="K995" s="1">
        <v>623.66227223989961</v>
      </c>
      <c r="L995" s="1">
        <v>50.713895374744951</v>
      </c>
    </row>
    <row r="996" spans="1:13">
      <c r="D996" s="1" t="s">
        <v>194</v>
      </c>
      <c r="E996" s="1" t="s">
        <v>62</v>
      </c>
      <c r="H996" s="1" t="s">
        <v>63</v>
      </c>
      <c r="I996" s="1" t="s">
        <v>23</v>
      </c>
      <c r="M996" s="1">
        <v>1</v>
      </c>
    </row>
    <row r="997" spans="1:13">
      <c r="D997" s="1" t="s">
        <v>194</v>
      </c>
      <c r="E997" s="1" t="s">
        <v>184</v>
      </c>
      <c r="H997" s="1" t="s">
        <v>22</v>
      </c>
      <c r="I997" s="1" t="s">
        <v>120</v>
      </c>
      <c r="L997" s="1">
        <v>1</v>
      </c>
    </row>
    <row r="998" spans="1:13">
      <c r="D998" s="1" t="s">
        <v>194</v>
      </c>
      <c r="E998" s="1" t="s">
        <v>185</v>
      </c>
      <c r="F998" s="1" t="s">
        <v>176</v>
      </c>
      <c r="G998" s="1" t="s">
        <v>177</v>
      </c>
      <c r="H998" s="1" t="s">
        <v>22</v>
      </c>
      <c r="I998" s="1" t="s">
        <v>65</v>
      </c>
      <c r="L998" s="1">
        <v>39.370078740157467</v>
      </c>
    </row>
    <row r="999" spans="1:13">
      <c r="A999" s="2" t="s">
        <v>1758</v>
      </c>
      <c r="B999" s="3" t="s">
        <v>1787</v>
      </c>
      <c r="D999" s="1" t="s">
        <v>194</v>
      </c>
      <c r="E999" s="1" t="s">
        <v>115</v>
      </c>
      <c r="F999" s="1" t="s">
        <v>56</v>
      </c>
      <c r="G999" s="1" t="s">
        <v>57</v>
      </c>
      <c r="H999" s="1" t="s">
        <v>22</v>
      </c>
      <c r="I999" s="1" t="s">
        <v>65</v>
      </c>
      <c r="L999" s="1">
        <v>1.4503773773020921E-4</v>
      </c>
    </row>
    <row r="1000" spans="1:13">
      <c r="D1000" s="1" t="s">
        <v>194</v>
      </c>
      <c r="E1000" s="1" t="s">
        <v>69</v>
      </c>
      <c r="H1000" s="1" t="s">
        <v>25</v>
      </c>
      <c r="I1000" s="1" t="s">
        <v>70</v>
      </c>
    </row>
    <row r="1001" spans="1:13">
      <c r="D1001" s="1" t="s">
        <v>194</v>
      </c>
      <c r="E1001" s="1" t="s">
        <v>186</v>
      </c>
      <c r="H1001" s="1" t="s">
        <v>22</v>
      </c>
      <c r="I1001" s="1" t="s">
        <v>65</v>
      </c>
      <c r="L1001" s="1">
        <v>1</v>
      </c>
    </row>
    <row r="1002" spans="1:13">
      <c r="D1002" s="1" t="s">
        <v>194</v>
      </c>
      <c r="E1002" s="1" t="s">
        <v>71</v>
      </c>
      <c r="F1002" s="1" t="s">
        <v>52</v>
      </c>
      <c r="G1002" s="1" t="s">
        <v>53</v>
      </c>
      <c r="H1002" s="1" t="s">
        <v>22</v>
      </c>
      <c r="I1002" s="1" t="s">
        <v>65</v>
      </c>
      <c r="L1002" s="1">
        <v>7936.6414386555998</v>
      </c>
    </row>
    <row r="1003" spans="1:13">
      <c r="D1003" s="1" t="s">
        <v>194</v>
      </c>
      <c r="E1003" s="1" t="s">
        <v>117</v>
      </c>
      <c r="F1003" s="1" t="s">
        <v>118</v>
      </c>
      <c r="G1003" s="1" t="s">
        <v>119</v>
      </c>
      <c r="H1003" s="1" t="s">
        <v>22</v>
      </c>
      <c r="I1003" s="1" t="s">
        <v>120</v>
      </c>
      <c r="J1003" s="1">
        <v>0</v>
      </c>
      <c r="L1003" s="1">
        <v>2.20462262185</v>
      </c>
    </row>
    <row r="1004" spans="1:13">
      <c r="D1004" s="1" t="s">
        <v>194</v>
      </c>
      <c r="E1004" s="1" t="s">
        <v>123</v>
      </c>
      <c r="F1004" s="1" t="s">
        <v>124</v>
      </c>
      <c r="G1004" s="1" t="s">
        <v>125</v>
      </c>
      <c r="H1004" s="1" t="s">
        <v>22</v>
      </c>
      <c r="I1004" s="1" t="s">
        <v>120</v>
      </c>
      <c r="L1004" s="1">
        <v>35.314666699999997</v>
      </c>
    </row>
    <row r="1005" spans="1:13">
      <c r="D1005" s="1" t="s">
        <v>194</v>
      </c>
      <c r="E1005" s="1" t="s">
        <v>126</v>
      </c>
      <c r="H1005" s="1" t="s">
        <v>22</v>
      </c>
      <c r="I1005" s="1" t="s">
        <v>65</v>
      </c>
      <c r="L1005" s="1">
        <v>1</v>
      </c>
    </row>
    <row r="1006" spans="1:13">
      <c r="D1006" s="1" t="s">
        <v>195</v>
      </c>
      <c r="E1006" s="1" t="s">
        <v>28</v>
      </c>
      <c r="H1006" s="1" t="s">
        <v>22</v>
      </c>
      <c r="I1006" s="1" t="s">
        <v>29</v>
      </c>
      <c r="J1006" s="1">
        <v>34000</v>
      </c>
      <c r="K1006" s="1">
        <v>4300000</v>
      </c>
      <c r="L1006" s="1">
        <v>349660</v>
      </c>
    </row>
    <row r="1007" spans="1:13">
      <c r="D1007" s="1" t="s">
        <v>195</v>
      </c>
      <c r="E1007" s="1" t="s">
        <v>30</v>
      </c>
      <c r="H1007" s="1" t="s">
        <v>22</v>
      </c>
      <c r="I1007" s="1" t="s">
        <v>29</v>
      </c>
      <c r="J1007" s="1">
        <v>-3.94</v>
      </c>
      <c r="K1007" s="1">
        <v>3.66</v>
      </c>
      <c r="L1007" s="1">
        <v>1</v>
      </c>
    </row>
    <row r="1008" spans="1:13">
      <c r="D1008" s="1" t="s">
        <v>195</v>
      </c>
      <c r="E1008" s="1" t="s">
        <v>31</v>
      </c>
      <c r="H1008" s="1" t="s">
        <v>22</v>
      </c>
      <c r="I1008" s="1" t="s">
        <v>29</v>
      </c>
      <c r="J1008" s="1">
        <v>0</v>
      </c>
      <c r="K1008" s="1">
        <v>100</v>
      </c>
      <c r="L1008" s="1">
        <v>1</v>
      </c>
    </row>
    <row r="1009" spans="4:13">
      <c r="D1009" s="1" t="s">
        <v>195</v>
      </c>
      <c r="E1009" s="1" t="s">
        <v>32</v>
      </c>
      <c r="H1009" s="1" t="s">
        <v>22</v>
      </c>
      <c r="I1009" s="1" t="s">
        <v>29</v>
      </c>
      <c r="J1009" s="1">
        <v>-3.94</v>
      </c>
      <c r="K1009" s="1">
        <v>3.66</v>
      </c>
      <c r="L1009" s="1">
        <v>1</v>
      </c>
    </row>
    <row r="1010" spans="4:13">
      <c r="D1010" s="1" t="s">
        <v>195</v>
      </c>
      <c r="E1010" s="1" t="s">
        <v>33</v>
      </c>
      <c r="H1010" s="1" t="s">
        <v>25</v>
      </c>
      <c r="I1010" s="1" t="s">
        <v>23</v>
      </c>
      <c r="M1010" s="1" t="b">
        <v>0</v>
      </c>
    </row>
    <row r="1011" spans="4:13">
      <c r="D1011" s="1" t="s">
        <v>195</v>
      </c>
      <c r="E1011" s="1" t="s">
        <v>34</v>
      </c>
      <c r="F1011" s="1" t="s">
        <v>35</v>
      </c>
      <c r="G1011" s="1" t="s">
        <v>36</v>
      </c>
      <c r="H1011" s="1" t="s">
        <v>22</v>
      </c>
      <c r="I1011" s="1" t="s">
        <v>23</v>
      </c>
      <c r="J1011" s="1">
        <v>-459.67</v>
      </c>
      <c r="K1011" s="1">
        <v>980.32999999999993</v>
      </c>
      <c r="L1011" s="1">
        <v>80.329999999999984</v>
      </c>
      <c r="M1011" s="1">
        <v>67.999999999999943</v>
      </c>
    </row>
    <row r="1012" spans="4:13">
      <c r="D1012" s="1" t="s">
        <v>195</v>
      </c>
      <c r="E1012" s="1" t="s">
        <v>37</v>
      </c>
      <c r="H1012" s="1" t="s">
        <v>25</v>
      </c>
      <c r="I1012" s="1" t="s">
        <v>23</v>
      </c>
      <c r="M1012" s="1" t="b">
        <v>0</v>
      </c>
    </row>
    <row r="1013" spans="4:13">
      <c r="D1013" s="1" t="s">
        <v>195</v>
      </c>
      <c r="E1013" s="1" t="s">
        <v>38</v>
      </c>
      <c r="F1013" s="1" t="s">
        <v>35</v>
      </c>
      <c r="G1013" s="1" t="s">
        <v>36</v>
      </c>
      <c r="H1013" s="1" t="s">
        <v>22</v>
      </c>
      <c r="I1013" s="1" t="s">
        <v>23</v>
      </c>
      <c r="J1013" s="1">
        <v>-99.670000000000016</v>
      </c>
      <c r="K1013" s="1">
        <v>980.32999999999993</v>
      </c>
      <c r="L1013" s="1">
        <v>80.329999999999984</v>
      </c>
      <c r="M1013" s="1">
        <v>13.999999999999943</v>
      </c>
    </row>
    <row r="1014" spans="4:13">
      <c r="D1014" s="1" t="s">
        <v>195</v>
      </c>
      <c r="E1014" s="1" t="s">
        <v>39</v>
      </c>
      <c r="H1014" s="1" t="s">
        <v>25</v>
      </c>
      <c r="I1014" s="1" t="s">
        <v>23</v>
      </c>
      <c r="M1014" s="1" t="b">
        <v>0</v>
      </c>
    </row>
    <row r="1015" spans="4:13">
      <c r="D1015" s="1" t="s">
        <v>195</v>
      </c>
      <c r="E1015" s="1" t="s">
        <v>40</v>
      </c>
      <c r="F1015" s="1" t="s">
        <v>41</v>
      </c>
      <c r="G1015" s="1" t="s">
        <v>42</v>
      </c>
      <c r="H1015" s="1" t="s">
        <v>22</v>
      </c>
      <c r="I1015" s="1" t="s">
        <v>23</v>
      </c>
      <c r="J1015" s="1">
        <v>-900</v>
      </c>
      <c r="K1015" s="1">
        <v>900</v>
      </c>
      <c r="L1015" s="1">
        <v>1.8</v>
      </c>
      <c r="M1015" s="1">
        <v>9</v>
      </c>
    </row>
    <row r="1016" spans="4:13">
      <c r="D1016" s="1" t="s">
        <v>195</v>
      </c>
      <c r="E1016" s="1" t="s">
        <v>43</v>
      </c>
      <c r="H1016" s="1" t="s">
        <v>25</v>
      </c>
      <c r="I1016" s="1" t="s">
        <v>23</v>
      </c>
      <c r="M1016" s="1" t="b">
        <v>0</v>
      </c>
    </row>
    <row r="1017" spans="4:13">
      <c r="D1017" s="1" t="s">
        <v>195</v>
      </c>
      <c r="E1017" s="1" t="s">
        <v>44</v>
      </c>
      <c r="F1017" s="1" t="s">
        <v>45</v>
      </c>
      <c r="G1017" s="1" t="s">
        <v>46</v>
      </c>
      <c r="H1017" s="1" t="s">
        <v>22</v>
      </c>
      <c r="I1017" s="1" t="s">
        <v>23</v>
      </c>
      <c r="J1017" s="1">
        <v>-85.984522757427143</v>
      </c>
      <c r="K1017" s="1">
        <v>8598.4522757427148</v>
      </c>
      <c r="L1017" s="1">
        <v>114.79148749423418</v>
      </c>
      <c r="M1017" s="1">
        <v>128.97678413614071</v>
      </c>
    </row>
    <row r="1018" spans="4:13">
      <c r="D1018" s="1" t="s">
        <v>195</v>
      </c>
      <c r="E1018" s="1" t="s">
        <v>47</v>
      </c>
      <c r="H1018" s="1" t="s">
        <v>25</v>
      </c>
      <c r="I1018" s="1" t="s">
        <v>23</v>
      </c>
      <c r="M1018" s="1" t="b">
        <v>0</v>
      </c>
    </row>
    <row r="1019" spans="4:13">
      <c r="D1019" s="1" t="s">
        <v>195</v>
      </c>
      <c r="E1019" s="1" t="s">
        <v>48</v>
      </c>
      <c r="H1019" s="1" t="s">
        <v>25</v>
      </c>
      <c r="I1019" s="1" t="s">
        <v>23</v>
      </c>
      <c r="M1019" s="1" t="b">
        <v>0</v>
      </c>
    </row>
    <row r="1020" spans="4:13">
      <c r="D1020" s="1" t="s">
        <v>195</v>
      </c>
      <c r="E1020" s="1" t="s">
        <v>49</v>
      </c>
      <c r="H1020" s="1" t="s">
        <v>25</v>
      </c>
      <c r="I1020" s="1" t="s">
        <v>23</v>
      </c>
      <c r="M1020" s="1" t="b">
        <v>0</v>
      </c>
    </row>
    <row r="1021" spans="4:13">
      <c r="D1021" s="1" t="s">
        <v>195</v>
      </c>
      <c r="E1021" s="1" t="s">
        <v>50</v>
      </c>
      <c r="H1021" s="1" t="s">
        <v>25</v>
      </c>
      <c r="I1021" s="1" t="s">
        <v>23</v>
      </c>
      <c r="M1021" s="1" t="b">
        <v>0</v>
      </c>
    </row>
    <row r="1022" spans="4:13">
      <c r="D1022" s="1" t="s">
        <v>195</v>
      </c>
      <c r="E1022" s="1" t="s">
        <v>51</v>
      </c>
      <c r="F1022" s="1" t="s">
        <v>52</v>
      </c>
      <c r="G1022" s="1" t="s">
        <v>53</v>
      </c>
      <c r="H1022" s="1" t="s">
        <v>22</v>
      </c>
      <c r="I1022" s="1" t="s">
        <v>23</v>
      </c>
      <c r="J1022" s="1">
        <v>0</v>
      </c>
      <c r="K1022" s="1">
        <v>7936641438.6555996</v>
      </c>
      <c r="L1022" s="1">
        <v>7936.6414386555998</v>
      </c>
      <c r="M1022" s="1">
        <v>7936.6414386555998</v>
      </c>
    </row>
    <row r="1023" spans="4:13">
      <c r="D1023" s="1" t="s">
        <v>195</v>
      </c>
      <c r="E1023" s="1" t="s">
        <v>54</v>
      </c>
      <c r="H1023" s="1" t="s">
        <v>25</v>
      </c>
      <c r="I1023" s="1" t="s">
        <v>23</v>
      </c>
      <c r="M1023" s="1" t="b">
        <v>0</v>
      </c>
    </row>
    <row r="1024" spans="4:13">
      <c r="D1024" s="1" t="s">
        <v>195</v>
      </c>
      <c r="E1024" s="1" t="s">
        <v>55</v>
      </c>
      <c r="F1024" s="1" t="s">
        <v>56</v>
      </c>
      <c r="G1024" s="1" t="s">
        <v>57</v>
      </c>
      <c r="H1024" s="1" t="s">
        <v>22</v>
      </c>
      <c r="I1024" s="1" t="s">
        <v>23</v>
      </c>
      <c r="J1024" s="1">
        <v>0</v>
      </c>
      <c r="K1024" s="1">
        <v>9427.4529524635982</v>
      </c>
      <c r="L1024" s="1">
        <v>50.713895374744951</v>
      </c>
      <c r="M1024" s="1">
        <v>50.763208205573221</v>
      </c>
    </row>
    <row r="1025" spans="4:13">
      <c r="D1025" s="1" t="s">
        <v>195</v>
      </c>
      <c r="E1025" s="1" t="s">
        <v>58</v>
      </c>
      <c r="H1025" s="1" t="s">
        <v>25</v>
      </c>
      <c r="I1025" s="1" t="s">
        <v>23</v>
      </c>
      <c r="M1025" s="1" t="b">
        <v>0</v>
      </c>
    </row>
    <row r="1026" spans="4:13">
      <c r="D1026" s="1" t="s">
        <v>195</v>
      </c>
      <c r="E1026" s="1" t="s">
        <v>59</v>
      </c>
      <c r="F1026" s="1" t="s">
        <v>60</v>
      </c>
      <c r="G1026" s="1" t="s">
        <v>61</v>
      </c>
      <c r="H1026" s="1" t="s">
        <v>22</v>
      </c>
      <c r="I1026" s="1" t="s">
        <v>23</v>
      </c>
      <c r="J1026" s="1">
        <v>-9.5538358650799999</v>
      </c>
      <c r="K1026" s="1">
        <v>9.5538358650799999</v>
      </c>
      <c r="L1026" s="1">
        <v>0.23884589662700001</v>
      </c>
      <c r="M1026" s="1">
        <v>0.23884589662700001</v>
      </c>
    </row>
    <row r="1027" spans="4:13">
      <c r="D1027" s="1" t="s">
        <v>195</v>
      </c>
      <c r="E1027" s="1" t="s">
        <v>62</v>
      </c>
      <c r="H1027" s="1" t="s">
        <v>63</v>
      </c>
      <c r="I1027" s="1" t="s">
        <v>23</v>
      </c>
      <c r="M1027" s="1">
        <v>1</v>
      </c>
    </row>
    <row r="1028" spans="4:13">
      <c r="D1028" s="1" t="s">
        <v>195</v>
      </c>
      <c r="E1028" s="1" t="s">
        <v>64</v>
      </c>
      <c r="F1028" s="1" t="s">
        <v>35</v>
      </c>
      <c r="G1028" s="1" t="s">
        <v>36</v>
      </c>
      <c r="H1028" s="1" t="s">
        <v>22</v>
      </c>
      <c r="I1028" s="1" t="s">
        <v>65</v>
      </c>
      <c r="J1028" s="1">
        <v>-459.67</v>
      </c>
      <c r="L1028" s="1">
        <v>80.329999999999984</v>
      </c>
    </row>
    <row r="1029" spans="4:13">
      <c r="D1029" s="1" t="s">
        <v>195</v>
      </c>
      <c r="E1029" s="1" t="s">
        <v>66</v>
      </c>
      <c r="F1029" s="1" t="s">
        <v>35</v>
      </c>
      <c r="G1029" s="1" t="s">
        <v>36</v>
      </c>
      <c r="H1029" s="1" t="s">
        <v>22</v>
      </c>
      <c r="I1029" s="1" t="s">
        <v>65</v>
      </c>
      <c r="J1029" s="1">
        <v>-459.67</v>
      </c>
      <c r="L1029" s="1">
        <v>80.329999999999984</v>
      </c>
    </row>
    <row r="1030" spans="4:13">
      <c r="D1030" s="1" t="s">
        <v>195</v>
      </c>
      <c r="E1030" s="1" t="s">
        <v>67</v>
      </c>
      <c r="F1030" s="1" t="s">
        <v>41</v>
      </c>
      <c r="G1030" s="1" t="s">
        <v>42</v>
      </c>
      <c r="H1030" s="1" t="s">
        <v>22</v>
      </c>
      <c r="I1030" s="1" t="s">
        <v>65</v>
      </c>
      <c r="L1030" s="1">
        <v>1.8</v>
      </c>
    </row>
    <row r="1031" spans="4:13">
      <c r="D1031" s="1" t="s">
        <v>195</v>
      </c>
      <c r="E1031" s="1" t="s">
        <v>68</v>
      </c>
      <c r="F1031" s="1" t="s">
        <v>45</v>
      </c>
      <c r="G1031" s="1" t="s">
        <v>46</v>
      </c>
      <c r="H1031" s="1" t="s">
        <v>22</v>
      </c>
      <c r="I1031" s="1" t="s">
        <v>65</v>
      </c>
      <c r="L1031" s="1">
        <v>4.2992261378713571E-4</v>
      </c>
    </row>
    <row r="1032" spans="4:13">
      <c r="D1032" s="1" t="s">
        <v>195</v>
      </c>
      <c r="E1032" s="1" t="s">
        <v>69</v>
      </c>
      <c r="H1032" s="1" t="s">
        <v>25</v>
      </c>
      <c r="I1032" s="1" t="s">
        <v>70</v>
      </c>
    </row>
    <row r="1033" spans="4:13">
      <c r="D1033" s="1" t="s">
        <v>195</v>
      </c>
      <c r="E1033" s="1" t="s">
        <v>71</v>
      </c>
      <c r="F1033" s="1" t="s">
        <v>52</v>
      </c>
      <c r="G1033" s="1" t="s">
        <v>53</v>
      </c>
      <c r="H1033" s="1" t="s">
        <v>22</v>
      </c>
      <c r="I1033" s="1" t="s">
        <v>65</v>
      </c>
      <c r="L1033" s="1">
        <v>7936.6414386555998</v>
      </c>
    </row>
    <row r="1034" spans="4:13">
      <c r="D1034" s="1" t="s">
        <v>195</v>
      </c>
      <c r="E1034" s="1" t="s">
        <v>72</v>
      </c>
      <c r="F1034" s="1" t="s">
        <v>56</v>
      </c>
      <c r="G1034" s="1" t="s">
        <v>57</v>
      </c>
      <c r="H1034" s="1" t="s">
        <v>22</v>
      </c>
      <c r="I1034" s="1" t="s">
        <v>65</v>
      </c>
      <c r="J1034" s="1">
        <v>0</v>
      </c>
      <c r="L1034" s="1">
        <v>14.503773773020921</v>
      </c>
    </row>
    <row r="1035" spans="4:13">
      <c r="D1035" s="1" t="s">
        <v>195</v>
      </c>
      <c r="E1035" s="1" t="s">
        <v>73</v>
      </c>
      <c r="F1035" s="1" t="s">
        <v>60</v>
      </c>
      <c r="G1035" s="1" t="s">
        <v>61</v>
      </c>
      <c r="H1035" s="1" t="s">
        <v>22</v>
      </c>
      <c r="I1035" s="1" t="s">
        <v>65</v>
      </c>
      <c r="L1035" s="1">
        <v>2.38845896627E-4</v>
      </c>
    </row>
    <row r="1036" spans="4:13">
      <c r="D1036" s="1" t="s">
        <v>195</v>
      </c>
      <c r="E1036" s="1" t="s">
        <v>74</v>
      </c>
      <c r="F1036" s="1" t="s">
        <v>75</v>
      </c>
      <c r="G1036" s="1" t="s">
        <v>76</v>
      </c>
      <c r="H1036" s="1" t="s">
        <v>22</v>
      </c>
      <c r="I1036" s="1" t="s">
        <v>65</v>
      </c>
      <c r="J1036" s="1">
        <v>0</v>
      </c>
      <c r="L1036" s="1">
        <v>16.018463521800001</v>
      </c>
    </row>
    <row r="1037" spans="4:13">
      <c r="D1037" s="1" t="s">
        <v>195</v>
      </c>
      <c r="E1037" s="1" t="s">
        <v>77</v>
      </c>
      <c r="H1037" s="1" t="s">
        <v>22</v>
      </c>
      <c r="I1037" s="1" t="s">
        <v>65</v>
      </c>
      <c r="L1037" s="1">
        <v>1</v>
      </c>
    </row>
    <row r="1038" spans="4:13">
      <c r="D1038" s="1" t="s">
        <v>195</v>
      </c>
      <c r="E1038" s="1" t="s">
        <v>78</v>
      </c>
      <c r="H1038" s="1" t="s">
        <v>25</v>
      </c>
      <c r="I1038" s="1" t="s">
        <v>23</v>
      </c>
      <c r="M1038" s="1" t="b">
        <v>0</v>
      </c>
    </row>
    <row r="1039" spans="4:13">
      <c r="D1039" s="1" t="s">
        <v>195</v>
      </c>
      <c r="E1039" s="1" t="s">
        <v>79</v>
      </c>
      <c r="F1039" s="1" t="s">
        <v>75</v>
      </c>
      <c r="G1039" s="1" t="s">
        <v>76</v>
      </c>
      <c r="H1039" s="1" t="s">
        <v>22</v>
      </c>
      <c r="I1039" s="1" t="s">
        <v>23</v>
      </c>
      <c r="J1039" s="1">
        <v>0</v>
      </c>
      <c r="K1039" s="1">
        <v>96.110781130800007</v>
      </c>
      <c r="L1039" s="1">
        <v>16.018463521800001</v>
      </c>
      <c r="M1039" s="1">
        <v>1.6018463521800002</v>
      </c>
    </row>
    <row r="1040" spans="4:13">
      <c r="D1040" s="1" t="s">
        <v>195</v>
      </c>
      <c r="E1040" s="1" t="s">
        <v>80</v>
      </c>
      <c r="H1040" s="1" t="s">
        <v>25</v>
      </c>
      <c r="I1040" s="1" t="s">
        <v>23</v>
      </c>
      <c r="M1040" s="1" t="b">
        <v>0</v>
      </c>
    </row>
    <row r="1041" spans="1:13">
      <c r="D1041" s="1" t="s">
        <v>195</v>
      </c>
      <c r="E1041" s="1" t="s">
        <v>81</v>
      </c>
      <c r="H1041" s="1" t="s">
        <v>25</v>
      </c>
      <c r="I1041" s="1" t="s">
        <v>23</v>
      </c>
      <c r="M1041" s="1" t="b">
        <v>0</v>
      </c>
    </row>
    <row r="1042" spans="1:13">
      <c r="D1042" s="1" t="s">
        <v>195</v>
      </c>
      <c r="E1042" s="1" t="s">
        <v>82</v>
      </c>
      <c r="H1042" s="1" t="s">
        <v>22</v>
      </c>
      <c r="I1042" s="1" t="s">
        <v>23</v>
      </c>
      <c r="J1042" s="1">
        <v>-1</v>
      </c>
      <c r="K1042" s="1">
        <v>3</v>
      </c>
      <c r="L1042" s="1">
        <v>1</v>
      </c>
      <c r="M1042" s="1">
        <v>1.01</v>
      </c>
    </row>
    <row r="1043" spans="1:13">
      <c r="D1043" s="1" t="s">
        <v>196</v>
      </c>
      <c r="E1043" s="1" t="s">
        <v>171</v>
      </c>
      <c r="H1043" s="1" t="s">
        <v>22</v>
      </c>
      <c r="I1043" s="1" t="s">
        <v>23</v>
      </c>
      <c r="L1043" s="1">
        <v>1</v>
      </c>
      <c r="M1043" s="1">
        <v>3.0558000000000001</v>
      </c>
    </row>
    <row r="1044" spans="1:13">
      <c r="D1044" s="1" t="s">
        <v>196</v>
      </c>
      <c r="E1044" s="1" t="s">
        <v>172</v>
      </c>
      <c r="H1044" s="1" t="s">
        <v>22</v>
      </c>
      <c r="I1044" s="1" t="s">
        <v>29</v>
      </c>
      <c r="J1044" s="1">
        <v>0</v>
      </c>
      <c r="K1044" s="1">
        <v>10000</v>
      </c>
      <c r="L1044" s="1">
        <v>5000</v>
      </c>
    </row>
    <row r="1045" spans="1:13">
      <c r="D1045" s="1" t="s">
        <v>196</v>
      </c>
      <c r="E1045" s="1" t="s">
        <v>173</v>
      </c>
      <c r="H1045" s="1" t="s">
        <v>22</v>
      </c>
      <c r="I1045" s="1" t="s">
        <v>29</v>
      </c>
      <c r="J1045" s="1">
        <v>9.9999999999999995E-7</v>
      </c>
      <c r="K1045" s="1">
        <v>0.01</v>
      </c>
      <c r="L1045" s="1">
        <v>5.0004999999999997E-3</v>
      </c>
    </row>
    <row r="1046" spans="1:13">
      <c r="D1046" s="1" t="s">
        <v>196</v>
      </c>
      <c r="E1046" s="1" t="s">
        <v>174</v>
      </c>
      <c r="H1046" s="1" t="s">
        <v>25</v>
      </c>
      <c r="I1046" s="1" t="s">
        <v>23</v>
      </c>
      <c r="M1046" s="1" t="b">
        <v>1</v>
      </c>
    </row>
    <row r="1047" spans="1:13">
      <c r="A1047" s="2" t="s">
        <v>1721</v>
      </c>
      <c r="B1047" s="3" t="s">
        <v>1727</v>
      </c>
      <c r="D1047" s="1" t="s">
        <v>196</v>
      </c>
      <c r="E1047" s="1" t="s">
        <v>175</v>
      </c>
      <c r="F1047" s="1" t="s">
        <v>176</v>
      </c>
      <c r="G1047" s="1" t="s">
        <v>177</v>
      </c>
      <c r="H1047" s="1" t="s">
        <v>22</v>
      </c>
      <c r="I1047" s="1" t="s">
        <v>23</v>
      </c>
      <c r="L1047" s="1">
        <v>39.370078740157467</v>
      </c>
      <c r="M1047" s="1">
        <v>6.0649999999999977</v>
      </c>
    </row>
    <row r="1048" spans="1:13">
      <c r="D1048" s="1" t="s">
        <v>196</v>
      </c>
      <c r="E1048" s="1" t="s">
        <v>178</v>
      </c>
      <c r="H1048" s="1" t="s">
        <v>25</v>
      </c>
      <c r="I1048" s="1" t="s">
        <v>23</v>
      </c>
      <c r="M1048" s="1" t="b">
        <v>0</v>
      </c>
    </row>
    <row r="1049" spans="1:13">
      <c r="D1049" s="1" t="s">
        <v>196</v>
      </c>
      <c r="E1049" s="1" t="s">
        <v>111</v>
      </c>
      <c r="F1049" s="1" t="s">
        <v>56</v>
      </c>
      <c r="G1049" s="1" t="s">
        <v>57</v>
      </c>
      <c r="H1049" s="1" t="s">
        <v>22</v>
      </c>
      <c r="I1049" s="1" t="s">
        <v>23</v>
      </c>
      <c r="L1049" s="1">
        <v>1.4503773773020921E-4</v>
      </c>
      <c r="M1049" s="1">
        <v>7.2518868865104604E-3</v>
      </c>
    </row>
    <row r="1050" spans="1:13">
      <c r="D1050" s="1" t="s">
        <v>196</v>
      </c>
      <c r="E1050" s="1" t="s">
        <v>179</v>
      </c>
      <c r="H1050" s="1" t="s">
        <v>22</v>
      </c>
      <c r="I1050" s="1" t="s">
        <v>23</v>
      </c>
      <c r="L1050" s="1">
        <v>1</v>
      </c>
      <c r="M1050" s="1">
        <v>10000</v>
      </c>
    </row>
    <row r="1051" spans="1:13">
      <c r="D1051" s="1" t="s">
        <v>196</v>
      </c>
      <c r="E1051" s="1" t="s">
        <v>180</v>
      </c>
      <c r="H1051" s="1" t="s">
        <v>181</v>
      </c>
      <c r="I1051" s="1" t="s">
        <v>23</v>
      </c>
      <c r="J1051" s="1">
        <v>1</v>
      </c>
      <c r="K1051" s="1">
        <v>3</v>
      </c>
      <c r="M1051" s="1" t="s">
        <v>182</v>
      </c>
    </row>
    <row r="1052" spans="1:13">
      <c r="D1052" s="1" t="s">
        <v>196</v>
      </c>
      <c r="E1052" s="1" t="s">
        <v>47</v>
      </c>
      <c r="H1052" s="1" t="s">
        <v>25</v>
      </c>
      <c r="I1052" s="1" t="s">
        <v>23</v>
      </c>
      <c r="M1052" s="1" t="b">
        <v>0</v>
      </c>
    </row>
    <row r="1053" spans="1:13">
      <c r="D1053" s="1" t="s">
        <v>196</v>
      </c>
      <c r="E1053" s="1" t="s">
        <v>183</v>
      </c>
      <c r="H1053" s="1" t="s">
        <v>25</v>
      </c>
      <c r="I1053" s="1" t="s">
        <v>23</v>
      </c>
      <c r="M1053" s="1" t="b">
        <v>1</v>
      </c>
    </row>
    <row r="1054" spans="1:13">
      <c r="D1054" s="1" t="s">
        <v>196</v>
      </c>
      <c r="E1054" s="1" t="s">
        <v>112</v>
      </c>
      <c r="F1054" s="1" t="s">
        <v>56</v>
      </c>
      <c r="G1054" s="1" t="s">
        <v>57</v>
      </c>
      <c r="H1054" s="1" t="s">
        <v>22</v>
      </c>
      <c r="I1054" s="1" t="s">
        <v>29</v>
      </c>
      <c r="J1054" s="1">
        <v>4.9312830828271128</v>
      </c>
      <c r="K1054" s="1">
        <v>623.66227223989961</v>
      </c>
      <c r="L1054" s="1">
        <v>50.713895374744951</v>
      </c>
    </row>
    <row r="1055" spans="1:13">
      <c r="D1055" s="1" t="s">
        <v>196</v>
      </c>
      <c r="E1055" s="1" t="s">
        <v>62</v>
      </c>
      <c r="H1055" s="1" t="s">
        <v>63</v>
      </c>
      <c r="I1055" s="1" t="s">
        <v>23</v>
      </c>
      <c r="M1055" s="1">
        <v>1</v>
      </c>
    </row>
    <row r="1056" spans="1:13">
      <c r="D1056" s="1" t="s">
        <v>196</v>
      </c>
      <c r="E1056" s="1" t="s">
        <v>184</v>
      </c>
      <c r="H1056" s="1" t="s">
        <v>22</v>
      </c>
      <c r="I1056" s="1" t="s">
        <v>120</v>
      </c>
      <c r="L1056" s="1">
        <v>1</v>
      </c>
    </row>
    <row r="1057" spans="1:13">
      <c r="D1057" s="1" t="s">
        <v>196</v>
      </c>
      <c r="E1057" s="1" t="s">
        <v>185</v>
      </c>
      <c r="F1057" s="1" t="s">
        <v>176</v>
      </c>
      <c r="G1057" s="1" t="s">
        <v>177</v>
      </c>
      <c r="H1057" s="1" t="s">
        <v>22</v>
      </c>
      <c r="I1057" s="1" t="s">
        <v>65</v>
      </c>
      <c r="L1057" s="1">
        <v>39.370078740157467</v>
      </c>
    </row>
    <row r="1058" spans="1:13">
      <c r="A1058" s="2" t="s">
        <v>1758</v>
      </c>
      <c r="B1058" s="3" t="s">
        <v>1788</v>
      </c>
      <c r="D1058" s="1" t="s">
        <v>196</v>
      </c>
      <c r="E1058" s="1" t="s">
        <v>115</v>
      </c>
      <c r="F1058" s="1" t="s">
        <v>56</v>
      </c>
      <c r="G1058" s="1" t="s">
        <v>57</v>
      </c>
      <c r="H1058" s="1" t="s">
        <v>22</v>
      </c>
      <c r="I1058" s="1" t="s">
        <v>65</v>
      </c>
      <c r="L1058" s="1">
        <v>1.4503773773020921E-4</v>
      </c>
    </row>
    <row r="1059" spans="1:13">
      <c r="D1059" s="1" t="s">
        <v>196</v>
      </c>
      <c r="E1059" s="1" t="s">
        <v>69</v>
      </c>
      <c r="H1059" s="1" t="s">
        <v>25</v>
      </c>
      <c r="I1059" s="1" t="s">
        <v>70</v>
      </c>
    </row>
    <row r="1060" spans="1:13">
      <c r="D1060" s="1" t="s">
        <v>196</v>
      </c>
      <c r="E1060" s="1" t="s">
        <v>186</v>
      </c>
      <c r="H1060" s="1" t="s">
        <v>22</v>
      </c>
      <c r="I1060" s="1" t="s">
        <v>65</v>
      </c>
      <c r="L1060" s="1">
        <v>1</v>
      </c>
    </row>
    <row r="1061" spans="1:13">
      <c r="D1061" s="1" t="s">
        <v>196</v>
      </c>
      <c r="E1061" s="1" t="s">
        <v>71</v>
      </c>
      <c r="F1061" s="1" t="s">
        <v>52</v>
      </c>
      <c r="G1061" s="1" t="s">
        <v>53</v>
      </c>
      <c r="H1061" s="1" t="s">
        <v>22</v>
      </c>
      <c r="I1061" s="1" t="s">
        <v>65</v>
      </c>
      <c r="L1061" s="1">
        <v>7936.6414386555998</v>
      </c>
    </row>
    <row r="1062" spans="1:13">
      <c r="D1062" s="1" t="s">
        <v>196</v>
      </c>
      <c r="E1062" s="1" t="s">
        <v>117</v>
      </c>
      <c r="F1062" s="1" t="s">
        <v>118</v>
      </c>
      <c r="G1062" s="1" t="s">
        <v>119</v>
      </c>
      <c r="H1062" s="1" t="s">
        <v>22</v>
      </c>
      <c r="I1062" s="1" t="s">
        <v>120</v>
      </c>
      <c r="J1062" s="1">
        <v>0</v>
      </c>
      <c r="L1062" s="1">
        <v>2.20462262185</v>
      </c>
    </row>
    <row r="1063" spans="1:13">
      <c r="D1063" s="1" t="s">
        <v>196</v>
      </c>
      <c r="E1063" s="1" t="s">
        <v>123</v>
      </c>
      <c r="F1063" s="1" t="s">
        <v>124</v>
      </c>
      <c r="G1063" s="1" t="s">
        <v>125</v>
      </c>
      <c r="H1063" s="1" t="s">
        <v>22</v>
      </c>
      <c r="I1063" s="1" t="s">
        <v>120</v>
      </c>
      <c r="L1063" s="1">
        <v>35.314666699999997</v>
      </c>
    </row>
    <row r="1064" spans="1:13">
      <c r="D1064" s="1" t="s">
        <v>196</v>
      </c>
      <c r="E1064" s="1" t="s">
        <v>126</v>
      </c>
      <c r="H1064" s="1" t="s">
        <v>22</v>
      </c>
      <c r="I1064" s="1" t="s">
        <v>65</v>
      </c>
      <c r="L1064" s="1">
        <v>1</v>
      </c>
    </row>
    <row r="1065" spans="1:13">
      <c r="D1065" s="1" t="s">
        <v>197</v>
      </c>
      <c r="E1065" s="1" t="s">
        <v>171</v>
      </c>
      <c r="H1065" s="1" t="s">
        <v>22</v>
      </c>
      <c r="I1065" s="1" t="s">
        <v>23</v>
      </c>
      <c r="L1065" s="1">
        <v>1</v>
      </c>
      <c r="M1065" s="1">
        <v>3.0558000000000001</v>
      </c>
    </row>
    <row r="1066" spans="1:13">
      <c r="D1066" s="1" t="s">
        <v>197</v>
      </c>
      <c r="E1066" s="1" t="s">
        <v>172</v>
      </c>
      <c r="H1066" s="1" t="s">
        <v>22</v>
      </c>
      <c r="I1066" s="1" t="s">
        <v>29</v>
      </c>
      <c r="J1066" s="1">
        <v>0</v>
      </c>
      <c r="K1066" s="1">
        <v>10000</v>
      </c>
      <c r="L1066" s="1">
        <v>5000</v>
      </c>
    </row>
    <row r="1067" spans="1:13">
      <c r="D1067" s="1" t="s">
        <v>197</v>
      </c>
      <c r="E1067" s="1" t="s">
        <v>173</v>
      </c>
      <c r="H1067" s="1" t="s">
        <v>22</v>
      </c>
      <c r="I1067" s="1" t="s">
        <v>29</v>
      </c>
      <c r="J1067" s="1">
        <v>9.9999999999999995E-7</v>
      </c>
      <c r="K1067" s="1">
        <v>0.01</v>
      </c>
      <c r="L1067" s="1">
        <v>5.0004999999999997E-3</v>
      </c>
    </row>
    <row r="1068" spans="1:13">
      <c r="D1068" s="1" t="s">
        <v>197</v>
      </c>
      <c r="E1068" s="1" t="s">
        <v>174</v>
      </c>
      <c r="H1068" s="1" t="s">
        <v>25</v>
      </c>
      <c r="I1068" s="1" t="s">
        <v>23</v>
      </c>
      <c r="M1068" s="1" t="b">
        <v>1</v>
      </c>
    </row>
    <row r="1069" spans="1:13">
      <c r="A1069" s="2" t="s">
        <v>1721</v>
      </c>
      <c r="B1069" s="3" t="s">
        <v>1728</v>
      </c>
      <c r="D1069" s="1" t="s">
        <v>197</v>
      </c>
      <c r="E1069" s="1" t="s">
        <v>175</v>
      </c>
      <c r="F1069" s="1" t="s">
        <v>176</v>
      </c>
      <c r="G1069" s="1" t="s">
        <v>177</v>
      </c>
      <c r="H1069" s="1" t="s">
        <v>22</v>
      </c>
      <c r="I1069" s="1" t="s">
        <v>23</v>
      </c>
      <c r="L1069" s="1">
        <v>39.370078740157467</v>
      </c>
      <c r="M1069" s="1">
        <v>7.9809999999999972</v>
      </c>
    </row>
    <row r="1070" spans="1:13">
      <c r="D1070" s="1" t="s">
        <v>197</v>
      </c>
      <c r="E1070" s="1" t="s">
        <v>178</v>
      </c>
      <c r="H1070" s="1" t="s">
        <v>25</v>
      </c>
      <c r="I1070" s="1" t="s">
        <v>23</v>
      </c>
      <c r="M1070" s="1" t="b">
        <v>0</v>
      </c>
    </row>
    <row r="1071" spans="1:13">
      <c r="D1071" s="1" t="s">
        <v>197</v>
      </c>
      <c r="E1071" s="1" t="s">
        <v>111</v>
      </c>
      <c r="F1071" s="1" t="s">
        <v>56</v>
      </c>
      <c r="G1071" s="1" t="s">
        <v>57</v>
      </c>
      <c r="H1071" s="1" t="s">
        <v>22</v>
      </c>
      <c r="I1071" s="1" t="s">
        <v>23</v>
      </c>
      <c r="L1071" s="1">
        <v>1.4503773773020921E-4</v>
      </c>
      <c r="M1071" s="1">
        <v>7.2518868865104604E-3</v>
      </c>
    </row>
    <row r="1072" spans="1:13">
      <c r="D1072" s="1" t="s">
        <v>197</v>
      </c>
      <c r="E1072" s="1" t="s">
        <v>179</v>
      </c>
      <c r="H1072" s="1" t="s">
        <v>22</v>
      </c>
      <c r="I1072" s="1" t="s">
        <v>23</v>
      </c>
      <c r="L1072" s="1">
        <v>1</v>
      </c>
      <c r="M1072" s="1">
        <v>10000</v>
      </c>
    </row>
    <row r="1073" spans="1:13">
      <c r="D1073" s="1" t="s">
        <v>197</v>
      </c>
      <c r="E1073" s="1" t="s">
        <v>180</v>
      </c>
      <c r="H1073" s="1" t="s">
        <v>181</v>
      </c>
      <c r="I1073" s="1" t="s">
        <v>23</v>
      </c>
      <c r="J1073" s="1">
        <v>1</v>
      </c>
      <c r="K1073" s="1">
        <v>3</v>
      </c>
      <c r="M1073" s="1" t="s">
        <v>182</v>
      </c>
    </row>
    <row r="1074" spans="1:13">
      <c r="D1074" s="1" t="s">
        <v>197</v>
      </c>
      <c r="E1074" s="1" t="s">
        <v>47</v>
      </c>
      <c r="H1074" s="1" t="s">
        <v>25</v>
      </c>
      <c r="I1074" s="1" t="s">
        <v>23</v>
      </c>
      <c r="M1074" s="1" t="b">
        <v>0</v>
      </c>
    </row>
    <row r="1075" spans="1:13">
      <c r="D1075" s="1" t="s">
        <v>197</v>
      </c>
      <c r="E1075" s="1" t="s">
        <v>183</v>
      </c>
      <c r="H1075" s="1" t="s">
        <v>25</v>
      </c>
      <c r="I1075" s="1" t="s">
        <v>23</v>
      </c>
      <c r="M1075" s="1" t="b">
        <v>1</v>
      </c>
    </row>
    <row r="1076" spans="1:13">
      <c r="D1076" s="1" t="s">
        <v>197</v>
      </c>
      <c r="E1076" s="1" t="s">
        <v>189</v>
      </c>
      <c r="H1076" s="1" t="s">
        <v>22</v>
      </c>
      <c r="I1076" s="1" t="s">
        <v>23</v>
      </c>
      <c r="L1076" s="1">
        <v>1</v>
      </c>
      <c r="M1076" s="1">
        <v>1.15E-4</v>
      </c>
    </row>
    <row r="1077" spans="1:13">
      <c r="D1077" s="1" t="s">
        <v>197</v>
      </c>
      <c r="E1077" s="1" t="s">
        <v>112</v>
      </c>
      <c r="F1077" s="1" t="s">
        <v>56</v>
      </c>
      <c r="G1077" s="1" t="s">
        <v>57</v>
      </c>
      <c r="H1077" s="1" t="s">
        <v>22</v>
      </c>
      <c r="I1077" s="1" t="s">
        <v>29</v>
      </c>
      <c r="J1077" s="1">
        <v>4.9312830828271128</v>
      </c>
      <c r="K1077" s="1">
        <v>623.66227223989961</v>
      </c>
      <c r="L1077" s="1">
        <v>50.713895374744951</v>
      </c>
    </row>
    <row r="1078" spans="1:13">
      <c r="D1078" s="1" t="s">
        <v>197</v>
      </c>
      <c r="E1078" s="1" t="s">
        <v>62</v>
      </c>
      <c r="H1078" s="1" t="s">
        <v>63</v>
      </c>
      <c r="I1078" s="1" t="s">
        <v>23</v>
      </c>
      <c r="M1078" s="1">
        <v>1</v>
      </c>
    </row>
    <row r="1079" spans="1:13">
      <c r="D1079" s="1" t="s">
        <v>197</v>
      </c>
      <c r="E1079" s="1" t="s">
        <v>184</v>
      </c>
      <c r="H1079" s="1" t="s">
        <v>22</v>
      </c>
      <c r="I1079" s="1" t="s">
        <v>120</v>
      </c>
      <c r="L1079" s="1">
        <v>1</v>
      </c>
    </row>
    <row r="1080" spans="1:13">
      <c r="D1080" s="1" t="s">
        <v>197</v>
      </c>
      <c r="E1080" s="1" t="s">
        <v>185</v>
      </c>
      <c r="F1080" s="1" t="s">
        <v>176</v>
      </c>
      <c r="G1080" s="1" t="s">
        <v>177</v>
      </c>
      <c r="H1080" s="1" t="s">
        <v>22</v>
      </c>
      <c r="I1080" s="1" t="s">
        <v>65</v>
      </c>
      <c r="L1080" s="1">
        <v>39.370078740157467</v>
      </c>
    </row>
    <row r="1081" spans="1:13">
      <c r="A1081" s="2" t="s">
        <v>1758</v>
      </c>
      <c r="B1081" s="3" t="s">
        <v>1789</v>
      </c>
      <c r="D1081" s="1" t="s">
        <v>197</v>
      </c>
      <c r="E1081" s="1" t="s">
        <v>115</v>
      </c>
      <c r="F1081" s="1" t="s">
        <v>56</v>
      </c>
      <c r="G1081" s="1" t="s">
        <v>57</v>
      </c>
      <c r="H1081" s="1" t="s">
        <v>22</v>
      </c>
      <c r="I1081" s="1" t="s">
        <v>65</v>
      </c>
      <c r="L1081" s="1">
        <v>1.4503773773020921E-4</v>
      </c>
    </row>
    <row r="1082" spans="1:13">
      <c r="D1082" s="1" t="s">
        <v>197</v>
      </c>
      <c r="E1082" s="1" t="s">
        <v>69</v>
      </c>
      <c r="H1082" s="1" t="s">
        <v>25</v>
      </c>
      <c r="I1082" s="1" t="s">
        <v>70</v>
      </c>
    </row>
    <row r="1083" spans="1:13">
      <c r="D1083" s="1" t="s">
        <v>197</v>
      </c>
      <c r="E1083" s="1" t="s">
        <v>186</v>
      </c>
      <c r="H1083" s="1" t="s">
        <v>22</v>
      </c>
      <c r="I1083" s="1" t="s">
        <v>65</v>
      </c>
      <c r="L1083" s="1">
        <v>1</v>
      </c>
    </row>
    <row r="1084" spans="1:13">
      <c r="D1084" s="1" t="s">
        <v>197</v>
      </c>
      <c r="E1084" s="1" t="s">
        <v>71</v>
      </c>
      <c r="F1084" s="1" t="s">
        <v>52</v>
      </c>
      <c r="G1084" s="1" t="s">
        <v>53</v>
      </c>
      <c r="H1084" s="1" t="s">
        <v>22</v>
      </c>
      <c r="I1084" s="1" t="s">
        <v>65</v>
      </c>
      <c r="L1084" s="1">
        <v>7936.6414386555998</v>
      </c>
    </row>
    <row r="1085" spans="1:13">
      <c r="D1085" s="1" t="s">
        <v>197</v>
      </c>
      <c r="E1085" s="1" t="s">
        <v>117</v>
      </c>
      <c r="F1085" s="1" t="s">
        <v>118</v>
      </c>
      <c r="G1085" s="1" t="s">
        <v>119</v>
      </c>
      <c r="H1085" s="1" t="s">
        <v>22</v>
      </c>
      <c r="I1085" s="1" t="s">
        <v>120</v>
      </c>
      <c r="J1085" s="1">
        <v>0</v>
      </c>
      <c r="L1085" s="1">
        <v>2.20462262185</v>
      </c>
    </row>
    <row r="1086" spans="1:13">
      <c r="D1086" s="1" t="s">
        <v>197</v>
      </c>
      <c r="E1086" s="1" t="s">
        <v>123</v>
      </c>
      <c r="F1086" s="1" t="s">
        <v>124</v>
      </c>
      <c r="G1086" s="1" t="s">
        <v>125</v>
      </c>
      <c r="H1086" s="1" t="s">
        <v>22</v>
      </c>
      <c r="I1086" s="1" t="s">
        <v>120</v>
      </c>
      <c r="L1086" s="1">
        <v>35.314666699999997</v>
      </c>
    </row>
    <row r="1087" spans="1:13">
      <c r="D1087" s="1" t="s">
        <v>197</v>
      </c>
      <c r="E1087" s="1" t="s">
        <v>126</v>
      </c>
      <c r="H1087" s="1" t="s">
        <v>22</v>
      </c>
      <c r="I1087" s="1" t="s">
        <v>65</v>
      </c>
      <c r="L1087" s="1">
        <v>1</v>
      </c>
    </row>
    <row r="1088" spans="1:13">
      <c r="D1088" s="1" t="s">
        <v>198</v>
      </c>
      <c r="E1088" s="1" t="s">
        <v>28</v>
      </c>
      <c r="H1088" s="1" t="s">
        <v>22</v>
      </c>
      <c r="I1088" s="1" t="s">
        <v>29</v>
      </c>
      <c r="J1088" s="1">
        <v>34000</v>
      </c>
      <c r="K1088" s="1">
        <v>4300000</v>
      </c>
      <c r="L1088" s="1">
        <v>349660</v>
      </c>
    </row>
    <row r="1089" spans="4:13">
      <c r="D1089" s="1" t="s">
        <v>198</v>
      </c>
      <c r="E1089" s="1" t="s">
        <v>30</v>
      </c>
      <c r="H1089" s="1" t="s">
        <v>22</v>
      </c>
      <c r="I1089" s="1" t="s">
        <v>29</v>
      </c>
      <c r="J1089" s="1">
        <v>-3.94</v>
      </c>
      <c r="K1089" s="1">
        <v>3.66</v>
      </c>
      <c r="L1089" s="1">
        <v>1</v>
      </c>
    </row>
    <row r="1090" spans="4:13">
      <c r="D1090" s="1" t="s">
        <v>198</v>
      </c>
      <c r="E1090" s="1" t="s">
        <v>31</v>
      </c>
      <c r="H1090" s="1" t="s">
        <v>22</v>
      </c>
      <c r="I1090" s="1" t="s">
        <v>29</v>
      </c>
      <c r="J1090" s="1">
        <v>0</v>
      </c>
      <c r="K1090" s="1">
        <v>100</v>
      </c>
      <c r="L1090" s="1">
        <v>1</v>
      </c>
    </row>
    <row r="1091" spans="4:13">
      <c r="D1091" s="1" t="s">
        <v>198</v>
      </c>
      <c r="E1091" s="1" t="s">
        <v>32</v>
      </c>
      <c r="H1091" s="1" t="s">
        <v>22</v>
      </c>
      <c r="I1091" s="1" t="s">
        <v>29</v>
      </c>
      <c r="J1091" s="1">
        <v>-3.94</v>
      </c>
      <c r="K1091" s="1">
        <v>3.66</v>
      </c>
      <c r="L1091" s="1">
        <v>1</v>
      </c>
    </row>
    <row r="1092" spans="4:13">
      <c r="D1092" s="1" t="s">
        <v>198</v>
      </c>
      <c r="E1092" s="1" t="s">
        <v>33</v>
      </c>
      <c r="H1092" s="1" t="s">
        <v>25</v>
      </c>
      <c r="I1092" s="1" t="s">
        <v>23</v>
      </c>
      <c r="M1092" s="1" t="b">
        <v>0</v>
      </c>
    </row>
    <row r="1093" spans="4:13">
      <c r="D1093" s="1" t="s">
        <v>198</v>
      </c>
      <c r="E1093" s="1" t="s">
        <v>34</v>
      </c>
      <c r="F1093" s="1" t="s">
        <v>35</v>
      </c>
      <c r="G1093" s="1" t="s">
        <v>36</v>
      </c>
      <c r="H1093" s="1" t="s">
        <v>22</v>
      </c>
      <c r="I1093" s="1" t="s">
        <v>23</v>
      </c>
      <c r="J1093" s="1">
        <v>-459.67</v>
      </c>
      <c r="K1093" s="1">
        <v>980.32999999999993</v>
      </c>
      <c r="L1093" s="1">
        <v>80.329999999999984</v>
      </c>
      <c r="M1093" s="1">
        <v>67.999999999999943</v>
      </c>
    </row>
    <row r="1094" spans="4:13">
      <c r="D1094" s="1" t="s">
        <v>198</v>
      </c>
      <c r="E1094" s="1" t="s">
        <v>37</v>
      </c>
      <c r="H1094" s="1" t="s">
        <v>25</v>
      </c>
      <c r="I1094" s="1" t="s">
        <v>23</v>
      </c>
      <c r="M1094" s="1" t="b">
        <v>0</v>
      </c>
    </row>
    <row r="1095" spans="4:13">
      <c r="D1095" s="1" t="s">
        <v>198</v>
      </c>
      <c r="E1095" s="1" t="s">
        <v>38</v>
      </c>
      <c r="F1095" s="1" t="s">
        <v>35</v>
      </c>
      <c r="G1095" s="1" t="s">
        <v>36</v>
      </c>
      <c r="H1095" s="1" t="s">
        <v>22</v>
      </c>
      <c r="I1095" s="1" t="s">
        <v>23</v>
      </c>
      <c r="J1095" s="1">
        <v>-99.670000000000016</v>
      </c>
      <c r="K1095" s="1">
        <v>980.32999999999993</v>
      </c>
      <c r="L1095" s="1">
        <v>80.329999999999984</v>
      </c>
      <c r="M1095" s="1">
        <v>13.999999999999943</v>
      </c>
    </row>
    <row r="1096" spans="4:13">
      <c r="D1096" s="1" t="s">
        <v>198</v>
      </c>
      <c r="E1096" s="1" t="s">
        <v>39</v>
      </c>
      <c r="H1096" s="1" t="s">
        <v>25</v>
      </c>
      <c r="I1096" s="1" t="s">
        <v>23</v>
      </c>
      <c r="M1096" s="1" t="b">
        <v>0</v>
      </c>
    </row>
    <row r="1097" spans="4:13">
      <c r="D1097" s="1" t="s">
        <v>198</v>
      </c>
      <c r="E1097" s="1" t="s">
        <v>40</v>
      </c>
      <c r="F1097" s="1" t="s">
        <v>41</v>
      </c>
      <c r="G1097" s="1" t="s">
        <v>42</v>
      </c>
      <c r="H1097" s="1" t="s">
        <v>22</v>
      </c>
      <c r="I1097" s="1" t="s">
        <v>23</v>
      </c>
      <c r="J1097" s="1">
        <v>-900</v>
      </c>
      <c r="K1097" s="1">
        <v>900</v>
      </c>
      <c r="L1097" s="1">
        <v>1.8</v>
      </c>
      <c r="M1097" s="1">
        <v>9</v>
      </c>
    </row>
    <row r="1098" spans="4:13">
      <c r="D1098" s="1" t="s">
        <v>198</v>
      </c>
      <c r="E1098" s="1" t="s">
        <v>43</v>
      </c>
      <c r="H1098" s="1" t="s">
        <v>25</v>
      </c>
      <c r="I1098" s="1" t="s">
        <v>23</v>
      </c>
      <c r="M1098" s="1" t="b">
        <v>0</v>
      </c>
    </row>
    <row r="1099" spans="4:13">
      <c r="D1099" s="1" t="s">
        <v>198</v>
      </c>
      <c r="E1099" s="1" t="s">
        <v>44</v>
      </c>
      <c r="F1099" s="1" t="s">
        <v>45</v>
      </c>
      <c r="G1099" s="1" t="s">
        <v>46</v>
      </c>
      <c r="H1099" s="1" t="s">
        <v>22</v>
      </c>
      <c r="I1099" s="1" t="s">
        <v>23</v>
      </c>
      <c r="J1099" s="1">
        <v>-85.984522757427143</v>
      </c>
      <c r="K1099" s="1">
        <v>8598.4522757427148</v>
      </c>
      <c r="L1099" s="1">
        <v>114.79148749423418</v>
      </c>
      <c r="M1099" s="1">
        <v>128.97678413614071</v>
      </c>
    </row>
    <row r="1100" spans="4:13">
      <c r="D1100" s="1" t="s">
        <v>198</v>
      </c>
      <c r="E1100" s="1" t="s">
        <v>47</v>
      </c>
      <c r="H1100" s="1" t="s">
        <v>25</v>
      </c>
      <c r="I1100" s="1" t="s">
        <v>23</v>
      </c>
      <c r="M1100" s="1" t="b">
        <v>0</v>
      </c>
    </row>
    <row r="1101" spans="4:13">
      <c r="D1101" s="1" t="s">
        <v>198</v>
      </c>
      <c r="E1101" s="1" t="s">
        <v>48</v>
      </c>
      <c r="H1101" s="1" t="s">
        <v>25</v>
      </c>
      <c r="I1101" s="1" t="s">
        <v>23</v>
      </c>
      <c r="M1101" s="1" t="b">
        <v>0</v>
      </c>
    </row>
    <row r="1102" spans="4:13">
      <c r="D1102" s="1" t="s">
        <v>198</v>
      </c>
      <c r="E1102" s="1" t="s">
        <v>49</v>
      </c>
      <c r="H1102" s="1" t="s">
        <v>25</v>
      </c>
      <c r="I1102" s="1" t="s">
        <v>23</v>
      </c>
      <c r="M1102" s="1" t="b">
        <v>0</v>
      </c>
    </row>
    <row r="1103" spans="4:13">
      <c r="D1103" s="1" t="s">
        <v>198</v>
      </c>
      <c r="E1103" s="1" t="s">
        <v>50</v>
      </c>
      <c r="H1103" s="1" t="s">
        <v>25</v>
      </c>
      <c r="I1103" s="1" t="s">
        <v>23</v>
      </c>
      <c r="M1103" s="1" t="b">
        <v>0</v>
      </c>
    </row>
    <row r="1104" spans="4:13">
      <c r="D1104" s="1" t="s">
        <v>198</v>
      </c>
      <c r="E1104" s="1" t="s">
        <v>51</v>
      </c>
      <c r="F1104" s="1" t="s">
        <v>52</v>
      </c>
      <c r="G1104" s="1" t="s">
        <v>53</v>
      </c>
      <c r="H1104" s="1" t="s">
        <v>22</v>
      </c>
      <c r="I1104" s="1" t="s">
        <v>23</v>
      </c>
      <c r="J1104" s="1">
        <v>0</v>
      </c>
      <c r="K1104" s="1">
        <v>7936641438.6555996</v>
      </c>
      <c r="L1104" s="1">
        <v>7936.6414386555998</v>
      </c>
      <c r="M1104" s="1">
        <v>7936.6414386555998</v>
      </c>
    </row>
    <row r="1105" spans="4:13">
      <c r="D1105" s="1" t="s">
        <v>198</v>
      </c>
      <c r="E1105" s="1" t="s">
        <v>54</v>
      </c>
      <c r="H1105" s="1" t="s">
        <v>25</v>
      </c>
      <c r="I1105" s="1" t="s">
        <v>23</v>
      </c>
      <c r="M1105" s="1" t="b">
        <v>0</v>
      </c>
    </row>
    <row r="1106" spans="4:13">
      <c r="D1106" s="1" t="s">
        <v>198</v>
      </c>
      <c r="E1106" s="1" t="s">
        <v>55</v>
      </c>
      <c r="F1106" s="1" t="s">
        <v>56</v>
      </c>
      <c r="G1106" s="1" t="s">
        <v>57</v>
      </c>
      <c r="H1106" s="1" t="s">
        <v>22</v>
      </c>
      <c r="I1106" s="1" t="s">
        <v>23</v>
      </c>
      <c r="J1106" s="1">
        <v>0</v>
      </c>
      <c r="K1106" s="1">
        <v>9427.4529524635982</v>
      </c>
      <c r="L1106" s="1">
        <v>50.713895374744951</v>
      </c>
      <c r="M1106" s="1">
        <v>50.763208205573221</v>
      </c>
    </row>
    <row r="1107" spans="4:13">
      <c r="D1107" s="1" t="s">
        <v>198</v>
      </c>
      <c r="E1107" s="1" t="s">
        <v>58</v>
      </c>
      <c r="H1107" s="1" t="s">
        <v>25</v>
      </c>
      <c r="I1107" s="1" t="s">
        <v>23</v>
      </c>
      <c r="M1107" s="1" t="b">
        <v>0</v>
      </c>
    </row>
    <row r="1108" spans="4:13">
      <c r="D1108" s="1" t="s">
        <v>198</v>
      </c>
      <c r="E1108" s="1" t="s">
        <v>59</v>
      </c>
      <c r="F1108" s="1" t="s">
        <v>60</v>
      </c>
      <c r="G1108" s="1" t="s">
        <v>61</v>
      </c>
      <c r="H1108" s="1" t="s">
        <v>22</v>
      </c>
      <c r="I1108" s="1" t="s">
        <v>23</v>
      </c>
      <c r="J1108" s="1">
        <v>-9.5538358650799999</v>
      </c>
      <c r="K1108" s="1">
        <v>9.5538358650799999</v>
      </c>
      <c r="L1108" s="1">
        <v>0.23884589662700001</v>
      </c>
      <c r="M1108" s="1">
        <v>0.23884589662700001</v>
      </c>
    </row>
    <row r="1109" spans="4:13">
      <c r="D1109" s="1" t="s">
        <v>198</v>
      </c>
      <c r="E1109" s="1" t="s">
        <v>62</v>
      </c>
      <c r="H1109" s="1" t="s">
        <v>63</v>
      </c>
      <c r="I1109" s="1" t="s">
        <v>23</v>
      </c>
      <c r="M1109" s="1">
        <v>1</v>
      </c>
    </row>
    <row r="1110" spans="4:13">
      <c r="D1110" s="1" t="s">
        <v>198</v>
      </c>
      <c r="E1110" s="1" t="s">
        <v>64</v>
      </c>
      <c r="F1110" s="1" t="s">
        <v>35</v>
      </c>
      <c r="G1110" s="1" t="s">
        <v>36</v>
      </c>
      <c r="H1110" s="1" t="s">
        <v>22</v>
      </c>
      <c r="I1110" s="1" t="s">
        <v>65</v>
      </c>
      <c r="J1110" s="1">
        <v>-459.67</v>
      </c>
      <c r="L1110" s="1">
        <v>80.329999999999984</v>
      </c>
    </row>
    <row r="1111" spans="4:13">
      <c r="D1111" s="1" t="s">
        <v>198</v>
      </c>
      <c r="E1111" s="1" t="s">
        <v>66</v>
      </c>
      <c r="F1111" s="1" t="s">
        <v>35</v>
      </c>
      <c r="G1111" s="1" t="s">
        <v>36</v>
      </c>
      <c r="H1111" s="1" t="s">
        <v>22</v>
      </c>
      <c r="I1111" s="1" t="s">
        <v>65</v>
      </c>
      <c r="J1111" s="1">
        <v>-459.67</v>
      </c>
      <c r="L1111" s="1">
        <v>80.329999999999984</v>
      </c>
    </row>
    <row r="1112" spans="4:13">
      <c r="D1112" s="1" t="s">
        <v>198</v>
      </c>
      <c r="E1112" s="1" t="s">
        <v>67</v>
      </c>
      <c r="F1112" s="1" t="s">
        <v>41</v>
      </c>
      <c r="G1112" s="1" t="s">
        <v>42</v>
      </c>
      <c r="H1112" s="1" t="s">
        <v>22</v>
      </c>
      <c r="I1112" s="1" t="s">
        <v>65</v>
      </c>
      <c r="L1112" s="1">
        <v>1.8</v>
      </c>
    </row>
    <row r="1113" spans="4:13">
      <c r="D1113" s="1" t="s">
        <v>198</v>
      </c>
      <c r="E1113" s="1" t="s">
        <v>68</v>
      </c>
      <c r="F1113" s="1" t="s">
        <v>45</v>
      </c>
      <c r="G1113" s="1" t="s">
        <v>46</v>
      </c>
      <c r="H1113" s="1" t="s">
        <v>22</v>
      </c>
      <c r="I1113" s="1" t="s">
        <v>65</v>
      </c>
      <c r="L1113" s="1">
        <v>4.2992261378713571E-4</v>
      </c>
    </row>
    <row r="1114" spans="4:13">
      <c r="D1114" s="1" t="s">
        <v>198</v>
      </c>
      <c r="E1114" s="1" t="s">
        <v>69</v>
      </c>
      <c r="H1114" s="1" t="s">
        <v>25</v>
      </c>
      <c r="I1114" s="1" t="s">
        <v>70</v>
      </c>
    </row>
    <row r="1115" spans="4:13">
      <c r="D1115" s="1" t="s">
        <v>198</v>
      </c>
      <c r="E1115" s="1" t="s">
        <v>71</v>
      </c>
      <c r="F1115" s="1" t="s">
        <v>52</v>
      </c>
      <c r="G1115" s="1" t="s">
        <v>53</v>
      </c>
      <c r="H1115" s="1" t="s">
        <v>22</v>
      </c>
      <c r="I1115" s="1" t="s">
        <v>65</v>
      </c>
      <c r="L1115" s="1">
        <v>7936.6414386555998</v>
      </c>
    </row>
    <row r="1116" spans="4:13">
      <c r="D1116" s="1" t="s">
        <v>198</v>
      </c>
      <c r="E1116" s="1" t="s">
        <v>72</v>
      </c>
      <c r="F1116" s="1" t="s">
        <v>56</v>
      </c>
      <c r="G1116" s="1" t="s">
        <v>57</v>
      </c>
      <c r="H1116" s="1" t="s">
        <v>22</v>
      </c>
      <c r="I1116" s="1" t="s">
        <v>65</v>
      </c>
      <c r="J1116" s="1">
        <v>0</v>
      </c>
      <c r="L1116" s="1">
        <v>14.503773773020921</v>
      </c>
    </row>
    <row r="1117" spans="4:13">
      <c r="D1117" s="1" t="s">
        <v>198</v>
      </c>
      <c r="E1117" s="1" t="s">
        <v>73</v>
      </c>
      <c r="F1117" s="1" t="s">
        <v>60</v>
      </c>
      <c r="G1117" s="1" t="s">
        <v>61</v>
      </c>
      <c r="H1117" s="1" t="s">
        <v>22</v>
      </c>
      <c r="I1117" s="1" t="s">
        <v>65</v>
      </c>
      <c r="L1117" s="1">
        <v>2.38845896627E-4</v>
      </c>
    </row>
    <row r="1118" spans="4:13">
      <c r="D1118" s="1" t="s">
        <v>198</v>
      </c>
      <c r="E1118" s="1" t="s">
        <v>74</v>
      </c>
      <c r="F1118" s="1" t="s">
        <v>75</v>
      </c>
      <c r="G1118" s="1" t="s">
        <v>76</v>
      </c>
      <c r="H1118" s="1" t="s">
        <v>22</v>
      </c>
      <c r="I1118" s="1" t="s">
        <v>65</v>
      </c>
      <c r="J1118" s="1">
        <v>0</v>
      </c>
      <c r="L1118" s="1">
        <v>16.018463521800001</v>
      </c>
    </row>
    <row r="1119" spans="4:13">
      <c r="D1119" s="1" t="s">
        <v>198</v>
      </c>
      <c r="E1119" s="1" t="s">
        <v>77</v>
      </c>
      <c r="H1119" s="1" t="s">
        <v>22</v>
      </c>
      <c r="I1119" s="1" t="s">
        <v>65</v>
      </c>
      <c r="L1119" s="1">
        <v>1</v>
      </c>
    </row>
    <row r="1120" spans="4:13">
      <c r="D1120" s="1" t="s">
        <v>198</v>
      </c>
      <c r="E1120" s="1" t="s">
        <v>78</v>
      </c>
      <c r="H1120" s="1" t="s">
        <v>25</v>
      </c>
      <c r="I1120" s="1" t="s">
        <v>23</v>
      </c>
      <c r="M1120" s="1" t="b">
        <v>0</v>
      </c>
    </row>
    <row r="1121" spans="4:13">
      <c r="D1121" s="1" t="s">
        <v>198</v>
      </c>
      <c r="E1121" s="1" t="s">
        <v>79</v>
      </c>
      <c r="F1121" s="1" t="s">
        <v>75</v>
      </c>
      <c r="G1121" s="1" t="s">
        <v>76</v>
      </c>
      <c r="H1121" s="1" t="s">
        <v>22</v>
      </c>
      <c r="I1121" s="1" t="s">
        <v>23</v>
      </c>
      <c r="J1121" s="1">
        <v>0</v>
      </c>
      <c r="K1121" s="1">
        <v>96.110781130800007</v>
      </c>
      <c r="L1121" s="1">
        <v>16.018463521800001</v>
      </c>
      <c r="M1121" s="1">
        <v>1.6018463521800002</v>
      </c>
    </row>
    <row r="1122" spans="4:13">
      <c r="D1122" s="1" t="s">
        <v>198</v>
      </c>
      <c r="E1122" s="1" t="s">
        <v>80</v>
      </c>
      <c r="H1122" s="1" t="s">
        <v>25</v>
      </c>
      <c r="I1122" s="1" t="s">
        <v>23</v>
      </c>
      <c r="M1122" s="1" t="b">
        <v>0</v>
      </c>
    </row>
    <row r="1123" spans="4:13">
      <c r="D1123" s="1" t="s">
        <v>198</v>
      </c>
      <c r="E1123" s="1" t="s">
        <v>81</v>
      </c>
      <c r="H1123" s="1" t="s">
        <v>25</v>
      </c>
      <c r="I1123" s="1" t="s">
        <v>23</v>
      </c>
      <c r="M1123" s="1" t="b">
        <v>0</v>
      </c>
    </row>
    <row r="1124" spans="4:13">
      <c r="D1124" s="1" t="s">
        <v>198</v>
      </c>
      <c r="E1124" s="1" t="s">
        <v>82</v>
      </c>
      <c r="H1124" s="1" t="s">
        <v>22</v>
      </c>
      <c r="I1124" s="1" t="s">
        <v>23</v>
      </c>
      <c r="J1124" s="1">
        <v>-1</v>
      </c>
      <c r="K1124" s="1">
        <v>3</v>
      </c>
      <c r="L1124" s="1">
        <v>1</v>
      </c>
      <c r="M1124" s="1">
        <v>1.01</v>
      </c>
    </row>
    <row r="1125" spans="4:13">
      <c r="D1125" s="1" t="s">
        <v>199</v>
      </c>
      <c r="E1125" s="1" t="s">
        <v>200</v>
      </c>
      <c r="H1125" s="1" t="s">
        <v>22</v>
      </c>
      <c r="I1125" s="1" t="s">
        <v>23</v>
      </c>
      <c r="L1125" s="1">
        <v>1</v>
      </c>
      <c r="M1125" s="1">
        <v>2</v>
      </c>
    </row>
    <row r="1126" spans="4:13">
      <c r="D1126" s="1" t="s">
        <v>199</v>
      </c>
      <c r="E1126" s="1" t="s">
        <v>201</v>
      </c>
      <c r="H1126" s="1" t="s">
        <v>22</v>
      </c>
      <c r="I1126" s="1" t="s">
        <v>23</v>
      </c>
      <c r="L1126" s="1">
        <v>1</v>
      </c>
      <c r="M1126" s="1">
        <v>1.6</v>
      </c>
    </row>
    <row r="1127" spans="4:13">
      <c r="D1127" s="1" t="s">
        <v>199</v>
      </c>
      <c r="E1127" s="1" t="s">
        <v>202</v>
      </c>
      <c r="H1127" s="1" t="s">
        <v>22</v>
      </c>
      <c r="I1127" s="1" t="s">
        <v>23</v>
      </c>
      <c r="L1127" s="1">
        <v>1</v>
      </c>
      <c r="M1127" s="1">
        <v>0.6002885</v>
      </c>
    </row>
    <row r="1128" spans="4:13">
      <c r="D1128" s="1" t="s">
        <v>199</v>
      </c>
      <c r="E1128" s="1" t="s">
        <v>203</v>
      </c>
      <c r="H1128" s="1" t="s">
        <v>22</v>
      </c>
      <c r="I1128" s="1" t="s">
        <v>23</v>
      </c>
      <c r="L1128" s="1">
        <v>1</v>
      </c>
      <c r="M1128" s="1">
        <v>0.8629445</v>
      </c>
    </row>
    <row r="1129" spans="4:13">
      <c r="D1129" s="1" t="s">
        <v>199</v>
      </c>
      <c r="E1129" s="1" t="s">
        <v>204</v>
      </c>
      <c r="H1129" s="1" t="s">
        <v>22</v>
      </c>
      <c r="I1129" s="1" t="s">
        <v>23</v>
      </c>
      <c r="L1129" s="1">
        <v>1</v>
      </c>
      <c r="M1129" s="1">
        <v>-12.42056193</v>
      </c>
    </row>
    <row r="1130" spans="4:13">
      <c r="D1130" s="1" t="s">
        <v>199</v>
      </c>
      <c r="E1130" s="1" t="s">
        <v>205</v>
      </c>
      <c r="H1130" s="1" t="s">
        <v>22</v>
      </c>
      <c r="I1130" s="1" t="s">
        <v>23</v>
      </c>
      <c r="L1130" s="1">
        <v>1</v>
      </c>
      <c r="M1130" s="1">
        <v>2.783438039</v>
      </c>
    </row>
    <row r="1131" spans="4:13">
      <c r="D1131" s="1" t="s">
        <v>199</v>
      </c>
      <c r="E1131" s="1" t="s">
        <v>206</v>
      </c>
      <c r="H1131" s="1" t="s">
        <v>22</v>
      </c>
      <c r="I1131" s="1" t="s">
        <v>23</v>
      </c>
      <c r="L1131" s="1">
        <v>1</v>
      </c>
      <c r="M1131" s="1">
        <v>0.17545599100000001</v>
      </c>
    </row>
    <row r="1132" spans="4:13">
      <c r="D1132" s="1" t="s">
        <v>199</v>
      </c>
      <c r="E1132" s="1" t="s">
        <v>207</v>
      </c>
      <c r="H1132" s="1" t="s">
        <v>22</v>
      </c>
      <c r="I1132" s="1" t="s">
        <v>23</v>
      </c>
      <c r="L1132" s="1">
        <v>1</v>
      </c>
      <c r="M1132" s="1">
        <v>-3.6437408740000001</v>
      </c>
    </row>
    <row r="1133" spans="4:13">
      <c r="D1133" s="1" t="s">
        <v>199</v>
      </c>
      <c r="E1133" s="1" t="s">
        <v>208</v>
      </c>
      <c r="H1133" s="1" t="s">
        <v>22</v>
      </c>
      <c r="I1133" s="1" t="s">
        <v>23</v>
      </c>
      <c r="L1133" s="1">
        <v>1</v>
      </c>
      <c r="M1133" s="1">
        <v>6.5598567509999999</v>
      </c>
    </row>
    <row r="1134" spans="4:13">
      <c r="D1134" s="1" t="s">
        <v>199</v>
      </c>
      <c r="E1134" s="1" t="s">
        <v>209</v>
      </c>
      <c r="H1134" s="1" t="s">
        <v>22</v>
      </c>
      <c r="I1134" s="1" t="s">
        <v>23</v>
      </c>
      <c r="L1134" s="1">
        <v>1</v>
      </c>
      <c r="M1134" s="1">
        <v>-3.9243080429999999</v>
      </c>
    </row>
    <row r="1135" spans="4:13">
      <c r="D1135" s="1" t="s">
        <v>199</v>
      </c>
      <c r="E1135" s="1" t="s">
        <v>210</v>
      </c>
      <c r="H1135" s="1" t="s">
        <v>22</v>
      </c>
      <c r="I1135" s="1" t="s">
        <v>23</v>
      </c>
      <c r="L1135" s="1">
        <v>1</v>
      </c>
      <c r="M1135" s="1">
        <v>-0.48861480299999999</v>
      </c>
    </row>
    <row r="1136" spans="4:13">
      <c r="D1136" s="1" t="s">
        <v>199</v>
      </c>
      <c r="E1136" s="1" t="s">
        <v>211</v>
      </c>
      <c r="H1136" s="1" t="s">
        <v>22</v>
      </c>
      <c r="I1136" s="1" t="s">
        <v>23</v>
      </c>
      <c r="L1136" s="1">
        <v>1</v>
      </c>
      <c r="M1136" s="1">
        <v>-11.605562819999999</v>
      </c>
    </row>
    <row r="1137" spans="4:13">
      <c r="D1137" s="1" t="s">
        <v>199</v>
      </c>
      <c r="E1137" s="1" t="s">
        <v>212</v>
      </c>
      <c r="H1137" s="1" t="s">
        <v>22</v>
      </c>
      <c r="I1137" s="1" t="s">
        <v>23</v>
      </c>
      <c r="L1137" s="1">
        <v>1</v>
      </c>
      <c r="M1137" s="1">
        <v>-3.6979091359999998</v>
      </c>
    </row>
    <row r="1138" spans="4:13">
      <c r="D1138" s="1" t="s">
        <v>199</v>
      </c>
      <c r="E1138" s="1" t="s">
        <v>213</v>
      </c>
      <c r="H1138" s="1" t="s">
        <v>22</v>
      </c>
      <c r="I1138" s="1" t="s">
        <v>23</v>
      </c>
      <c r="L1138" s="1">
        <v>1</v>
      </c>
      <c r="M1138" s="1">
        <v>53.152108370000001</v>
      </c>
    </row>
    <row r="1139" spans="4:13">
      <c r="D1139" s="1" t="s">
        <v>199</v>
      </c>
      <c r="E1139" s="1" t="s">
        <v>214</v>
      </c>
      <c r="H1139" s="1" t="s">
        <v>22</v>
      </c>
      <c r="I1139" s="1" t="s">
        <v>23</v>
      </c>
      <c r="L1139" s="1">
        <v>1</v>
      </c>
      <c r="M1139" s="1">
        <v>-10.309110649999999</v>
      </c>
    </row>
    <row r="1140" spans="4:13">
      <c r="D1140" s="1" t="s">
        <v>199</v>
      </c>
      <c r="E1140" s="1" t="s">
        <v>215</v>
      </c>
      <c r="H1140" s="1" t="s">
        <v>22</v>
      </c>
      <c r="I1140" s="1" t="s">
        <v>23</v>
      </c>
      <c r="L1140" s="1">
        <v>1</v>
      </c>
      <c r="M1140" s="1">
        <v>12.46470045</v>
      </c>
    </row>
    <row r="1141" spans="4:13">
      <c r="D1141" s="1" t="s">
        <v>199</v>
      </c>
      <c r="E1141" s="1" t="s">
        <v>216</v>
      </c>
      <c r="H1141" s="1" t="s">
        <v>22</v>
      </c>
      <c r="I1141" s="1" t="s">
        <v>23</v>
      </c>
      <c r="L1141" s="1">
        <v>1</v>
      </c>
      <c r="M1141" s="1">
        <v>-19.904975109999999</v>
      </c>
    </row>
    <row r="1142" spans="4:13">
      <c r="D1142" s="1" t="s">
        <v>199</v>
      </c>
      <c r="E1142" s="1" t="s">
        <v>217</v>
      </c>
      <c r="H1142" s="1" t="s">
        <v>22</v>
      </c>
      <c r="I1142" s="1" t="s">
        <v>23</v>
      </c>
      <c r="L1142" s="1">
        <v>1</v>
      </c>
      <c r="M1142" s="1">
        <v>2.693104988</v>
      </c>
    </row>
    <row r="1143" spans="4:13">
      <c r="D1143" s="1" t="s">
        <v>199</v>
      </c>
      <c r="E1143" s="1" t="s">
        <v>218</v>
      </c>
      <c r="H1143" s="1" t="s">
        <v>22</v>
      </c>
      <c r="I1143" s="1" t="s">
        <v>23</v>
      </c>
      <c r="L1143" s="1">
        <v>1</v>
      </c>
      <c r="M1143" s="1">
        <v>-3.3397345189999998</v>
      </c>
    </row>
    <row r="1144" spans="4:13">
      <c r="D1144" s="1" t="s">
        <v>199</v>
      </c>
      <c r="E1144" s="1" t="s">
        <v>219</v>
      </c>
      <c r="H1144" s="1" t="s">
        <v>22</v>
      </c>
      <c r="I1144" s="1" t="s">
        <v>23</v>
      </c>
      <c r="L1144" s="1">
        <v>1</v>
      </c>
      <c r="M1144" s="1">
        <v>56.024511269999998</v>
      </c>
    </row>
    <row r="1145" spans="4:13">
      <c r="D1145" s="1" t="s">
        <v>199</v>
      </c>
      <c r="E1145" s="1" t="s">
        <v>220</v>
      </c>
      <c r="H1145" s="1" t="s">
        <v>22</v>
      </c>
      <c r="I1145" s="1" t="s">
        <v>23</v>
      </c>
      <c r="L1145" s="1">
        <v>1</v>
      </c>
      <c r="M1145" s="1">
        <v>12.4162404</v>
      </c>
    </row>
    <row r="1146" spans="4:13">
      <c r="D1146" s="1" t="s">
        <v>199</v>
      </c>
      <c r="E1146" s="1" t="s">
        <v>221</v>
      </c>
      <c r="H1146" s="1" t="s">
        <v>22</v>
      </c>
      <c r="I1146" s="1" t="s">
        <v>23</v>
      </c>
      <c r="L1146" s="1">
        <v>1</v>
      </c>
      <c r="M1146" s="1">
        <v>-0.37074144399999998</v>
      </c>
    </row>
    <row r="1147" spans="4:13">
      <c r="D1147" s="1" t="s">
        <v>199</v>
      </c>
      <c r="E1147" s="1" t="s">
        <v>222</v>
      </c>
      <c r="H1147" s="1" t="s">
        <v>22</v>
      </c>
      <c r="I1147" s="1" t="s">
        <v>23</v>
      </c>
      <c r="L1147" s="1">
        <v>1</v>
      </c>
      <c r="M1147" s="1">
        <v>-4.853899126</v>
      </c>
    </row>
    <row r="1148" spans="4:13">
      <c r="D1148" s="1" t="s">
        <v>199</v>
      </c>
      <c r="E1148" s="1" t="s">
        <v>223</v>
      </c>
      <c r="H1148" s="1" t="s">
        <v>22</v>
      </c>
      <c r="I1148" s="1" t="s">
        <v>23</v>
      </c>
      <c r="L1148" s="1">
        <v>1</v>
      </c>
      <c r="M1148" s="1">
        <v>-131.75246519999999</v>
      </c>
    </row>
    <row r="1149" spans="4:13">
      <c r="D1149" s="1" t="s">
        <v>199</v>
      </c>
      <c r="E1149" s="1" t="s">
        <v>224</v>
      </c>
      <c r="H1149" s="1" t="s">
        <v>22</v>
      </c>
      <c r="I1149" s="1" t="s">
        <v>23</v>
      </c>
      <c r="L1149" s="1">
        <v>1</v>
      </c>
      <c r="M1149" s="1">
        <v>5.8939846310000004</v>
      </c>
    </row>
    <row r="1150" spans="4:13">
      <c r="D1150" s="1" t="s">
        <v>199</v>
      </c>
      <c r="E1150" s="1" t="s">
        <v>225</v>
      </c>
      <c r="H1150" s="1" t="s">
        <v>22</v>
      </c>
      <c r="I1150" s="1" t="s">
        <v>23</v>
      </c>
      <c r="L1150" s="1">
        <v>1</v>
      </c>
      <c r="M1150" s="1">
        <v>16.722669719999999</v>
      </c>
    </row>
    <row r="1151" spans="4:13">
      <c r="D1151" s="1" t="s">
        <v>199</v>
      </c>
      <c r="E1151" s="1" t="s">
        <v>226</v>
      </c>
      <c r="H1151" s="1" t="s">
        <v>22</v>
      </c>
      <c r="I1151" s="1" t="s">
        <v>23</v>
      </c>
      <c r="L1151" s="1">
        <v>1</v>
      </c>
      <c r="M1151" s="1">
        <v>36.919691919999998</v>
      </c>
    </row>
    <row r="1152" spans="4:13">
      <c r="D1152" s="1" t="s">
        <v>199</v>
      </c>
      <c r="E1152" s="1" t="s">
        <v>227</v>
      </c>
      <c r="H1152" s="1" t="s">
        <v>22</v>
      </c>
      <c r="I1152" s="1" t="s">
        <v>23</v>
      </c>
      <c r="L1152" s="1">
        <v>1</v>
      </c>
      <c r="M1152" s="1">
        <v>15.51352453</v>
      </c>
    </row>
    <row r="1153" spans="4:13">
      <c r="D1153" s="1" t="s">
        <v>199</v>
      </c>
      <c r="E1153" s="1" t="s">
        <v>228</v>
      </c>
      <c r="H1153" s="1" t="s">
        <v>22</v>
      </c>
      <c r="I1153" s="1" t="s">
        <v>23</v>
      </c>
      <c r="L1153" s="1">
        <v>1</v>
      </c>
      <c r="M1153" s="1">
        <v>-136.27810500000001</v>
      </c>
    </row>
    <row r="1154" spans="4:13">
      <c r="D1154" s="1" t="s">
        <v>199</v>
      </c>
      <c r="E1154" s="1" t="s">
        <v>229</v>
      </c>
      <c r="H1154" s="1" t="s">
        <v>22</v>
      </c>
      <c r="I1154" s="1" t="s">
        <v>23</v>
      </c>
      <c r="L1154" s="1">
        <v>1</v>
      </c>
      <c r="M1154" s="1">
        <v>-22.550678550000001</v>
      </c>
    </row>
    <row r="1155" spans="4:13">
      <c r="D1155" s="1" t="s">
        <v>199</v>
      </c>
      <c r="E1155" s="1" t="s">
        <v>230</v>
      </c>
      <c r="H1155" s="1" t="s">
        <v>22</v>
      </c>
      <c r="I1155" s="1" t="s">
        <v>23</v>
      </c>
      <c r="L1155" s="1">
        <v>1</v>
      </c>
      <c r="M1155" s="1">
        <v>9.0278701730000002</v>
      </c>
    </row>
    <row r="1156" spans="4:13">
      <c r="D1156" s="1" t="s">
        <v>199</v>
      </c>
      <c r="E1156" s="1" t="s">
        <v>231</v>
      </c>
      <c r="H1156" s="1" t="s">
        <v>22</v>
      </c>
      <c r="I1156" s="1" t="s">
        <v>23</v>
      </c>
      <c r="L1156" s="1">
        <v>1</v>
      </c>
      <c r="M1156" s="1">
        <v>24.594299190000001</v>
      </c>
    </row>
    <row r="1157" spans="4:13">
      <c r="D1157" s="1" t="s">
        <v>199</v>
      </c>
      <c r="E1157" s="1" t="s">
        <v>232</v>
      </c>
      <c r="H1157" s="1" t="s">
        <v>22</v>
      </c>
      <c r="I1157" s="1" t="s">
        <v>23</v>
      </c>
      <c r="L1157" s="1">
        <v>1</v>
      </c>
      <c r="M1157" s="1">
        <v>277.41246580000001</v>
      </c>
    </row>
    <row r="1158" spans="4:13">
      <c r="D1158" s="1" t="s">
        <v>199</v>
      </c>
      <c r="E1158" s="1" t="s">
        <v>233</v>
      </c>
      <c r="H1158" s="1" t="s">
        <v>22</v>
      </c>
      <c r="I1158" s="1" t="s">
        <v>23</v>
      </c>
      <c r="L1158" s="1">
        <v>1</v>
      </c>
      <c r="M1158" s="1">
        <v>-58.230071729999999</v>
      </c>
    </row>
    <row r="1159" spans="4:13">
      <c r="D1159" s="1" t="s">
        <v>199</v>
      </c>
      <c r="E1159" s="1" t="s">
        <v>234</v>
      </c>
      <c r="H1159" s="1" t="s">
        <v>22</v>
      </c>
      <c r="I1159" s="1" t="s">
        <v>23</v>
      </c>
      <c r="L1159" s="1">
        <v>1</v>
      </c>
      <c r="M1159" s="1">
        <v>-80.460904540000001</v>
      </c>
    </row>
    <row r="1160" spans="4:13">
      <c r="D1160" s="1" t="s">
        <v>199</v>
      </c>
      <c r="E1160" s="1" t="s">
        <v>235</v>
      </c>
      <c r="H1160" s="1" t="s">
        <v>22</v>
      </c>
      <c r="I1160" s="1" t="s">
        <v>23</v>
      </c>
      <c r="L1160" s="1">
        <v>1</v>
      </c>
      <c r="M1160" s="1">
        <v>-94.893821509999995</v>
      </c>
    </row>
    <row r="1161" spans="4:13">
      <c r="D1161" s="1" t="s">
        <v>199</v>
      </c>
      <c r="E1161" s="1" t="s">
        <v>236</v>
      </c>
      <c r="H1161" s="1" t="s">
        <v>22</v>
      </c>
      <c r="I1161" s="1" t="s">
        <v>23</v>
      </c>
      <c r="L1161" s="1">
        <v>1</v>
      </c>
      <c r="M1161" s="1">
        <v>259.0144267</v>
      </c>
    </row>
    <row r="1162" spans="4:13">
      <c r="D1162" s="1" t="s">
        <v>199</v>
      </c>
      <c r="E1162" s="1" t="s">
        <v>237</v>
      </c>
      <c r="H1162" s="1" t="s">
        <v>22</v>
      </c>
      <c r="I1162" s="1" t="s">
        <v>23</v>
      </c>
      <c r="L1162" s="1">
        <v>1</v>
      </c>
      <c r="M1162" s="1">
        <v>16.922274900000001</v>
      </c>
    </row>
    <row r="1163" spans="4:13">
      <c r="D1163" s="1" t="s">
        <v>199</v>
      </c>
      <c r="E1163" s="1" t="s">
        <v>238</v>
      </c>
      <c r="H1163" s="1" t="s">
        <v>22</v>
      </c>
      <c r="I1163" s="1" t="s">
        <v>23</v>
      </c>
      <c r="L1163" s="1">
        <v>1</v>
      </c>
      <c r="M1163" s="1">
        <v>-31.407204199999999</v>
      </c>
    </row>
    <row r="1164" spans="4:13">
      <c r="D1164" s="1" t="s">
        <v>199</v>
      </c>
      <c r="E1164" s="1" t="s">
        <v>239</v>
      </c>
      <c r="H1164" s="1" t="s">
        <v>22</v>
      </c>
      <c r="I1164" s="1" t="s">
        <v>23</v>
      </c>
      <c r="L1164" s="1">
        <v>1</v>
      </c>
      <c r="M1164" s="1">
        <v>-8.3447858670000006</v>
      </c>
    </row>
    <row r="1165" spans="4:13">
      <c r="D1165" s="1" t="s">
        <v>199</v>
      </c>
      <c r="E1165" s="1" t="s">
        <v>240</v>
      </c>
      <c r="H1165" s="1" t="s">
        <v>22</v>
      </c>
      <c r="I1165" s="1" t="s">
        <v>23</v>
      </c>
      <c r="L1165" s="1">
        <v>1</v>
      </c>
      <c r="M1165" s="1">
        <v>-3.9747991649999999</v>
      </c>
    </row>
    <row r="1166" spans="4:13">
      <c r="D1166" s="1" t="s">
        <v>199</v>
      </c>
      <c r="E1166" s="1" t="s">
        <v>241</v>
      </c>
      <c r="H1166" s="1" t="s">
        <v>22</v>
      </c>
      <c r="I1166" s="1" t="s">
        <v>23</v>
      </c>
      <c r="L1166" s="1">
        <v>1</v>
      </c>
      <c r="M1166" s="1">
        <v>-103.190184</v>
      </c>
    </row>
    <row r="1167" spans="4:13">
      <c r="D1167" s="1" t="s">
        <v>199</v>
      </c>
      <c r="E1167" s="1" t="s">
        <v>242</v>
      </c>
      <c r="H1167" s="1" t="s">
        <v>22</v>
      </c>
      <c r="I1167" s="1" t="s">
        <v>23</v>
      </c>
      <c r="L1167" s="1">
        <v>1</v>
      </c>
      <c r="M1167" s="1">
        <v>-400.463347</v>
      </c>
    </row>
    <row r="1168" spans="4:13">
      <c r="D1168" s="1" t="s">
        <v>199</v>
      </c>
      <c r="E1168" s="1" t="s">
        <v>243</v>
      </c>
      <c r="H1168" s="1" t="s">
        <v>22</v>
      </c>
      <c r="I1168" s="1" t="s">
        <v>23</v>
      </c>
      <c r="L1168" s="1">
        <v>1</v>
      </c>
      <c r="M1168" s="1">
        <v>205.150226</v>
      </c>
    </row>
    <row r="1169" spans="4:13">
      <c r="D1169" s="1" t="s">
        <v>199</v>
      </c>
      <c r="E1169" s="1" t="s">
        <v>244</v>
      </c>
      <c r="H1169" s="1" t="s">
        <v>22</v>
      </c>
      <c r="I1169" s="1" t="s">
        <v>23</v>
      </c>
      <c r="L1169" s="1">
        <v>1</v>
      </c>
      <c r="M1169" s="1">
        <v>221.3667519</v>
      </c>
    </row>
    <row r="1170" spans="4:13">
      <c r="D1170" s="1" t="s">
        <v>199</v>
      </c>
      <c r="E1170" s="1" t="s">
        <v>245</v>
      </c>
      <c r="H1170" s="1" t="s">
        <v>22</v>
      </c>
      <c r="I1170" s="1" t="s">
        <v>23</v>
      </c>
      <c r="L1170" s="1">
        <v>1</v>
      </c>
      <c r="M1170" s="1">
        <v>-350.82168130000002</v>
      </c>
    </row>
    <row r="1171" spans="4:13">
      <c r="D1171" s="1" t="s">
        <v>199</v>
      </c>
      <c r="E1171" s="1" t="s">
        <v>246</v>
      </c>
      <c r="H1171" s="1" t="s">
        <v>22</v>
      </c>
      <c r="I1171" s="1" t="s">
        <v>23</v>
      </c>
      <c r="L1171" s="1">
        <v>1</v>
      </c>
      <c r="M1171" s="1">
        <v>4.3645905200000001</v>
      </c>
    </row>
    <row r="1172" spans="4:13">
      <c r="D1172" s="1" t="s">
        <v>199</v>
      </c>
      <c r="E1172" s="1" t="s">
        <v>247</v>
      </c>
      <c r="H1172" s="1" t="s">
        <v>22</v>
      </c>
      <c r="I1172" s="1" t="s">
        <v>23</v>
      </c>
      <c r="L1172" s="1">
        <v>1</v>
      </c>
      <c r="M1172" s="1">
        <v>63.353113569999998</v>
      </c>
    </row>
    <row r="1173" spans="4:13">
      <c r="D1173" s="1" t="s">
        <v>199</v>
      </c>
      <c r="E1173" s="1" t="s">
        <v>248</v>
      </c>
      <c r="H1173" s="1" t="s">
        <v>22</v>
      </c>
      <c r="I1173" s="1" t="s">
        <v>23</v>
      </c>
      <c r="L1173" s="1">
        <v>1</v>
      </c>
      <c r="M1173" s="1">
        <v>36.909636480000003</v>
      </c>
    </row>
    <row r="1174" spans="4:13">
      <c r="D1174" s="1" t="s">
        <v>199</v>
      </c>
      <c r="E1174" s="1" t="s">
        <v>249</v>
      </c>
      <c r="H1174" s="1" t="s">
        <v>22</v>
      </c>
      <c r="I1174" s="1" t="s">
        <v>23</v>
      </c>
      <c r="L1174" s="1">
        <v>1</v>
      </c>
      <c r="M1174" s="1">
        <v>41.061025010000002</v>
      </c>
    </row>
    <row r="1175" spans="4:13">
      <c r="D1175" s="1" t="s">
        <v>199</v>
      </c>
      <c r="E1175" s="1" t="s">
        <v>250</v>
      </c>
      <c r="H1175" s="1" t="s">
        <v>22</v>
      </c>
      <c r="I1175" s="1" t="s">
        <v>23</v>
      </c>
      <c r="L1175" s="1">
        <v>1</v>
      </c>
      <c r="M1175" s="1">
        <v>182.56317490000001</v>
      </c>
    </row>
    <row r="1176" spans="4:13">
      <c r="D1176" s="1" t="s">
        <v>199</v>
      </c>
      <c r="E1176" s="1" t="s">
        <v>251</v>
      </c>
      <c r="H1176" s="1" t="s">
        <v>22</v>
      </c>
      <c r="I1176" s="1" t="s">
        <v>23</v>
      </c>
      <c r="L1176" s="1">
        <v>1</v>
      </c>
      <c r="M1176" s="1">
        <v>396.31889669999998</v>
      </c>
    </row>
    <row r="1177" spans="4:13">
      <c r="D1177" s="1" t="s">
        <v>199</v>
      </c>
      <c r="E1177" s="1" t="s">
        <v>252</v>
      </c>
      <c r="H1177" s="1" t="s">
        <v>22</v>
      </c>
      <c r="I1177" s="1" t="s">
        <v>23</v>
      </c>
      <c r="L1177" s="1">
        <v>1</v>
      </c>
      <c r="M1177" s="1">
        <v>-493.16641870000001</v>
      </c>
    </row>
    <row r="1178" spans="4:13">
      <c r="D1178" s="1" t="s">
        <v>199</v>
      </c>
      <c r="E1178" s="1" t="s">
        <v>253</v>
      </c>
      <c r="H1178" s="1" t="s">
        <v>22</v>
      </c>
      <c r="I1178" s="1" t="s">
        <v>23</v>
      </c>
      <c r="L1178" s="1">
        <v>1</v>
      </c>
      <c r="M1178" s="1">
        <v>368.91798390000002</v>
      </c>
    </row>
    <row r="1179" spans="4:13">
      <c r="D1179" s="1" t="s">
        <v>199</v>
      </c>
      <c r="E1179" s="1" t="s">
        <v>254</v>
      </c>
      <c r="H1179" s="1" t="s">
        <v>22</v>
      </c>
      <c r="I1179" s="1" t="s">
        <v>23</v>
      </c>
      <c r="L1179" s="1">
        <v>1</v>
      </c>
      <c r="M1179" s="1">
        <v>-77.030740679999994</v>
      </c>
    </row>
    <row r="1180" spans="4:13">
      <c r="D1180" s="1" t="s">
        <v>199</v>
      </c>
      <c r="E1180" s="1" t="s">
        <v>255</v>
      </c>
      <c r="H1180" s="1" t="s">
        <v>22</v>
      </c>
      <c r="I1180" s="1" t="s">
        <v>23</v>
      </c>
      <c r="L1180" s="1">
        <v>1</v>
      </c>
      <c r="M1180" s="1">
        <v>-75.54827847</v>
      </c>
    </row>
    <row r="1181" spans="4:13">
      <c r="D1181" s="1" t="s">
        <v>199</v>
      </c>
      <c r="E1181" s="1" t="s">
        <v>256</v>
      </c>
      <c r="H1181" s="1" t="s">
        <v>22</v>
      </c>
      <c r="I1181" s="1" t="s">
        <v>23</v>
      </c>
      <c r="L1181" s="1">
        <v>1</v>
      </c>
      <c r="M1181" s="1">
        <v>-84.493516130000003</v>
      </c>
    </row>
    <row r="1182" spans="4:13">
      <c r="D1182" s="1" t="s">
        <v>199</v>
      </c>
      <c r="E1182" s="1" t="s">
        <v>257</v>
      </c>
      <c r="H1182" s="1" t="s">
        <v>22</v>
      </c>
      <c r="I1182" s="1" t="s">
        <v>23</v>
      </c>
      <c r="L1182" s="1">
        <v>1</v>
      </c>
      <c r="M1182" s="1">
        <v>-3.7813646369999998</v>
      </c>
    </row>
    <row r="1183" spans="4:13">
      <c r="D1183" s="1" t="s">
        <v>199</v>
      </c>
      <c r="E1183" s="1" t="s">
        <v>258</v>
      </c>
      <c r="H1183" s="1" t="s">
        <v>22</v>
      </c>
      <c r="I1183" s="1" t="s">
        <v>23</v>
      </c>
      <c r="L1183" s="1">
        <v>1</v>
      </c>
      <c r="M1183" s="1">
        <v>-10.63279651</v>
      </c>
    </row>
    <row r="1184" spans="4:13">
      <c r="D1184" s="1" t="s">
        <v>199</v>
      </c>
      <c r="E1184" s="1" t="s">
        <v>259</v>
      </c>
      <c r="H1184" s="1" t="s">
        <v>22</v>
      </c>
      <c r="I1184" s="1" t="s">
        <v>23</v>
      </c>
      <c r="L1184" s="1">
        <v>1</v>
      </c>
      <c r="M1184" s="1">
        <v>-93.361319949999995</v>
      </c>
    </row>
    <row r="1185" spans="4:13">
      <c r="D1185" s="1" t="s">
        <v>199</v>
      </c>
      <c r="E1185" s="1" t="s">
        <v>260</v>
      </c>
      <c r="H1185" s="1" t="s">
        <v>22</v>
      </c>
      <c r="I1185" s="1" t="s">
        <v>23</v>
      </c>
      <c r="L1185" s="1">
        <v>1</v>
      </c>
      <c r="M1185" s="1">
        <v>-170.49056529999999</v>
      </c>
    </row>
    <row r="1186" spans="4:13">
      <c r="D1186" s="1" t="s">
        <v>199</v>
      </c>
      <c r="E1186" s="1" t="s">
        <v>261</v>
      </c>
      <c r="H1186" s="1" t="s">
        <v>22</v>
      </c>
      <c r="I1186" s="1" t="s">
        <v>23</v>
      </c>
      <c r="L1186" s="1">
        <v>1</v>
      </c>
      <c r="M1186" s="1">
        <v>-150.4916863</v>
      </c>
    </row>
    <row r="1187" spans="4:13">
      <c r="D1187" s="1" t="s">
        <v>199</v>
      </c>
      <c r="E1187" s="1" t="s">
        <v>262</v>
      </c>
      <c r="H1187" s="1" t="s">
        <v>22</v>
      </c>
      <c r="I1187" s="1" t="s">
        <v>23</v>
      </c>
      <c r="L1187" s="1">
        <v>1</v>
      </c>
      <c r="M1187" s="1">
        <v>-116.06465439999999</v>
      </c>
    </row>
    <row r="1188" spans="4:13">
      <c r="D1188" s="1" t="s">
        <v>199</v>
      </c>
      <c r="E1188" s="1" t="s">
        <v>263</v>
      </c>
      <c r="H1188" s="1" t="s">
        <v>22</v>
      </c>
      <c r="I1188" s="1" t="s">
        <v>23</v>
      </c>
      <c r="L1188" s="1">
        <v>1</v>
      </c>
      <c r="M1188" s="1">
        <v>238.43280240000001</v>
      </c>
    </row>
    <row r="1189" spans="4:13">
      <c r="D1189" s="1" t="s">
        <v>199</v>
      </c>
      <c r="E1189" s="1" t="s">
        <v>264</v>
      </c>
      <c r="H1189" s="1" t="s">
        <v>22</v>
      </c>
      <c r="I1189" s="1" t="s">
        <v>23</v>
      </c>
      <c r="L1189" s="1">
        <v>1</v>
      </c>
      <c r="M1189" s="1">
        <v>36.213737770000002</v>
      </c>
    </row>
    <row r="1190" spans="4:13">
      <c r="D1190" s="1" t="s">
        <v>199</v>
      </c>
      <c r="E1190" s="1" t="s">
        <v>265</v>
      </c>
      <c r="H1190" s="1" t="s">
        <v>22</v>
      </c>
      <c r="I1190" s="1" t="s">
        <v>23</v>
      </c>
      <c r="L1190" s="1">
        <v>1</v>
      </c>
      <c r="M1190" s="1">
        <v>118.7226658</v>
      </c>
    </row>
    <row r="1191" spans="4:13">
      <c r="D1191" s="1" t="s">
        <v>199</v>
      </c>
      <c r="E1191" s="1" t="s">
        <v>266</v>
      </c>
      <c r="H1191" s="1" t="s">
        <v>22</v>
      </c>
      <c r="I1191" s="1" t="s">
        <v>23</v>
      </c>
      <c r="L1191" s="1">
        <v>1</v>
      </c>
      <c r="M1191" s="1">
        <v>15.10199843</v>
      </c>
    </row>
    <row r="1192" spans="4:13">
      <c r="D1192" s="1" t="s">
        <v>199</v>
      </c>
      <c r="E1192" s="1" t="s">
        <v>267</v>
      </c>
      <c r="H1192" s="1" t="s">
        <v>22</v>
      </c>
      <c r="I1192" s="1" t="s">
        <v>23</v>
      </c>
      <c r="L1192" s="1">
        <v>1</v>
      </c>
      <c r="M1192" s="1">
        <v>42.514370139999997</v>
      </c>
    </row>
    <row r="1193" spans="4:13">
      <c r="D1193" s="1" t="s">
        <v>199</v>
      </c>
      <c r="E1193" s="1" t="s">
        <v>268</v>
      </c>
      <c r="H1193" s="1" t="s">
        <v>22</v>
      </c>
      <c r="I1193" s="1" t="s">
        <v>23</v>
      </c>
      <c r="L1193" s="1">
        <v>1</v>
      </c>
      <c r="M1193" s="1">
        <v>107.5914464</v>
      </c>
    </row>
    <row r="1194" spans="4:13">
      <c r="D1194" s="1" t="s">
        <v>199</v>
      </c>
      <c r="E1194" s="1" t="s">
        <v>269</v>
      </c>
      <c r="H1194" s="1" t="s">
        <v>22</v>
      </c>
      <c r="I1194" s="1" t="s">
        <v>23</v>
      </c>
      <c r="L1194" s="1">
        <v>1</v>
      </c>
      <c r="M1194" s="1">
        <v>-51.049708600000002</v>
      </c>
    </row>
    <row r="1195" spans="4:13">
      <c r="D1195" s="1" t="s">
        <v>199</v>
      </c>
      <c r="E1195" s="1" t="s">
        <v>270</v>
      </c>
      <c r="H1195" s="1" t="s">
        <v>22</v>
      </c>
      <c r="I1195" s="1" t="s">
        <v>23</v>
      </c>
      <c r="L1195" s="1">
        <v>1</v>
      </c>
      <c r="M1195" s="1">
        <v>744.45374149999998</v>
      </c>
    </row>
    <row r="1196" spans="4:13">
      <c r="D1196" s="1" t="s">
        <v>199</v>
      </c>
      <c r="E1196" s="1" t="s">
        <v>271</v>
      </c>
      <c r="H1196" s="1" t="s">
        <v>22</v>
      </c>
      <c r="I1196" s="1" t="s">
        <v>23</v>
      </c>
      <c r="L1196" s="1">
        <v>1</v>
      </c>
      <c r="M1196" s="1">
        <v>-714.5962207</v>
      </c>
    </row>
    <row r="1197" spans="4:13">
      <c r="D1197" s="1" t="s">
        <v>199</v>
      </c>
      <c r="E1197" s="1" t="s">
        <v>272</v>
      </c>
      <c r="H1197" s="1" t="s">
        <v>22</v>
      </c>
      <c r="I1197" s="1" t="s">
        <v>23</v>
      </c>
      <c r="L1197" s="1">
        <v>1</v>
      </c>
      <c r="M1197" s="1">
        <v>22.525111880000001</v>
      </c>
    </row>
    <row r="1198" spans="4:13">
      <c r="D1198" s="1" t="s">
        <v>199</v>
      </c>
      <c r="E1198" s="1" t="s">
        <v>273</v>
      </c>
      <c r="H1198" s="1" t="s">
        <v>22</v>
      </c>
      <c r="I1198" s="1" t="s">
        <v>23</v>
      </c>
      <c r="L1198" s="1">
        <v>1</v>
      </c>
      <c r="M1198" s="1">
        <v>-83.576441439999996</v>
      </c>
    </row>
    <row r="1199" spans="4:13">
      <c r="D1199" s="1" t="s">
        <v>199</v>
      </c>
      <c r="E1199" s="1" t="s">
        <v>274</v>
      </c>
      <c r="H1199" s="1" t="s">
        <v>22</v>
      </c>
      <c r="I1199" s="1" t="s">
        <v>23</v>
      </c>
      <c r="L1199" s="1">
        <v>1</v>
      </c>
      <c r="M1199" s="1">
        <v>-12.98305794</v>
      </c>
    </row>
    <row r="1200" spans="4:13">
      <c r="D1200" s="1" t="s">
        <v>199</v>
      </c>
      <c r="E1200" s="1" t="s">
        <v>275</v>
      </c>
      <c r="H1200" s="1" t="s">
        <v>22</v>
      </c>
      <c r="I1200" s="1" t="s">
        <v>23</v>
      </c>
      <c r="L1200" s="1">
        <v>1</v>
      </c>
      <c r="M1200" s="1">
        <v>-2.5960788340000001</v>
      </c>
    </row>
    <row r="1201" spans="4:13">
      <c r="D1201" s="1" t="s">
        <v>199</v>
      </c>
      <c r="E1201" s="1" t="s">
        <v>276</v>
      </c>
      <c r="H1201" s="1" t="s">
        <v>22</v>
      </c>
      <c r="I1201" s="1" t="s">
        <v>23</v>
      </c>
      <c r="L1201" s="1">
        <v>1</v>
      </c>
      <c r="M1201" s="1">
        <v>-9.9775272729999998</v>
      </c>
    </row>
    <row r="1202" spans="4:13">
      <c r="D1202" s="1" t="s">
        <v>199</v>
      </c>
      <c r="E1202" s="1" t="s">
        <v>277</v>
      </c>
      <c r="H1202" s="1" t="s">
        <v>22</v>
      </c>
      <c r="I1202" s="1" t="s">
        <v>23</v>
      </c>
      <c r="L1202" s="1">
        <v>1</v>
      </c>
      <c r="M1202" s="1">
        <v>-76.519942319999998</v>
      </c>
    </row>
    <row r="1203" spans="4:13">
      <c r="D1203" s="1" t="s">
        <v>199</v>
      </c>
      <c r="E1203" s="1" t="s">
        <v>278</v>
      </c>
      <c r="H1203" s="1" t="s">
        <v>22</v>
      </c>
      <c r="I1203" s="1" t="s">
        <v>23</v>
      </c>
      <c r="L1203" s="1">
        <v>1</v>
      </c>
      <c r="M1203" s="1">
        <v>13.208672679999999</v>
      </c>
    </row>
    <row r="1204" spans="4:13">
      <c r="D1204" s="1" t="s">
        <v>199</v>
      </c>
      <c r="E1204" s="1" t="s">
        <v>279</v>
      </c>
      <c r="H1204" s="1" t="s">
        <v>22</v>
      </c>
      <c r="I1204" s="1" t="s">
        <v>23</v>
      </c>
      <c r="L1204" s="1">
        <v>1</v>
      </c>
      <c r="M1204" s="1">
        <v>-493.60278440000002</v>
      </c>
    </row>
    <row r="1205" spans="4:13">
      <c r="D1205" s="1" t="s">
        <v>199</v>
      </c>
      <c r="E1205" s="1" t="s">
        <v>280</v>
      </c>
      <c r="H1205" s="1" t="s">
        <v>22</v>
      </c>
      <c r="I1205" s="1" t="s">
        <v>23</v>
      </c>
      <c r="L1205" s="1">
        <v>1</v>
      </c>
      <c r="M1205" s="1">
        <v>359.44746800000001</v>
      </c>
    </row>
    <row r="1206" spans="4:13">
      <c r="D1206" s="1" t="s">
        <v>199</v>
      </c>
      <c r="E1206" s="1" t="s">
        <v>281</v>
      </c>
      <c r="H1206" s="1" t="s">
        <v>22</v>
      </c>
      <c r="I1206" s="1" t="s">
        <v>23</v>
      </c>
      <c r="L1206" s="1">
        <v>1</v>
      </c>
      <c r="M1206" s="1">
        <v>203.8431616</v>
      </c>
    </row>
    <row r="1207" spans="4:13">
      <c r="D1207" s="1" t="s">
        <v>199</v>
      </c>
      <c r="E1207" s="1" t="s">
        <v>282</v>
      </c>
      <c r="H1207" s="1" t="s">
        <v>22</v>
      </c>
      <c r="I1207" s="1" t="s">
        <v>23</v>
      </c>
      <c r="L1207" s="1">
        <v>1</v>
      </c>
      <c r="M1207" s="1">
        <v>-8.0153048309999999</v>
      </c>
    </row>
    <row r="1208" spans="4:13">
      <c r="D1208" s="1" t="s">
        <v>199</v>
      </c>
      <c r="E1208" s="1" t="s">
        <v>283</v>
      </c>
      <c r="H1208" s="1" t="s">
        <v>22</v>
      </c>
      <c r="I1208" s="1" t="s">
        <v>23</v>
      </c>
      <c r="L1208" s="1">
        <v>1</v>
      </c>
      <c r="M1208" s="1">
        <v>-39.255992280000001</v>
      </c>
    </row>
    <row r="1209" spans="4:13">
      <c r="D1209" s="1" t="s">
        <v>199</v>
      </c>
      <c r="E1209" s="1" t="s">
        <v>284</v>
      </c>
      <c r="H1209" s="1" t="s">
        <v>22</v>
      </c>
      <c r="I1209" s="1" t="s">
        <v>23</v>
      </c>
      <c r="L1209" s="1">
        <v>1</v>
      </c>
      <c r="M1209" s="1">
        <v>0.14376508499999999</v>
      </c>
    </row>
    <row r="1210" spans="4:13">
      <c r="D1210" s="1" t="s">
        <v>199</v>
      </c>
      <c r="E1210" s="1" t="s">
        <v>285</v>
      </c>
      <c r="H1210" s="1" t="s">
        <v>22</v>
      </c>
      <c r="I1210" s="1" t="s">
        <v>23</v>
      </c>
      <c r="L1210" s="1">
        <v>1</v>
      </c>
      <c r="M1210" s="1">
        <v>31.511118150000001</v>
      </c>
    </row>
    <row r="1211" spans="4:13">
      <c r="D1211" s="1" t="s">
        <v>199</v>
      </c>
      <c r="E1211" s="1" t="s">
        <v>286</v>
      </c>
      <c r="H1211" s="1" t="s">
        <v>22</v>
      </c>
      <c r="I1211" s="1" t="s">
        <v>23</v>
      </c>
      <c r="L1211" s="1">
        <v>1</v>
      </c>
      <c r="M1211" s="1">
        <v>51.612682110000002</v>
      </c>
    </row>
    <row r="1212" spans="4:13">
      <c r="D1212" s="1" t="s">
        <v>199</v>
      </c>
      <c r="E1212" s="1" t="s">
        <v>287</v>
      </c>
      <c r="H1212" s="1" t="s">
        <v>22</v>
      </c>
      <c r="I1212" s="1" t="s">
        <v>23</v>
      </c>
      <c r="L1212" s="1">
        <v>1</v>
      </c>
      <c r="M1212" s="1">
        <v>476.26315010000002</v>
      </c>
    </row>
    <row r="1213" spans="4:13">
      <c r="D1213" s="1" t="s">
        <v>199</v>
      </c>
      <c r="E1213" s="1" t="s">
        <v>288</v>
      </c>
      <c r="H1213" s="1" t="s">
        <v>22</v>
      </c>
      <c r="I1213" s="1" t="s">
        <v>23</v>
      </c>
      <c r="L1213" s="1">
        <v>1</v>
      </c>
      <c r="M1213" s="1">
        <v>-677.71774679999999</v>
      </c>
    </row>
    <row r="1214" spans="4:13">
      <c r="D1214" s="1" t="s">
        <v>199</v>
      </c>
      <c r="E1214" s="1" t="s">
        <v>289</v>
      </c>
      <c r="H1214" s="1" t="s">
        <v>22</v>
      </c>
      <c r="I1214" s="1" t="s">
        <v>23</v>
      </c>
      <c r="L1214" s="1">
        <v>1</v>
      </c>
      <c r="M1214" s="1">
        <v>168.4614938</v>
      </c>
    </row>
    <row r="1215" spans="4:13">
      <c r="D1215" s="1" t="s">
        <v>199</v>
      </c>
      <c r="E1215" s="1" t="s">
        <v>290</v>
      </c>
      <c r="H1215" s="1" t="s">
        <v>22</v>
      </c>
      <c r="I1215" s="1" t="s">
        <v>23</v>
      </c>
      <c r="L1215" s="1">
        <v>1</v>
      </c>
      <c r="M1215" s="1">
        <v>-124.3457523</v>
      </c>
    </row>
    <row r="1216" spans="4:13">
      <c r="D1216" s="1" t="s">
        <v>199</v>
      </c>
      <c r="E1216" s="1" t="s">
        <v>291</v>
      </c>
      <c r="H1216" s="1" t="s">
        <v>22</v>
      </c>
      <c r="I1216" s="1" t="s">
        <v>23</v>
      </c>
      <c r="L1216" s="1">
        <v>1</v>
      </c>
      <c r="M1216" s="1">
        <v>131.5600981</v>
      </c>
    </row>
    <row r="1217" spans="4:13">
      <c r="D1217" s="1" t="s">
        <v>199</v>
      </c>
      <c r="E1217" s="1" t="s">
        <v>292</v>
      </c>
      <c r="H1217" s="1" t="s">
        <v>22</v>
      </c>
      <c r="I1217" s="1" t="s">
        <v>23</v>
      </c>
      <c r="L1217" s="1">
        <v>1</v>
      </c>
      <c r="M1217" s="1">
        <v>24.317312569999999</v>
      </c>
    </row>
    <row r="1218" spans="4:13">
      <c r="D1218" s="1" t="s">
        <v>199</v>
      </c>
      <c r="E1218" s="1" t="s">
        <v>293</v>
      </c>
      <c r="H1218" s="1" t="s">
        <v>22</v>
      </c>
      <c r="I1218" s="1" t="s">
        <v>23</v>
      </c>
      <c r="L1218" s="1">
        <v>1</v>
      </c>
      <c r="M1218" s="1">
        <v>0.74103766999999998</v>
      </c>
    </row>
    <row r="1219" spans="4:13">
      <c r="D1219" s="1" t="s">
        <v>199</v>
      </c>
      <c r="E1219" s="1" t="s">
        <v>294</v>
      </c>
      <c r="H1219" s="1" t="s">
        <v>22</v>
      </c>
      <c r="I1219" s="1" t="s">
        <v>23</v>
      </c>
      <c r="L1219" s="1">
        <v>1</v>
      </c>
      <c r="M1219" s="1">
        <v>-4.0320341519999996</v>
      </c>
    </row>
    <row r="1220" spans="4:13">
      <c r="D1220" s="1" t="s">
        <v>199</v>
      </c>
      <c r="E1220" s="1" t="s">
        <v>295</v>
      </c>
      <c r="H1220" s="1" t="s">
        <v>22</v>
      </c>
      <c r="I1220" s="1" t="s">
        <v>23</v>
      </c>
      <c r="L1220" s="1">
        <v>1</v>
      </c>
      <c r="M1220" s="1">
        <v>-40.666454590000001</v>
      </c>
    </row>
    <row r="1221" spans="4:13">
      <c r="D1221" s="1" t="s">
        <v>199</v>
      </c>
      <c r="E1221" s="1" t="s">
        <v>296</v>
      </c>
      <c r="H1221" s="1" t="s">
        <v>22</v>
      </c>
      <c r="I1221" s="1" t="s">
        <v>23</v>
      </c>
      <c r="L1221" s="1">
        <v>1</v>
      </c>
      <c r="M1221" s="1">
        <v>-461.83214980000002</v>
      </c>
    </row>
    <row r="1222" spans="4:13">
      <c r="D1222" s="1" t="s">
        <v>199</v>
      </c>
      <c r="E1222" s="1" t="s">
        <v>297</v>
      </c>
      <c r="H1222" s="1" t="s">
        <v>22</v>
      </c>
      <c r="I1222" s="1" t="s">
        <v>23</v>
      </c>
      <c r="L1222" s="1">
        <v>1</v>
      </c>
      <c r="M1222" s="1">
        <v>607.21877549999999</v>
      </c>
    </row>
    <row r="1223" spans="4:13">
      <c r="D1223" s="1" t="s">
        <v>199</v>
      </c>
      <c r="E1223" s="1" t="s">
        <v>298</v>
      </c>
      <c r="H1223" s="1" t="s">
        <v>22</v>
      </c>
      <c r="I1223" s="1" t="s">
        <v>23</v>
      </c>
      <c r="L1223" s="1">
        <v>1</v>
      </c>
      <c r="M1223" s="1">
        <v>94.007734139999997</v>
      </c>
    </row>
    <row r="1224" spans="4:13">
      <c r="D1224" s="1" t="s">
        <v>199</v>
      </c>
      <c r="E1224" s="1" t="s">
        <v>299</v>
      </c>
      <c r="H1224" s="1" t="s">
        <v>22</v>
      </c>
      <c r="I1224" s="1" t="s">
        <v>23</v>
      </c>
      <c r="L1224" s="1">
        <v>1</v>
      </c>
      <c r="M1224" s="1">
        <v>-148.75361609999999</v>
      </c>
    </row>
    <row r="1225" spans="4:13">
      <c r="D1225" s="1" t="s">
        <v>199</v>
      </c>
      <c r="E1225" s="1" t="s">
        <v>300</v>
      </c>
      <c r="H1225" s="1" t="s">
        <v>22</v>
      </c>
      <c r="I1225" s="1" t="s">
        <v>23</v>
      </c>
      <c r="L1225" s="1">
        <v>1</v>
      </c>
      <c r="M1225" s="1">
        <v>-57.154009170000002</v>
      </c>
    </row>
    <row r="1226" spans="4:13">
      <c r="D1226" s="1" t="s">
        <v>199</v>
      </c>
      <c r="E1226" s="1" t="s">
        <v>301</v>
      </c>
      <c r="H1226" s="1" t="s">
        <v>22</v>
      </c>
      <c r="I1226" s="1" t="s">
        <v>23</v>
      </c>
      <c r="L1226" s="1">
        <v>1</v>
      </c>
      <c r="M1226" s="1">
        <v>-65.994916669999995</v>
      </c>
    </row>
    <row r="1227" spans="4:13">
      <c r="D1227" s="1" t="s">
        <v>199</v>
      </c>
      <c r="E1227" s="1" t="s">
        <v>302</v>
      </c>
      <c r="H1227" s="1" t="s">
        <v>22</v>
      </c>
      <c r="I1227" s="1" t="s">
        <v>23</v>
      </c>
      <c r="L1227" s="1">
        <v>1</v>
      </c>
      <c r="M1227" s="1">
        <v>-7.7566634509999997</v>
      </c>
    </row>
    <row r="1228" spans="4:13">
      <c r="D1228" s="1" t="s">
        <v>199</v>
      </c>
      <c r="E1228" s="1" t="s">
        <v>303</v>
      </c>
      <c r="H1228" s="1" t="s">
        <v>22</v>
      </c>
      <c r="I1228" s="1" t="s">
        <v>23</v>
      </c>
      <c r="L1228" s="1">
        <v>1</v>
      </c>
      <c r="M1228" s="1">
        <v>11.86050234</v>
      </c>
    </row>
    <row r="1229" spans="4:13">
      <c r="D1229" s="1" t="s">
        <v>199</v>
      </c>
      <c r="E1229" s="1" t="s">
        <v>304</v>
      </c>
      <c r="H1229" s="1" t="s">
        <v>22</v>
      </c>
      <c r="I1229" s="1" t="s">
        <v>23</v>
      </c>
      <c r="L1229" s="1">
        <v>1</v>
      </c>
      <c r="M1229" s="1">
        <v>318.51040890000002</v>
      </c>
    </row>
    <row r="1230" spans="4:13">
      <c r="D1230" s="1" t="s">
        <v>199</v>
      </c>
      <c r="E1230" s="1" t="s">
        <v>305</v>
      </c>
      <c r="H1230" s="1" t="s">
        <v>22</v>
      </c>
      <c r="I1230" s="1" t="s">
        <v>23</v>
      </c>
      <c r="L1230" s="1">
        <v>1</v>
      </c>
      <c r="M1230" s="1">
        <v>-377.2452467</v>
      </c>
    </row>
    <row r="1231" spans="4:13">
      <c r="D1231" s="1" t="s">
        <v>199</v>
      </c>
      <c r="E1231" s="1" t="s">
        <v>306</v>
      </c>
      <c r="H1231" s="1" t="s">
        <v>22</v>
      </c>
      <c r="I1231" s="1" t="s">
        <v>23</v>
      </c>
      <c r="L1231" s="1">
        <v>1</v>
      </c>
      <c r="M1231" s="1">
        <v>-104.4268855</v>
      </c>
    </row>
    <row r="1232" spans="4:13">
      <c r="D1232" s="1" t="s">
        <v>199</v>
      </c>
      <c r="E1232" s="1" t="s">
        <v>307</v>
      </c>
      <c r="H1232" s="1" t="s">
        <v>22</v>
      </c>
      <c r="I1232" s="1" t="s">
        <v>23</v>
      </c>
      <c r="L1232" s="1">
        <v>1</v>
      </c>
      <c r="M1232" s="1">
        <v>-65.635006419999996</v>
      </c>
    </row>
    <row r="1233" spans="4:13">
      <c r="D1233" s="1" t="s">
        <v>199</v>
      </c>
      <c r="E1233" s="1" t="s">
        <v>308</v>
      </c>
      <c r="H1233" s="1" t="s">
        <v>22</v>
      </c>
      <c r="I1233" s="1" t="s">
        <v>23</v>
      </c>
      <c r="L1233" s="1">
        <v>1</v>
      </c>
      <c r="M1233" s="1">
        <v>228.38567380000001</v>
      </c>
    </row>
    <row r="1234" spans="4:13">
      <c r="D1234" s="1" t="s">
        <v>199</v>
      </c>
      <c r="E1234" s="1" t="s">
        <v>309</v>
      </c>
      <c r="H1234" s="1" t="s">
        <v>22</v>
      </c>
      <c r="I1234" s="1" t="s">
        <v>23</v>
      </c>
      <c r="L1234" s="1">
        <v>1</v>
      </c>
      <c r="M1234" s="1">
        <v>14.29200309</v>
      </c>
    </row>
    <row r="1235" spans="4:13">
      <c r="D1235" s="1" t="s">
        <v>199</v>
      </c>
      <c r="E1235" s="1" t="s">
        <v>310</v>
      </c>
      <c r="H1235" s="1" t="s">
        <v>22</v>
      </c>
      <c r="I1235" s="1" t="s">
        <v>23</v>
      </c>
      <c r="L1235" s="1">
        <v>1</v>
      </c>
      <c r="M1235" s="1">
        <v>17.443689639999999</v>
      </c>
    </row>
    <row r="1236" spans="4:13">
      <c r="D1236" s="1" t="s">
        <v>199</v>
      </c>
      <c r="E1236" s="1" t="s">
        <v>311</v>
      </c>
      <c r="H1236" s="1" t="s">
        <v>22</v>
      </c>
      <c r="I1236" s="1" t="s">
        <v>23</v>
      </c>
      <c r="L1236" s="1">
        <v>1</v>
      </c>
      <c r="M1236" s="1">
        <v>0.84165598600000002</v>
      </c>
    </row>
    <row r="1237" spans="4:13">
      <c r="D1237" s="1" t="s">
        <v>199</v>
      </c>
      <c r="E1237" s="1" t="s">
        <v>312</v>
      </c>
      <c r="H1237" s="1" t="s">
        <v>22</v>
      </c>
      <c r="I1237" s="1" t="s">
        <v>23</v>
      </c>
      <c r="L1237" s="1">
        <v>1</v>
      </c>
      <c r="M1237" s="1">
        <v>-3.4751676480000002</v>
      </c>
    </row>
    <row r="1238" spans="4:13">
      <c r="D1238" s="1" t="s">
        <v>199</v>
      </c>
      <c r="E1238" s="1" t="s">
        <v>313</v>
      </c>
      <c r="H1238" s="1" t="s">
        <v>22</v>
      </c>
      <c r="I1238" s="1" t="s">
        <v>23</v>
      </c>
      <c r="L1238" s="1">
        <v>1</v>
      </c>
      <c r="M1238" s="1">
        <v>-152.88875329999999</v>
      </c>
    </row>
    <row r="1239" spans="4:13">
      <c r="D1239" s="1" t="s">
        <v>199</v>
      </c>
      <c r="E1239" s="1" t="s">
        <v>314</v>
      </c>
      <c r="H1239" s="1" t="s">
        <v>22</v>
      </c>
      <c r="I1239" s="1" t="s">
        <v>23</v>
      </c>
      <c r="L1239" s="1">
        <v>1</v>
      </c>
      <c r="M1239" s="1">
        <v>227.2729866</v>
      </c>
    </row>
    <row r="1240" spans="4:13">
      <c r="D1240" s="1" t="s">
        <v>199</v>
      </c>
      <c r="E1240" s="1" t="s">
        <v>315</v>
      </c>
      <c r="H1240" s="1" t="s">
        <v>22</v>
      </c>
      <c r="I1240" s="1" t="s">
        <v>23</v>
      </c>
      <c r="L1240" s="1">
        <v>1</v>
      </c>
      <c r="M1240" s="1">
        <v>-1.8019257E-2</v>
      </c>
    </row>
    <row r="1241" spans="4:13">
      <c r="D1241" s="1" t="s">
        <v>199</v>
      </c>
      <c r="E1241" s="1" t="s">
        <v>316</v>
      </c>
      <c r="H1241" s="1" t="s">
        <v>22</v>
      </c>
      <c r="I1241" s="1" t="s">
        <v>23</v>
      </c>
      <c r="L1241" s="1">
        <v>1</v>
      </c>
      <c r="M1241" s="1">
        <v>105.85065280000001</v>
      </c>
    </row>
    <row r="1242" spans="4:13">
      <c r="D1242" s="1" t="s">
        <v>199</v>
      </c>
      <c r="E1242" s="1" t="s">
        <v>317</v>
      </c>
      <c r="H1242" s="1" t="s">
        <v>22</v>
      </c>
      <c r="I1242" s="1" t="s">
        <v>23</v>
      </c>
      <c r="L1242" s="1">
        <v>1</v>
      </c>
      <c r="M1242" s="1">
        <v>-61.176824179999997</v>
      </c>
    </row>
    <row r="1243" spans="4:13">
      <c r="D1243" s="1" t="s">
        <v>199</v>
      </c>
      <c r="E1243" s="1" t="s">
        <v>318</v>
      </c>
      <c r="H1243" s="1" t="s">
        <v>22</v>
      </c>
      <c r="I1243" s="1" t="s">
        <v>23</v>
      </c>
      <c r="L1243" s="1">
        <v>1</v>
      </c>
      <c r="M1243" s="1">
        <v>-119.0621538</v>
      </c>
    </row>
    <row r="1244" spans="4:13">
      <c r="D1244" s="1" t="s">
        <v>199</v>
      </c>
      <c r="E1244" s="1" t="s">
        <v>319</v>
      </c>
      <c r="H1244" s="1" t="s">
        <v>22</v>
      </c>
      <c r="I1244" s="1" t="s">
        <v>23</v>
      </c>
      <c r="L1244" s="1">
        <v>1</v>
      </c>
      <c r="M1244" s="1">
        <v>16.280096700000001</v>
      </c>
    </row>
    <row r="1245" spans="4:13">
      <c r="D1245" s="1" t="s">
        <v>199</v>
      </c>
      <c r="E1245" s="1" t="s">
        <v>320</v>
      </c>
      <c r="H1245" s="1" t="s">
        <v>22</v>
      </c>
      <c r="I1245" s="1" t="s">
        <v>23</v>
      </c>
      <c r="L1245" s="1">
        <v>1</v>
      </c>
      <c r="M1245" s="1">
        <v>-0.364433012</v>
      </c>
    </row>
    <row r="1246" spans="4:13">
      <c r="D1246" s="1" t="s">
        <v>199</v>
      </c>
      <c r="E1246" s="1" t="s">
        <v>321</v>
      </c>
      <c r="H1246" s="1" t="s">
        <v>22</v>
      </c>
      <c r="I1246" s="1" t="s">
        <v>23</v>
      </c>
      <c r="L1246" s="1">
        <v>1</v>
      </c>
      <c r="M1246" s="1">
        <v>55.912370189999997</v>
      </c>
    </row>
    <row r="1247" spans="4:13">
      <c r="D1247" s="1" t="s">
        <v>199</v>
      </c>
      <c r="E1247" s="1" t="s">
        <v>322</v>
      </c>
      <c r="H1247" s="1" t="s">
        <v>22</v>
      </c>
      <c r="I1247" s="1" t="s">
        <v>23</v>
      </c>
      <c r="L1247" s="1">
        <v>1</v>
      </c>
      <c r="M1247" s="1">
        <v>-134.5652126</v>
      </c>
    </row>
    <row r="1248" spans="4:13">
      <c r="D1248" s="1" t="s">
        <v>199</v>
      </c>
      <c r="E1248" s="1" t="s">
        <v>323</v>
      </c>
      <c r="H1248" s="1" t="s">
        <v>22</v>
      </c>
      <c r="I1248" s="1" t="s">
        <v>23</v>
      </c>
      <c r="L1248" s="1">
        <v>1</v>
      </c>
      <c r="M1248" s="1">
        <v>26.37456156</v>
      </c>
    </row>
    <row r="1249" spans="4:13">
      <c r="D1249" s="1" t="s">
        <v>199</v>
      </c>
      <c r="E1249" s="1" t="s">
        <v>324</v>
      </c>
      <c r="H1249" s="1" t="s">
        <v>22</v>
      </c>
      <c r="I1249" s="1" t="s">
        <v>23</v>
      </c>
      <c r="L1249" s="1">
        <v>1</v>
      </c>
      <c r="M1249" s="1">
        <v>-39.448332200000003</v>
      </c>
    </row>
    <row r="1250" spans="4:13">
      <c r="D1250" s="1" t="s">
        <v>199</v>
      </c>
      <c r="E1250" s="1" t="s">
        <v>325</v>
      </c>
      <c r="H1250" s="1" t="s">
        <v>22</v>
      </c>
      <c r="I1250" s="1" t="s">
        <v>23</v>
      </c>
      <c r="L1250" s="1">
        <v>1</v>
      </c>
      <c r="M1250" s="1">
        <v>-8.5617157749999997</v>
      </c>
    </row>
    <row r="1251" spans="4:13">
      <c r="D1251" s="1" t="s">
        <v>199</v>
      </c>
      <c r="E1251" s="1" t="s">
        <v>326</v>
      </c>
      <c r="H1251" s="1" t="s">
        <v>22</v>
      </c>
      <c r="I1251" s="1" t="s">
        <v>23</v>
      </c>
      <c r="L1251" s="1">
        <v>1</v>
      </c>
      <c r="M1251" s="1">
        <v>36.996153110000002</v>
      </c>
    </row>
    <row r="1252" spans="4:13">
      <c r="D1252" s="1" t="s">
        <v>199</v>
      </c>
      <c r="E1252" s="1" t="s">
        <v>327</v>
      </c>
      <c r="H1252" s="1" t="s">
        <v>22</v>
      </c>
      <c r="I1252" s="1" t="s">
        <v>23</v>
      </c>
      <c r="L1252" s="1">
        <v>1</v>
      </c>
      <c r="M1252" s="1">
        <v>36.066391850000002</v>
      </c>
    </row>
    <row r="1253" spans="4:13">
      <c r="D1253" s="1" t="s">
        <v>199</v>
      </c>
      <c r="E1253" s="1" t="s">
        <v>328</v>
      </c>
      <c r="H1253" s="1" t="s">
        <v>22</v>
      </c>
      <c r="I1253" s="1" t="s">
        <v>23</v>
      </c>
      <c r="L1253" s="1">
        <v>1</v>
      </c>
      <c r="M1253" s="1">
        <v>-13.89332338</v>
      </c>
    </row>
    <row r="1254" spans="4:13">
      <c r="D1254" s="1" t="s">
        <v>199</v>
      </c>
      <c r="E1254" s="1" t="s">
        <v>329</v>
      </c>
      <c r="H1254" s="1" t="s">
        <v>22</v>
      </c>
      <c r="I1254" s="1" t="s">
        <v>23</v>
      </c>
      <c r="L1254" s="1">
        <v>1</v>
      </c>
      <c r="M1254" s="1">
        <v>-0.65603491599999997</v>
      </c>
    </row>
    <row r="1255" spans="4:13">
      <c r="D1255" s="1" t="s">
        <v>199</v>
      </c>
      <c r="E1255" s="1" t="s">
        <v>330</v>
      </c>
      <c r="H1255" s="1" t="s">
        <v>22</v>
      </c>
      <c r="I1255" s="1" t="s">
        <v>23</v>
      </c>
      <c r="L1255" s="1">
        <v>1</v>
      </c>
      <c r="M1255" s="1">
        <v>-10.9885372</v>
      </c>
    </row>
    <row r="1256" spans="4:13">
      <c r="D1256" s="1" t="s">
        <v>199</v>
      </c>
      <c r="E1256" s="1" t="s">
        <v>331</v>
      </c>
      <c r="H1256" s="1" t="s">
        <v>22</v>
      </c>
      <c r="I1256" s="1" t="s">
        <v>23</v>
      </c>
      <c r="L1256" s="1">
        <v>1</v>
      </c>
      <c r="M1256" s="1">
        <v>53.003603159999997</v>
      </c>
    </row>
    <row r="1257" spans="4:13">
      <c r="D1257" s="1" t="s">
        <v>199</v>
      </c>
      <c r="E1257" s="1" t="s">
        <v>332</v>
      </c>
      <c r="H1257" s="1" t="s">
        <v>22</v>
      </c>
      <c r="I1257" s="1" t="s">
        <v>23</v>
      </c>
      <c r="L1257" s="1">
        <v>1</v>
      </c>
      <c r="M1257" s="1">
        <v>-7.8117817350000003</v>
      </c>
    </row>
    <row r="1258" spans="4:13">
      <c r="D1258" s="1" t="s">
        <v>199</v>
      </c>
      <c r="E1258" s="1" t="s">
        <v>333</v>
      </c>
      <c r="H1258" s="1" t="s">
        <v>22</v>
      </c>
      <c r="I1258" s="1" t="s">
        <v>23</v>
      </c>
      <c r="L1258" s="1">
        <v>1</v>
      </c>
      <c r="M1258" s="1">
        <v>5.0199583170000004</v>
      </c>
    </row>
    <row r="1259" spans="4:13">
      <c r="D1259" s="1" t="s">
        <v>199</v>
      </c>
      <c r="E1259" s="1" t="s">
        <v>334</v>
      </c>
      <c r="H1259" s="1" t="s">
        <v>22</v>
      </c>
      <c r="I1259" s="1" t="s">
        <v>23</v>
      </c>
      <c r="L1259" s="1">
        <v>1</v>
      </c>
      <c r="M1259" s="1">
        <v>6.1890656289999999</v>
      </c>
    </row>
    <row r="1260" spans="4:13">
      <c r="D1260" s="1" t="s">
        <v>199</v>
      </c>
      <c r="E1260" s="1" t="s">
        <v>335</v>
      </c>
      <c r="H1260" s="1" t="s">
        <v>22</v>
      </c>
      <c r="I1260" s="1" t="s">
        <v>23</v>
      </c>
      <c r="L1260" s="1">
        <v>1</v>
      </c>
      <c r="M1260" s="1">
        <v>-2.328370482</v>
      </c>
    </row>
    <row r="1261" spans="4:13">
      <c r="D1261" s="1" t="s">
        <v>199</v>
      </c>
      <c r="E1261" s="1" t="s">
        <v>336</v>
      </c>
      <c r="H1261" s="1" t="s">
        <v>22</v>
      </c>
      <c r="I1261" s="1" t="s">
        <v>23</v>
      </c>
      <c r="L1261" s="1">
        <v>1</v>
      </c>
      <c r="M1261" s="1">
        <v>-10.17886395</v>
      </c>
    </row>
    <row r="1262" spans="4:13">
      <c r="D1262" s="1" t="s">
        <v>199</v>
      </c>
      <c r="E1262" s="1" t="s">
        <v>337</v>
      </c>
      <c r="H1262" s="1" t="s">
        <v>22</v>
      </c>
      <c r="I1262" s="1" t="s">
        <v>23</v>
      </c>
      <c r="L1262" s="1">
        <v>1</v>
      </c>
      <c r="M1262" s="1">
        <v>-5.2887484039999997</v>
      </c>
    </row>
    <row r="1263" spans="4:13">
      <c r="D1263" s="1" t="s">
        <v>199</v>
      </c>
      <c r="E1263" s="1" t="s">
        <v>338</v>
      </c>
      <c r="H1263" s="1" t="s">
        <v>22</v>
      </c>
      <c r="I1263" s="1" t="s">
        <v>23</v>
      </c>
      <c r="L1263" s="1">
        <v>1</v>
      </c>
      <c r="M1263" s="1">
        <v>4.3945896769999999</v>
      </c>
    </row>
    <row r="1264" spans="4:13">
      <c r="D1264" s="1" t="s">
        <v>199</v>
      </c>
      <c r="E1264" s="1" t="s">
        <v>339</v>
      </c>
      <c r="H1264" s="1" t="s">
        <v>22</v>
      </c>
      <c r="I1264" s="1" t="s">
        <v>23</v>
      </c>
      <c r="L1264" s="1">
        <v>1</v>
      </c>
      <c r="M1264" s="1">
        <v>-11.059626700000001</v>
      </c>
    </row>
    <row r="1265" spans="4:13">
      <c r="D1265" s="1" t="s">
        <v>199</v>
      </c>
      <c r="E1265" s="1" t="s">
        <v>340</v>
      </c>
      <c r="H1265" s="1" t="s">
        <v>22</v>
      </c>
      <c r="I1265" s="1" t="s">
        <v>23</v>
      </c>
      <c r="L1265" s="1">
        <v>1</v>
      </c>
      <c r="M1265" s="1">
        <v>2.2158513590000002</v>
      </c>
    </row>
    <row r="1266" spans="4:13">
      <c r="D1266" s="1" t="s">
        <v>199</v>
      </c>
      <c r="E1266" s="1" t="s">
        <v>341</v>
      </c>
      <c r="H1266" s="1" t="s">
        <v>22</v>
      </c>
      <c r="I1266" s="1" t="s">
        <v>23</v>
      </c>
      <c r="L1266" s="1">
        <v>1</v>
      </c>
      <c r="M1266" s="1">
        <v>-1.478775138</v>
      </c>
    </row>
    <row r="1267" spans="4:13">
      <c r="D1267" s="1" t="s">
        <v>199</v>
      </c>
      <c r="E1267" s="1" t="s">
        <v>342</v>
      </c>
      <c r="H1267" s="1" t="s">
        <v>22</v>
      </c>
      <c r="I1267" s="1" t="s">
        <v>23</v>
      </c>
      <c r="L1267" s="1">
        <v>1</v>
      </c>
      <c r="M1267" s="1">
        <v>0.36305560199999998</v>
      </c>
    </row>
    <row r="1268" spans="4:13">
      <c r="D1268" s="1" t="s">
        <v>199</v>
      </c>
      <c r="E1268" s="1" t="s">
        <v>343</v>
      </c>
      <c r="H1268" s="1" t="s">
        <v>22</v>
      </c>
      <c r="I1268" s="1" t="s">
        <v>23</v>
      </c>
      <c r="L1268" s="1">
        <v>1</v>
      </c>
      <c r="M1268" s="1">
        <v>-1.370538633</v>
      </c>
    </row>
    <row r="1269" spans="4:13">
      <c r="D1269" s="1" t="s">
        <v>199</v>
      </c>
      <c r="E1269" s="1" t="s">
        <v>344</v>
      </c>
      <c r="H1269" s="1" t="s">
        <v>22</v>
      </c>
      <c r="I1269" s="1" t="s">
        <v>23</v>
      </c>
      <c r="L1269" s="1">
        <v>1</v>
      </c>
      <c r="M1269" s="1">
        <v>1.6365981430000001</v>
      </c>
    </row>
    <row r="1270" spans="4:13">
      <c r="D1270" s="1" t="s">
        <v>199</v>
      </c>
      <c r="E1270" s="1" t="s">
        <v>345</v>
      </c>
      <c r="H1270" s="1" t="s">
        <v>22</v>
      </c>
      <c r="I1270" s="1" t="s">
        <v>23</v>
      </c>
      <c r="L1270" s="1">
        <v>1</v>
      </c>
      <c r="M1270" s="1">
        <v>0.99988022099999996</v>
      </c>
    </row>
    <row r="1271" spans="4:13">
      <c r="D1271" s="1" t="s">
        <v>199</v>
      </c>
      <c r="E1271" s="1" t="s">
        <v>346</v>
      </c>
      <c r="H1271" s="1" t="s">
        <v>22</v>
      </c>
      <c r="I1271" s="1" t="s">
        <v>23</v>
      </c>
      <c r="L1271" s="1">
        <v>1</v>
      </c>
      <c r="M1271" s="1">
        <v>0.54629809299999998</v>
      </c>
    </row>
    <row r="1272" spans="4:13">
      <c r="D1272" s="1" t="s">
        <v>199</v>
      </c>
      <c r="E1272" s="1" t="s">
        <v>347</v>
      </c>
      <c r="H1272" s="1" t="s">
        <v>22</v>
      </c>
      <c r="I1272" s="1" t="s">
        <v>23</v>
      </c>
      <c r="L1272" s="1">
        <v>1</v>
      </c>
      <c r="M1272" s="1">
        <v>-0.82105557299999998</v>
      </c>
    </row>
    <row r="1273" spans="4:13">
      <c r="D1273" s="1" t="s">
        <v>199</v>
      </c>
      <c r="E1273" s="1" t="s">
        <v>348</v>
      </c>
      <c r="H1273" s="1" t="s">
        <v>22</v>
      </c>
      <c r="I1273" s="1" t="s">
        <v>23</v>
      </c>
      <c r="L1273" s="1">
        <v>1</v>
      </c>
      <c r="M1273" s="1">
        <v>-5.7979293150000002</v>
      </c>
    </row>
    <row r="1274" spans="4:13">
      <c r="D1274" s="1" t="s">
        <v>199</v>
      </c>
      <c r="E1274" s="1" t="s">
        <v>349</v>
      </c>
      <c r="H1274" s="1" t="s">
        <v>22</v>
      </c>
      <c r="I1274" s="1" t="s">
        <v>23</v>
      </c>
      <c r="L1274" s="1">
        <v>1</v>
      </c>
      <c r="M1274" s="1">
        <v>5.9344295870000003</v>
      </c>
    </row>
    <row r="1275" spans="4:13">
      <c r="D1275" s="1" t="s">
        <v>199</v>
      </c>
      <c r="E1275" s="1" t="s">
        <v>350</v>
      </c>
      <c r="H1275" s="1" t="s">
        <v>22</v>
      </c>
      <c r="I1275" s="1" t="s">
        <v>23</v>
      </c>
      <c r="L1275" s="1">
        <v>1</v>
      </c>
      <c r="M1275" s="1">
        <v>-1.3620327480000001</v>
      </c>
    </row>
    <row r="1276" spans="4:13">
      <c r="D1276" s="1" t="s">
        <v>199</v>
      </c>
      <c r="E1276" s="1" t="s">
        <v>351</v>
      </c>
      <c r="H1276" s="1" t="s">
        <v>22</v>
      </c>
      <c r="I1276" s="1" t="s">
        <v>23</v>
      </c>
      <c r="L1276" s="1">
        <v>1</v>
      </c>
      <c r="M1276" s="1">
        <v>-2.901002525</v>
      </c>
    </row>
    <row r="1277" spans="4:13">
      <c r="D1277" s="1" t="s">
        <v>199</v>
      </c>
      <c r="E1277" s="1" t="s">
        <v>352</v>
      </c>
      <c r="H1277" s="1" t="s">
        <v>22</v>
      </c>
      <c r="I1277" s="1" t="s">
        <v>23</v>
      </c>
      <c r="L1277" s="1">
        <v>1</v>
      </c>
      <c r="M1277" s="1">
        <v>3.0385366650000001</v>
      </c>
    </row>
    <row r="1278" spans="4:13">
      <c r="D1278" s="1" t="s">
        <v>199</v>
      </c>
      <c r="E1278" s="1" t="s">
        <v>353</v>
      </c>
      <c r="H1278" s="1" t="s">
        <v>22</v>
      </c>
      <c r="I1278" s="1" t="s">
        <v>23</v>
      </c>
      <c r="L1278" s="1">
        <v>1</v>
      </c>
      <c r="M1278" s="1">
        <v>-6.2111069360000002</v>
      </c>
    </row>
    <row r="1279" spans="4:13">
      <c r="D1279" s="1" t="s">
        <v>199</v>
      </c>
      <c r="E1279" s="1" t="s">
        <v>354</v>
      </c>
      <c r="H1279" s="1" t="s">
        <v>22</v>
      </c>
      <c r="I1279" s="1" t="s">
        <v>23</v>
      </c>
      <c r="L1279" s="1">
        <v>1</v>
      </c>
      <c r="M1279" s="1">
        <v>2.1886335200000002</v>
      </c>
    </row>
    <row r="1280" spans="4:13">
      <c r="D1280" s="1" t="s">
        <v>199</v>
      </c>
      <c r="E1280" s="1" t="s">
        <v>355</v>
      </c>
      <c r="H1280" s="1" t="s">
        <v>22</v>
      </c>
      <c r="I1280" s="1" t="s">
        <v>23</v>
      </c>
      <c r="L1280" s="1">
        <v>1</v>
      </c>
      <c r="M1280" s="1">
        <v>2.9845017189999998</v>
      </c>
    </row>
    <row r="1281" spans="4:13">
      <c r="D1281" s="1" t="s">
        <v>199</v>
      </c>
      <c r="E1281" s="1" t="s">
        <v>356</v>
      </c>
      <c r="H1281" s="1" t="s">
        <v>22</v>
      </c>
      <c r="I1281" s="1" t="s">
        <v>23</v>
      </c>
      <c r="L1281" s="1">
        <v>1</v>
      </c>
      <c r="M1281" s="1">
        <v>-6.5912793379999997</v>
      </c>
    </row>
    <row r="1282" spans="4:13">
      <c r="D1282" s="1" t="s">
        <v>199</v>
      </c>
      <c r="E1282" s="1" t="s">
        <v>357</v>
      </c>
      <c r="H1282" s="1" t="s">
        <v>22</v>
      </c>
      <c r="I1282" s="1" t="s">
        <v>23</v>
      </c>
      <c r="L1282" s="1">
        <v>1</v>
      </c>
      <c r="M1282" s="1">
        <v>-1.3890406230000001</v>
      </c>
    </row>
    <row r="1283" spans="4:13">
      <c r="D1283" s="1" t="s">
        <v>199</v>
      </c>
      <c r="E1283" s="1" t="s">
        <v>358</v>
      </c>
      <c r="H1283" s="1" t="s">
        <v>22</v>
      </c>
      <c r="I1283" s="1" t="s">
        <v>23</v>
      </c>
      <c r="L1283" s="1">
        <v>1</v>
      </c>
      <c r="M1283" s="1">
        <v>4.6278114099999996</v>
      </c>
    </row>
    <row r="1284" spans="4:13">
      <c r="D1284" s="1" t="s">
        <v>199</v>
      </c>
      <c r="E1284" s="1" t="s">
        <v>359</v>
      </c>
      <c r="H1284" s="1" t="s">
        <v>22</v>
      </c>
      <c r="I1284" s="1" t="s">
        <v>23</v>
      </c>
      <c r="L1284" s="1">
        <v>1</v>
      </c>
      <c r="M1284" s="1">
        <v>6.8638224389999998</v>
      </c>
    </row>
    <row r="1285" spans="4:13">
      <c r="D1285" s="1" t="s">
        <v>199</v>
      </c>
      <c r="E1285" s="1" t="s">
        <v>360</v>
      </c>
      <c r="H1285" s="1" t="s">
        <v>22</v>
      </c>
      <c r="I1285" s="1" t="s">
        <v>23</v>
      </c>
      <c r="L1285" s="1">
        <v>1</v>
      </c>
      <c r="M1285" s="1">
        <v>-9.1978944679999994</v>
      </c>
    </row>
    <row r="1286" spans="4:13">
      <c r="D1286" s="1" t="s">
        <v>199</v>
      </c>
      <c r="E1286" s="1" t="s">
        <v>361</v>
      </c>
      <c r="H1286" s="1" t="s">
        <v>22</v>
      </c>
      <c r="I1286" s="1" t="s">
        <v>23</v>
      </c>
      <c r="L1286" s="1">
        <v>1</v>
      </c>
      <c r="M1286" s="1">
        <v>8.7907856160000009</v>
      </c>
    </row>
    <row r="1287" spans="4:13">
      <c r="D1287" s="1" t="s">
        <v>199</v>
      </c>
      <c r="E1287" s="1" t="s">
        <v>362</v>
      </c>
      <c r="H1287" s="1" t="s">
        <v>22</v>
      </c>
      <c r="I1287" s="1" t="s">
        <v>23</v>
      </c>
      <c r="L1287" s="1">
        <v>1</v>
      </c>
      <c r="M1287" s="1">
        <v>-3.4629850609999999</v>
      </c>
    </row>
    <row r="1288" spans="4:13">
      <c r="D1288" s="1" t="s">
        <v>199</v>
      </c>
      <c r="E1288" s="1" t="s">
        <v>363</v>
      </c>
      <c r="H1288" s="1" t="s">
        <v>22</v>
      </c>
      <c r="I1288" s="1" t="s">
        <v>23</v>
      </c>
      <c r="L1288" s="1">
        <v>1</v>
      </c>
      <c r="M1288" s="1">
        <v>14.846356910000001</v>
      </c>
    </row>
    <row r="1289" spans="4:13">
      <c r="D1289" s="1" t="s">
        <v>199</v>
      </c>
      <c r="E1289" s="1" t="s">
        <v>364</v>
      </c>
      <c r="H1289" s="1" t="s">
        <v>22</v>
      </c>
      <c r="I1289" s="1" t="s">
        <v>23</v>
      </c>
      <c r="L1289" s="1">
        <v>1</v>
      </c>
      <c r="M1289" s="1">
        <v>7.6540139409999997</v>
      </c>
    </row>
    <row r="1290" spans="4:13">
      <c r="D1290" s="1" t="s">
        <v>199</v>
      </c>
      <c r="E1290" s="1" t="s">
        <v>365</v>
      </c>
      <c r="H1290" s="1" t="s">
        <v>22</v>
      </c>
      <c r="I1290" s="1" t="s">
        <v>23</v>
      </c>
      <c r="L1290" s="1">
        <v>1</v>
      </c>
      <c r="M1290" s="1">
        <v>-7.5028089720000004</v>
      </c>
    </row>
    <row r="1291" spans="4:13">
      <c r="D1291" s="1" t="s">
        <v>199</v>
      </c>
      <c r="E1291" s="1" t="s">
        <v>366</v>
      </c>
      <c r="H1291" s="1" t="s">
        <v>22</v>
      </c>
      <c r="I1291" s="1" t="s">
        <v>23</v>
      </c>
      <c r="L1291" s="1">
        <v>1</v>
      </c>
      <c r="M1291" s="1">
        <v>-10.087701490000001</v>
      </c>
    </row>
    <row r="1292" spans="4:13">
      <c r="D1292" s="1" t="s">
        <v>199</v>
      </c>
      <c r="E1292" s="1" t="s">
        <v>367</v>
      </c>
      <c r="H1292" s="1" t="s">
        <v>22</v>
      </c>
      <c r="I1292" s="1" t="s">
        <v>23</v>
      </c>
      <c r="L1292" s="1">
        <v>1</v>
      </c>
      <c r="M1292" s="1">
        <v>-2.9511915389999999</v>
      </c>
    </row>
    <row r="1293" spans="4:13">
      <c r="D1293" s="1" t="s">
        <v>199</v>
      </c>
      <c r="E1293" s="1" t="s">
        <v>368</v>
      </c>
      <c r="H1293" s="1" t="s">
        <v>22</v>
      </c>
      <c r="I1293" s="1" t="s">
        <v>23</v>
      </c>
      <c r="L1293" s="1">
        <v>1</v>
      </c>
      <c r="M1293" s="1">
        <v>-12.017104229999999</v>
      </c>
    </row>
    <row r="1294" spans="4:13">
      <c r="D1294" s="1" t="s">
        <v>199</v>
      </c>
      <c r="E1294" s="1" t="s">
        <v>369</v>
      </c>
      <c r="H1294" s="1" t="s">
        <v>22</v>
      </c>
      <c r="I1294" s="1" t="s">
        <v>23</v>
      </c>
      <c r="L1294" s="1">
        <v>1</v>
      </c>
      <c r="M1294" s="1">
        <v>15.168351530000001</v>
      </c>
    </row>
    <row r="1295" spans="4:13">
      <c r="D1295" s="1" t="s">
        <v>199</v>
      </c>
      <c r="E1295" s="1" t="s">
        <v>370</v>
      </c>
      <c r="H1295" s="1" t="s">
        <v>22</v>
      </c>
      <c r="I1295" s="1" t="s">
        <v>23</v>
      </c>
      <c r="L1295" s="1">
        <v>1</v>
      </c>
      <c r="M1295" s="1">
        <v>-7.1734563160000002</v>
      </c>
    </row>
    <row r="1296" spans="4:13">
      <c r="D1296" s="1" t="s">
        <v>199</v>
      </c>
      <c r="E1296" s="1" t="s">
        <v>371</v>
      </c>
      <c r="H1296" s="1" t="s">
        <v>22</v>
      </c>
      <c r="I1296" s="1" t="s">
        <v>23</v>
      </c>
      <c r="L1296" s="1">
        <v>1</v>
      </c>
      <c r="M1296" s="1">
        <v>-4.9889181159999998</v>
      </c>
    </row>
    <row r="1297" spans="4:13">
      <c r="D1297" s="1" t="s">
        <v>199</v>
      </c>
      <c r="E1297" s="1" t="s">
        <v>372</v>
      </c>
      <c r="H1297" s="1" t="s">
        <v>22</v>
      </c>
      <c r="I1297" s="1" t="s">
        <v>23</v>
      </c>
      <c r="L1297" s="1">
        <v>1</v>
      </c>
      <c r="M1297" s="1">
        <v>35.036991360000002</v>
      </c>
    </row>
    <row r="1298" spans="4:13">
      <c r="D1298" s="1" t="s">
        <v>199</v>
      </c>
      <c r="E1298" s="1" t="s">
        <v>373</v>
      </c>
      <c r="H1298" s="1" t="s">
        <v>22</v>
      </c>
      <c r="I1298" s="1" t="s">
        <v>23</v>
      </c>
      <c r="L1298" s="1">
        <v>1</v>
      </c>
      <c r="M1298" s="1">
        <v>-38.466651300000002</v>
      </c>
    </row>
    <row r="1299" spans="4:13">
      <c r="D1299" s="1" t="s">
        <v>199</v>
      </c>
      <c r="E1299" s="1" t="s">
        <v>374</v>
      </c>
      <c r="H1299" s="1" t="s">
        <v>22</v>
      </c>
      <c r="I1299" s="1" t="s">
        <v>23</v>
      </c>
      <c r="L1299" s="1">
        <v>1</v>
      </c>
      <c r="M1299" s="1">
        <v>-0.93129283299999999</v>
      </c>
    </row>
    <row r="1300" spans="4:13">
      <c r="D1300" s="1" t="s">
        <v>199</v>
      </c>
      <c r="E1300" s="1" t="s">
        <v>375</v>
      </c>
      <c r="H1300" s="1" t="s">
        <v>22</v>
      </c>
      <c r="I1300" s="1" t="s">
        <v>23</v>
      </c>
      <c r="L1300" s="1">
        <v>1</v>
      </c>
      <c r="M1300" s="1">
        <v>-4.1092902039999997</v>
      </c>
    </row>
    <row r="1301" spans="4:13">
      <c r="D1301" s="1" t="s">
        <v>199</v>
      </c>
      <c r="E1301" s="1" t="s">
        <v>376</v>
      </c>
      <c r="H1301" s="1" t="s">
        <v>22</v>
      </c>
      <c r="I1301" s="1" t="s">
        <v>23</v>
      </c>
      <c r="L1301" s="1">
        <v>1</v>
      </c>
      <c r="M1301" s="1">
        <v>11.366104310000001</v>
      </c>
    </row>
    <row r="1302" spans="4:13">
      <c r="D1302" s="1" t="s">
        <v>199</v>
      </c>
      <c r="E1302" s="1" t="s">
        <v>377</v>
      </c>
      <c r="H1302" s="1" t="s">
        <v>22</v>
      </c>
      <c r="I1302" s="1" t="s">
        <v>23</v>
      </c>
      <c r="L1302" s="1">
        <v>1</v>
      </c>
      <c r="M1302" s="1">
        <v>1.998744651</v>
      </c>
    </row>
    <row r="1303" spans="4:13">
      <c r="D1303" s="1" t="s">
        <v>199</v>
      </c>
      <c r="E1303" s="1" t="s">
        <v>378</v>
      </c>
      <c r="H1303" s="1" t="s">
        <v>22</v>
      </c>
      <c r="I1303" s="1" t="s">
        <v>23</v>
      </c>
      <c r="L1303" s="1">
        <v>1</v>
      </c>
      <c r="M1303" s="1">
        <v>9.0022712889999994</v>
      </c>
    </row>
    <row r="1304" spans="4:13">
      <c r="D1304" s="1" t="s">
        <v>199</v>
      </c>
      <c r="E1304" s="1" t="s">
        <v>379</v>
      </c>
      <c r="H1304" s="1" t="s">
        <v>22</v>
      </c>
      <c r="I1304" s="1" t="s">
        <v>23</v>
      </c>
      <c r="L1304" s="1">
        <v>1</v>
      </c>
      <c r="M1304" s="1">
        <v>11.90821852</v>
      </c>
    </row>
    <row r="1305" spans="4:13">
      <c r="D1305" s="1" t="s">
        <v>199</v>
      </c>
      <c r="E1305" s="1" t="s">
        <v>380</v>
      </c>
      <c r="H1305" s="1" t="s">
        <v>22</v>
      </c>
      <c r="I1305" s="1" t="s">
        <v>23</v>
      </c>
      <c r="L1305" s="1">
        <v>1</v>
      </c>
      <c r="M1305" s="1">
        <v>-67.842141920000003</v>
      </c>
    </row>
    <row r="1306" spans="4:13">
      <c r="D1306" s="1" t="s">
        <v>199</v>
      </c>
      <c r="E1306" s="1" t="s">
        <v>381</v>
      </c>
      <c r="H1306" s="1" t="s">
        <v>22</v>
      </c>
      <c r="I1306" s="1" t="s">
        <v>23</v>
      </c>
      <c r="L1306" s="1">
        <v>1</v>
      </c>
      <c r="M1306" s="1">
        <v>72.736494260000001</v>
      </c>
    </row>
    <row r="1307" spans="4:13">
      <c r="D1307" s="1" t="s">
        <v>199</v>
      </c>
      <c r="E1307" s="1" t="s">
        <v>382</v>
      </c>
      <c r="H1307" s="1" t="s">
        <v>22</v>
      </c>
      <c r="I1307" s="1" t="s">
        <v>23</v>
      </c>
      <c r="L1307" s="1">
        <v>1</v>
      </c>
      <c r="M1307" s="1">
        <v>2.3695938499999998</v>
      </c>
    </row>
    <row r="1308" spans="4:13">
      <c r="D1308" s="1" t="s">
        <v>199</v>
      </c>
      <c r="E1308" s="1" t="s">
        <v>383</v>
      </c>
      <c r="H1308" s="1" t="s">
        <v>22</v>
      </c>
      <c r="I1308" s="1" t="s">
        <v>23</v>
      </c>
      <c r="L1308" s="1">
        <v>1</v>
      </c>
      <c r="M1308" s="1">
        <v>-38.40681051</v>
      </c>
    </row>
    <row r="1309" spans="4:13">
      <c r="D1309" s="1" t="s">
        <v>199</v>
      </c>
      <c r="E1309" s="1" t="s">
        <v>384</v>
      </c>
      <c r="H1309" s="1" t="s">
        <v>22</v>
      </c>
      <c r="I1309" s="1" t="s">
        <v>23</v>
      </c>
      <c r="L1309" s="1">
        <v>1</v>
      </c>
      <c r="M1309" s="1">
        <v>25.01954783</v>
      </c>
    </row>
    <row r="1310" spans="4:13">
      <c r="D1310" s="1" t="s">
        <v>199</v>
      </c>
      <c r="E1310" s="1" t="s">
        <v>385</v>
      </c>
      <c r="H1310" s="1" t="s">
        <v>22</v>
      </c>
      <c r="I1310" s="1" t="s">
        <v>23</v>
      </c>
      <c r="L1310" s="1">
        <v>1</v>
      </c>
      <c r="M1310" s="1">
        <v>-15.814114160000001</v>
      </c>
    </row>
    <row r="1311" spans="4:13">
      <c r="D1311" s="1" t="s">
        <v>199</v>
      </c>
      <c r="E1311" s="1" t="s">
        <v>386</v>
      </c>
      <c r="H1311" s="1" t="s">
        <v>22</v>
      </c>
      <c r="I1311" s="1" t="s">
        <v>23</v>
      </c>
      <c r="L1311" s="1">
        <v>1</v>
      </c>
      <c r="M1311" s="1">
        <v>0.53387741</v>
      </c>
    </row>
    <row r="1312" spans="4:13">
      <c r="D1312" s="1" t="s">
        <v>199</v>
      </c>
      <c r="E1312" s="1" t="s">
        <v>387</v>
      </c>
      <c r="H1312" s="1" t="s">
        <v>22</v>
      </c>
      <c r="I1312" s="1" t="s">
        <v>23</v>
      </c>
      <c r="L1312" s="1">
        <v>1</v>
      </c>
      <c r="M1312" s="1">
        <v>1.9682590550000001</v>
      </c>
    </row>
    <row r="1313" spans="4:13">
      <c r="D1313" s="1" t="s">
        <v>199</v>
      </c>
      <c r="E1313" s="1" t="s">
        <v>388</v>
      </c>
      <c r="H1313" s="1" t="s">
        <v>22</v>
      </c>
      <c r="I1313" s="1" t="s">
        <v>23</v>
      </c>
      <c r="L1313" s="1">
        <v>1</v>
      </c>
      <c r="M1313" s="1">
        <v>33.16894181</v>
      </c>
    </row>
    <row r="1314" spans="4:13">
      <c r="D1314" s="1" t="s">
        <v>199</v>
      </c>
      <c r="E1314" s="1" t="s">
        <v>389</v>
      </c>
      <c r="H1314" s="1" t="s">
        <v>22</v>
      </c>
      <c r="I1314" s="1" t="s">
        <v>23</v>
      </c>
      <c r="L1314" s="1">
        <v>1</v>
      </c>
      <c r="M1314" s="1">
        <v>-35.070252310000001</v>
      </c>
    </row>
    <row r="1315" spans="4:13">
      <c r="D1315" s="1" t="s">
        <v>199</v>
      </c>
      <c r="E1315" s="1" t="s">
        <v>390</v>
      </c>
      <c r="H1315" s="1" t="s">
        <v>22</v>
      </c>
      <c r="I1315" s="1" t="s">
        <v>23</v>
      </c>
      <c r="L1315" s="1">
        <v>1</v>
      </c>
      <c r="M1315" s="1">
        <v>38.802101690000001</v>
      </c>
    </row>
    <row r="1316" spans="4:13">
      <c r="D1316" s="1" t="s">
        <v>199</v>
      </c>
      <c r="E1316" s="1" t="s">
        <v>391</v>
      </c>
      <c r="H1316" s="1" t="s">
        <v>22</v>
      </c>
      <c r="I1316" s="1" t="s">
        <v>23</v>
      </c>
      <c r="L1316" s="1">
        <v>1</v>
      </c>
      <c r="M1316" s="1">
        <v>-18.356781460000001</v>
      </c>
    </row>
    <row r="1317" spans="4:13">
      <c r="D1317" s="1" t="s">
        <v>199</v>
      </c>
      <c r="E1317" s="1" t="s">
        <v>392</v>
      </c>
      <c r="H1317" s="1" t="s">
        <v>22</v>
      </c>
      <c r="I1317" s="1" t="s">
        <v>23</v>
      </c>
      <c r="L1317" s="1">
        <v>1</v>
      </c>
      <c r="M1317" s="1">
        <v>-14.076914349999999</v>
      </c>
    </row>
    <row r="1318" spans="4:13">
      <c r="D1318" s="1" t="s">
        <v>199</v>
      </c>
      <c r="E1318" s="1" t="s">
        <v>393</v>
      </c>
      <c r="H1318" s="1" t="s">
        <v>22</v>
      </c>
      <c r="I1318" s="1" t="s">
        <v>23</v>
      </c>
      <c r="L1318" s="1">
        <v>1</v>
      </c>
      <c r="M1318" s="1">
        <v>-19.18804188</v>
      </c>
    </row>
    <row r="1319" spans="4:13">
      <c r="D1319" s="1" t="s">
        <v>199</v>
      </c>
      <c r="E1319" s="1" t="s">
        <v>394</v>
      </c>
      <c r="H1319" s="1" t="s">
        <v>22</v>
      </c>
      <c r="I1319" s="1" t="s">
        <v>23</v>
      </c>
      <c r="L1319" s="1">
        <v>1</v>
      </c>
      <c r="M1319" s="1">
        <v>7.6068626630000002</v>
      </c>
    </row>
    <row r="1320" spans="4:13">
      <c r="D1320" s="1" t="s">
        <v>199</v>
      </c>
      <c r="E1320" s="1" t="s">
        <v>395</v>
      </c>
      <c r="H1320" s="1" t="s">
        <v>22</v>
      </c>
      <c r="I1320" s="1" t="s">
        <v>23</v>
      </c>
      <c r="L1320" s="1">
        <v>1</v>
      </c>
      <c r="M1320" s="1">
        <v>2.6518080089999998</v>
      </c>
    </row>
    <row r="1321" spans="4:13">
      <c r="D1321" s="1" t="s">
        <v>199</v>
      </c>
      <c r="E1321" s="1" t="s">
        <v>396</v>
      </c>
      <c r="H1321" s="1" t="s">
        <v>22</v>
      </c>
      <c r="I1321" s="1" t="s">
        <v>23</v>
      </c>
      <c r="L1321" s="1">
        <v>1</v>
      </c>
      <c r="M1321" s="1">
        <v>11.985189930000001</v>
      </c>
    </row>
    <row r="1322" spans="4:13">
      <c r="D1322" s="1" t="s">
        <v>199</v>
      </c>
      <c r="E1322" s="1" t="s">
        <v>397</v>
      </c>
      <c r="H1322" s="1" t="s">
        <v>22</v>
      </c>
      <c r="I1322" s="1" t="s">
        <v>23</v>
      </c>
      <c r="L1322" s="1">
        <v>1</v>
      </c>
      <c r="M1322" s="1">
        <v>-26.617806959999999</v>
      </c>
    </row>
    <row r="1323" spans="4:13">
      <c r="D1323" s="1" t="s">
        <v>199</v>
      </c>
      <c r="E1323" s="1" t="s">
        <v>398</v>
      </c>
      <c r="H1323" s="1" t="s">
        <v>22</v>
      </c>
      <c r="I1323" s="1" t="s">
        <v>23</v>
      </c>
      <c r="L1323" s="1">
        <v>1</v>
      </c>
      <c r="M1323" s="1">
        <v>39.997402450000003</v>
      </c>
    </row>
    <row r="1324" spans="4:13">
      <c r="D1324" s="1" t="s">
        <v>199</v>
      </c>
      <c r="E1324" s="1" t="s">
        <v>399</v>
      </c>
      <c r="H1324" s="1" t="s">
        <v>22</v>
      </c>
      <c r="I1324" s="1" t="s">
        <v>23</v>
      </c>
      <c r="L1324" s="1">
        <v>1</v>
      </c>
      <c r="M1324" s="1">
        <v>7.978213373</v>
      </c>
    </row>
    <row r="1325" spans="4:13">
      <c r="D1325" s="1" t="s">
        <v>199</v>
      </c>
      <c r="E1325" s="1" t="s">
        <v>400</v>
      </c>
      <c r="H1325" s="1" t="s">
        <v>22</v>
      </c>
      <c r="I1325" s="1" t="s">
        <v>23</v>
      </c>
      <c r="L1325" s="1">
        <v>1</v>
      </c>
      <c r="M1325" s="1">
        <v>-31.21164263</v>
      </c>
    </row>
    <row r="1326" spans="4:13">
      <c r="D1326" s="1" t="s">
        <v>199</v>
      </c>
      <c r="E1326" s="1" t="s">
        <v>401</v>
      </c>
      <c r="H1326" s="1" t="s">
        <v>22</v>
      </c>
      <c r="I1326" s="1" t="s">
        <v>23</v>
      </c>
      <c r="L1326" s="1">
        <v>1</v>
      </c>
      <c r="M1326" s="1">
        <v>0.233394507</v>
      </c>
    </row>
    <row r="1327" spans="4:13">
      <c r="D1327" s="1" t="s">
        <v>199</v>
      </c>
      <c r="E1327" s="1" t="s">
        <v>402</v>
      </c>
      <c r="H1327" s="1" t="s">
        <v>22</v>
      </c>
      <c r="I1327" s="1" t="s">
        <v>23</v>
      </c>
      <c r="L1327" s="1">
        <v>1</v>
      </c>
      <c r="M1327" s="1">
        <v>10.853596659999999</v>
      </c>
    </row>
    <row r="1328" spans="4:13">
      <c r="D1328" s="1" t="s">
        <v>199</v>
      </c>
      <c r="E1328" s="1" t="s">
        <v>403</v>
      </c>
      <c r="H1328" s="1" t="s">
        <v>22</v>
      </c>
      <c r="I1328" s="1" t="s">
        <v>23</v>
      </c>
      <c r="L1328" s="1">
        <v>1</v>
      </c>
      <c r="M1328" s="1">
        <v>-17.475379329999999</v>
      </c>
    </row>
    <row r="1329" spans="4:13">
      <c r="D1329" s="1" t="s">
        <v>199</v>
      </c>
      <c r="E1329" s="1" t="s">
        <v>404</v>
      </c>
      <c r="H1329" s="1" t="s">
        <v>22</v>
      </c>
      <c r="I1329" s="1" t="s">
        <v>23</v>
      </c>
      <c r="L1329" s="1">
        <v>1</v>
      </c>
      <c r="M1329" s="1">
        <v>17.4159538</v>
      </c>
    </row>
    <row r="1330" spans="4:13">
      <c r="D1330" s="1" t="s">
        <v>199</v>
      </c>
      <c r="E1330" s="1" t="s">
        <v>405</v>
      </c>
      <c r="H1330" s="1" t="s">
        <v>22</v>
      </c>
      <c r="I1330" s="1" t="s">
        <v>23</v>
      </c>
      <c r="L1330" s="1">
        <v>1</v>
      </c>
      <c r="M1330" s="1">
        <v>4.8382064409999996</v>
      </c>
    </row>
    <row r="1331" spans="4:13">
      <c r="D1331" s="1" t="s">
        <v>199</v>
      </c>
      <c r="E1331" s="1" t="s">
        <v>406</v>
      </c>
      <c r="H1331" s="1" t="s">
        <v>22</v>
      </c>
      <c r="I1331" s="1" t="s">
        <v>23</v>
      </c>
      <c r="L1331" s="1">
        <v>1</v>
      </c>
      <c r="M1331" s="1">
        <v>-3.933182714</v>
      </c>
    </row>
    <row r="1332" spans="4:13">
      <c r="D1332" s="1" t="s">
        <v>199</v>
      </c>
      <c r="E1332" s="1" t="s">
        <v>407</v>
      </c>
      <c r="H1332" s="1" t="s">
        <v>22</v>
      </c>
      <c r="I1332" s="1" t="s">
        <v>23</v>
      </c>
      <c r="L1332" s="1">
        <v>1</v>
      </c>
      <c r="M1332" s="1">
        <v>0.54147974499999996</v>
      </c>
    </row>
    <row r="1333" spans="4:13">
      <c r="D1333" s="1" t="s">
        <v>199</v>
      </c>
      <c r="E1333" s="1" t="s">
        <v>408</v>
      </c>
      <c r="H1333" s="1" t="s">
        <v>22</v>
      </c>
      <c r="I1333" s="1" t="s">
        <v>23</v>
      </c>
      <c r="L1333" s="1">
        <v>1</v>
      </c>
      <c r="M1333" s="1">
        <v>-1.020785179</v>
      </c>
    </row>
    <row r="1334" spans="4:13">
      <c r="D1334" s="1" t="s">
        <v>199</v>
      </c>
      <c r="E1334" s="1" t="s">
        <v>409</v>
      </c>
      <c r="H1334" s="1" t="s">
        <v>22</v>
      </c>
      <c r="I1334" s="1" t="s">
        <v>23</v>
      </c>
      <c r="L1334" s="1">
        <v>1</v>
      </c>
      <c r="M1334" s="1">
        <v>-8.133917555</v>
      </c>
    </row>
    <row r="1335" spans="4:13">
      <c r="D1335" s="1" t="s">
        <v>199</v>
      </c>
      <c r="E1335" s="1" t="s">
        <v>410</v>
      </c>
      <c r="H1335" s="1" t="s">
        <v>22</v>
      </c>
      <c r="I1335" s="1" t="s">
        <v>23</v>
      </c>
      <c r="L1335" s="1">
        <v>1</v>
      </c>
      <c r="M1335" s="1">
        <v>1.2142200000000001E-2</v>
      </c>
    </row>
    <row r="1336" spans="4:13">
      <c r="D1336" s="1" t="s">
        <v>199</v>
      </c>
      <c r="E1336" s="1" t="s">
        <v>411</v>
      </c>
      <c r="H1336" s="1" t="s">
        <v>22</v>
      </c>
      <c r="I1336" s="1" t="s">
        <v>23</v>
      </c>
      <c r="L1336" s="1">
        <v>1</v>
      </c>
      <c r="M1336" s="1">
        <v>12.829166799999999</v>
      </c>
    </row>
    <row r="1337" spans="4:13">
      <c r="D1337" s="1" t="s">
        <v>199</v>
      </c>
      <c r="E1337" s="1" t="s">
        <v>412</v>
      </c>
      <c r="H1337" s="1" t="s">
        <v>22</v>
      </c>
      <c r="I1337" s="1" t="s">
        <v>23</v>
      </c>
      <c r="L1337" s="1">
        <v>1</v>
      </c>
      <c r="M1337" s="1">
        <v>-31.95608687</v>
      </c>
    </row>
    <row r="1338" spans="4:13">
      <c r="D1338" s="1" t="s">
        <v>199</v>
      </c>
      <c r="E1338" s="1" t="s">
        <v>413</v>
      </c>
      <c r="H1338" s="1" t="s">
        <v>22</v>
      </c>
      <c r="I1338" s="1" t="s">
        <v>23</v>
      </c>
      <c r="L1338" s="1">
        <v>1</v>
      </c>
      <c r="M1338" s="1">
        <v>28.361256940000001</v>
      </c>
    </row>
    <row r="1339" spans="4:13">
      <c r="D1339" s="1" t="s">
        <v>199</v>
      </c>
      <c r="E1339" s="1" t="s">
        <v>414</v>
      </c>
      <c r="H1339" s="1" t="s">
        <v>22</v>
      </c>
      <c r="I1339" s="1" t="s">
        <v>23</v>
      </c>
      <c r="L1339" s="1">
        <v>1</v>
      </c>
      <c r="M1339" s="1">
        <v>-18.543151179999999</v>
      </c>
    </row>
    <row r="1340" spans="4:13">
      <c r="D1340" s="1" t="s">
        <v>199</v>
      </c>
      <c r="E1340" s="1" t="s">
        <v>415</v>
      </c>
      <c r="H1340" s="1" t="s">
        <v>22</v>
      </c>
      <c r="I1340" s="1" t="s">
        <v>23</v>
      </c>
      <c r="L1340" s="1">
        <v>1</v>
      </c>
      <c r="M1340" s="1">
        <v>8.2768472150000001</v>
      </c>
    </row>
    <row r="1341" spans="4:13">
      <c r="D1341" s="1" t="s">
        <v>199</v>
      </c>
      <c r="E1341" s="1" t="s">
        <v>416</v>
      </c>
      <c r="H1341" s="1" t="s">
        <v>22</v>
      </c>
      <c r="I1341" s="1" t="s">
        <v>23</v>
      </c>
      <c r="L1341" s="1">
        <v>1</v>
      </c>
      <c r="M1341" s="1">
        <v>0.96325570999999999</v>
      </c>
    </row>
    <row r="1342" spans="4:13">
      <c r="D1342" s="1" t="s">
        <v>199</v>
      </c>
      <c r="E1342" s="1" t="s">
        <v>417</v>
      </c>
      <c r="H1342" s="1" t="s">
        <v>22</v>
      </c>
      <c r="I1342" s="1" t="s">
        <v>23</v>
      </c>
      <c r="L1342" s="1">
        <v>1</v>
      </c>
      <c r="M1342" s="1">
        <v>7.0808506109999998</v>
      </c>
    </row>
    <row r="1343" spans="4:13">
      <c r="D1343" s="1" t="s">
        <v>199</v>
      </c>
      <c r="E1343" s="1" t="s">
        <v>418</v>
      </c>
      <c r="H1343" s="1" t="s">
        <v>22</v>
      </c>
      <c r="I1343" s="1" t="s">
        <v>23</v>
      </c>
      <c r="L1343" s="1">
        <v>1</v>
      </c>
      <c r="M1343" s="1">
        <v>-7.6273007210000001</v>
      </c>
    </row>
    <row r="1344" spans="4:13">
      <c r="D1344" s="1" t="s">
        <v>199</v>
      </c>
      <c r="E1344" s="1" t="s">
        <v>419</v>
      </c>
      <c r="H1344" s="1" t="s">
        <v>22</v>
      </c>
      <c r="I1344" s="1" t="s">
        <v>23</v>
      </c>
      <c r="L1344" s="1">
        <v>1</v>
      </c>
      <c r="M1344" s="1">
        <v>7.5537147070000001</v>
      </c>
    </row>
    <row r="1345" spans="1:13">
      <c r="D1345" s="1" t="s">
        <v>199</v>
      </c>
      <c r="E1345" s="1" t="s">
        <v>420</v>
      </c>
      <c r="H1345" s="1" t="s">
        <v>22</v>
      </c>
      <c r="I1345" s="1" t="s">
        <v>23</v>
      </c>
      <c r="L1345" s="1">
        <v>1</v>
      </c>
      <c r="M1345" s="1">
        <v>-3.109847426</v>
      </c>
    </row>
    <row r="1346" spans="1:13">
      <c r="D1346" s="1" t="s">
        <v>199</v>
      </c>
      <c r="E1346" s="1" t="s">
        <v>421</v>
      </c>
      <c r="H1346" s="1" t="s">
        <v>22</v>
      </c>
      <c r="I1346" s="1" t="s">
        <v>23</v>
      </c>
      <c r="L1346" s="1">
        <v>1</v>
      </c>
      <c r="M1346" s="1">
        <v>2.3237722729999999</v>
      </c>
    </row>
    <row r="1347" spans="1:13">
      <c r="D1347" s="1" t="s">
        <v>199</v>
      </c>
      <c r="E1347" s="1" t="s">
        <v>422</v>
      </c>
      <c r="H1347" s="1" t="s">
        <v>22</v>
      </c>
      <c r="I1347" s="1" t="s">
        <v>23</v>
      </c>
      <c r="L1347" s="1">
        <v>1</v>
      </c>
      <c r="M1347" s="1">
        <v>-2.2025023080000001</v>
      </c>
    </row>
    <row r="1348" spans="1:13">
      <c r="D1348" s="1" t="s">
        <v>199</v>
      </c>
      <c r="E1348" s="1" t="s">
        <v>423</v>
      </c>
      <c r="H1348" s="1" t="s">
        <v>22</v>
      </c>
      <c r="I1348" s="1" t="s">
        <v>23</v>
      </c>
      <c r="L1348" s="1">
        <v>1</v>
      </c>
      <c r="M1348" s="1">
        <v>-0.10750120000000001</v>
      </c>
    </row>
    <row r="1349" spans="1:13">
      <c r="D1349" s="1" t="s">
        <v>199</v>
      </c>
      <c r="E1349" s="1" t="s">
        <v>424</v>
      </c>
      <c r="H1349" s="1" t="s">
        <v>22</v>
      </c>
      <c r="I1349" s="1" t="s">
        <v>23</v>
      </c>
      <c r="L1349" s="1">
        <v>1</v>
      </c>
      <c r="M1349" s="1">
        <v>-0.42469770000000001</v>
      </c>
    </row>
    <row r="1350" spans="1:13">
      <c r="A1350" s="2" t="s">
        <v>1721</v>
      </c>
      <c r="B1350" s="3" t="s">
        <v>1729</v>
      </c>
      <c r="D1350" s="1" t="s">
        <v>199</v>
      </c>
      <c r="E1350" s="1" t="s">
        <v>425</v>
      </c>
      <c r="F1350" s="1" t="s">
        <v>176</v>
      </c>
      <c r="G1350" s="1" t="s">
        <v>177</v>
      </c>
      <c r="H1350" s="1" t="s">
        <v>22</v>
      </c>
      <c r="I1350" s="1" t="s">
        <v>23</v>
      </c>
      <c r="J1350" s="1">
        <v>0</v>
      </c>
      <c r="L1350" s="1">
        <v>39.370078740157467</v>
      </c>
      <c r="M1350" s="1">
        <v>7.9809999999999972</v>
      </c>
    </row>
    <row r="1351" spans="1:13">
      <c r="A1351" s="2" t="s">
        <v>1721</v>
      </c>
      <c r="B1351" s="3" t="s">
        <v>426</v>
      </c>
      <c r="D1351" s="1" t="s">
        <v>199</v>
      </c>
      <c r="E1351" s="1" t="s">
        <v>426</v>
      </c>
      <c r="H1351" s="1" t="s">
        <v>25</v>
      </c>
      <c r="I1351" s="1" t="s">
        <v>23</v>
      </c>
      <c r="M1351" s="1" t="b">
        <v>1</v>
      </c>
    </row>
    <row r="1352" spans="1:13">
      <c r="A1352" s="2" t="s">
        <v>1721</v>
      </c>
      <c r="B1352" s="3" t="s">
        <v>427</v>
      </c>
      <c r="D1352" s="1" t="s">
        <v>199</v>
      </c>
      <c r="E1352" s="1" t="s">
        <v>427</v>
      </c>
      <c r="F1352" s="1">
        <v>1</v>
      </c>
      <c r="G1352" s="1">
        <v>1</v>
      </c>
      <c r="H1352" s="1" t="s">
        <v>22</v>
      </c>
      <c r="I1352" s="1" t="s">
        <v>23</v>
      </c>
      <c r="J1352" s="1">
        <v>0</v>
      </c>
      <c r="K1352" s="1">
        <v>1</v>
      </c>
      <c r="L1352" s="1">
        <v>1</v>
      </c>
      <c r="M1352" s="1">
        <v>0.83379999999999999</v>
      </c>
    </row>
    <row r="1353" spans="1:13">
      <c r="A1353" s="2" t="s">
        <v>1721</v>
      </c>
      <c r="B1353" s="3" t="s">
        <v>428</v>
      </c>
      <c r="D1353" s="1" t="s">
        <v>199</v>
      </c>
      <c r="E1353" s="1" t="s">
        <v>428</v>
      </c>
      <c r="H1353" s="1" t="s">
        <v>25</v>
      </c>
      <c r="I1353" s="1" t="s">
        <v>23</v>
      </c>
      <c r="M1353" s="1" t="b">
        <v>1</v>
      </c>
    </row>
    <row r="1354" spans="1:13">
      <c r="A1354" s="2" t="s">
        <v>1721</v>
      </c>
      <c r="B1354" s="3" t="s">
        <v>429</v>
      </c>
      <c r="D1354" s="1" t="s">
        <v>199</v>
      </c>
      <c r="E1354" s="1" t="s">
        <v>429</v>
      </c>
      <c r="F1354" s="1">
        <v>1</v>
      </c>
      <c r="G1354" s="1">
        <v>1</v>
      </c>
      <c r="H1354" s="1" t="s">
        <v>22</v>
      </c>
      <c r="I1354" s="1" t="s">
        <v>23</v>
      </c>
      <c r="J1354" s="1">
        <v>0</v>
      </c>
      <c r="K1354" s="1">
        <v>1</v>
      </c>
      <c r="L1354" s="1">
        <v>1</v>
      </c>
      <c r="M1354" s="1">
        <v>0.83379999999999999</v>
      </c>
    </row>
    <row r="1355" spans="1:13">
      <c r="D1355" s="1" t="s">
        <v>199</v>
      </c>
      <c r="E1355" s="1" t="s">
        <v>430</v>
      </c>
      <c r="H1355" s="1" t="s">
        <v>22</v>
      </c>
      <c r="I1355" s="1" t="s">
        <v>23</v>
      </c>
      <c r="L1355" s="1">
        <v>1</v>
      </c>
      <c r="M1355" s="1">
        <v>0</v>
      </c>
    </row>
    <row r="1356" spans="1:13">
      <c r="D1356" s="1" t="s">
        <v>199</v>
      </c>
      <c r="E1356" s="1" t="s">
        <v>431</v>
      </c>
      <c r="H1356" s="1" t="s">
        <v>22</v>
      </c>
      <c r="I1356" s="1" t="s">
        <v>23</v>
      </c>
      <c r="L1356" s="1">
        <v>1</v>
      </c>
      <c r="M1356" s="1">
        <v>0.2</v>
      </c>
    </row>
    <row r="1357" spans="1:13">
      <c r="D1357" s="1" t="s">
        <v>199</v>
      </c>
      <c r="E1357" s="1" t="s">
        <v>432</v>
      </c>
      <c r="H1357" s="1" t="s">
        <v>22</v>
      </c>
      <c r="I1357" s="1" t="s">
        <v>23</v>
      </c>
      <c r="L1357" s="1">
        <v>1</v>
      </c>
      <c r="M1357" s="1">
        <v>0.4</v>
      </c>
    </row>
    <row r="1358" spans="1:13">
      <c r="D1358" s="1" t="s">
        <v>199</v>
      </c>
      <c r="E1358" s="1" t="s">
        <v>433</v>
      </c>
      <c r="H1358" s="1" t="s">
        <v>22</v>
      </c>
      <c r="I1358" s="1" t="s">
        <v>23</v>
      </c>
      <c r="L1358" s="1">
        <v>1</v>
      </c>
      <c r="M1358" s="1">
        <v>0.6</v>
      </c>
    </row>
    <row r="1359" spans="1:13">
      <c r="D1359" s="1" t="s">
        <v>199</v>
      </c>
      <c r="E1359" s="1" t="s">
        <v>434</v>
      </c>
      <c r="H1359" s="1" t="s">
        <v>22</v>
      </c>
      <c r="I1359" s="1" t="s">
        <v>23</v>
      </c>
      <c r="L1359" s="1">
        <v>1</v>
      </c>
      <c r="M1359" s="1">
        <v>0.8</v>
      </c>
    </row>
    <row r="1360" spans="1:13">
      <c r="D1360" s="1" t="s">
        <v>199</v>
      </c>
      <c r="E1360" s="1" t="s">
        <v>435</v>
      </c>
      <c r="H1360" s="1" t="s">
        <v>22</v>
      </c>
      <c r="I1360" s="1" t="s">
        <v>23</v>
      </c>
      <c r="L1360" s="1">
        <v>1</v>
      </c>
      <c r="M1360" s="1">
        <v>1</v>
      </c>
    </row>
    <row r="1361" spans="4:13">
      <c r="D1361" s="1" t="s">
        <v>199</v>
      </c>
      <c r="E1361" s="1" t="s">
        <v>436</v>
      </c>
      <c r="H1361" s="1" t="s">
        <v>22</v>
      </c>
      <c r="I1361" s="1" t="s">
        <v>23</v>
      </c>
      <c r="L1361" s="1">
        <v>1</v>
      </c>
      <c r="M1361" s="1">
        <v>1.2</v>
      </c>
    </row>
    <row r="1362" spans="4:13">
      <c r="D1362" s="1" t="s">
        <v>199</v>
      </c>
      <c r="E1362" s="1" t="s">
        <v>437</v>
      </c>
      <c r="H1362" s="1" t="s">
        <v>22</v>
      </c>
      <c r="I1362" s="1" t="s">
        <v>23</v>
      </c>
      <c r="L1362" s="1">
        <v>1</v>
      </c>
      <c r="M1362" s="1">
        <v>1.4</v>
      </c>
    </row>
    <row r="1363" spans="4:13">
      <c r="D1363" s="1" t="s">
        <v>199</v>
      </c>
      <c r="E1363" s="1" t="s">
        <v>438</v>
      </c>
      <c r="H1363" s="1" t="s">
        <v>22</v>
      </c>
      <c r="I1363" s="1" t="s">
        <v>23</v>
      </c>
      <c r="L1363" s="1">
        <v>1</v>
      </c>
      <c r="M1363" s="1">
        <v>1.6</v>
      </c>
    </row>
    <row r="1364" spans="4:13">
      <c r="D1364" s="1" t="s">
        <v>199</v>
      </c>
      <c r="E1364" s="1" t="s">
        <v>439</v>
      </c>
      <c r="H1364" s="1" t="s">
        <v>22</v>
      </c>
      <c r="I1364" s="1" t="s">
        <v>23</v>
      </c>
      <c r="L1364" s="1">
        <v>1</v>
      </c>
      <c r="M1364" s="1">
        <v>0.1</v>
      </c>
    </row>
    <row r="1365" spans="4:13">
      <c r="D1365" s="1" t="s">
        <v>199</v>
      </c>
      <c r="E1365" s="1" t="s">
        <v>440</v>
      </c>
      <c r="H1365" s="1" t="s">
        <v>22</v>
      </c>
      <c r="I1365" s="1" t="s">
        <v>23</v>
      </c>
      <c r="L1365" s="1">
        <v>1</v>
      </c>
      <c r="M1365" s="1">
        <v>0.3</v>
      </c>
    </row>
    <row r="1366" spans="4:13">
      <c r="D1366" s="1" t="s">
        <v>199</v>
      </c>
      <c r="E1366" s="1" t="s">
        <v>441</v>
      </c>
      <c r="H1366" s="1" t="s">
        <v>22</v>
      </c>
      <c r="I1366" s="1" t="s">
        <v>23</v>
      </c>
      <c r="L1366" s="1">
        <v>1</v>
      </c>
      <c r="M1366" s="1">
        <v>0.5</v>
      </c>
    </row>
    <row r="1367" spans="4:13">
      <c r="D1367" s="1" t="s">
        <v>199</v>
      </c>
      <c r="E1367" s="1" t="s">
        <v>442</v>
      </c>
      <c r="H1367" s="1" t="s">
        <v>22</v>
      </c>
      <c r="I1367" s="1" t="s">
        <v>23</v>
      </c>
      <c r="L1367" s="1">
        <v>1</v>
      </c>
      <c r="M1367" s="1">
        <v>0.7</v>
      </c>
    </row>
    <row r="1368" spans="4:13">
      <c r="D1368" s="1" t="s">
        <v>199</v>
      </c>
      <c r="E1368" s="1" t="s">
        <v>443</v>
      </c>
      <c r="H1368" s="1" t="s">
        <v>22</v>
      </c>
      <c r="I1368" s="1" t="s">
        <v>23</v>
      </c>
      <c r="L1368" s="1">
        <v>1</v>
      </c>
      <c r="M1368" s="1">
        <v>0.9</v>
      </c>
    </row>
    <row r="1369" spans="4:13">
      <c r="D1369" s="1" t="s">
        <v>199</v>
      </c>
      <c r="E1369" s="1" t="s">
        <v>444</v>
      </c>
      <c r="H1369" s="1" t="s">
        <v>22</v>
      </c>
      <c r="I1369" s="1" t="s">
        <v>23</v>
      </c>
      <c r="L1369" s="1">
        <v>1</v>
      </c>
      <c r="M1369" s="1">
        <v>1.1000000000000001</v>
      </c>
    </row>
    <row r="1370" spans="4:13">
      <c r="D1370" s="1" t="s">
        <v>199</v>
      </c>
      <c r="E1370" s="1" t="s">
        <v>445</v>
      </c>
      <c r="H1370" s="1" t="s">
        <v>22</v>
      </c>
      <c r="I1370" s="1" t="s">
        <v>23</v>
      </c>
      <c r="L1370" s="1">
        <v>1</v>
      </c>
      <c r="M1370" s="1">
        <v>1.3</v>
      </c>
    </row>
    <row r="1371" spans="4:13">
      <c r="D1371" s="1" t="s">
        <v>199</v>
      </c>
      <c r="E1371" s="1" t="s">
        <v>446</v>
      </c>
      <c r="H1371" s="1" t="s">
        <v>22</v>
      </c>
      <c r="I1371" s="1" t="s">
        <v>23</v>
      </c>
      <c r="L1371" s="1">
        <v>1</v>
      </c>
      <c r="M1371" s="1">
        <v>1.5</v>
      </c>
    </row>
    <row r="1372" spans="4:13">
      <c r="D1372" s="1" t="s">
        <v>199</v>
      </c>
      <c r="E1372" s="1" t="s">
        <v>447</v>
      </c>
      <c r="H1372" s="1" t="s">
        <v>22</v>
      </c>
      <c r="I1372" s="1" t="s">
        <v>23</v>
      </c>
      <c r="L1372" s="1">
        <v>1</v>
      </c>
      <c r="M1372" s="1">
        <v>1.7</v>
      </c>
    </row>
    <row r="1373" spans="4:13">
      <c r="D1373" s="1" t="s">
        <v>199</v>
      </c>
      <c r="E1373" s="1" t="s">
        <v>448</v>
      </c>
      <c r="H1373" s="1" t="s">
        <v>22</v>
      </c>
      <c r="I1373" s="1" t="s">
        <v>23</v>
      </c>
      <c r="L1373" s="1">
        <v>1</v>
      </c>
      <c r="M1373" s="1">
        <v>0</v>
      </c>
    </row>
    <row r="1374" spans="4:13">
      <c r="D1374" s="1" t="s">
        <v>199</v>
      </c>
      <c r="E1374" s="1" t="s">
        <v>449</v>
      </c>
      <c r="H1374" s="1" t="s">
        <v>22</v>
      </c>
      <c r="I1374" s="1" t="s">
        <v>23</v>
      </c>
      <c r="L1374" s="1">
        <v>1</v>
      </c>
      <c r="M1374" s="1">
        <v>0.2</v>
      </c>
    </row>
    <row r="1375" spans="4:13">
      <c r="D1375" s="1" t="s">
        <v>199</v>
      </c>
      <c r="E1375" s="1" t="s">
        <v>450</v>
      </c>
      <c r="H1375" s="1" t="s">
        <v>22</v>
      </c>
      <c r="I1375" s="1" t="s">
        <v>23</v>
      </c>
      <c r="L1375" s="1">
        <v>1</v>
      </c>
      <c r="M1375" s="1">
        <v>0.4</v>
      </c>
    </row>
    <row r="1376" spans="4:13">
      <c r="D1376" s="1" t="s">
        <v>199</v>
      </c>
      <c r="E1376" s="1" t="s">
        <v>451</v>
      </c>
      <c r="H1376" s="1" t="s">
        <v>22</v>
      </c>
      <c r="I1376" s="1" t="s">
        <v>23</v>
      </c>
      <c r="L1376" s="1">
        <v>1</v>
      </c>
      <c r="M1376" s="1">
        <v>0.6</v>
      </c>
    </row>
    <row r="1377" spans="4:13">
      <c r="D1377" s="1" t="s">
        <v>199</v>
      </c>
      <c r="E1377" s="1" t="s">
        <v>452</v>
      </c>
      <c r="H1377" s="1" t="s">
        <v>22</v>
      </c>
      <c r="I1377" s="1" t="s">
        <v>23</v>
      </c>
      <c r="L1377" s="1">
        <v>1</v>
      </c>
      <c r="M1377" s="1">
        <v>0.8</v>
      </c>
    </row>
    <row r="1378" spans="4:13">
      <c r="D1378" s="1" t="s">
        <v>199</v>
      </c>
      <c r="E1378" s="1" t="s">
        <v>453</v>
      </c>
      <c r="H1378" s="1" t="s">
        <v>22</v>
      </c>
      <c r="I1378" s="1" t="s">
        <v>23</v>
      </c>
      <c r="L1378" s="1">
        <v>1</v>
      </c>
      <c r="M1378" s="1">
        <v>1</v>
      </c>
    </row>
    <row r="1379" spans="4:13">
      <c r="D1379" s="1" t="s">
        <v>199</v>
      </c>
      <c r="E1379" s="1" t="s">
        <v>454</v>
      </c>
      <c r="H1379" s="1" t="s">
        <v>22</v>
      </c>
      <c r="I1379" s="1" t="s">
        <v>23</v>
      </c>
      <c r="L1379" s="1">
        <v>1</v>
      </c>
      <c r="M1379" s="1">
        <v>1.2</v>
      </c>
    </row>
    <row r="1380" spans="4:13">
      <c r="D1380" s="1" t="s">
        <v>199</v>
      </c>
      <c r="E1380" s="1" t="s">
        <v>455</v>
      </c>
      <c r="H1380" s="1" t="s">
        <v>22</v>
      </c>
      <c r="I1380" s="1" t="s">
        <v>23</v>
      </c>
      <c r="L1380" s="1">
        <v>1</v>
      </c>
      <c r="M1380" s="1">
        <v>1.4</v>
      </c>
    </row>
    <row r="1381" spans="4:13">
      <c r="D1381" s="1" t="s">
        <v>199</v>
      </c>
      <c r="E1381" s="1" t="s">
        <v>456</v>
      </c>
      <c r="H1381" s="1" t="s">
        <v>22</v>
      </c>
      <c r="I1381" s="1" t="s">
        <v>23</v>
      </c>
      <c r="L1381" s="1">
        <v>1</v>
      </c>
      <c r="M1381" s="1">
        <v>1.6</v>
      </c>
    </row>
    <row r="1382" spans="4:13">
      <c r="D1382" s="1" t="s">
        <v>199</v>
      </c>
      <c r="E1382" s="1" t="s">
        <v>457</v>
      </c>
      <c r="H1382" s="1" t="s">
        <v>22</v>
      </c>
      <c r="I1382" s="1" t="s">
        <v>23</v>
      </c>
      <c r="L1382" s="1">
        <v>1</v>
      </c>
      <c r="M1382" s="1">
        <v>0.1</v>
      </c>
    </row>
    <row r="1383" spans="4:13">
      <c r="D1383" s="1" t="s">
        <v>199</v>
      </c>
      <c r="E1383" s="1" t="s">
        <v>458</v>
      </c>
      <c r="H1383" s="1" t="s">
        <v>22</v>
      </c>
      <c r="I1383" s="1" t="s">
        <v>23</v>
      </c>
      <c r="L1383" s="1">
        <v>1</v>
      </c>
      <c r="M1383" s="1">
        <v>0.3</v>
      </c>
    </row>
    <row r="1384" spans="4:13">
      <c r="D1384" s="1" t="s">
        <v>199</v>
      </c>
      <c r="E1384" s="1" t="s">
        <v>459</v>
      </c>
      <c r="H1384" s="1" t="s">
        <v>22</v>
      </c>
      <c r="I1384" s="1" t="s">
        <v>23</v>
      </c>
      <c r="L1384" s="1">
        <v>1</v>
      </c>
      <c r="M1384" s="1">
        <v>0.5</v>
      </c>
    </row>
    <row r="1385" spans="4:13">
      <c r="D1385" s="1" t="s">
        <v>199</v>
      </c>
      <c r="E1385" s="1" t="s">
        <v>460</v>
      </c>
      <c r="H1385" s="1" t="s">
        <v>22</v>
      </c>
      <c r="I1385" s="1" t="s">
        <v>23</v>
      </c>
      <c r="L1385" s="1">
        <v>1</v>
      </c>
      <c r="M1385" s="1">
        <v>0.7</v>
      </c>
    </row>
    <row r="1386" spans="4:13">
      <c r="D1386" s="1" t="s">
        <v>199</v>
      </c>
      <c r="E1386" s="1" t="s">
        <v>461</v>
      </c>
      <c r="H1386" s="1" t="s">
        <v>22</v>
      </c>
      <c r="I1386" s="1" t="s">
        <v>23</v>
      </c>
      <c r="L1386" s="1">
        <v>1</v>
      </c>
      <c r="M1386" s="1">
        <v>0.9</v>
      </c>
    </row>
    <row r="1387" spans="4:13">
      <c r="D1387" s="1" t="s">
        <v>199</v>
      </c>
      <c r="E1387" s="1" t="s">
        <v>462</v>
      </c>
      <c r="H1387" s="1" t="s">
        <v>22</v>
      </c>
      <c r="I1387" s="1" t="s">
        <v>23</v>
      </c>
      <c r="L1387" s="1">
        <v>1</v>
      </c>
      <c r="M1387" s="1">
        <v>1.1000000000000001</v>
      </c>
    </row>
    <row r="1388" spans="4:13">
      <c r="D1388" s="1" t="s">
        <v>199</v>
      </c>
      <c r="E1388" s="1" t="s">
        <v>463</v>
      </c>
      <c r="H1388" s="1" t="s">
        <v>22</v>
      </c>
      <c r="I1388" s="1" t="s">
        <v>23</v>
      </c>
      <c r="L1388" s="1">
        <v>1</v>
      </c>
      <c r="M1388" s="1">
        <v>1.3</v>
      </c>
    </row>
    <row r="1389" spans="4:13">
      <c r="D1389" s="1" t="s">
        <v>199</v>
      </c>
      <c r="E1389" s="1" t="s">
        <v>464</v>
      </c>
      <c r="H1389" s="1" t="s">
        <v>22</v>
      </c>
      <c r="I1389" s="1" t="s">
        <v>23</v>
      </c>
      <c r="L1389" s="1">
        <v>1</v>
      </c>
      <c r="M1389" s="1">
        <v>1.5</v>
      </c>
    </row>
    <row r="1390" spans="4:13">
      <c r="D1390" s="1" t="s">
        <v>199</v>
      </c>
      <c r="E1390" s="1" t="s">
        <v>465</v>
      </c>
      <c r="H1390" s="1" t="s">
        <v>22</v>
      </c>
      <c r="I1390" s="1" t="s">
        <v>23</v>
      </c>
      <c r="L1390" s="1">
        <v>1</v>
      </c>
      <c r="M1390" s="1">
        <v>1.7</v>
      </c>
    </row>
    <row r="1391" spans="4:13">
      <c r="D1391" s="1" t="s">
        <v>199</v>
      </c>
      <c r="E1391" s="1" t="s">
        <v>466</v>
      </c>
      <c r="H1391" s="1" t="s">
        <v>22</v>
      </c>
      <c r="I1391" s="1" t="s">
        <v>23</v>
      </c>
      <c r="L1391" s="1">
        <v>1</v>
      </c>
      <c r="M1391" s="1">
        <v>0</v>
      </c>
    </row>
    <row r="1392" spans="4:13">
      <c r="D1392" s="1" t="s">
        <v>199</v>
      </c>
      <c r="E1392" s="1" t="s">
        <v>467</v>
      </c>
      <c r="H1392" s="1" t="s">
        <v>22</v>
      </c>
      <c r="I1392" s="1" t="s">
        <v>23</v>
      </c>
      <c r="L1392" s="1">
        <v>1</v>
      </c>
      <c r="M1392" s="1">
        <v>0.2</v>
      </c>
    </row>
    <row r="1393" spans="4:13">
      <c r="D1393" s="1" t="s">
        <v>199</v>
      </c>
      <c r="E1393" s="1" t="s">
        <v>468</v>
      </c>
      <c r="H1393" s="1" t="s">
        <v>22</v>
      </c>
      <c r="I1393" s="1" t="s">
        <v>23</v>
      </c>
      <c r="L1393" s="1">
        <v>1</v>
      </c>
      <c r="M1393" s="1">
        <v>0.4</v>
      </c>
    </row>
    <row r="1394" spans="4:13">
      <c r="D1394" s="1" t="s">
        <v>199</v>
      </c>
      <c r="E1394" s="1" t="s">
        <v>469</v>
      </c>
      <c r="H1394" s="1" t="s">
        <v>22</v>
      </c>
      <c r="I1394" s="1" t="s">
        <v>23</v>
      </c>
      <c r="L1394" s="1">
        <v>1</v>
      </c>
      <c r="M1394" s="1">
        <v>0.6</v>
      </c>
    </row>
    <row r="1395" spans="4:13">
      <c r="D1395" s="1" t="s">
        <v>199</v>
      </c>
      <c r="E1395" s="1" t="s">
        <v>470</v>
      </c>
      <c r="H1395" s="1" t="s">
        <v>22</v>
      </c>
      <c r="I1395" s="1" t="s">
        <v>23</v>
      </c>
      <c r="L1395" s="1">
        <v>1</v>
      </c>
      <c r="M1395" s="1">
        <v>0.8</v>
      </c>
    </row>
    <row r="1396" spans="4:13">
      <c r="D1396" s="1" t="s">
        <v>199</v>
      </c>
      <c r="E1396" s="1" t="s">
        <v>471</v>
      </c>
      <c r="H1396" s="1" t="s">
        <v>22</v>
      </c>
      <c r="I1396" s="1" t="s">
        <v>23</v>
      </c>
      <c r="L1396" s="1">
        <v>1</v>
      </c>
      <c r="M1396" s="1">
        <v>1</v>
      </c>
    </row>
    <row r="1397" spans="4:13">
      <c r="D1397" s="1" t="s">
        <v>199</v>
      </c>
      <c r="E1397" s="1" t="s">
        <v>472</v>
      </c>
      <c r="H1397" s="1" t="s">
        <v>22</v>
      </c>
      <c r="I1397" s="1" t="s">
        <v>23</v>
      </c>
      <c r="L1397" s="1">
        <v>1</v>
      </c>
      <c r="M1397" s="1">
        <v>1.2</v>
      </c>
    </row>
    <row r="1398" spans="4:13">
      <c r="D1398" s="1" t="s">
        <v>199</v>
      </c>
      <c r="E1398" s="1" t="s">
        <v>473</v>
      </c>
      <c r="H1398" s="1" t="s">
        <v>22</v>
      </c>
      <c r="I1398" s="1" t="s">
        <v>23</v>
      </c>
      <c r="L1398" s="1">
        <v>1</v>
      </c>
      <c r="M1398" s="1">
        <v>1.4</v>
      </c>
    </row>
    <row r="1399" spans="4:13">
      <c r="D1399" s="1" t="s">
        <v>199</v>
      </c>
      <c r="E1399" s="1" t="s">
        <v>474</v>
      </c>
      <c r="H1399" s="1" t="s">
        <v>22</v>
      </c>
      <c r="I1399" s="1" t="s">
        <v>23</v>
      </c>
      <c r="L1399" s="1">
        <v>1</v>
      </c>
      <c r="M1399" s="1">
        <v>1.6</v>
      </c>
    </row>
    <row r="1400" spans="4:13">
      <c r="D1400" s="1" t="s">
        <v>199</v>
      </c>
      <c r="E1400" s="1" t="s">
        <v>475</v>
      </c>
      <c r="H1400" s="1" t="s">
        <v>22</v>
      </c>
      <c r="I1400" s="1" t="s">
        <v>23</v>
      </c>
      <c r="L1400" s="1">
        <v>1</v>
      </c>
      <c r="M1400" s="1">
        <v>0.1</v>
      </c>
    </row>
    <row r="1401" spans="4:13">
      <c r="D1401" s="1" t="s">
        <v>199</v>
      </c>
      <c r="E1401" s="1" t="s">
        <v>476</v>
      </c>
      <c r="H1401" s="1" t="s">
        <v>22</v>
      </c>
      <c r="I1401" s="1" t="s">
        <v>23</v>
      </c>
      <c r="L1401" s="1">
        <v>1</v>
      </c>
      <c r="M1401" s="1">
        <v>0.3</v>
      </c>
    </row>
    <row r="1402" spans="4:13">
      <c r="D1402" s="1" t="s">
        <v>199</v>
      </c>
      <c r="E1402" s="1" t="s">
        <v>477</v>
      </c>
      <c r="H1402" s="1" t="s">
        <v>22</v>
      </c>
      <c r="I1402" s="1" t="s">
        <v>23</v>
      </c>
      <c r="L1402" s="1">
        <v>1</v>
      </c>
      <c r="M1402" s="1">
        <v>0.5</v>
      </c>
    </row>
    <row r="1403" spans="4:13">
      <c r="D1403" s="1" t="s">
        <v>199</v>
      </c>
      <c r="E1403" s="1" t="s">
        <v>478</v>
      </c>
      <c r="H1403" s="1" t="s">
        <v>22</v>
      </c>
      <c r="I1403" s="1" t="s">
        <v>23</v>
      </c>
      <c r="L1403" s="1">
        <v>1</v>
      </c>
      <c r="M1403" s="1">
        <v>0.7</v>
      </c>
    </row>
    <row r="1404" spans="4:13">
      <c r="D1404" s="1" t="s">
        <v>199</v>
      </c>
      <c r="E1404" s="1" t="s">
        <v>479</v>
      </c>
      <c r="H1404" s="1" t="s">
        <v>22</v>
      </c>
      <c r="I1404" s="1" t="s">
        <v>23</v>
      </c>
      <c r="L1404" s="1">
        <v>1</v>
      </c>
      <c r="M1404" s="1">
        <v>0.9</v>
      </c>
    </row>
    <row r="1405" spans="4:13">
      <c r="D1405" s="1" t="s">
        <v>199</v>
      </c>
      <c r="E1405" s="1" t="s">
        <v>480</v>
      </c>
      <c r="H1405" s="1" t="s">
        <v>22</v>
      </c>
      <c r="I1405" s="1" t="s">
        <v>23</v>
      </c>
      <c r="L1405" s="1">
        <v>1</v>
      </c>
      <c r="M1405" s="1">
        <v>1.1000000000000001</v>
      </c>
    </row>
    <row r="1406" spans="4:13">
      <c r="D1406" s="1" t="s">
        <v>199</v>
      </c>
      <c r="E1406" s="1" t="s">
        <v>481</v>
      </c>
      <c r="H1406" s="1" t="s">
        <v>22</v>
      </c>
      <c r="I1406" s="1" t="s">
        <v>23</v>
      </c>
      <c r="L1406" s="1">
        <v>1</v>
      </c>
      <c r="M1406" s="1">
        <v>1.3</v>
      </c>
    </row>
    <row r="1407" spans="4:13">
      <c r="D1407" s="1" t="s">
        <v>199</v>
      </c>
      <c r="E1407" s="1" t="s">
        <v>482</v>
      </c>
      <c r="H1407" s="1" t="s">
        <v>22</v>
      </c>
      <c r="I1407" s="1" t="s">
        <v>23</v>
      </c>
      <c r="L1407" s="1">
        <v>1</v>
      </c>
      <c r="M1407" s="1">
        <v>1.5</v>
      </c>
    </row>
    <row r="1408" spans="4:13">
      <c r="D1408" s="1" t="s">
        <v>199</v>
      </c>
      <c r="E1408" s="1" t="s">
        <v>483</v>
      </c>
      <c r="H1408" s="1" t="s">
        <v>22</v>
      </c>
      <c r="I1408" s="1" t="s">
        <v>23</v>
      </c>
      <c r="L1408" s="1">
        <v>1</v>
      </c>
      <c r="M1408" s="1">
        <v>1.7</v>
      </c>
    </row>
    <row r="1409" spans="4:13">
      <c r="D1409" s="1" t="s">
        <v>199</v>
      </c>
      <c r="E1409" s="1" t="s">
        <v>484</v>
      </c>
      <c r="H1409" s="1" t="s">
        <v>22</v>
      </c>
      <c r="I1409" s="1" t="s">
        <v>23</v>
      </c>
      <c r="L1409" s="1">
        <v>1</v>
      </c>
      <c r="M1409" s="1">
        <v>0</v>
      </c>
    </row>
    <row r="1410" spans="4:13">
      <c r="D1410" s="1" t="s">
        <v>199</v>
      </c>
      <c r="E1410" s="1" t="s">
        <v>485</v>
      </c>
      <c r="H1410" s="1" t="s">
        <v>22</v>
      </c>
      <c r="I1410" s="1" t="s">
        <v>23</v>
      </c>
      <c r="L1410" s="1">
        <v>1</v>
      </c>
      <c r="M1410" s="1">
        <v>0.2</v>
      </c>
    </row>
    <row r="1411" spans="4:13">
      <c r="D1411" s="1" t="s">
        <v>199</v>
      </c>
      <c r="E1411" s="1" t="s">
        <v>486</v>
      </c>
      <c r="H1411" s="1" t="s">
        <v>22</v>
      </c>
      <c r="I1411" s="1" t="s">
        <v>23</v>
      </c>
      <c r="L1411" s="1">
        <v>1</v>
      </c>
      <c r="M1411" s="1">
        <v>0.4</v>
      </c>
    </row>
    <row r="1412" spans="4:13">
      <c r="D1412" s="1" t="s">
        <v>199</v>
      </c>
      <c r="E1412" s="1" t="s">
        <v>487</v>
      </c>
      <c r="H1412" s="1" t="s">
        <v>22</v>
      </c>
      <c r="I1412" s="1" t="s">
        <v>23</v>
      </c>
      <c r="L1412" s="1">
        <v>1</v>
      </c>
      <c r="M1412" s="1">
        <v>0.6</v>
      </c>
    </row>
    <row r="1413" spans="4:13">
      <c r="D1413" s="1" t="s">
        <v>199</v>
      </c>
      <c r="E1413" s="1" t="s">
        <v>488</v>
      </c>
      <c r="H1413" s="1" t="s">
        <v>22</v>
      </c>
      <c r="I1413" s="1" t="s">
        <v>23</v>
      </c>
      <c r="L1413" s="1">
        <v>1</v>
      </c>
      <c r="M1413" s="1">
        <v>0.8</v>
      </c>
    </row>
    <row r="1414" spans="4:13">
      <c r="D1414" s="1" t="s">
        <v>199</v>
      </c>
      <c r="E1414" s="1" t="s">
        <v>489</v>
      </c>
      <c r="H1414" s="1" t="s">
        <v>22</v>
      </c>
      <c r="I1414" s="1" t="s">
        <v>23</v>
      </c>
      <c r="L1414" s="1">
        <v>1</v>
      </c>
      <c r="M1414" s="1">
        <v>1</v>
      </c>
    </row>
    <row r="1415" spans="4:13">
      <c r="D1415" s="1" t="s">
        <v>199</v>
      </c>
      <c r="E1415" s="1" t="s">
        <v>490</v>
      </c>
      <c r="H1415" s="1" t="s">
        <v>22</v>
      </c>
      <c r="I1415" s="1" t="s">
        <v>23</v>
      </c>
      <c r="L1415" s="1">
        <v>1</v>
      </c>
      <c r="M1415" s="1">
        <v>1.2</v>
      </c>
    </row>
    <row r="1416" spans="4:13">
      <c r="D1416" s="1" t="s">
        <v>199</v>
      </c>
      <c r="E1416" s="1" t="s">
        <v>491</v>
      </c>
      <c r="H1416" s="1" t="s">
        <v>22</v>
      </c>
      <c r="I1416" s="1" t="s">
        <v>23</v>
      </c>
      <c r="L1416" s="1">
        <v>1</v>
      </c>
      <c r="M1416" s="1">
        <v>1.4</v>
      </c>
    </row>
    <row r="1417" spans="4:13">
      <c r="D1417" s="1" t="s">
        <v>199</v>
      </c>
      <c r="E1417" s="1" t="s">
        <v>492</v>
      </c>
      <c r="H1417" s="1" t="s">
        <v>22</v>
      </c>
      <c r="I1417" s="1" t="s">
        <v>23</v>
      </c>
      <c r="L1417" s="1">
        <v>1</v>
      </c>
      <c r="M1417" s="1">
        <v>1.6</v>
      </c>
    </row>
    <row r="1418" spans="4:13">
      <c r="D1418" s="1" t="s">
        <v>199</v>
      </c>
      <c r="E1418" s="1" t="s">
        <v>493</v>
      </c>
      <c r="H1418" s="1" t="s">
        <v>22</v>
      </c>
      <c r="I1418" s="1" t="s">
        <v>23</v>
      </c>
      <c r="L1418" s="1">
        <v>1</v>
      </c>
      <c r="M1418" s="1">
        <v>0.1</v>
      </c>
    </row>
    <row r="1419" spans="4:13">
      <c r="D1419" s="1" t="s">
        <v>199</v>
      </c>
      <c r="E1419" s="1" t="s">
        <v>494</v>
      </c>
      <c r="H1419" s="1" t="s">
        <v>22</v>
      </c>
      <c r="I1419" s="1" t="s">
        <v>23</v>
      </c>
      <c r="L1419" s="1">
        <v>1</v>
      </c>
      <c r="M1419" s="1">
        <v>0.3</v>
      </c>
    </row>
    <row r="1420" spans="4:13">
      <c r="D1420" s="1" t="s">
        <v>199</v>
      </c>
      <c r="E1420" s="1" t="s">
        <v>495</v>
      </c>
      <c r="H1420" s="1" t="s">
        <v>22</v>
      </c>
      <c r="I1420" s="1" t="s">
        <v>23</v>
      </c>
      <c r="L1420" s="1">
        <v>1</v>
      </c>
      <c r="M1420" s="1">
        <v>0.5</v>
      </c>
    </row>
    <row r="1421" spans="4:13">
      <c r="D1421" s="1" t="s">
        <v>199</v>
      </c>
      <c r="E1421" s="1" t="s">
        <v>496</v>
      </c>
      <c r="H1421" s="1" t="s">
        <v>22</v>
      </c>
      <c r="I1421" s="1" t="s">
        <v>23</v>
      </c>
      <c r="L1421" s="1">
        <v>1</v>
      </c>
      <c r="M1421" s="1">
        <v>0.7</v>
      </c>
    </row>
    <row r="1422" spans="4:13">
      <c r="D1422" s="1" t="s">
        <v>199</v>
      </c>
      <c r="E1422" s="1" t="s">
        <v>497</v>
      </c>
      <c r="H1422" s="1" t="s">
        <v>22</v>
      </c>
      <c r="I1422" s="1" t="s">
        <v>23</v>
      </c>
      <c r="L1422" s="1">
        <v>1</v>
      </c>
      <c r="M1422" s="1">
        <v>0.9</v>
      </c>
    </row>
    <row r="1423" spans="4:13">
      <c r="D1423" s="1" t="s">
        <v>199</v>
      </c>
      <c r="E1423" s="1" t="s">
        <v>498</v>
      </c>
      <c r="H1423" s="1" t="s">
        <v>22</v>
      </c>
      <c r="I1423" s="1" t="s">
        <v>23</v>
      </c>
      <c r="L1423" s="1">
        <v>1</v>
      </c>
      <c r="M1423" s="1">
        <v>1.1000000000000001</v>
      </c>
    </row>
    <row r="1424" spans="4:13">
      <c r="D1424" s="1" t="s">
        <v>199</v>
      </c>
      <c r="E1424" s="1" t="s">
        <v>499</v>
      </c>
      <c r="H1424" s="1" t="s">
        <v>22</v>
      </c>
      <c r="I1424" s="1" t="s">
        <v>23</v>
      </c>
      <c r="L1424" s="1">
        <v>1</v>
      </c>
      <c r="M1424" s="1">
        <v>1.3</v>
      </c>
    </row>
    <row r="1425" spans="4:13">
      <c r="D1425" s="1" t="s">
        <v>199</v>
      </c>
      <c r="E1425" s="1" t="s">
        <v>500</v>
      </c>
      <c r="H1425" s="1" t="s">
        <v>22</v>
      </c>
      <c r="I1425" s="1" t="s">
        <v>23</v>
      </c>
      <c r="L1425" s="1">
        <v>1</v>
      </c>
      <c r="M1425" s="1">
        <v>1.5</v>
      </c>
    </row>
    <row r="1426" spans="4:13">
      <c r="D1426" s="1" t="s">
        <v>199</v>
      </c>
      <c r="E1426" s="1" t="s">
        <v>501</v>
      </c>
      <c r="H1426" s="1" t="s">
        <v>22</v>
      </c>
      <c r="I1426" s="1" t="s">
        <v>23</v>
      </c>
      <c r="L1426" s="1">
        <v>1</v>
      </c>
      <c r="M1426" s="1">
        <v>1.7</v>
      </c>
    </row>
    <row r="1427" spans="4:13">
      <c r="D1427" s="1" t="s">
        <v>199</v>
      </c>
      <c r="E1427" s="1" t="s">
        <v>502</v>
      </c>
      <c r="H1427" s="1" t="s">
        <v>22</v>
      </c>
      <c r="I1427" s="1" t="s">
        <v>23</v>
      </c>
      <c r="L1427" s="1">
        <v>1</v>
      </c>
      <c r="M1427" s="1">
        <v>0</v>
      </c>
    </row>
    <row r="1428" spans="4:13">
      <c r="D1428" s="1" t="s">
        <v>199</v>
      </c>
      <c r="E1428" s="1" t="s">
        <v>503</v>
      </c>
      <c r="H1428" s="1" t="s">
        <v>22</v>
      </c>
      <c r="I1428" s="1" t="s">
        <v>23</v>
      </c>
      <c r="L1428" s="1">
        <v>1</v>
      </c>
      <c r="M1428" s="1">
        <v>0.2</v>
      </c>
    </row>
    <row r="1429" spans="4:13">
      <c r="D1429" s="1" t="s">
        <v>199</v>
      </c>
      <c r="E1429" s="1" t="s">
        <v>504</v>
      </c>
      <c r="H1429" s="1" t="s">
        <v>22</v>
      </c>
      <c r="I1429" s="1" t="s">
        <v>23</v>
      </c>
      <c r="L1429" s="1">
        <v>1</v>
      </c>
      <c r="M1429" s="1">
        <v>0.4</v>
      </c>
    </row>
    <row r="1430" spans="4:13">
      <c r="D1430" s="1" t="s">
        <v>199</v>
      </c>
      <c r="E1430" s="1" t="s">
        <v>505</v>
      </c>
      <c r="H1430" s="1" t="s">
        <v>22</v>
      </c>
      <c r="I1430" s="1" t="s">
        <v>23</v>
      </c>
      <c r="L1430" s="1">
        <v>1</v>
      </c>
      <c r="M1430" s="1">
        <v>0.6</v>
      </c>
    </row>
    <row r="1431" spans="4:13">
      <c r="D1431" s="1" t="s">
        <v>199</v>
      </c>
      <c r="E1431" s="1" t="s">
        <v>506</v>
      </c>
      <c r="H1431" s="1" t="s">
        <v>22</v>
      </c>
      <c r="I1431" s="1" t="s">
        <v>23</v>
      </c>
      <c r="L1431" s="1">
        <v>1</v>
      </c>
      <c r="M1431" s="1">
        <v>0.8</v>
      </c>
    </row>
    <row r="1432" spans="4:13">
      <c r="D1432" s="1" t="s">
        <v>199</v>
      </c>
      <c r="E1432" s="1" t="s">
        <v>507</v>
      </c>
      <c r="H1432" s="1" t="s">
        <v>22</v>
      </c>
      <c r="I1432" s="1" t="s">
        <v>23</v>
      </c>
      <c r="L1432" s="1">
        <v>1</v>
      </c>
      <c r="M1432" s="1">
        <v>1</v>
      </c>
    </row>
    <row r="1433" spans="4:13">
      <c r="D1433" s="1" t="s">
        <v>199</v>
      </c>
      <c r="E1433" s="1" t="s">
        <v>508</v>
      </c>
      <c r="H1433" s="1" t="s">
        <v>22</v>
      </c>
      <c r="I1433" s="1" t="s">
        <v>23</v>
      </c>
      <c r="L1433" s="1">
        <v>1</v>
      </c>
      <c r="M1433" s="1">
        <v>1.2</v>
      </c>
    </row>
    <row r="1434" spans="4:13">
      <c r="D1434" s="1" t="s">
        <v>199</v>
      </c>
      <c r="E1434" s="1" t="s">
        <v>509</v>
      </c>
      <c r="H1434" s="1" t="s">
        <v>22</v>
      </c>
      <c r="I1434" s="1" t="s">
        <v>23</v>
      </c>
      <c r="L1434" s="1">
        <v>1</v>
      </c>
      <c r="M1434" s="1">
        <v>1.4</v>
      </c>
    </row>
    <row r="1435" spans="4:13">
      <c r="D1435" s="1" t="s">
        <v>199</v>
      </c>
      <c r="E1435" s="1" t="s">
        <v>510</v>
      </c>
      <c r="H1435" s="1" t="s">
        <v>22</v>
      </c>
      <c r="I1435" s="1" t="s">
        <v>23</v>
      </c>
      <c r="L1435" s="1">
        <v>1</v>
      </c>
      <c r="M1435" s="1">
        <v>1.6</v>
      </c>
    </row>
    <row r="1436" spans="4:13">
      <c r="D1436" s="1" t="s">
        <v>199</v>
      </c>
      <c r="E1436" s="1" t="s">
        <v>511</v>
      </c>
      <c r="H1436" s="1" t="s">
        <v>22</v>
      </c>
      <c r="I1436" s="1" t="s">
        <v>23</v>
      </c>
      <c r="L1436" s="1">
        <v>1</v>
      </c>
      <c r="M1436" s="1">
        <v>0.1</v>
      </c>
    </row>
    <row r="1437" spans="4:13">
      <c r="D1437" s="1" t="s">
        <v>199</v>
      </c>
      <c r="E1437" s="1" t="s">
        <v>512</v>
      </c>
      <c r="H1437" s="1" t="s">
        <v>22</v>
      </c>
      <c r="I1437" s="1" t="s">
        <v>23</v>
      </c>
      <c r="L1437" s="1">
        <v>1</v>
      </c>
      <c r="M1437" s="1">
        <v>0.3</v>
      </c>
    </row>
    <row r="1438" spans="4:13">
      <c r="D1438" s="1" t="s">
        <v>199</v>
      </c>
      <c r="E1438" s="1" t="s">
        <v>513</v>
      </c>
      <c r="H1438" s="1" t="s">
        <v>22</v>
      </c>
      <c r="I1438" s="1" t="s">
        <v>23</v>
      </c>
      <c r="L1438" s="1">
        <v>1</v>
      </c>
      <c r="M1438" s="1">
        <v>0.5</v>
      </c>
    </row>
    <row r="1439" spans="4:13">
      <c r="D1439" s="1" t="s">
        <v>199</v>
      </c>
      <c r="E1439" s="1" t="s">
        <v>514</v>
      </c>
      <c r="H1439" s="1" t="s">
        <v>22</v>
      </c>
      <c r="I1439" s="1" t="s">
        <v>23</v>
      </c>
      <c r="L1439" s="1">
        <v>1</v>
      </c>
      <c r="M1439" s="1">
        <v>0.7</v>
      </c>
    </row>
    <row r="1440" spans="4:13">
      <c r="D1440" s="1" t="s">
        <v>199</v>
      </c>
      <c r="E1440" s="1" t="s">
        <v>515</v>
      </c>
      <c r="H1440" s="1" t="s">
        <v>22</v>
      </c>
      <c r="I1440" s="1" t="s">
        <v>23</v>
      </c>
      <c r="L1440" s="1">
        <v>1</v>
      </c>
      <c r="M1440" s="1">
        <v>0.9</v>
      </c>
    </row>
    <row r="1441" spans="4:13">
      <c r="D1441" s="1" t="s">
        <v>199</v>
      </c>
      <c r="E1441" s="1" t="s">
        <v>516</v>
      </c>
      <c r="H1441" s="1" t="s">
        <v>22</v>
      </c>
      <c r="I1441" s="1" t="s">
        <v>23</v>
      </c>
      <c r="L1441" s="1">
        <v>1</v>
      </c>
      <c r="M1441" s="1">
        <v>1.1000000000000001</v>
      </c>
    </row>
    <row r="1442" spans="4:13">
      <c r="D1442" s="1" t="s">
        <v>199</v>
      </c>
      <c r="E1442" s="1" t="s">
        <v>517</v>
      </c>
      <c r="H1442" s="1" t="s">
        <v>22</v>
      </c>
      <c r="I1442" s="1" t="s">
        <v>23</v>
      </c>
      <c r="L1442" s="1">
        <v>1</v>
      </c>
      <c r="M1442" s="1">
        <v>1.3</v>
      </c>
    </row>
    <row r="1443" spans="4:13">
      <c r="D1443" s="1" t="s">
        <v>199</v>
      </c>
      <c r="E1443" s="1" t="s">
        <v>518</v>
      </c>
      <c r="H1443" s="1" t="s">
        <v>22</v>
      </c>
      <c r="I1443" s="1" t="s">
        <v>23</v>
      </c>
      <c r="L1443" s="1">
        <v>1</v>
      </c>
      <c r="M1443" s="1">
        <v>1.5</v>
      </c>
    </row>
    <row r="1444" spans="4:13">
      <c r="D1444" s="1" t="s">
        <v>199</v>
      </c>
      <c r="E1444" s="1" t="s">
        <v>519</v>
      </c>
      <c r="H1444" s="1" t="s">
        <v>22</v>
      </c>
      <c r="I1444" s="1" t="s">
        <v>23</v>
      </c>
      <c r="L1444" s="1">
        <v>1</v>
      </c>
      <c r="M1444" s="1">
        <v>1.7</v>
      </c>
    </row>
    <row r="1445" spans="4:13">
      <c r="D1445" s="1" t="s">
        <v>199</v>
      </c>
      <c r="E1445" s="1" t="s">
        <v>520</v>
      </c>
      <c r="H1445" s="1" t="s">
        <v>22</v>
      </c>
      <c r="I1445" s="1" t="s">
        <v>23</v>
      </c>
      <c r="L1445" s="1">
        <v>1</v>
      </c>
      <c r="M1445" s="1">
        <v>0</v>
      </c>
    </row>
    <row r="1446" spans="4:13">
      <c r="D1446" s="1" t="s">
        <v>199</v>
      </c>
      <c r="E1446" s="1" t="s">
        <v>521</v>
      </c>
      <c r="H1446" s="1" t="s">
        <v>22</v>
      </c>
      <c r="I1446" s="1" t="s">
        <v>23</v>
      </c>
      <c r="L1446" s="1">
        <v>1</v>
      </c>
      <c r="M1446" s="1">
        <v>0.2</v>
      </c>
    </row>
    <row r="1447" spans="4:13">
      <c r="D1447" s="1" t="s">
        <v>199</v>
      </c>
      <c r="E1447" s="1" t="s">
        <v>522</v>
      </c>
      <c r="H1447" s="1" t="s">
        <v>22</v>
      </c>
      <c r="I1447" s="1" t="s">
        <v>23</v>
      </c>
      <c r="L1447" s="1">
        <v>1</v>
      </c>
      <c r="M1447" s="1">
        <v>0.4</v>
      </c>
    </row>
    <row r="1448" spans="4:13">
      <c r="D1448" s="1" t="s">
        <v>199</v>
      </c>
      <c r="E1448" s="1" t="s">
        <v>523</v>
      </c>
      <c r="H1448" s="1" t="s">
        <v>22</v>
      </c>
      <c r="I1448" s="1" t="s">
        <v>23</v>
      </c>
      <c r="L1448" s="1">
        <v>1</v>
      </c>
      <c r="M1448" s="1">
        <v>0.6</v>
      </c>
    </row>
    <row r="1449" spans="4:13">
      <c r="D1449" s="1" t="s">
        <v>199</v>
      </c>
      <c r="E1449" s="1" t="s">
        <v>524</v>
      </c>
      <c r="H1449" s="1" t="s">
        <v>22</v>
      </c>
      <c r="I1449" s="1" t="s">
        <v>23</v>
      </c>
      <c r="L1449" s="1">
        <v>1</v>
      </c>
      <c r="M1449" s="1">
        <v>0.8</v>
      </c>
    </row>
    <row r="1450" spans="4:13">
      <c r="D1450" s="1" t="s">
        <v>199</v>
      </c>
      <c r="E1450" s="1" t="s">
        <v>525</v>
      </c>
      <c r="H1450" s="1" t="s">
        <v>22</v>
      </c>
      <c r="I1450" s="1" t="s">
        <v>23</v>
      </c>
      <c r="L1450" s="1">
        <v>1</v>
      </c>
      <c r="M1450" s="1">
        <v>1</v>
      </c>
    </row>
    <row r="1451" spans="4:13">
      <c r="D1451" s="1" t="s">
        <v>199</v>
      </c>
      <c r="E1451" s="1" t="s">
        <v>526</v>
      </c>
      <c r="H1451" s="1" t="s">
        <v>22</v>
      </c>
      <c r="I1451" s="1" t="s">
        <v>23</v>
      </c>
      <c r="L1451" s="1">
        <v>1</v>
      </c>
      <c r="M1451" s="1">
        <v>1.2</v>
      </c>
    </row>
    <row r="1452" spans="4:13">
      <c r="D1452" s="1" t="s">
        <v>199</v>
      </c>
      <c r="E1452" s="1" t="s">
        <v>527</v>
      </c>
      <c r="H1452" s="1" t="s">
        <v>22</v>
      </c>
      <c r="I1452" s="1" t="s">
        <v>23</v>
      </c>
      <c r="L1452" s="1">
        <v>1</v>
      </c>
      <c r="M1452" s="1">
        <v>1.4</v>
      </c>
    </row>
    <row r="1453" spans="4:13">
      <c r="D1453" s="1" t="s">
        <v>199</v>
      </c>
      <c r="E1453" s="1" t="s">
        <v>528</v>
      </c>
      <c r="H1453" s="1" t="s">
        <v>22</v>
      </c>
      <c r="I1453" s="1" t="s">
        <v>23</v>
      </c>
      <c r="L1453" s="1">
        <v>1</v>
      </c>
      <c r="M1453" s="1">
        <v>1.6</v>
      </c>
    </row>
    <row r="1454" spans="4:13">
      <c r="D1454" s="1" t="s">
        <v>199</v>
      </c>
      <c r="E1454" s="1" t="s">
        <v>529</v>
      </c>
      <c r="H1454" s="1" t="s">
        <v>22</v>
      </c>
      <c r="I1454" s="1" t="s">
        <v>23</v>
      </c>
      <c r="L1454" s="1">
        <v>1</v>
      </c>
      <c r="M1454" s="1">
        <v>0.1</v>
      </c>
    </row>
    <row r="1455" spans="4:13">
      <c r="D1455" s="1" t="s">
        <v>199</v>
      </c>
      <c r="E1455" s="1" t="s">
        <v>530</v>
      </c>
      <c r="H1455" s="1" t="s">
        <v>22</v>
      </c>
      <c r="I1455" s="1" t="s">
        <v>23</v>
      </c>
      <c r="L1455" s="1">
        <v>1</v>
      </c>
      <c r="M1455" s="1">
        <v>0.3</v>
      </c>
    </row>
    <row r="1456" spans="4:13">
      <c r="D1456" s="1" t="s">
        <v>199</v>
      </c>
      <c r="E1456" s="1" t="s">
        <v>531</v>
      </c>
      <c r="H1456" s="1" t="s">
        <v>22</v>
      </c>
      <c r="I1456" s="1" t="s">
        <v>23</v>
      </c>
      <c r="L1456" s="1">
        <v>1</v>
      </c>
      <c r="M1456" s="1">
        <v>0.5</v>
      </c>
    </row>
    <row r="1457" spans="4:13">
      <c r="D1457" s="1" t="s">
        <v>199</v>
      </c>
      <c r="E1457" s="1" t="s">
        <v>532</v>
      </c>
      <c r="H1457" s="1" t="s">
        <v>22</v>
      </c>
      <c r="I1457" s="1" t="s">
        <v>23</v>
      </c>
      <c r="L1457" s="1">
        <v>1</v>
      </c>
      <c r="M1457" s="1">
        <v>0.7</v>
      </c>
    </row>
    <row r="1458" spans="4:13">
      <c r="D1458" s="1" t="s">
        <v>199</v>
      </c>
      <c r="E1458" s="1" t="s">
        <v>533</v>
      </c>
      <c r="H1458" s="1" t="s">
        <v>22</v>
      </c>
      <c r="I1458" s="1" t="s">
        <v>23</v>
      </c>
      <c r="L1458" s="1">
        <v>1</v>
      </c>
      <c r="M1458" s="1">
        <v>0.9</v>
      </c>
    </row>
    <row r="1459" spans="4:13">
      <c r="D1459" s="1" t="s">
        <v>199</v>
      </c>
      <c r="E1459" s="1" t="s">
        <v>534</v>
      </c>
      <c r="H1459" s="1" t="s">
        <v>22</v>
      </c>
      <c r="I1459" s="1" t="s">
        <v>23</v>
      </c>
      <c r="L1459" s="1">
        <v>1</v>
      </c>
      <c r="M1459" s="1">
        <v>1.1000000000000001</v>
      </c>
    </row>
    <row r="1460" spans="4:13">
      <c r="D1460" s="1" t="s">
        <v>199</v>
      </c>
      <c r="E1460" s="1" t="s">
        <v>535</v>
      </c>
      <c r="H1460" s="1" t="s">
        <v>22</v>
      </c>
      <c r="I1460" s="1" t="s">
        <v>23</v>
      </c>
      <c r="L1460" s="1">
        <v>1</v>
      </c>
      <c r="M1460" s="1">
        <v>1.3</v>
      </c>
    </row>
    <row r="1461" spans="4:13">
      <c r="D1461" s="1" t="s">
        <v>199</v>
      </c>
      <c r="E1461" s="1" t="s">
        <v>536</v>
      </c>
      <c r="H1461" s="1" t="s">
        <v>22</v>
      </c>
      <c r="I1461" s="1" t="s">
        <v>23</v>
      </c>
      <c r="L1461" s="1">
        <v>1</v>
      </c>
      <c r="M1461" s="1">
        <v>1.5</v>
      </c>
    </row>
    <row r="1462" spans="4:13">
      <c r="D1462" s="1" t="s">
        <v>199</v>
      </c>
      <c r="E1462" s="1" t="s">
        <v>537</v>
      </c>
      <c r="H1462" s="1" t="s">
        <v>22</v>
      </c>
      <c r="I1462" s="1" t="s">
        <v>23</v>
      </c>
      <c r="L1462" s="1">
        <v>1</v>
      </c>
      <c r="M1462" s="1">
        <v>1.7</v>
      </c>
    </row>
    <row r="1463" spans="4:13">
      <c r="D1463" s="1" t="s">
        <v>199</v>
      </c>
      <c r="E1463" s="1" t="s">
        <v>538</v>
      </c>
      <c r="H1463" s="1" t="s">
        <v>22</v>
      </c>
      <c r="I1463" s="1" t="s">
        <v>23</v>
      </c>
      <c r="L1463" s="1">
        <v>1</v>
      </c>
      <c r="M1463" s="1">
        <v>0</v>
      </c>
    </row>
    <row r="1464" spans="4:13">
      <c r="D1464" s="1" t="s">
        <v>199</v>
      </c>
      <c r="E1464" s="1" t="s">
        <v>539</v>
      </c>
      <c r="H1464" s="1" t="s">
        <v>22</v>
      </c>
      <c r="I1464" s="1" t="s">
        <v>23</v>
      </c>
      <c r="L1464" s="1">
        <v>1</v>
      </c>
      <c r="M1464" s="1">
        <v>0.2</v>
      </c>
    </row>
    <row r="1465" spans="4:13">
      <c r="D1465" s="1" t="s">
        <v>199</v>
      </c>
      <c r="E1465" s="1" t="s">
        <v>540</v>
      </c>
      <c r="H1465" s="1" t="s">
        <v>22</v>
      </c>
      <c r="I1465" s="1" t="s">
        <v>23</v>
      </c>
      <c r="L1465" s="1">
        <v>1</v>
      </c>
      <c r="M1465" s="1">
        <v>0.4</v>
      </c>
    </row>
    <row r="1466" spans="4:13">
      <c r="D1466" s="1" t="s">
        <v>199</v>
      </c>
      <c r="E1466" s="1" t="s">
        <v>541</v>
      </c>
      <c r="H1466" s="1" t="s">
        <v>22</v>
      </c>
      <c r="I1466" s="1" t="s">
        <v>23</v>
      </c>
      <c r="L1466" s="1">
        <v>1</v>
      </c>
      <c r="M1466" s="1">
        <v>0.6</v>
      </c>
    </row>
    <row r="1467" spans="4:13">
      <c r="D1467" s="1" t="s">
        <v>199</v>
      </c>
      <c r="E1467" s="1" t="s">
        <v>542</v>
      </c>
      <c r="H1467" s="1" t="s">
        <v>22</v>
      </c>
      <c r="I1467" s="1" t="s">
        <v>23</v>
      </c>
      <c r="L1467" s="1">
        <v>1</v>
      </c>
      <c r="M1467" s="1">
        <v>0.8</v>
      </c>
    </row>
    <row r="1468" spans="4:13">
      <c r="D1468" s="1" t="s">
        <v>199</v>
      </c>
      <c r="E1468" s="1" t="s">
        <v>543</v>
      </c>
      <c r="H1468" s="1" t="s">
        <v>22</v>
      </c>
      <c r="I1468" s="1" t="s">
        <v>23</v>
      </c>
      <c r="L1468" s="1">
        <v>1</v>
      </c>
      <c r="M1468" s="1">
        <v>1</v>
      </c>
    </row>
    <row r="1469" spans="4:13">
      <c r="D1469" s="1" t="s">
        <v>199</v>
      </c>
      <c r="E1469" s="1" t="s">
        <v>544</v>
      </c>
      <c r="H1469" s="1" t="s">
        <v>22</v>
      </c>
      <c r="I1469" s="1" t="s">
        <v>23</v>
      </c>
      <c r="L1469" s="1">
        <v>1</v>
      </c>
      <c r="M1469" s="1">
        <v>1.2</v>
      </c>
    </row>
    <row r="1470" spans="4:13">
      <c r="D1470" s="1" t="s">
        <v>199</v>
      </c>
      <c r="E1470" s="1" t="s">
        <v>545</v>
      </c>
      <c r="H1470" s="1" t="s">
        <v>22</v>
      </c>
      <c r="I1470" s="1" t="s">
        <v>23</v>
      </c>
      <c r="L1470" s="1">
        <v>1</v>
      </c>
      <c r="M1470" s="1">
        <v>1.4</v>
      </c>
    </row>
    <row r="1471" spans="4:13">
      <c r="D1471" s="1" t="s">
        <v>199</v>
      </c>
      <c r="E1471" s="1" t="s">
        <v>546</v>
      </c>
      <c r="H1471" s="1" t="s">
        <v>22</v>
      </c>
      <c r="I1471" s="1" t="s">
        <v>23</v>
      </c>
      <c r="L1471" s="1">
        <v>1</v>
      </c>
      <c r="M1471" s="1">
        <v>1.6</v>
      </c>
    </row>
    <row r="1472" spans="4:13">
      <c r="D1472" s="1" t="s">
        <v>199</v>
      </c>
      <c r="E1472" s="1" t="s">
        <v>547</v>
      </c>
      <c r="H1472" s="1" t="s">
        <v>22</v>
      </c>
      <c r="I1472" s="1" t="s">
        <v>23</v>
      </c>
      <c r="L1472" s="1">
        <v>1</v>
      </c>
      <c r="M1472" s="1">
        <v>0.1</v>
      </c>
    </row>
    <row r="1473" spans="4:13">
      <c r="D1473" s="1" t="s">
        <v>199</v>
      </c>
      <c r="E1473" s="1" t="s">
        <v>548</v>
      </c>
      <c r="H1473" s="1" t="s">
        <v>22</v>
      </c>
      <c r="I1473" s="1" t="s">
        <v>23</v>
      </c>
      <c r="L1473" s="1">
        <v>1</v>
      </c>
      <c r="M1473" s="1">
        <v>0.3</v>
      </c>
    </row>
    <row r="1474" spans="4:13">
      <c r="D1474" s="1" t="s">
        <v>199</v>
      </c>
      <c r="E1474" s="1" t="s">
        <v>549</v>
      </c>
      <c r="H1474" s="1" t="s">
        <v>22</v>
      </c>
      <c r="I1474" s="1" t="s">
        <v>23</v>
      </c>
      <c r="L1474" s="1">
        <v>1</v>
      </c>
      <c r="M1474" s="1">
        <v>0.5</v>
      </c>
    </row>
    <row r="1475" spans="4:13">
      <c r="D1475" s="1" t="s">
        <v>199</v>
      </c>
      <c r="E1475" s="1" t="s">
        <v>550</v>
      </c>
      <c r="H1475" s="1" t="s">
        <v>22</v>
      </c>
      <c r="I1475" s="1" t="s">
        <v>23</v>
      </c>
      <c r="L1475" s="1">
        <v>1</v>
      </c>
      <c r="M1475" s="1">
        <v>0.7</v>
      </c>
    </row>
    <row r="1476" spans="4:13">
      <c r="D1476" s="1" t="s">
        <v>199</v>
      </c>
      <c r="E1476" s="1" t="s">
        <v>551</v>
      </c>
      <c r="H1476" s="1" t="s">
        <v>22</v>
      </c>
      <c r="I1476" s="1" t="s">
        <v>23</v>
      </c>
      <c r="L1476" s="1">
        <v>1</v>
      </c>
      <c r="M1476" s="1">
        <v>0.9</v>
      </c>
    </row>
    <row r="1477" spans="4:13">
      <c r="D1477" s="1" t="s">
        <v>199</v>
      </c>
      <c r="E1477" s="1" t="s">
        <v>552</v>
      </c>
      <c r="H1477" s="1" t="s">
        <v>22</v>
      </c>
      <c r="I1477" s="1" t="s">
        <v>23</v>
      </c>
      <c r="L1477" s="1">
        <v>1</v>
      </c>
      <c r="M1477" s="1">
        <v>1.1000000000000001</v>
      </c>
    </row>
    <row r="1478" spans="4:13">
      <c r="D1478" s="1" t="s">
        <v>199</v>
      </c>
      <c r="E1478" s="1" t="s">
        <v>553</v>
      </c>
      <c r="H1478" s="1" t="s">
        <v>22</v>
      </c>
      <c r="I1478" s="1" t="s">
        <v>23</v>
      </c>
      <c r="L1478" s="1">
        <v>1</v>
      </c>
      <c r="M1478" s="1">
        <v>1.3</v>
      </c>
    </row>
    <row r="1479" spans="4:13">
      <c r="D1479" s="1" t="s">
        <v>199</v>
      </c>
      <c r="E1479" s="1" t="s">
        <v>554</v>
      </c>
      <c r="H1479" s="1" t="s">
        <v>22</v>
      </c>
      <c r="I1479" s="1" t="s">
        <v>23</v>
      </c>
      <c r="L1479" s="1">
        <v>1</v>
      </c>
      <c r="M1479" s="1">
        <v>1.5</v>
      </c>
    </row>
    <row r="1480" spans="4:13">
      <c r="D1480" s="1" t="s">
        <v>199</v>
      </c>
      <c r="E1480" s="1" t="s">
        <v>555</v>
      </c>
      <c r="H1480" s="1" t="s">
        <v>22</v>
      </c>
      <c r="I1480" s="1" t="s">
        <v>23</v>
      </c>
      <c r="L1480" s="1">
        <v>1</v>
      </c>
      <c r="M1480" s="1">
        <v>1.7</v>
      </c>
    </row>
    <row r="1481" spans="4:13">
      <c r="D1481" s="1" t="s">
        <v>199</v>
      </c>
      <c r="E1481" s="1" t="s">
        <v>556</v>
      </c>
      <c r="H1481" s="1" t="s">
        <v>22</v>
      </c>
      <c r="I1481" s="1" t="s">
        <v>23</v>
      </c>
      <c r="L1481" s="1">
        <v>1</v>
      </c>
      <c r="M1481" s="1">
        <v>0</v>
      </c>
    </row>
    <row r="1482" spans="4:13">
      <c r="D1482" s="1" t="s">
        <v>199</v>
      </c>
      <c r="E1482" s="1" t="s">
        <v>557</v>
      </c>
      <c r="H1482" s="1" t="s">
        <v>22</v>
      </c>
      <c r="I1482" s="1" t="s">
        <v>23</v>
      </c>
      <c r="L1482" s="1">
        <v>1</v>
      </c>
      <c r="M1482" s="1">
        <v>0.2</v>
      </c>
    </row>
    <row r="1483" spans="4:13">
      <c r="D1483" s="1" t="s">
        <v>199</v>
      </c>
      <c r="E1483" s="1" t="s">
        <v>558</v>
      </c>
      <c r="H1483" s="1" t="s">
        <v>22</v>
      </c>
      <c r="I1483" s="1" t="s">
        <v>23</v>
      </c>
      <c r="L1483" s="1">
        <v>1</v>
      </c>
      <c r="M1483" s="1">
        <v>0.4</v>
      </c>
    </row>
    <row r="1484" spans="4:13">
      <c r="D1484" s="1" t="s">
        <v>199</v>
      </c>
      <c r="E1484" s="1" t="s">
        <v>559</v>
      </c>
      <c r="H1484" s="1" t="s">
        <v>22</v>
      </c>
      <c r="I1484" s="1" t="s">
        <v>23</v>
      </c>
      <c r="L1484" s="1">
        <v>1</v>
      </c>
      <c r="M1484" s="1">
        <v>0.6</v>
      </c>
    </row>
    <row r="1485" spans="4:13">
      <c r="D1485" s="1" t="s">
        <v>199</v>
      </c>
      <c r="E1485" s="1" t="s">
        <v>560</v>
      </c>
      <c r="H1485" s="1" t="s">
        <v>22</v>
      </c>
      <c r="I1485" s="1" t="s">
        <v>23</v>
      </c>
      <c r="L1485" s="1">
        <v>1</v>
      </c>
      <c r="M1485" s="1">
        <v>0.8</v>
      </c>
    </row>
    <row r="1486" spans="4:13">
      <c r="D1486" s="1" t="s">
        <v>199</v>
      </c>
      <c r="E1486" s="1" t="s">
        <v>561</v>
      </c>
      <c r="H1486" s="1" t="s">
        <v>22</v>
      </c>
      <c r="I1486" s="1" t="s">
        <v>23</v>
      </c>
      <c r="L1486" s="1">
        <v>1</v>
      </c>
      <c r="M1486" s="1">
        <v>1</v>
      </c>
    </row>
    <row r="1487" spans="4:13">
      <c r="D1487" s="1" t="s">
        <v>199</v>
      </c>
      <c r="E1487" s="1" t="s">
        <v>562</v>
      </c>
      <c r="H1487" s="1" t="s">
        <v>22</v>
      </c>
      <c r="I1487" s="1" t="s">
        <v>23</v>
      </c>
      <c r="L1487" s="1">
        <v>1</v>
      </c>
      <c r="M1487" s="1">
        <v>1.2</v>
      </c>
    </row>
    <row r="1488" spans="4:13">
      <c r="D1488" s="1" t="s">
        <v>199</v>
      </c>
      <c r="E1488" s="1" t="s">
        <v>563</v>
      </c>
      <c r="H1488" s="1" t="s">
        <v>22</v>
      </c>
      <c r="I1488" s="1" t="s">
        <v>23</v>
      </c>
      <c r="L1488" s="1">
        <v>1</v>
      </c>
      <c r="M1488" s="1">
        <v>1.4</v>
      </c>
    </row>
    <row r="1489" spans="4:13">
      <c r="D1489" s="1" t="s">
        <v>199</v>
      </c>
      <c r="E1489" s="1" t="s">
        <v>564</v>
      </c>
      <c r="H1489" s="1" t="s">
        <v>22</v>
      </c>
      <c r="I1489" s="1" t="s">
        <v>23</v>
      </c>
      <c r="L1489" s="1">
        <v>1</v>
      </c>
      <c r="M1489" s="1">
        <v>1.6</v>
      </c>
    </row>
    <row r="1490" spans="4:13">
      <c r="D1490" s="1" t="s">
        <v>199</v>
      </c>
      <c r="E1490" s="1" t="s">
        <v>565</v>
      </c>
      <c r="H1490" s="1" t="s">
        <v>22</v>
      </c>
      <c r="I1490" s="1" t="s">
        <v>23</v>
      </c>
      <c r="L1490" s="1">
        <v>1</v>
      </c>
      <c r="M1490" s="1">
        <v>0.1</v>
      </c>
    </row>
    <row r="1491" spans="4:13">
      <c r="D1491" s="1" t="s">
        <v>199</v>
      </c>
      <c r="E1491" s="1" t="s">
        <v>566</v>
      </c>
      <c r="H1491" s="1" t="s">
        <v>22</v>
      </c>
      <c r="I1491" s="1" t="s">
        <v>23</v>
      </c>
      <c r="L1491" s="1">
        <v>1</v>
      </c>
      <c r="M1491" s="1">
        <v>0.3</v>
      </c>
    </row>
    <row r="1492" spans="4:13">
      <c r="D1492" s="1" t="s">
        <v>199</v>
      </c>
      <c r="E1492" s="1" t="s">
        <v>567</v>
      </c>
      <c r="H1492" s="1" t="s">
        <v>22</v>
      </c>
      <c r="I1492" s="1" t="s">
        <v>23</v>
      </c>
      <c r="L1492" s="1">
        <v>1</v>
      </c>
      <c r="M1492" s="1">
        <v>0.5</v>
      </c>
    </row>
    <row r="1493" spans="4:13">
      <c r="D1493" s="1" t="s">
        <v>199</v>
      </c>
      <c r="E1493" s="1" t="s">
        <v>568</v>
      </c>
      <c r="H1493" s="1" t="s">
        <v>22</v>
      </c>
      <c r="I1493" s="1" t="s">
        <v>23</v>
      </c>
      <c r="L1493" s="1">
        <v>1</v>
      </c>
      <c r="M1493" s="1">
        <v>0.7</v>
      </c>
    </row>
    <row r="1494" spans="4:13">
      <c r="D1494" s="1" t="s">
        <v>199</v>
      </c>
      <c r="E1494" s="1" t="s">
        <v>569</v>
      </c>
      <c r="H1494" s="1" t="s">
        <v>22</v>
      </c>
      <c r="I1494" s="1" t="s">
        <v>23</v>
      </c>
      <c r="L1494" s="1">
        <v>1</v>
      </c>
      <c r="M1494" s="1">
        <v>0.9</v>
      </c>
    </row>
    <row r="1495" spans="4:13">
      <c r="D1495" s="1" t="s">
        <v>199</v>
      </c>
      <c r="E1495" s="1" t="s">
        <v>570</v>
      </c>
      <c r="H1495" s="1" t="s">
        <v>22</v>
      </c>
      <c r="I1495" s="1" t="s">
        <v>23</v>
      </c>
      <c r="L1495" s="1">
        <v>1</v>
      </c>
      <c r="M1495" s="1">
        <v>1.1000000000000001</v>
      </c>
    </row>
    <row r="1496" spans="4:13">
      <c r="D1496" s="1" t="s">
        <v>199</v>
      </c>
      <c r="E1496" s="1" t="s">
        <v>571</v>
      </c>
      <c r="H1496" s="1" t="s">
        <v>22</v>
      </c>
      <c r="I1496" s="1" t="s">
        <v>23</v>
      </c>
      <c r="L1496" s="1">
        <v>1</v>
      </c>
      <c r="M1496" s="1">
        <v>1.3</v>
      </c>
    </row>
    <row r="1497" spans="4:13">
      <c r="D1497" s="1" t="s">
        <v>199</v>
      </c>
      <c r="E1497" s="1" t="s">
        <v>572</v>
      </c>
      <c r="H1497" s="1" t="s">
        <v>22</v>
      </c>
      <c r="I1497" s="1" t="s">
        <v>23</v>
      </c>
      <c r="L1497" s="1">
        <v>1</v>
      </c>
      <c r="M1497" s="1">
        <v>1.5</v>
      </c>
    </row>
    <row r="1498" spans="4:13">
      <c r="D1498" s="1" t="s">
        <v>199</v>
      </c>
      <c r="E1498" s="1" t="s">
        <v>573</v>
      </c>
      <c r="H1498" s="1" t="s">
        <v>22</v>
      </c>
      <c r="I1498" s="1" t="s">
        <v>23</v>
      </c>
      <c r="L1498" s="1">
        <v>1</v>
      </c>
      <c r="M1498" s="1">
        <v>1.7</v>
      </c>
    </row>
    <row r="1499" spans="4:13">
      <c r="D1499" s="1" t="s">
        <v>199</v>
      </c>
      <c r="E1499" s="1" t="s">
        <v>574</v>
      </c>
      <c r="H1499" s="1" t="s">
        <v>22</v>
      </c>
      <c r="I1499" s="1" t="s">
        <v>23</v>
      </c>
      <c r="L1499" s="1">
        <v>1</v>
      </c>
      <c r="M1499" s="1">
        <v>0</v>
      </c>
    </row>
    <row r="1500" spans="4:13">
      <c r="D1500" s="1" t="s">
        <v>199</v>
      </c>
      <c r="E1500" s="1" t="s">
        <v>575</v>
      </c>
      <c r="H1500" s="1" t="s">
        <v>22</v>
      </c>
      <c r="I1500" s="1" t="s">
        <v>23</v>
      </c>
      <c r="L1500" s="1">
        <v>1</v>
      </c>
      <c r="M1500" s="1">
        <v>0.2</v>
      </c>
    </row>
    <row r="1501" spans="4:13">
      <c r="D1501" s="1" t="s">
        <v>199</v>
      </c>
      <c r="E1501" s="1" t="s">
        <v>576</v>
      </c>
      <c r="H1501" s="1" t="s">
        <v>22</v>
      </c>
      <c r="I1501" s="1" t="s">
        <v>23</v>
      </c>
      <c r="L1501" s="1">
        <v>1</v>
      </c>
      <c r="M1501" s="1">
        <v>0.4</v>
      </c>
    </row>
    <row r="1502" spans="4:13">
      <c r="D1502" s="1" t="s">
        <v>199</v>
      </c>
      <c r="E1502" s="1" t="s">
        <v>577</v>
      </c>
      <c r="H1502" s="1" t="s">
        <v>22</v>
      </c>
      <c r="I1502" s="1" t="s">
        <v>23</v>
      </c>
      <c r="L1502" s="1">
        <v>1</v>
      </c>
      <c r="M1502" s="1">
        <v>0.6</v>
      </c>
    </row>
    <row r="1503" spans="4:13">
      <c r="D1503" s="1" t="s">
        <v>199</v>
      </c>
      <c r="E1503" s="1" t="s">
        <v>578</v>
      </c>
      <c r="H1503" s="1" t="s">
        <v>22</v>
      </c>
      <c r="I1503" s="1" t="s">
        <v>23</v>
      </c>
      <c r="L1503" s="1">
        <v>1</v>
      </c>
      <c r="M1503" s="1">
        <v>0.8</v>
      </c>
    </row>
    <row r="1504" spans="4:13">
      <c r="D1504" s="1" t="s">
        <v>199</v>
      </c>
      <c r="E1504" s="1" t="s">
        <v>579</v>
      </c>
      <c r="H1504" s="1" t="s">
        <v>22</v>
      </c>
      <c r="I1504" s="1" t="s">
        <v>23</v>
      </c>
      <c r="L1504" s="1">
        <v>1</v>
      </c>
      <c r="M1504" s="1">
        <v>1</v>
      </c>
    </row>
    <row r="1505" spans="4:13">
      <c r="D1505" s="1" t="s">
        <v>199</v>
      </c>
      <c r="E1505" s="1" t="s">
        <v>580</v>
      </c>
      <c r="H1505" s="1" t="s">
        <v>22</v>
      </c>
      <c r="I1505" s="1" t="s">
        <v>23</v>
      </c>
      <c r="L1505" s="1">
        <v>1</v>
      </c>
      <c r="M1505" s="1">
        <v>1.2</v>
      </c>
    </row>
    <row r="1506" spans="4:13">
      <c r="D1506" s="1" t="s">
        <v>199</v>
      </c>
      <c r="E1506" s="1" t="s">
        <v>581</v>
      </c>
      <c r="H1506" s="1" t="s">
        <v>22</v>
      </c>
      <c r="I1506" s="1" t="s">
        <v>23</v>
      </c>
      <c r="L1506" s="1">
        <v>1</v>
      </c>
      <c r="M1506" s="1">
        <v>1.4</v>
      </c>
    </row>
    <row r="1507" spans="4:13">
      <c r="D1507" s="1" t="s">
        <v>199</v>
      </c>
      <c r="E1507" s="1" t="s">
        <v>582</v>
      </c>
      <c r="H1507" s="1" t="s">
        <v>22</v>
      </c>
      <c r="I1507" s="1" t="s">
        <v>23</v>
      </c>
      <c r="L1507" s="1">
        <v>1</v>
      </c>
      <c r="M1507" s="1">
        <v>1.6</v>
      </c>
    </row>
    <row r="1508" spans="4:13">
      <c r="D1508" s="1" t="s">
        <v>199</v>
      </c>
      <c r="E1508" s="1" t="s">
        <v>583</v>
      </c>
      <c r="H1508" s="1" t="s">
        <v>22</v>
      </c>
      <c r="I1508" s="1" t="s">
        <v>23</v>
      </c>
      <c r="L1508" s="1">
        <v>1</v>
      </c>
      <c r="M1508" s="1">
        <v>0.3</v>
      </c>
    </row>
    <row r="1509" spans="4:13">
      <c r="D1509" s="1" t="s">
        <v>199</v>
      </c>
      <c r="E1509" s="1" t="s">
        <v>584</v>
      </c>
      <c r="H1509" s="1" t="s">
        <v>22</v>
      </c>
      <c r="I1509" s="1" t="s">
        <v>23</v>
      </c>
      <c r="L1509" s="1">
        <v>1</v>
      </c>
      <c r="M1509" s="1">
        <v>0.9</v>
      </c>
    </row>
    <row r="1510" spans="4:13">
      <c r="D1510" s="1" t="s">
        <v>199</v>
      </c>
      <c r="E1510" s="1" t="s">
        <v>585</v>
      </c>
      <c r="H1510" s="1" t="s">
        <v>22</v>
      </c>
      <c r="I1510" s="1" t="s">
        <v>23</v>
      </c>
      <c r="L1510" s="1">
        <v>1</v>
      </c>
      <c r="M1510" s="1">
        <v>0</v>
      </c>
    </row>
    <row r="1511" spans="4:13">
      <c r="D1511" s="1" t="s">
        <v>199</v>
      </c>
      <c r="E1511" s="1" t="s">
        <v>586</v>
      </c>
      <c r="H1511" s="1" t="s">
        <v>22</v>
      </c>
      <c r="I1511" s="1" t="s">
        <v>23</v>
      </c>
      <c r="L1511" s="1">
        <v>1</v>
      </c>
      <c r="M1511" s="1">
        <v>0.4</v>
      </c>
    </row>
    <row r="1512" spans="4:13">
      <c r="D1512" s="1" t="s">
        <v>199</v>
      </c>
      <c r="E1512" s="1" t="s">
        <v>587</v>
      </c>
      <c r="H1512" s="1" t="s">
        <v>22</v>
      </c>
      <c r="I1512" s="1" t="s">
        <v>23</v>
      </c>
      <c r="L1512" s="1">
        <v>1</v>
      </c>
      <c r="M1512" s="1">
        <v>0.6</v>
      </c>
    </row>
    <row r="1513" spans="4:13">
      <c r="D1513" s="1" t="s">
        <v>199</v>
      </c>
      <c r="E1513" s="1" t="s">
        <v>588</v>
      </c>
      <c r="H1513" s="1" t="s">
        <v>22</v>
      </c>
      <c r="I1513" s="1" t="s">
        <v>23</v>
      </c>
      <c r="L1513" s="1">
        <v>1</v>
      </c>
      <c r="M1513" s="1">
        <v>1.2</v>
      </c>
    </row>
    <row r="1514" spans="4:13">
      <c r="D1514" s="1" t="s">
        <v>199</v>
      </c>
      <c r="E1514" s="1" t="s">
        <v>589</v>
      </c>
      <c r="H1514" s="1" t="s">
        <v>22</v>
      </c>
      <c r="I1514" s="1" t="s">
        <v>23</v>
      </c>
      <c r="L1514" s="1">
        <v>1</v>
      </c>
      <c r="M1514" s="1">
        <v>1.6</v>
      </c>
    </row>
    <row r="1515" spans="4:13">
      <c r="D1515" s="1" t="s">
        <v>199</v>
      </c>
      <c r="E1515" s="1" t="s">
        <v>590</v>
      </c>
      <c r="H1515" s="1" t="s">
        <v>22</v>
      </c>
      <c r="I1515" s="1" t="s">
        <v>23</v>
      </c>
      <c r="L1515" s="1">
        <v>1</v>
      </c>
      <c r="M1515" s="1">
        <v>0.1</v>
      </c>
    </row>
    <row r="1516" spans="4:13">
      <c r="D1516" s="1" t="s">
        <v>199</v>
      </c>
      <c r="E1516" s="1" t="s">
        <v>591</v>
      </c>
      <c r="H1516" s="1" t="s">
        <v>22</v>
      </c>
      <c r="I1516" s="1" t="s">
        <v>23</v>
      </c>
      <c r="L1516" s="1">
        <v>1</v>
      </c>
      <c r="M1516" s="1">
        <v>0.9</v>
      </c>
    </row>
    <row r="1517" spans="4:13">
      <c r="D1517" s="1" t="s">
        <v>199</v>
      </c>
      <c r="E1517" s="1" t="s">
        <v>592</v>
      </c>
      <c r="H1517" s="1" t="s">
        <v>22</v>
      </c>
      <c r="I1517" s="1" t="s">
        <v>23</v>
      </c>
      <c r="L1517" s="1">
        <v>1</v>
      </c>
      <c r="M1517" s="1">
        <v>1.5</v>
      </c>
    </row>
    <row r="1518" spans="4:13">
      <c r="D1518" s="1" t="s">
        <v>199</v>
      </c>
      <c r="E1518" s="1" t="s">
        <v>593</v>
      </c>
      <c r="H1518" s="1" t="s">
        <v>22</v>
      </c>
      <c r="I1518" s="1" t="s">
        <v>23</v>
      </c>
      <c r="L1518" s="1">
        <v>1</v>
      </c>
      <c r="M1518" s="1">
        <v>1.7</v>
      </c>
    </row>
    <row r="1519" spans="4:13">
      <c r="D1519" s="1" t="s">
        <v>199</v>
      </c>
      <c r="E1519" s="1" t="s">
        <v>594</v>
      </c>
      <c r="H1519" s="1" t="s">
        <v>22</v>
      </c>
      <c r="I1519" s="1" t="s">
        <v>23</v>
      </c>
      <c r="L1519" s="1">
        <v>1</v>
      </c>
      <c r="M1519" s="1">
        <v>0</v>
      </c>
    </row>
    <row r="1520" spans="4:13">
      <c r="D1520" s="1" t="s">
        <v>199</v>
      </c>
      <c r="E1520" s="1" t="s">
        <v>595</v>
      </c>
      <c r="H1520" s="1" t="s">
        <v>22</v>
      </c>
      <c r="I1520" s="1" t="s">
        <v>23</v>
      </c>
      <c r="L1520" s="1">
        <v>1</v>
      </c>
      <c r="M1520" s="1">
        <v>1</v>
      </c>
    </row>
    <row r="1521" spans="4:13">
      <c r="D1521" s="1" t="s">
        <v>199</v>
      </c>
      <c r="E1521" s="1" t="s">
        <v>596</v>
      </c>
      <c r="H1521" s="1" t="s">
        <v>22</v>
      </c>
      <c r="I1521" s="1" t="s">
        <v>23</v>
      </c>
      <c r="L1521" s="1">
        <v>1</v>
      </c>
      <c r="M1521" s="1">
        <v>0.1</v>
      </c>
    </row>
    <row r="1522" spans="4:13">
      <c r="D1522" s="1" t="s">
        <v>199</v>
      </c>
      <c r="E1522" s="1" t="s">
        <v>597</v>
      </c>
      <c r="H1522" s="1" t="s">
        <v>22</v>
      </c>
      <c r="I1522" s="1" t="s">
        <v>23</v>
      </c>
      <c r="L1522" s="1">
        <v>1</v>
      </c>
      <c r="M1522" s="1">
        <v>0.3</v>
      </c>
    </row>
    <row r="1523" spans="4:13">
      <c r="D1523" s="1" t="s">
        <v>199</v>
      </c>
      <c r="E1523" s="1" t="s">
        <v>598</v>
      </c>
      <c r="H1523" s="1" t="s">
        <v>22</v>
      </c>
      <c r="I1523" s="1" t="s">
        <v>23</v>
      </c>
      <c r="L1523" s="1">
        <v>1</v>
      </c>
      <c r="M1523" s="1">
        <v>0.5</v>
      </c>
    </row>
    <row r="1524" spans="4:13">
      <c r="D1524" s="1" t="s">
        <v>199</v>
      </c>
      <c r="E1524" s="1" t="s">
        <v>599</v>
      </c>
      <c r="H1524" s="1" t="s">
        <v>22</v>
      </c>
      <c r="I1524" s="1" t="s">
        <v>23</v>
      </c>
      <c r="L1524" s="1">
        <v>1</v>
      </c>
      <c r="M1524" s="1">
        <v>0.7</v>
      </c>
    </row>
    <row r="1525" spans="4:13">
      <c r="D1525" s="1" t="s">
        <v>199</v>
      </c>
      <c r="E1525" s="1" t="s">
        <v>600</v>
      </c>
      <c r="H1525" s="1" t="s">
        <v>22</v>
      </c>
      <c r="I1525" s="1" t="s">
        <v>23</v>
      </c>
      <c r="L1525" s="1">
        <v>1</v>
      </c>
      <c r="M1525" s="1">
        <v>1.3</v>
      </c>
    </row>
    <row r="1526" spans="4:13">
      <c r="D1526" s="1" t="s">
        <v>199</v>
      </c>
      <c r="E1526" s="1" t="s">
        <v>601</v>
      </c>
      <c r="H1526" s="1" t="s">
        <v>22</v>
      </c>
      <c r="I1526" s="1" t="s">
        <v>23</v>
      </c>
      <c r="L1526" s="1">
        <v>1</v>
      </c>
      <c r="M1526" s="1">
        <v>1.7</v>
      </c>
    </row>
    <row r="1527" spans="4:13">
      <c r="D1527" s="1" t="s">
        <v>199</v>
      </c>
      <c r="E1527" s="1" t="s">
        <v>602</v>
      </c>
      <c r="H1527" s="1" t="s">
        <v>22</v>
      </c>
      <c r="I1527" s="1" t="s">
        <v>23</v>
      </c>
      <c r="L1527" s="1">
        <v>1</v>
      </c>
      <c r="M1527" s="1">
        <v>0</v>
      </c>
    </row>
    <row r="1528" spans="4:13">
      <c r="D1528" s="1" t="s">
        <v>199</v>
      </c>
      <c r="E1528" s="1" t="s">
        <v>603</v>
      </c>
      <c r="H1528" s="1" t="s">
        <v>22</v>
      </c>
      <c r="I1528" s="1" t="s">
        <v>23</v>
      </c>
      <c r="L1528" s="1">
        <v>1</v>
      </c>
      <c r="M1528" s="1">
        <v>0.4</v>
      </c>
    </row>
    <row r="1529" spans="4:13">
      <c r="D1529" s="1" t="s">
        <v>199</v>
      </c>
      <c r="E1529" s="1" t="s">
        <v>604</v>
      </c>
      <c r="H1529" s="1" t="s">
        <v>22</v>
      </c>
      <c r="I1529" s="1" t="s">
        <v>23</v>
      </c>
      <c r="L1529" s="1">
        <v>1</v>
      </c>
      <c r="M1529" s="1">
        <v>1</v>
      </c>
    </row>
    <row r="1530" spans="4:13">
      <c r="D1530" s="1" t="s">
        <v>199</v>
      </c>
      <c r="E1530" s="1" t="s">
        <v>605</v>
      </c>
      <c r="H1530" s="1" t="s">
        <v>22</v>
      </c>
      <c r="I1530" s="1" t="s">
        <v>23</v>
      </c>
      <c r="L1530" s="1">
        <v>1</v>
      </c>
      <c r="M1530" s="1">
        <v>1.6</v>
      </c>
    </row>
    <row r="1531" spans="4:13">
      <c r="D1531" s="1" t="s">
        <v>199</v>
      </c>
      <c r="E1531" s="1" t="s">
        <v>606</v>
      </c>
      <c r="H1531" s="1" t="s">
        <v>22</v>
      </c>
      <c r="I1531" s="1" t="s">
        <v>23</v>
      </c>
      <c r="L1531" s="1">
        <v>1</v>
      </c>
      <c r="M1531" s="1">
        <v>0.5</v>
      </c>
    </row>
    <row r="1532" spans="4:13">
      <c r="D1532" s="1" t="s">
        <v>199</v>
      </c>
      <c r="E1532" s="1" t="s">
        <v>607</v>
      </c>
      <c r="H1532" s="1" t="s">
        <v>22</v>
      </c>
      <c r="I1532" s="1" t="s">
        <v>23</v>
      </c>
      <c r="L1532" s="1">
        <v>1</v>
      </c>
      <c r="M1532" s="1">
        <v>0.7</v>
      </c>
    </row>
    <row r="1533" spans="4:13">
      <c r="D1533" s="1" t="s">
        <v>199</v>
      </c>
      <c r="E1533" s="1" t="s">
        <v>608</v>
      </c>
      <c r="H1533" s="1" t="s">
        <v>22</v>
      </c>
      <c r="I1533" s="1" t="s">
        <v>23</v>
      </c>
      <c r="L1533" s="1">
        <v>1</v>
      </c>
      <c r="M1533" s="1">
        <v>0.9</v>
      </c>
    </row>
    <row r="1534" spans="4:13">
      <c r="D1534" s="1" t="s">
        <v>199</v>
      </c>
      <c r="E1534" s="1" t="s">
        <v>609</v>
      </c>
      <c r="H1534" s="1" t="s">
        <v>22</v>
      </c>
      <c r="I1534" s="1" t="s">
        <v>23</v>
      </c>
      <c r="L1534" s="1">
        <v>1</v>
      </c>
      <c r="M1534" s="1">
        <v>1.1000000000000001</v>
      </c>
    </row>
    <row r="1535" spans="4:13">
      <c r="D1535" s="1" t="s">
        <v>199</v>
      </c>
      <c r="E1535" s="1" t="s">
        <v>610</v>
      </c>
      <c r="H1535" s="1" t="s">
        <v>22</v>
      </c>
      <c r="I1535" s="1" t="s">
        <v>23</v>
      </c>
      <c r="L1535" s="1">
        <v>1</v>
      </c>
      <c r="M1535" s="1">
        <v>1.3</v>
      </c>
    </row>
    <row r="1536" spans="4:13">
      <c r="D1536" s="1" t="s">
        <v>199</v>
      </c>
      <c r="E1536" s="1" t="s">
        <v>611</v>
      </c>
      <c r="H1536" s="1" t="s">
        <v>22</v>
      </c>
      <c r="I1536" s="1" t="s">
        <v>23</v>
      </c>
      <c r="L1536" s="1">
        <v>1</v>
      </c>
      <c r="M1536" s="1">
        <v>1.5</v>
      </c>
    </row>
    <row r="1537" spans="4:13">
      <c r="D1537" s="1" t="s">
        <v>199</v>
      </c>
      <c r="E1537" s="1" t="s">
        <v>612</v>
      </c>
      <c r="H1537" s="1" t="s">
        <v>22</v>
      </c>
      <c r="I1537" s="1" t="s">
        <v>23</v>
      </c>
      <c r="L1537" s="1">
        <v>1</v>
      </c>
      <c r="M1537" s="1">
        <v>1.7</v>
      </c>
    </row>
    <row r="1538" spans="4:13">
      <c r="D1538" s="1" t="s">
        <v>199</v>
      </c>
      <c r="E1538" s="1" t="s">
        <v>613</v>
      </c>
      <c r="H1538" s="1" t="s">
        <v>22</v>
      </c>
      <c r="I1538" s="1" t="s">
        <v>23</v>
      </c>
      <c r="L1538" s="1">
        <v>1</v>
      </c>
      <c r="M1538" s="1">
        <v>0.2</v>
      </c>
    </row>
    <row r="1539" spans="4:13">
      <c r="D1539" s="1" t="s">
        <v>199</v>
      </c>
      <c r="E1539" s="1" t="s">
        <v>614</v>
      </c>
      <c r="H1539" s="1" t="s">
        <v>22</v>
      </c>
      <c r="I1539" s="1" t="s">
        <v>23</v>
      </c>
      <c r="L1539" s="1">
        <v>1</v>
      </c>
      <c r="M1539" s="1">
        <v>0.4</v>
      </c>
    </row>
    <row r="1540" spans="4:13">
      <c r="D1540" s="1" t="s">
        <v>199</v>
      </c>
      <c r="E1540" s="1" t="s">
        <v>615</v>
      </c>
      <c r="H1540" s="1" t="s">
        <v>22</v>
      </c>
      <c r="I1540" s="1" t="s">
        <v>23</v>
      </c>
      <c r="L1540" s="1">
        <v>1</v>
      </c>
      <c r="M1540" s="1">
        <v>0.8</v>
      </c>
    </row>
    <row r="1541" spans="4:13">
      <c r="D1541" s="1" t="s">
        <v>199</v>
      </c>
      <c r="E1541" s="1" t="s">
        <v>616</v>
      </c>
      <c r="H1541" s="1" t="s">
        <v>22</v>
      </c>
      <c r="I1541" s="1" t="s">
        <v>23</v>
      </c>
      <c r="L1541" s="1">
        <v>1</v>
      </c>
      <c r="M1541" s="1">
        <v>1.1000000000000001</v>
      </c>
    </row>
    <row r="1542" spans="4:13">
      <c r="D1542" s="1" t="s">
        <v>199</v>
      </c>
      <c r="E1542" s="1" t="s">
        <v>617</v>
      </c>
      <c r="H1542" s="1" t="s">
        <v>22</v>
      </c>
      <c r="I1542" s="1" t="s">
        <v>23</v>
      </c>
      <c r="L1542" s="1">
        <v>1</v>
      </c>
      <c r="M1542" s="1">
        <v>1.3</v>
      </c>
    </row>
    <row r="1543" spans="4:13">
      <c r="D1543" s="1" t="s">
        <v>199</v>
      </c>
      <c r="E1543" s="1" t="s">
        <v>618</v>
      </c>
      <c r="H1543" s="1" t="s">
        <v>22</v>
      </c>
      <c r="I1543" s="1" t="s">
        <v>23</v>
      </c>
      <c r="L1543" s="1">
        <v>1</v>
      </c>
      <c r="M1543" s="1">
        <v>0</v>
      </c>
    </row>
    <row r="1544" spans="4:13">
      <c r="D1544" s="1" t="s">
        <v>199</v>
      </c>
      <c r="E1544" s="1" t="s">
        <v>619</v>
      </c>
      <c r="H1544" s="1" t="s">
        <v>22</v>
      </c>
      <c r="I1544" s="1" t="s">
        <v>23</v>
      </c>
      <c r="L1544" s="1">
        <v>1</v>
      </c>
      <c r="M1544" s="1">
        <v>0.6</v>
      </c>
    </row>
    <row r="1545" spans="4:13">
      <c r="D1545" s="1" t="s">
        <v>199</v>
      </c>
      <c r="E1545" s="1" t="s">
        <v>620</v>
      </c>
      <c r="H1545" s="1" t="s">
        <v>22</v>
      </c>
      <c r="I1545" s="1" t="s">
        <v>23</v>
      </c>
      <c r="L1545" s="1">
        <v>1</v>
      </c>
      <c r="M1545" s="1">
        <v>1.4</v>
      </c>
    </row>
    <row r="1546" spans="4:13">
      <c r="D1546" s="1" t="s">
        <v>199</v>
      </c>
      <c r="E1546" s="1" t="s">
        <v>621</v>
      </c>
      <c r="H1546" s="1" t="s">
        <v>22</v>
      </c>
      <c r="I1546" s="1" t="s">
        <v>23</v>
      </c>
      <c r="L1546" s="1">
        <v>1</v>
      </c>
      <c r="M1546" s="1">
        <v>1.6</v>
      </c>
    </row>
    <row r="1547" spans="4:13">
      <c r="D1547" s="1" t="s">
        <v>199</v>
      </c>
      <c r="E1547" s="1" t="s">
        <v>622</v>
      </c>
      <c r="H1547" s="1" t="s">
        <v>22</v>
      </c>
      <c r="I1547" s="1" t="s">
        <v>23</v>
      </c>
      <c r="L1547" s="1">
        <v>1</v>
      </c>
      <c r="M1547" s="1">
        <v>0.1</v>
      </c>
    </row>
    <row r="1548" spans="4:13">
      <c r="D1548" s="1" t="s">
        <v>199</v>
      </c>
      <c r="E1548" s="1" t="s">
        <v>623</v>
      </c>
      <c r="H1548" s="1" t="s">
        <v>22</v>
      </c>
      <c r="I1548" s="1" t="s">
        <v>23</v>
      </c>
      <c r="L1548" s="1">
        <v>1</v>
      </c>
      <c r="M1548" s="1">
        <v>0.3</v>
      </c>
    </row>
    <row r="1549" spans="4:13">
      <c r="D1549" s="1" t="s">
        <v>199</v>
      </c>
      <c r="E1549" s="1" t="s">
        <v>624</v>
      </c>
      <c r="H1549" s="1" t="s">
        <v>22</v>
      </c>
      <c r="I1549" s="1" t="s">
        <v>23</v>
      </c>
      <c r="L1549" s="1">
        <v>1</v>
      </c>
      <c r="M1549" s="1">
        <v>0.5</v>
      </c>
    </row>
    <row r="1550" spans="4:13">
      <c r="D1550" s="1" t="s">
        <v>199</v>
      </c>
      <c r="E1550" s="1" t="s">
        <v>625</v>
      </c>
      <c r="H1550" s="1" t="s">
        <v>22</v>
      </c>
      <c r="I1550" s="1" t="s">
        <v>23</v>
      </c>
      <c r="L1550" s="1">
        <v>1</v>
      </c>
      <c r="M1550" s="1">
        <v>0.9</v>
      </c>
    </row>
    <row r="1551" spans="4:13">
      <c r="D1551" s="1" t="s">
        <v>199</v>
      </c>
      <c r="E1551" s="1" t="s">
        <v>626</v>
      </c>
      <c r="H1551" s="1" t="s">
        <v>22</v>
      </c>
      <c r="I1551" s="1" t="s">
        <v>23</v>
      </c>
      <c r="L1551" s="1">
        <v>1</v>
      </c>
      <c r="M1551" s="1">
        <v>1.1000000000000001</v>
      </c>
    </row>
    <row r="1552" spans="4:13">
      <c r="D1552" s="1" t="s">
        <v>199</v>
      </c>
      <c r="E1552" s="1" t="s">
        <v>627</v>
      </c>
      <c r="H1552" s="1" t="s">
        <v>22</v>
      </c>
      <c r="I1552" s="1" t="s">
        <v>23</v>
      </c>
      <c r="L1552" s="1">
        <v>1</v>
      </c>
      <c r="M1552" s="1">
        <v>1.7</v>
      </c>
    </row>
    <row r="1553" spans="4:13">
      <c r="D1553" s="1" t="s">
        <v>199</v>
      </c>
      <c r="E1553" s="1" t="s">
        <v>628</v>
      </c>
      <c r="H1553" s="1" t="s">
        <v>22</v>
      </c>
      <c r="I1553" s="1" t="s">
        <v>23</v>
      </c>
      <c r="L1553" s="1">
        <v>1</v>
      </c>
      <c r="M1553" s="1">
        <v>0</v>
      </c>
    </row>
    <row r="1554" spans="4:13">
      <c r="D1554" s="1" t="s">
        <v>199</v>
      </c>
      <c r="E1554" s="1" t="s">
        <v>629</v>
      </c>
      <c r="H1554" s="1" t="s">
        <v>22</v>
      </c>
      <c r="I1554" s="1" t="s">
        <v>23</v>
      </c>
      <c r="L1554" s="1">
        <v>1</v>
      </c>
      <c r="M1554" s="1">
        <v>0.6</v>
      </c>
    </row>
    <row r="1555" spans="4:13">
      <c r="D1555" s="1" t="s">
        <v>199</v>
      </c>
      <c r="E1555" s="1" t="s">
        <v>630</v>
      </c>
      <c r="H1555" s="1" t="s">
        <v>22</v>
      </c>
      <c r="I1555" s="1" t="s">
        <v>23</v>
      </c>
      <c r="L1555" s="1">
        <v>1</v>
      </c>
      <c r="M1555" s="1">
        <v>1</v>
      </c>
    </row>
    <row r="1556" spans="4:13">
      <c r="D1556" s="1" t="s">
        <v>199</v>
      </c>
      <c r="E1556" s="1" t="s">
        <v>631</v>
      </c>
      <c r="H1556" s="1" t="s">
        <v>22</v>
      </c>
      <c r="I1556" s="1" t="s">
        <v>23</v>
      </c>
      <c r="L1556" s="1">
        <v>1</v>
      </c>
      <c r="M1556" s="1">
        <v>1.4</v>
      </c>
    </row>
    <row r="1557" spans="4:13">
      <c r="D1557" s="1" t="s">
        <v>199</v>
      </c>
      <c r="E1557" s="1" t="s">
        <v>632</v>
      </c>
      <c r="H1557" s="1" t="s">
        <v>22</v>
      </c>
      <c r="I1557" s="1" t="s">
        <v>23</v>
      </c>
      <c r="L1557" s="1">
        <v>1</v>
      </c>
      <c r="M1557" s="1">
        <v>1.6</v>
      </c>
    </row>
    <row r="1558" spans="4:13">
      <c r="D1558" s="1" t="s">
        <v>199</v>
      </c>
      <c r="E1558" s="1" t="s">
        <v>633</v>
      </c>
      <c r="H1558" s="1" t="s">
        <v>22</v>
      </c>
      <c r="I1558" s="1" t="s">
        <v>23</v>
      </c>
      <c r="L1558" s="1">
        <v>1</v>
      </c>
      <c r="M1558" s="1">
        <v>0.3</v>
      </c>
    </row>
    <row r="1559" spans="4:13">
      <c r="D1559" s="1" t="s">
        <v>199</v>
      </c>
      <c r="E1559" s="1" t="s">
        <v>634</v>
      </c>
      <c r="H1559" s="1" t="s">
        <v>22</v>
      </c>
      <c r="I1559" s="1" t="s">
        <v>23</v>
      </c>
      <c r="L1559" s="1">
        <v>1</v>
      </c>
      <c r="M1559" s="1">
        <v>1.7</v>
      </c>
    </row>
    <row r="1560" spans="4:13">
      <c r="D1560" s="1" t="s">
        <v>199</v>
      </c>
      <c r="E1560" s="1" t="s">
        <v>635</v>
      </c>
      <c r="H1560" s="1" t="s">
        <v>22</v>
      </c>
      <c r="I1560" s="1" t="s">
        <v>23</v>
      </c>
      <c r="L1560" s="1">
        <v>1</v>
      </c>
      <c r="M1560" s="1">
        <v>0</v>
      </c>
    </row>
    <row r="1561" spans="4:13">
      <c r="D1561" s="1" t="s">
        <v>199</v>
      </c>
      <c r="E1561" s="1" t="s">
        <v>636</v>
      </c>
      <c r="H1561" s="1" t="s">
        <v>22</v>
      </c>
      <c r="I1561" s="1" t="s">
        <v>23</v>
      </c>
      <c r="L1561" s="1">
        <v>1</v>
      </c>
      <c r="M1561" s="1">
        <v>0.6</v>
      </c>
    </row>
    <row r="1562" spans="4:13">
      <c r="D1562" s="1" t="s">
        <v>199</v>
      </c>
      <c r="E1562" s="1" t="s">
        <v>637</v>
      </c>
      <c r="H1562" s="1" t="s">
        <v>22</v>
      </c>
      <c r="I1562" s="1" t="s">
        <v>23</v>
      </c>
      <c r="L1562" s="1">
        <v>1</v>
      </c>
      <c r="M1562" s="1">
        <v>0.8</v>
      </c>
    </row>
    <row r="1563" spans="4:13">
      <c r="D1563" s="1" t="s">
        <v>199</v>
      </c>
      <c r="E1563" s="1" t="s">
        <v>638</v>
      </c>
      <c r="H1563" s="1" t="s">
        <v>22</v>
      </c>
      <c r="I1563" s="1" t="s">
        <v>23</v>
      </c>
      <c r="L1563" s="1">
        <v>1</v>
      </c>
      <c r="M1563" s="1">
        <v>1</v>
      </c>
    </row>
    <row r="1564" spans="4:13">
      <c r="D1564" s="1" t="s">
        <v>199</v>
      </c>
      <c r="E1564" s="1" t="s">
        <v>639</v>
      </c>
      <c r="H1564" s="1" t="s">
        <v>22</v>
      </c>
      <c r="I1564" s="1" t="s">
        <v>23</v>
      </c>
      <c r="L1564" s="1">
        <v>1</v>
      </c>
      <c r="M1564" s="1">
        <v>1.2</v>
      </c>
    </row>
    <row r="1565" spans="4:13">
      <c r="D1565" s="1" t="s">
        <v>199</v>
      </c>
      <c r="E1565" s="1" t="s">
        <v>640</v>
      </c>
      <c r="H1565" s="1" t="s">
        <v>22</v>
      </c>
      <c r="I1565" s="1" t="s">
        <v>23</v>
      </c>
      <c r="L1565" s="1">
        <v>1</v>
      </c>
      <c r="M1565" s="1">
        <v>1.4</v>
      </c>
    </row>
    <row r="1566" spans="4:13">
      <c r="D1566" s="1" t="s">
        <v>199</v>
      </c>
      <c r="E1566" s="1" t="s">
        <v>641</v>
      </c>
      <c r="H1566" s="1" t="s">
        <v>22</v>
      </c>
      <c r="I1566" s="1" t="s">
        <v>23</v>
      </c>
      <c r="L1566" s="1">
        <v>1</v>
      </c>
      <c r="M1566" s="1">
        <v>1.6</v>
      </c>
    </row>
    <row r="1567" spans="4:13">
      <c r="D1567" s="1" t="s">
        <v>199</v>
      </c>
      <c r="E1567" s="1" t="s">
        <v>642</v>
      </c>
      <c r="H1567" s="1" t="s">
        <v>22</v>
      </c>
      <c r="I1567" s="1" t="s">
        <v>23</v>
      </c>
      <c r="L1567" s="1">
        <v>1</v>
      </c>
      <c r="M1567" s="1">
        <v>0.1</v>
      </c>
    </row>
    <row r="1568" spans="4:13">
      <c r="D1568" s="1" t="s">
        <v>199</v>
      </c>
      <c r="E1568" s="1" t="s">
        <v>643</v>
      </c>
      <c r="H1568" s="1" t="s">
        <v>22</v>
      </c>
      <c r="I1568" s="1" t="s">
        <v>23</v>
      </c>
      <c r="L1568" s="1">
        <v>1</v>
      </c>
      <c r="M1568" s="1">
        <v>0.3</v>
      </c>
    </row>
    <row r="1569" spans="4:13">
      <c r="D1569" s="1" t="s">
        <v>199</v>
      </c>
      <c r="E1569" s="1" t="s">
        <v>644</v>
      </c>
      <c r="H1569" s="1" t="s">
        <v>22</v>
      </c>
      <c r="I1569" s="1" t="s">
        <v>23</v>
      </c>
      <c r="L1569" s="1">
        <v>1</v>
      </c>
      <c r="M1569" s="1">
        <v>0.5</v>
      </c>
    </row>
    <row r="1570" spans="4:13">
      <c r="D1570" s="1" t="s">
        <v>199</v>
      </c>
      <c r="E1570" s="1" t="s">
        <v>645</v>
      </c>
      <c r="H1570" s="1" t="s">
        <v>22</v>
      </c>
      <c r="I1570" s="1" t="s">
        <v>23</v>
      </c>
      <c r="L1570" s="1">
        <v>1</v>
      </c>
      <c r="M1570" s="1">
        <v>0.9</v>
      </c>
    </row>
    <row r="1571" spans="4:13">
      <c r="D1571" s="1" t="s">
        <v>199</v>
      </c>
      <c r="E1571" s="1" t="s">
        <v>646</v>
      </c>
      <c r="H1571" s="1" t="s">
        <v>22</v>
      </c>
      <c r="I1571" s="1" t="s">
        <v>23</v>
      </c>
      <c r="L1571" s="1">
        <v>1</v>
      </c>
      <c r="M1571" s="1">
        <v>1.1000000000000001</v>
      </c>
    </row>
    <row r="1572" spans="4:13">
      <c r="D1572" s="1" t="s">
        <v>199</v>
      </c>
      <c r="E1572" s="1" t="s">
        <v>647</v>
      </c>
      <c r="H1572" s="1" t="s">
        <v>22</v>
      </c>
      <c r="I1572" s="1" t="s">
        <v>23</v>
      </c>
      <c r="L1572" s="1">
        <v>1</v>
      </c>
      <c r="M1572" s="1">
        <v>1.5</v>
      </c>
    </row>
    <row r="1573" spans="4:13">
      <c r="D1573" s="1" t="s">
        <v>199</v>
      </c>
      <c r="E1573" s="1" t="s">
        <v>648</v>
      </c>
      <c r="H1573" s="1" t="s">
        <v>22</v>
      </c>
      <c r="I1573" s="1" t="s">
        <v>23</v>
      </c>
      <c r="L1573" s="1">
        <v>1</v>
      </c>
      <c r="M1573" s="1">
        <v>1.7</v>
      </c>
    </row>
    <row r="1574" spans="4:13">
      <c r="D1574" s="1" t="s">
        <v>199</v>
      </c>
      <c r="E1574" s="1" t="s">
        <v>649</v>
      </c>
      <c r="H1574" s="1" t="s">
        <v>22</v>
      </c>
      <c r="I1574" s="1" t="s">
        <v>29</v>
      </c>
      <c r="J1574" s="1">
        <v>0</v>
      </c>
      <c r="K1574" s="1">
        <v>2</v>
      </c>
      <c r="L1574" s="1">
        <v>1</v>
      </c>
    </row>
    <row r="1575" spans="4:13">
      <c r="D1575" s="1" t="s">
        <v>199</v>
      </c>
      <c r="E1575" s="1" t="s">
        <v>650</v>
      </c>
      <c r="H1575" s="1" t="s">
        <v>22</v>
      </c>
      <c r="I1575" s="1" t="s">
        <v>29</v>
      </c>
      <c r="J1575" s="1">
        <v>0</v>
      </c>
      <c r="K1575" s="1">
        <v>10</v>
      </c>
      <c r="L1575" s="1">
        <v>1</v>
      </c>
    </row>
    <row r="1576" spans="4:13">
      <c r="D1576" s="1" t="s">
        <v>199</v>
      </c>
      <c r="E1576" s="1" t="s">
        <v>651</v>
      </c>
      <c r="H1576" s="1" t="s">
        <v>22</v>
      </c>
      <c r="I1576" s="1" t="s">
        <v>29</v>
      </c>
      <c r="J1576" s="1">
        <v>0</v>
      </c>
      <c r="K1576" s="1">
        <v>10</v>
      </c>
      <c r="L1576" s="1">
        <v>1</v>
      </c>
    </row>
    <row r="1577" spans="4:13">
      <c r="D1577" s="1" t="s">
        <v>199</v>
      </c>
      <c r="E1577" s="1" t="s">
        <v>652</v>
      </c>
      <c r="H1577" s="1" t="s">
        <v>22</v>
      </c>
      <c r="I1577" s="1" t="s">
        <v>23</v>
      </c>
      <c r="L1577" s="1">
        <v>1</v>
      </c>
      <c r="M1577" s="1">
        <v>0</v>
      </c>
    </row>
    <row r="1578" spans="4:13">
      <c r="D1578" s="1" t="s">
        <v>199</v>
      </c>
      <c r="E1578" s="1" t="s">
        <v>653</v>
      </c>
      <c r="H1578" s="1" t="s">
        <v>22</v>
      </c>
      <c r="I1578" s="1" t="s">
        <v>23</v>
      </c>
      <c r="L1578" s="1">
        <v>1</v>
      </c>
      <c r="M1578" s="1">
        <v>0</v>
      </c>
    </row>
    <row r="1579" spans="4:13">
      <c r="D1579" s="1" t="s">
        <v>199</v>
      </c>
      <c r="E1579" s="1" t="s">
        <v>654</v>
      </c>
      <c r="H1579" s="1" t="s">
        <v>22</v>
      </c>
      <c r="I1579" s="1" t="s">
        <v>23</v>
      </c>
      <c r="L1579" s="1">
        <v>1</v>
      </c>
      <c r="M1579" s="1">
        <v>0</v>
      </c>
    </row>
    <row r="1580" spans="4:13">
      <c r="D1580" s="1" t="s">
        <v>199</v>
      </c>
      <c r="E1580" s="1" t="s">
        <v>655</v>
      </c>
      <c r="H1580" s="1" t="s">
        <v>22</v>
      </c>
      <c r="I1580" s="1" t="s">
        <v>23</v>
      </c>
      <c r="L1580" s="1">
        <v>1</v>
      </c>
      <c r="M1580" s="1">
        <v>0</v>
      </c>
    </row>
    <row r="1581" spans="4:13">
      <c r="D1581" s="1" t="s">
        <v>199</v>
      </c>
      <c r="E1581" s="1" t="s">
        <v>656</v>
      </c>
      <c r="H1581" s="1" t="s">
        <v>22</v>
      </c>
      <c r="I1581" s="1" t="s">
        <v>23</v>
      </c>
      <c r="L1581" s="1">
        <v>1</v>
      </c>
      <c r="M1581" s="1">
        <v>0</v>
      </c>
    </row>
    <row r="1582" spans="4:13">
      <c r="D1582" s="1" t="s">
        <v>199</v>
      </c>
      <c r="E1582" s="1" t="s">
        <v>657</v>
      </c>
      <c r="H1582" s="1" t="s">
        <v>22</v>
      </c>
      <c r="I1582" s="1" t="s">
        <v>23</v>
      </c>
      <c r="L1582" s="1">
        <v>1</v>
      </c>
      <c r="M1582" s="1">
        <v>0</v>
      </c>
    </row>
    <row r="1583" spans="4:13">
      <c r="D1583" s="1" t="s">
        <v>199</v>
      </c>
      <c r="E1583" s="1" t="s">
        <v>658</v>
      </c>
      <c r="H1583" s="1" t="s">
        <v>22</v>
      </c>
      <c r="I1583" s="1" t="s">
        <v>23</v>
      </c>
      <c r="L1583" s="1">
        <v>1</v>
      </c>
      <c r="M1583" s="1">
        <v>0</v>
      </c>
    </row>
    <row r="1584" spans="4:13">
      <c r="D1584" s="1" t="s">
        <v>199</v>
      </c>
      <c r="E1584" s="1" t="s">
        <v>659</v>
      </c>
      <c r="H1584" s="1" t="s">
        <v>22</v>
      </c>
      <c r="I1584" s="1" t="s">
        <v>23</v>
      </c>
      <c r="L1584" s="1">
        <v>1</v>
      </c>
      <c r="M1584" s="1">
        <v>0</v>
      </c>
    </row>
    <row r="1585" spans="4:13">
      <c r="D1585" s="1" t="s">
        <v>199</v>
      </c>
      <c r="E1585" s="1" t="s">
        <v>660</v>
      </c>
      <c r="H1585" s="1" t="s">
        <v>22</v>
      </c>
      <c r="I1585" s="1" t="s">
        <v>23</v>
      </c>
      <c r="L1585" s="1">
        <v>1</v>
      </c>
      <c r="M1585" s="1">
        <v>0</v>
      </c>
    </row>
    <row r="1586" spans="4:13">
      <c r="D1586" s="1" t="s">
        <v>199</v>
      </c>
      <c r="E1586" s="1" t="s">
        <v>661</v>
      </c>
      <c r="H1586" s="1" t="s">
        <v>22</v>
      </c>
      <c r="I1586" s="1" t="s">
        <v>23</v>
      </c>
      <c r="L1586" s="1">
        <v>1</v>
      </c>
      <c r="M1586" s="1">
        <v>0.1</v>
      </c>
    </row>
    <row r="1587" spans="4:13">
      <c r="D1587" s="1" t="s">
        <v>199</v>
      </c>
      <c r="E1587" s="1" t="s">
        <v>662</v>
      </c>
      <c r="H1587" s="1" t="s">
        <v>22</v>
      </c>
      <c r="I1587" s="1" t="s">
        <v>23</v>
      </c>
      <c r="L1587" s="1">
        <v>1</v>
      </c>
      <c r="M1587" s="1">
        <v>0.1</v>
      </c>
    </row>
    <row r="1588" spans="4:13">
      <c r="D1588" s="1" t="s">
        <v>199</v>
      </c>
      <c r="E1588" s="1" t="s">
        <v>663</v>
      </c>
      <c r="H1588" s="1" t="s">
        <v>22</v>
      </c>
      <c r="I1588" s="1" t="s">
        <v>23</v>
      </c>
      <c r="L1588" s="1">
        <v>1</v>
      </c>
      <c r="M1588" s="1">
        <v>0.1</v>
      </c>
    </row>
    <row r="1589" spans="4:13">
      <c r="D1589" s="1" t="s">
        <v>199</v>
      </c>
      <c r="E1589" s="1" t="s">
        <v>664</v>
      </c>
      <c r="H1589" s="1" t="s">
        <v>22</v>
      </c>
      <c r="I1589" s="1" t="s">
        <v>23</v>
      </c>
      <c r="L1589" s="1">
        <v>1</v>
      </c>
      <c r="M1589" s="1">
        <v>0.1</v>
      </c>
    </row>
    <row r="1590" spans="4:13">
      <c r="D1590" s="1" t="s">
        <v>199</v>
      </c>
      <c r="E1590" s="1" t="s">
        <v>665</v>
      </c>
      <c r="H1590" s="1" t="s">
        <v>22</v>
      </c>
      <c r="I1590" s="1" t="s">
        <v>23</v>
      </c>
      <c r="L1590" s="1">
        <v>1</v>
      </c>
      <c r="M1590" s="1">
        <v>0.1</v>
      </c>
    </row>
    <row r="1591" spans="4:13">
      <c r="D1591" s="1" t="s">
        <v>199</v>
      </c>
      <c r="E1591" s="1" t="s">
        <v>666</v>
      </c>
      <c r="H1591" s="1" t="s">
        <v>22</v>
      </c>
      <c r="I1591" s="1" t="s">
        <v>23</v>
      </c>
      <c r="L1591" s="1">
        <v>1</v>
      </c>
      <c r="M1591" s="1">
        <v>0.1</v>
      </c>
    </row>
    <row r="1592" spans="4:13">
      <c r="D1592" s="1" t="s">
        <v>199</v>
      </c>
      <c r="E1592" s="1" t="s">
        <v>667</v>
      </c>
      <c r="H1592" s="1" t="s">
        <v>22</v>
      </c>
      <c r="I1592" s="1" t="s">
        <v>23</v>
      </c>
      <c r="L1592" s="1">
        <v>1</v>
      </c>
      <c r="M1592" s="1">
        <v>0.1</v>
      </c>
    </row>
    <row r="1593" spans="4:13">
      <c r="D1593" s="1" t="s">
        <v>199</v>
      </c>
      <c r="E1593" s="1" t="s">
        <v>668</v>
      </c>
      <c r="H1593" s="1" t="s">
        <v>22</v>
      </c>
      <c r="I1593" s="1" t="s">
        <v>23</v>
      </c>
      <c r="L1593" s="1">
        <v>1</v>
      </c>
      <c r="M1593" s="1">
        <v>0.1</v>
      </c>
    </row>
    <row r="1594" spans="4:13">
      <c r="D1594" s="1" t="s">
        <v>199</v>
      </c>
      <c r="E1594" s="1" t="s">
        <v>669</v>
      </c>
      <c r="H1594" s="1" t="s">
        <v>22</v>
      </c>
      <c r="I1594" s="1" t="s">
        <v>23</v>
      </c>
      <c r="L1594" s="1">
        <v>1</v>
      </c>
      <c r="M1594" s="1">
        <v>0.1</v>
      </c>
    </row>
    <row r="1595" spans="4:13">
      <c r="D1595" s="1" t="s">
        <v>199</v>
      </c>
      <c r="E1595" s="1" t="s">
        <v>670</v>
      </c>
      <c r="H1595" s="1" t="s">
        <v>22</v>
      </c>
      <c r="I1595" s="1" t="s">
        <v>23</v>
      </c>
      <c r="L1595" s="1">
        <v>1</v>
      </c>
      <c r="M1595" s="1">
        <v>0.2</v>
      </c>
    </row>
    <row r="1596" spans="4:13">
      <c r="D1596" s="1" t="s">
        <v>199</v>
      </c>
      <c r="E1596" s="1" t="s">
        <v>671</v>
      </c>
      <c r="H1596" s="1" t="s">
        <v>22</v>
      </c>
      <c r="I1596" s="1" t="s">
        <v>23</v>
      </c>
      <c r="L1596" s="1">
        <v>1</v>
      </c>
      <c r="M1596" s="1">
        <v>0.2</v>
      </c>
    </row>
    <row r="1597" spans="4:13">
      <c r="D1597" s="1" t="s">
        <v>199</v>
      </c>
      <c r="E1597" s="1" t="s">
        <v>672</v>
      </c>
      <c r="H1597" s="1" t="s">
        <v>22</v>
      </c>
      <c r="I1597" s="1" t="s">
        <v>23</v>
      </c>
      <c r="L1597" s="1">
        <v>1</v>
      </c>
      <c r="M1597" s="1">
        <v>0.2</v>
      </c>
    </row>
    <row r="1598" spans="4:13">
      <c r="D1598" s="1" t="s">
        <v>199</v>
      </c>
      <c r="E1598" s="1" t="s">
        <v>673</v>
      </c>
      <c r="H1598" s="1" t="s">
        <v>22</v>
      </c>
      <c r="I1598" s="1" t="s">
        <v>23</v>
      </c>
      <c r="L1598" s="1">
        <v>1</v>
      </c>
      <c r="M1598" s="1">
        <v>0.2</v>
      </c>
    </row>
    <row r="1599" spans="4:13">
      <c r="D1599" s="1" t="s">
        <v>199</v>
      </c>
      <c r="E1599" s="1" t="s">
        <v>674</v>
      </c>
      <c r="H1599" s="1" t="s">
        <v>22</v>
      </c>
      <c r="I1599" s="1" t="s">
        <v>23</v>
      </c>
      <c r="L1599" s="1">
        <v>1</v>
      </c>
      <c r="M1599" s="1">
        <v>0.2</v>
      </c>
    </row>
    <row r="1600" spans="4:13">
      <c r="D1600" s="1" t="s">
        <v>199</v>
      </c>
      <c r="E1600" s="1" t="s">
        <v>675</v>
      </c>
      <c r="H1600" s="1" t="s">
        <v>22</v>
      </c>
      <c r="I1600" s="1" t="s">
        <v>23</v>
      </c>
      <c r="L1600" s="1">
        <v>1</v>
      </c>
      <c r="M1600" s="1">
        <v>0.2</v>
      </c>
    </row>
    <row r="1601" spans="4:13">
      <c r="D1601" s="1" t="s">
        <v>199</v>
      </c>
      <c r="E1601" s="1" t="s">
        <v>676</v>
      </c>
      <c r="H1601" s="1" t="s">
        <v>22</v>
      </c>
      <c r="I1601" s="1" t="s">
        <v>23</v>
      </c>
      <c r="L1601" s="1">
        <v>1</v>
      </c>
      <c r="M1601" s="1">
        <v>0.2</v>
      </c>
    </row>
    <row r="1602" spans="4:13">
      <c r="D1602" s="1" t="s">
        <v>199</v>
      </c>
      <c r="E1602" s="1" t="s">
        <v>677</v>
      </c>
      <c r="H1602" s="1" t="s">
        <v>22</v>
      </c>
      <c r="I1602" s="1" t="s">
        <v>23</v>
      </c>
      <c r="L1602" s="1">
        <v>1</v>
      </c>
      <c r="M1602" s="1">
        <v>0.2</v>
      </c>
    </row>
    <row r="1603" spans="4:13">
      <c r="D1603" s="1" t="s">
        <v>199</v>
      </c>
      <c r="E1603" s="1" t="s">
        <v>678</v>
      </c>
      <c r="H1603" s="1" t="s">
        <v>22</v>
      </c>
      <c r="I1603" s="1" t="s">
        <v>23</v>
      </c>
      <c r="L1603" s="1">
        <v>1</v>
      </c>
      <c r="M1603" s="1">
        <v>0.2</v>
      </c>
    </row>
    <row r="1604" spans="4:13">
      <c r="D1604" s="1" t="s">
        <v>199</v>
      </c>
      <c r="E1604" s="1" t="s">
        <v>679</v>
      </c>
      <c r="H1604" s="1" t="s">
        <v>22</v>
      </c>
      <c r="I1604" s="1" t="s">
        <v>23</v>
      </c>
      <c r="L1604" s="1">
        <v>1</v>
      </c>
      <c r="M1604" s="1">
        <v>0.3</v>
      </c>
    </row>
    <row r="1605" spans="4:13">
      <c r="D1605" s="1" t="s">
        <v>199</v>
      </c>
      <c r="E1605" s="1" t="s">
        <v>680</v>
      </c>
      <c r="H1605" s="1" t="s">
        <v>22</v>
      </c>
      <c r="I1605" s="1" t="s">
        <v>23</v>
      </c>
      <c r="L1605" s="1">
        <v>1</v>
      </c>
      <c r="M1605" s="1">
        <v>0.3</v>
      </c>
    </row>
    <row r="1606" spans="4:13">
      <c r="D1606" s="1" t="s">
        <v>199</v>
      </c>
      <c r="E1606" s="1" t="s">
        <v>681</v>
      </c>
      <c r="H1606" s="1" t="s">
        <v>22</v>
      </c>
      <c r="I1606" s="1" t="s">
        <v>23</v>
      </c>
      <c r="L1606" s="1">
        <v>1</v>
      </c>
      <c r="M1606" s="1">
        <v>0.3</v>
      </c>
    </row>
    <row r="1607" spans="4:13">
      <c r="D1607" s="1" t="s">
        <v>199</v>
      </c>
      <c r="E1607" s="1" t="s">
        <v>682</v>
      </c>
      <c r="H1607" s="1" t="s">
        <v>22</v>
      </c>
      <c r="I1607" s="1" t="s">
        <v>23</v>
      </c>
      <c r="L1607" s="1">
        <v>1</v>
      </c>
      <c r="M1607" s="1">
        <v>0.3</v>
      </c>
    </row>
    <row r="1608" spans="4:13">
      <c r="D1608" s="1" t="s">
        <v>199</v>
      </c>
      <c r="E1608" s="1" t="s">
        <v>683</v>
      </c>
      <c r="H1608" s="1" t="s">
        <v>22</v>
      </c>
      <c r="I1608" s="1" t="s">
        <v>23</v>
      </c>
      <c r="L1608" s="1">
        <v>1</v>
      </c>
      <c r="M1608" s="1">
        <v>0.3</v>
      </c>
    </row>
    <row r="1609" spans="4:13">
      <c r="D1609" s="1" t="s">
        <v>199</v>
      </c>
      <c r="E1609" s="1" t="s">
        <v>684</v>
      </c>
      <c r="H1609" s="1" t="s">
        <v>22</v>
      </c>
      <c r="I1609" s="1" t="s">
        <v>23</v>
      </c>
      <c r="L1609" s="1">
        <v>1</v>
      </c>
      <c r="M1609" s="1">
        <v>0.3</v>
      </c>
    </row>
    <row r="1610" spans="4:13">
      <c r="D1610" s="1" t="s">
        <v>199</v>
      </c>
      <c r="E1610" s="1" t="s">
        <v>685</v>
      </c>
      <c r="H1610" s="1" t="s">
        <v>22</v>
      </c>
      <c r="I1610" s="1" t="s">
        <v>23</v>
      </c>
      <c r="L1610" s="1">
        <v>1</v>
      </c>
      <c r="M1610" s="1">
        <v>0.3</v>
      </c>
    </row>
    <row r="1611" spans="4:13">
      <c r="D1611" s="1" t="s">
        <v>199</v>
      </c>
      <c r="E1611" s="1" t="s">
        <v>686</v>
      </c>
      <c r="H1611" s="1" t="s">
        <v>22</v>
      </c>
      <c r="I1611" s="1" t="s">
        <v>23</v>
      </c>
      <c r="L1611" s="1">
        <v>1</v>
      </c>
      <c r="M1611" s="1">
        <v>0.3</v>
      </c>
    </row>
    <row r="1612" spans="4:13">
      <c r="D1612" s="1" t="s">
        <v>199</v>
      </c>
      <c r="E1612" s="1" t="s">
        <v>687</v>
      </c>
      <c r="H1612" s="1" t="s">
        <v>22</v>
      </c>
      <c r="I1612" s="1" t="s">
        <v>23</v>
      </c>
      <c r="L1612" s="1">
        <v>1</v>
      </c>
      <c r="M1612" s="1">
        <v>0.3</v>
      </c>
    </row>
    <row r="1613" spans="4:13">
      <c r="D1613" s="1" t="s">
        <v>199</v>
      </c>
      <c r="E1613" s="1" t="s">
        <v>688</v>
      </c>
      <c r="H1613" s="1" t="s">
        <v>22</v>
      </c>
      <c r="I1613" s="1" t="s">
        <v>23</v>
      </c>
      <c r="L1613" s="1">
        <v>1</v>
      </c>
      <c r="M1613" s="1">
        <v>0.4</v>
      </c>
    </row>
    <row r="1614" spans="4:13">
      <c r="D1614" s="1" t="s">
        <v>199</v>
      </c>
      <c r="E1614" s="1" t="s">
        <v>689</v>
      </c>
      <c r="H1614" s="1" t="s">
        <v>22</v>
      </c>
      <c r="I1614" s="1" t="s">
        <v>23</v>
      </c>
      <c r="L1614" s="1">
        <v>1</v>
      </c>
      <c r="M1614" s="1">
        <v>0.4</v>
      </c>
    </row>
    <row r="1615" spans="4:13">
      <c r="D1615" s="1" t="s">
        <v>199</v>
      </c>
      <c r="E1615" s="1" t="s">
        <v>690</v>
      </c>
      <c r="H1615" s="1" t="s">
        <v>22</v>
      </c>
      <c r="I1615" s="1" t="s">
        <v>23</v>
      </c>
      <c r="L1615" s="1">
        <v>1</v>
      </c>
      <c r="M1615" s="1">
        <v>0.4</v>
      </c>
    </row>
    <row r="1616" spans="4:13">
      <c r="D1616" s="1" t="s">
        <v>199</v>
      </c>
      <c r="E1616" s="1" t="s">
        <v>691</v>
      </c>
      <c r="H1616" s="1" t="s">
        <v>22</v>
      </c>
      <c r="I1616" s="1" t="s">
        <v>23</v>
      </c>
      <c r="L1616" s="1">
        <v>1</v>
      </c>
      <c r="M1616" s="1">
        <v>0.4</v>
      </c>
    </row>
    <row r="1617" spans="4:13">
      <c r="D1617" s="1" t="s">
        <v>199</v>
      </c>
      <c r="E1617" s="1" t="s">
        <v>692</v>
      </c>
      <c r="H1617" s="1" t="s">
        <v>22</v>
      </c>
      <c r="I1617" s="1" t="s">
        <v>23</v>
      </c>
      <c r="L1617" s="1">
        <v>1</v>
      </c>
      <c r="M1617" s="1">
        <v>0.4</v>
      </c>
    </row>
    <row r="1618" spans="4:13">
      <c r="D1618" s="1" t="s">
        <v>199</v>
      </c>
      <c r="E1618" s="1" t="s">
        <v>693</v>
      </c>
      <c r="H1618" s="1" t="s">
        <v>22</v>
      </c>
      <c r="I1618" s="1" t="s">
        <v>23</v>
      </c>
      <c r="L1618" s="1">
        <v>1</v>
      </c>
      <c r="M1618" s="1">
        <v>0.4</v>
      </c>
    </row>
    <row r="1619" spans="4:13">
      <c r="D1619" s="1" t="s">
        <v>199</v>
      </c>
      <c r="E1619" s="1" t="s">
        <v>694</v>
      </c>
      <c r="H1619" s="1" t="s">
        <v>22</v>
      </c>
      <c r="I1619" s="1" t="s">
        <v>23</v>
      </c>
      <c r="L1619" s="1">
        <v>1</v>
      </c>
      <c r="M1619" s="1">
        <v>0.4</v>
      </c>
    </row>
    <row r="1620" spans="4:13">
      <c r="D1620" s="1" t="s">
        <v>199</v>
      </c>
      <c r="E1620" s="1" t="s">
        <v>695</v>
      </c>
      <c r="H1620" s="1" t="s">
        <v>22</v>
      </c>
      <c r="I1620" s="1" t="s">
        <v>23</v>
      </c>
      <c r="L1620" s="1">
        <v>1</v>
      </c>
      <c r="M1620" s="1">
        <v>0.4</v>
      </c>
    </row>
    <row r="1621" spans="4:13">
      <c r="D1621" s="1" t="s">
        <v>199</v>
      </c>
      <c r="E1621" s="1" t="s">
        <v>696</v>
      </c>
      <c r="H1621" s="1" t="s">
        <v>22</v>
      </c>
      <c r="I1621" s="1" t="s">
        <v>23</v>
      </c>
      <c r="L1621" s="1">
        <v>1</v>
      </c>
      <c r="M1621" s="1">
        <v>0.4</v>
      </c>
    </row>
    <row r="1622" spans="4:13">
      <c r="D1622" s="1" t="s">
        <v>199</v>
      </c>
      <c r="E1622" s="1" t="s">
        <v>697</v>
      </c>
      <c r="H1622" s="1" t="s">
        <v>22</v>
      </c>
      <c r="I1622" s="1" t="s">
        <v>23</v>
      </c>
      <c r="L1622" s="1">
        <v>1</v>
      </c>
      <c r="M1622" s="1">
        <v>0.5</v>
      </c>
    </row>
    <row r="1623" spans="4:13">
      <c r="D1623" s="1" t="s">
        <v>199</v>
      </c>
      <c r="E1623" s="1" t="s">
        <v>698</v>
      </c>
      <c r="H1623" s="1" t="s">
        <v>22</v>
      </c>
      <c r="I1623" s="1" t="s">
        <v>23</v>
      </c>
      <c r="L1623" s="1">
        <v>1</v>
      </c>
      <c r="M1623" s="1">
        <v>0.5</v>
      </c>
    </row>
    <row r="1624" spans="4:13">
      <c r="D1624" s="1" t="s">
        <v>199</v>
      </c>
      <c r="E1624" s="1" t="s">
        <v>699</v>
      </c>
      <c r="H1624" s="1" t="s">
        <v>22</v>
      </c>
      <c r="I1624" s="1" t="s">
        <v>23</v>
      </c>
      <c r="L1624" s="1">
        <v>1</v>
      </c>
      <c r="M1624" s="1">
        <v>0.5</v>
      </c>
    </row>
    <row r="1625" spans="4:13">
      <c r="D1625" s="1" t="s">
        <v>199</v>
      </c>
      <c r="E1625" s="1" t="s">
        <v>700</v>
      </c>
      <c r="H1625" s="1" t="s">
        <v>22</v>
      </c>
      <c r="I1625" s="1" t="s">
        <v>23</v>
      </c>
      <c r="L1625" s="1">
        <v>1</v>
      </c>
      <c r="M1625" s="1">
        <v>0.5</v>
      </c>
    </row>
    <row r="1626" spans="4:13">
      <c r="D1626" s="1" t="s">
        <v>199</v>
      </c>
      <c r="E1626" s="1" t="s">
        <v>701</v>
      </c>
      <c r="H1626" s="1" t="s">
        <v>22</v>
      </c>
      <c r="I1626" s="1" t="s">
        <v>23</v>
      </c>
      <c r="L1626" s="1">
        <v>1</v>
      </c>
      <c r="M1626" s="1">
        <v>0.5</v>
      </c>
    </row>
    <row r="1627" spans="4:13">
      <c r="D1627" s="1" t="s">
        <v>199</v>
      </c>
      <c r="E1627" s="1" t="s">
        <v>702</v>
      </c>
      <c r="H1627" s="1" t="s">
        <v>22</v>
      </c>
      <c r="I1627" s="1" t="s">
        <v>23</v>
      </c>
      <c r="L1627" s="1">
        <v>1</v>
      </c>
      <c r="M1627" s="1">
        <v>0.5</v>
      </c>
    </row>
    <row r="1628" spans="4:13">
      <c r="D1628" s="1" t="s">
        <v>199</v>
      </c>
      <c r="E1628" s="1" t="s">
        <v>703</v>
      </c>
      <c r="H1628" s="1" t="s">
        <v>22</v>
      </c>
      <c r="I1628" s="1" t="s">
        <v>23</v>
      </c>
      <c r="L1628" s="1">
        <v>1</v>
      </c>
      <c r="M1628" s="1">
        <v>0.5</v>
      </c>
    </row>
    <row r="1629" spans="4:13">
      <c r="D1629" s="1" t="s">
        <v>199</v>
      </c>
      <c r="E1629" s="1" t="s">
        <v>704</v>
      </c>
      <c r="H1629" s="1" t="s">
        <v>22</v>
      </c>
      <c r="I1629" s="1" t="s">
        <v>23</v>
      </c>
      <c r="L1629" s="1">
        <v>1</v>
      </c>
      <c r="M1629" s="1">
        <v>0.5</v>
      </c>
    </row>
    <row r="1630" spans="4:13">
      <c r="D1630" s="1" t="s">
        <v>199</v>
      </c>
      <c r="E1630" s="1" t="s">
        <v>705</v>
      </c>
      <c r="H1630" s="1" t="s">
        <v>22</v>
      </c>
      <c r="I1630" s="1" t="s">
        <v>23</v>
      </c>
      <c r="L1630" s="1">
        <v>1</v>
      </c>
      <c r="M1630" s="1">
        <v>0.5</v>
      </c>
    </row>
    <row r="1631" spans="4:13">
      <c r="D1631" s="1" t="s">
        <v>199</v>
      </c>
      <c r="E1631" s="1" t="s">
        <v>706</v>
      </c>
      <c r="H1631" s="1" t="s">
        <v>22</v>
      </c>
      <c r="I1631" s="1" t="s">
        <v>23</v>
      </c>
      <c r="L1631" s="1">
        <v>1</v>
      </c>
      <c r="M1631" s="1">
        <v>0.6</v>
      </c>
    </row>
    <row r="1632" spans="4:13">
      <c r="D1632" s="1" t="s">
        <v>199</v>
      </c>
      <c r="E1632" s="1" t="s">
        <v>707</v>
      </c>
      <c r="H1632" s="1" t="s">
        <v>22</v>
      </c>
      <c r="I1632" s="1" t="s">
        <v>23</v>
      </c>
      <c r="L1632" s="1">
        <v>1</v>
      </c>
      <c r="M1632" s="1">
        <v>0.6</v>
      </c>
    </row>
    <row r="1633" spans="4:13">
      <c r="D1633" s="1" t="s">
        <v>199</v>
      </c>
      <c r="E1633" s="1" t="s">
        <v>708</v>
      </c>
      <c r="H1633" s="1" t="s">
        <v>22</v>
      </c>
      <c r="I1633" s="1" t="s">
        <v>23</v>
      </c>
      <c r="L1633" s="1">
        <v>1</v>
      </c>
      <c r="M1633" s="1">
        <v>0.6</v>
      </c>
    </row>
    <row r="1634" spans="4:13">
      <c r="D1634" s="1" t="s">
        <v>199</v>
      </c>
      <c r="E1634" s="1" t="s">
        <v>709</v>
      </c>
      <c r="H1634" s="1" t="s">
        <v>22</v>
      </c>
      <c r="I1634" s="1" t="s">
        <v>23</v>
      </c>
      <c r="L1634" s="1">
        <v>1</v>
      </c>
      <c r="M1634" s="1">
        <v>0.6</v>
      </c>
    </row>
    <row r="1635" spans="4:13">
      <c r="D1635" s="1" t="s">
        <v>199</v>
      </c>
      <c r="E1635" s="1" t="s">
        <v>710</v>
      </c>
      <c r="H1635" s="1" t="s">
        <v>22</v>
      </c>
      <c r="I1635" s="1" t="s">
        <v>23</v>
      </c>
      <c r="L1635" s="1">
        <v>1</v>
      </c>
      <c r="M1635" s="1">
        <v>0.6</v>
      </c>
    </row>
    <row r="1636" spans="4:13">
      <c r="D1636" s="1" t="s">
        <v>199</v>
      </c>
      <c r="E1636" s="1" t="s">
        <v>711</v>
      </c>
      <c r="H1636" s="1" t="s">
        <v>22</v>
      </c>
      <c r="I1636" s="1" t="s">
        <v>23</v>
      </c>
      <c r="L1636" s="1">
        <v>1</v>
      </c>
      <c r="M1636" s="1">
        <v>0.6</v>
      </c>
    </row>
    <row r="1637" spans="4:13">
      <c r="D1637" s="1" t="s">
        <v>199</v>
      </c>
      <c r="E1637" s="1" t="s">
        <v>712</v>
      </c>
      <c r="H1637" s="1" t="s">
        <v>22</v>
      </c>
      <c r="I1637" s="1" t="s">
        <v>23</v>
      </c>
      <c r="L1637" s="1">
        <v>1</v>
      </c>
      <c r="M1637" s="1">
        <v>0.6</v>
      </c>
    </row>
    <row r="1638" spans="4:13">
      <c r="D1638" s="1" t="s">
        <v>199</v>
      </c>
      <c r="E1638" s="1" t="s">
        <v>713</v>
      </c>
      <c r="H1638" s="1" t="s">
        <v>22</v>
      </c>
      <c r="I1638" s="1" t="s">
        <v>23</v>
      </c>
      <c r="L1638" s="1">
        <v>1</v>
      </c>
      <c r="M1638" s="1">
        <v>0.6</v>
      </c>
    </row>
    <row r="1639" spans="4:13">
      <c r="D1639" s="1" t="s">
        <v>199</v>
      </c>
      <c r="E1639" s="1" t="s">
        <v>714</v>
      </c>
      <c r="H1639" s="1" t="s">
        <v>22</v>
      </c>
      <c r="I1639" s="1" t="s">
        <v>23</v>
      </c>
      <c r="L1639" s="1">
        <v>1</v>
      </c>
      <c r="M1639" s="1">
        <v>0.6</v>
      </c>
    </row>
    <row r="1640" spans="4:13">
      <c r="D1640" s="1" t="s">
        <v>199</v>
      </c>
      <c r="E1640" s="1" t="s">
        <v>715</v>
      </c>
      <c r="H1640" s="1" t="s">
        <v>22</v>
      </c>
      <c r="I1640" s="1" t="s">
        <v>23</v>
      </c>
      <c r="L1640" s="1">
        <v>1</v>
      </c>
      <c r="M1640" s="1">
        <v>0.7</v>
      </c>
    </row>
    <row r="1641" spans="4:13">
      <c r="D1641" s="1" t="s">
        <v>199</v>
      </c>
      <c r="E1641" s="1" t="s">
        <v>716</v>
      </c>
      <c r="H1641" s="1" t="s">
        <v>22</v>
      </c>
      <c r="I1641" s="1" t="s">
        <v>23</v>
      </c>
      <c r="L1641" s="1">
        <v>1</v>
      </c>
      <c r="M1641" s="1">
        <v>0.7</v>
      </c>
    </row>
    <row r="1642" spans="4:13">
      <c r="D1642" s="1" t="s">
        <v>199</v>
      </c>
      <c r="E1642" s="1" t="s">
        <v>717</v>
      </c>
      <c r="H1642" s="1" t="s">
        <v>22</v>
      </c>
      <c r="I1642" s="1" t="s">
        <v>23</v>
      </c>
      <c r="L1642" s="1">
        <v>1</v>
      </c>
      <c r="M1642" s="1">
        <v>0.7</v>
      </c>
    </row>
    <row r="1643" spans="4:13">
      <c r="D1643" s="1" t="s">
        <v>199</v>
      </c>
      <c r="E1643" s="1" t="s">
        <v>718</v>
      </c>
      <c r="H1643" s="1" t="s">
        <v>22</v>
      </c>
      <c r="I1643" s="1" t="s">
        <v>23</v>
      </c>
      <c r="L1643" s="1">
        <v>1</v>
      </c>
      <c r="M1643" s="1">
        <v>0.7</v>
      </c>
    </row>
    <row r="1644" spans="4:13">
      <c r="D1644" s="1" t="s">
        <v>199</v>
      </c>
      <c r="E1644" s="1" t="s">
        <v>719</v>
      </c>
      <c r="H1644" s="1" t="s">
        <v>22</v>
      </c>
      <c r="I1644" s="1" t="s">
        <v>23</v>
      </c>
      <c r="L1644" s="1">
        <v>1</v>
      </c>
      <c r="M1644" s="1">
        <v>0.7</v>
      </c>
    </row>
    <row r="1645" spans="4:13">
      <c r="D1645" s="1" t="s">
        <v>199</v>
      </c>
      <c r="E1645" s="1" t="s">
        <v>720</v>
      </c>
      <c r="H1645" s="1" t="s">
        <v>22</v>
      </c>
      <c r="I1645" s="1" t="s">
        <v>23</v>
      </c>
      <c r="L1645" s="1">
        <v>1</v>
      </c>
      <c r="M1645" s="1">
        <v>0.7</v>
      </c>
    </row>
    <row r="1646" spans="4:13">
      <c r="D1646" s="1" t="s">
        <v>199</v>
      </c>
      <c r="E1646" s="1" t="s">
        <v>721</v>
      </c>
      <c r="H1646" s="1" t="s">
        <v>22</v>
      </c>
      <c r="I1646" s="1" t="s">
        <v>23</v>
      </c>
      <c r="L1646" s="1">
        <v>1</v>
      </c>
      <c r="M1646" s="1">
        <v>0.7</v>
      </c>
    </row>
    <row r="1647" spans="4:13">
      <c r="D1647" s="1" t="s">
        <v>199</v>
      </c>
      <c r="E1647" s="1" t="s">
        <v>722</v>
      </c>
      <c r="H1647" s="1" t="s">
        <v>22</v>
      </c>
      <c r="I1647" s="1" t="s">
        <v>23</v>
      </c>
      <c r="L1647" s="1">
        <v>1</v>
      </c>
      <c r="M1647" s="1">
        <v>0.7</v>
      </c>
    </row>
    <row r="1648" spans="4:13">
      <c r="D1648" s="1" t="s">
        <v>199</v>
      </c>
      <c r="E1648" s="1" t="s">
        <v>723</v>
      </c>
      <c r="H1648" s="1" t="s">
        <v>22</v>
      </c>
      <c r="I1648" s="1" t="s">
        <v>23</v>
      </c>
      <c r="L1648" s="1">
        <v>1</v>
      </c>
      <c r="M1648" s="1">
        <v>0.7</v>
      </c>
    </row>
    <row r="1649" spans="4:13">
      <c r="D1649" s="1" t="s">
        <v>199</v>
      </c>
      <c r="E1649" s="1" t="s">
        <v>724</v>
      </c>
      <c r="H1649" s="1" t="s">
        <v>22</v>
      </c>
      <c r="I1649" s="1" t="s">
        <v>23</v>
      </c>
      <c r="L1649" s="1">
        <v>1</v>
      </c>
      <c r="M1649" s="1">
        <v>0.8</v>
      </c>
    </row>
    <row r="1650" spans="4:13">
      <c r="D1650" s="1" t="s">
        <v>199</v>
      </c>
      <c r="E1650" s="1" t="s">
        <v>725</v>
      </c>
      <c r="H1650" s="1" t="s">
        <v>22</v>
      </c>
      <c r="I1650" s="1" t="s">
        <v>23</v>
      </c>
      <c r="L1650" s="1">
        <v>1</v>
      </c>
      <c r="M1650" s="1">
        <v>0.8</v>
      </c>
    </row>
    <row r="1651" spans="4:13">
      <c r="D1651" s="1" t="s">
        <v>199</v>
      </c>
      <c r="E1651" s="1" t="s">
        <v>726</v>
      </c>
      <c r="H1651" s="1" t="s">
        <v>22</v>
      </c>
      <c r="I1651" s="1" t="s">
        <v>23</v>
      </c>
      <c r="L1651" s="1">
        <v>1</v>
      </c>
      <c r="M1651" s="1">
        <v>0.8</v>
      </c>
    </row>
    <row r="1652" spans="4:13">
      <c r="D1652" s="1" t="s">
        <v>199</v>
      </c>
      <c r="E1652" s="1" t="s">
        <v>727</v>
      </c>
      <c r="H1652" s="1" t="s">
        <v>22</v>
      </c>
      <c r="I1652" s="1" t="s">
        <v>23</v>
      </c>
      <c r="L1652" s="1">
        <v>1</v>
      </c>
      <c r="M1652" s="1">
        <v>0.8</v>
      </c>
    </row>
    <row r="1653" spans="4:13">
      <c r="D1653" s="1" t="s">
        <v>199</v>
      </c>
      <c r="E1653" s="1" t="s">
        <v>728</v>
      </c>
      <c r="H1653" s="1" t="s">
        <v>22</v>
      </c>
      <c r="I1653" s="1" t="s">
        <v>23</v>
      </c>
      <c r="L1653" s="1">
        <v>1</v>
      </c>
      <c r="M1653" s="1">
        <v>0.8</v>
      </c>
    </row>
    <row r="1654" spans="4:13">
      <c r="D1654" s="1" t="s">
        <v>199</v>
      </c>
      <c r="E1654" s="1" t="s">
        <v>729</v>
      </c>
      <c r="H1654" s="1" t="s">
        <v>22</v>
      </c>
      <c r="I1654" s="1" t="s">
        <v>23</v>
      </c>
      <c r="L1654" s="1">
        <v>1</v>
      </c>
      <c r="M1654" s="1">
        <v>0.8</v>
      </c>
    </row>
    <row r="1655" spans="4:13">
      <c r="D1655" s="1" t="s">
        <v>199</v>
      </c>
      <c r="E1655" s="1" t="s">
        <v>730</v>
      </c>
      <c r="H1655" s="1" t="s">
        <v>22</v>
      </c>
      <c r="I1655" s="1" t="s">
        <v>23</v>
      </c>
      <c r="L1655" s="1">
        <v>1</v>
      </c>
      <c r="M1655" s="1">
        <v>0.8</v>
      </c>
    </row>
    <row r="1656" spans="4:13">
      <c r="D1656" s="1" t="s">
        <v>199</v>
      </c>
      <c r="E1656" s="1" t="s">
        <v>731</v>
      </c>
      <c r="H1656" s="1" t="s">
        <v>22</v>
      </c>
      <c r="I1656" s="1" t="s">
        <v>23</v>
      </c>
      <c r="L1656" s="1">
        <v>1</v>
      </c>
      <c r="M1656" s="1">
        <v>0.8</v>
      </c>
    </row>
    <row r="1657" spans="4:13">
      <c r="D1657" s="1" t="s">
        <v>199</v>
      </c>
      <c r="E1657" s="1" t="s">
        <v>732</v>
      </c>
      <c r="H1657" s="1" t="s">
        <v>22</v>
      </c>
      <c r="I1657" s="1" t="s">
        <v>23</v>
      </c>
      <c r="L1657" s="1">
        <v>1</v>
      </c>
      <c r="M1657" s="1">
        <v>0.8</v>
      </c>
    </row>
    <row r="1658" spans="4:13">
      <c r="D1658" s="1" t="s">
        <v>199</v>
      </c>
      <c r="E1658" s="1" t="s">
        <v>733</v>
      </c>
      <c r="H1658" s="1" t="s">
        <v>22</v>
      </c>
      <c r="I1658" s="1" t="s">
        <v>23</v>
      </c>
      <c r="L1658" s="1">
        <v>1</v>
      </c>
      <c r="M1658" s="1">
        <v>0.9</v>
      </c>
    </row>
    <row r="1659" spans="4:13">
      <c r="D1659" s="1" t="s">
        <v>199</v>
      </c>
      <c r="E1659" s="1" t="s">
        <v>734</v>
      </c>
      <c r="H1659" s="1" t="s">
        <v>22</v>
      </c>
      <c r="I1659" s="1" t="s">
        <v>23</v>
      </c>
      <c r="L1659" s="1">
        <v>1</v>
      </c>
      <c r="M1659" s="1">
        <v>0.9</v>
      </c>
    </row>
    <row r="1660" spans="4:13">
      <c r="D1660" s="1" t="s">
        <v>199</v>
      </c>
      <c r="E1660" s="1" t="s">
        <v>735</v>
      </c>
      <c r="H1660" s="1" t="s">
        <v>22</v>
      </c>
      <c r="I1660" s="1" t="s">
        <v>23</v>
      </c>
      <c r="L1660" s="1">
        <v>1</v>
      </c>
      <c r="M1660" s="1">
        <v>0.9</v>
      </c>
    </row>
    <row r="1661" spans="4:13">
      <c r="D1661" s="1" t="s">
        <v>199</v>
      </c>
      <c r="E1661" s="1" t="s">
        <v>736</v>
      </c>
      <c r="H1661" s="1" t="s">
        <v>22</v>
      </c>
      <c r="I1661" s="1" t="s">
        <v>23</v>
      </c>
      <c r="L1661" s="1">
        <v>1</v>
      </c>
      <c r="M1661" s="1">
        <v>0.9</v>
      </c>
    </row>
    <row r="1662" spans="4:13">
      <c r="D1662" s="1" t="s">
        <v>199</v>
      </c>
      <c r="E1662" s="1" t="s">
        <v>737</v>
      </c>
      <c r="H1662" s="1" t="s">
        <v>22</v>
      </c>
      <c r="I1662" s="1" t="s">
        <v>23</v>
      </c>
      <c r="L1662" s="1">
        <v>1</v>
      </c>
      <c r="M1662" s="1">
        <v>0.9</v>
      </c>
    </row>
    <row r="1663" spans="4:13">
      <c r="D1663" s="1" t="s">
        <v>199</v>
      </c>
      <c r="E1663" s="1" t="s">
        <v>738</v>
      </c>
      <c r="H1663" s="1" t="s">
        <v>22</v>
      </c>
      <c r="I1663" s="1" t="s">
        <v>23</v>
      </c>
      <c r="L1663" s="1">
        <v>1</v>
      </c>
      <c r="M1663" s="1">
        <v>0.9</v>
      </c>
    </row>
    <row r="1664" spans="4:13">
      <c r="D1664" s="1" t="s">
        <v>199</v>
      </c>
      <c r="E1664" s="1" t="s">
        <v>739</v>
      </c>
      <c r="H1664" s="1" t="s">
        <v>22</v>
      </c>
      <c r="I1664" s="1" t="s">
        <v>23</v>
      </c>
      <c r="L1664" s="1">
        <v>1</v>
      </c>
      <c r="M1664" s="1">
        <v>0.9</v>
      </c>
    </row>
    <row r="1665" spans="4:13">
      <c r="D1665" s="1" t="s">
        <v>199</v>
      </c>
      <c r="E1665" s="1" t="s">
        <v>740</v>
      </c>
      <c r="H1665" s="1" t="s">
        <v>22</v>
      </c>
      <c r="I1665" s="1" t="s">
        <v>23</v>
      </c>
      <c r="L1665" s="1">
        <v>1</v>
      </c>
      <c r="M1665" s="1">
        <v>0.9</v>
      </c>
    </row>
    <row r="1666" spans="4:13">
      <c r="D1666" s="1" t="s">
        <v>199</v>
      </c>
      <c r="E1666" s="1" t="s">
        <v>741</v>
      </c>
      <c r="H1666" s="1" t="s">
        <v>22</v>
      </c>
      <c r="I1666" s="1" t="s">
        <v>23</v>
      </c>
      <c r="L1666" s="1">
        <v>1</v>
      </c>
      <c r="M1666" s="1">
        <v>0.9</v>
      </c>
    </row>
    <row r="1667" spans="4:13">
      <c r="D1667" s="1" t="s">
        <v>199</v>
      </c>
      <c r="E1667" s="1" t="s">
        <v>742</v>
      </c>
      <c r="H1667" s="1" t="s">
        <v>22</v>
      </c>
      <c r="I1667" s="1" t="s">
        <v>23</v>
      </c>
      <c r="L1667" s="1">
        <v>1</v>
      </c>
      <c r="M1667" s="1">
        <v>1</v>
      </c>
    </row>
    <row r="1668" spans="4:13">
      <c r="D1668" s="1" t="s">
        <v>199</v>
      </c>
      <c r="E1668" s="1" t="s">
        <v>743</v>
      </c>
      <c r="H1668" s="1" t="s">
        <v>22</v>
      </c>
      <c r="I1668" s="1" t="s">
        <v>23</v>
      </c>
      <c r="L1668" s="1">
        <v>1</v>
      </c>
      <c r="M1668" s="1">
        <v>1</v>
      </c>
    </row>
    <row r="1669" spans="4:13">
      <c r="D1669" s="1" t="s">
        <v>199</v>
      </c>
      <c r="E1669" s="1" t="s">
        <v>744</v>
      </c>
      <c r="H1669" s="1" t="s">
        <v>22</v>
      </c>
      <c r="I1669" s="1" t="s">
        <v>23</v>
      </c>
      <c r="L1669" s="1">
        <v>1</v>
      </c>
      <c r="M1669" s="1">
        <v>1</v>
      </c>
    </row>
    <row r="1670" spans="4:13">
      <c r="D1670" s="1" t="s">
        <v>199</v>
      </c>
      <c r="E1670" s="1" t="s">
        <v>745</v>
      </c>
      <c r="H1670" s="1" t="s">
        <v>22</v>
      </c>
      <c r="I1670" s="1" t="s">
        <v>23</v>
      </c>
      <c r="L1670" s="1">
        <v>1</v>
      </c>
      <c r="M1670" s="1">
        <v>1</v>
      </c>
    </row>
    <row r="1671" spans="4:13">
      <c r="D1671" s="1" t="s">
        <v>199</v>
      </c>
      <c r="E1671" s="1" t="s">
        <v>746</v>
      </c>
      <c r="H1671" s="1" t="s">
        <v>22</v>
      </c>
      <c r="I1671" s="1" t="s">
        <v>23</v>
      </c>
      <c r="L1671" s="1">
        <v>1</v>
      </c>
      <c r="M1671" s="1">
        <v>1</v>
      </c>
    </row>
    <row r="1672" spans="4:13">
      <c r="D1672" s="1" t="s">
        <v>199</v>
      </c>
      <c r="E1672" s="1" t="s">
        <v>747</v>
      </c>
      <c r="H1672" s="1" t="s">
        <v>22</v>
      </c>
      <c r="I1672" s="1" t="s">
        <v>23</v>
      </c>
      <c r="L1672" s="1">
        <v>1</v>
      </c>
      <c r="M1672" s="1">
        <v>1</v>
      </c>
    </row>
    <row r="1673" spans="4:13">
      <c r="D1673" s="1" t="s">
        <v>199</v>
      </c>
      <c r="E1673" s="1" t="s">
        <v>748</v>
      </c>
      <c r="H1673" s="1" t="s">
        <v>22</v>
      </c>
      <c r="I1673" s="1" t="s">
        <v>23</v>
      </c>
      <c r="L1673" s="1">
        <v>1</v>
      </c>
      <c r="M1673" s="1">
        <v>1</v>
      </c>
    </row>
    <row r="1674" spans="4:13">
      <c r="D1674" s="1" t="s">
        <v>199</v>
      </c>
      <c r="E1674" s="1" t="s">
        <v>749</v>
      </c>
      <c r="H1674" s="1" t="s">
        <v>22</v>
      </c>
      <c r="I1674" s="1" t="s">
        <v>23</v>
      </c>
      <c r="L1674" s="1">
        <v>1</v>
      </c>
      <c r="M1674" s="1">
        <v>1</v>
      </c>
    </row>
    <row r="1675" spans="4:13">
      <c r="D1675" s="1" t="s">
        <v>199</v>
      </c>
      <c r="E1675" s="1" t="s">
        <v>750</v>
      </c>
      <c r="H1675" s="1" t="s">
        <v>22</v>
      </c>
      <c r="I1675" s="1" t="s">
        <v>23</v>
      </c>
      <c r="L1675" s="1">
        <v>1</v>
      </c>
      <c r="M1675" s="1">
        <v>1</v>
      </c>
    </row>
    <row r="1676" spans="4:13">
      <c r="D1676" s="1" t="s">
        <v>199</v>
      </c>
      <c r="E1676" s="1" t="s">
        <v>751</v>
      </c>
      <c r="H1676" s="1" t="s">
        <v>22</v>
      </c>
      <c r="I1676" s="1" t="s">
        <v>23</v>
      </c>
      <c r="L1676" s="1">
        <v>1</v>
      </c>
      <c r="M1676" s="1">
        <v>1.1000000000000001</v>
      </c>
    </row>
    <row r="1677" spans="4:13">
      <c r="D1677" s="1" t="s">
        <v>199</v>
      </c>
      <c r="E1677" s="1" t="s">
        <v>752</v>
      </c>
      <c r="H1677" s="1" t="s">
        <v>22</v>
      </c>
      <c r="I1677" s="1" t="s">
        <v>23</v>
      </c>
      <c r="L1677" s="1">
        <v>1</v>
      </c>
      <c r="M1677" s="1">
        <v>1.1000000000000001</v>
      </c>
    </row>
    <row r="1678" spans="4:13">
      <c r="D1678" s="1" t="s">
        <v>199</v>
      </c>
      <c r="E1678" s="1" t="s">
        <v>753</v>
      </c>
      <c r="H1678" s="1" t="s">
        <v>22</v>
      </c>
      <c r="I1678" s="1" t="s">
        <v>23</v>
      </c>
      <c r="L1678" s="1">
        <v>1</v>
      </c>
      <c r="M1678" s="1">
        <v>1.1000000000000001</v>
      </c>
    </row>
    <row r="1679" spans="4:13">
      <c r="D1679" s="1" t="s">
        <v>199</v>
      </c>
      <c r="E1679" s="1" t="s">
        <v>754</v>
      </c>
      <c r="H1679" s="1" t="s">
        <v>22</v>
      </c>
      <c r="I1679" s="1" t="s">
        <v>23</v>
      </c>
      <c r="L1679" s="1">
        <v>1</v>
      </c>
      <c r="M1679" s="1">
        <v>1.1000000000000001</v>
      </c>
    </row>
    <row r="1680" spans="4:13">
      <c r="D1680" s="1" t="s">
        <v>199</v>
      </c>
      <c r="E1680" s="1" t="s">
        <v>755</v>
      </c>
      <c r="H1680" s="1" t="s">
        <v>22</v>
      </c>
      <c r="I1680" s="1" t="s">
        <v>23</v>
      </c>
      <c r="L1680" s="1">
        <v>1</v>
      </c>
      <c r="M1680" s="1">
        <v>1.1000000000000001</v>
      </c>
    </row>
    <row r="1681" spans="4:13">
      <c r="D1681" s="1" t="s">
        <v>199</v>
      </c>
      <c r="E1681" s="1" t="s">
        <v>756</v>
      </c>
      <c r="H1681" s="1" t="s">
        <v>22</v>
      </c>
      <c r="I1681" s="1" t="s">
        <v>23</v>
      </c>
      <c r="L1681" s="1">
        <v>1</v>
      </c>
      <c r="M1681" s="1">
        <v>1.1000000000000001</v>
      </c>
    </row>
    <row r="1682" spans="4:13">
      <c r="D1682" s="1" t="s">
        <v>199</v>
      </c>
      <c r="E1682" s="1" t="s">
        <v>757</v>
      </c>
      <c r="H1682" s="1" t="s">
        <v>22</v>
      </c>
      <c r="I1682" s="1" t="s">
        <v>23</v>
      </c>
      <c r="L1682" s="1">
        <v>1</v>
      </c>
      <c r="M1682" s="1">
        <v>1.1000000000000001</v>
      </c>
    </row>
    <row r="1683" spans="4:13">
      <c r="D1683" s="1" t="s">
        <v>199</v>
      </c>
      <c r="E1683" s="1" t="s">
        <v>758</v>
      </c>
      <c r="H1683" s="1" t="s">
        <v>22</v>
      </c>
      <c r="I1683" s="1" t="s">
        <v>23</v>
      </c>
      <c r="L1683" s="1">
        <v>1</v>
      </c>
      <c r="M1683" s="1">
        <v>1.1000000000000001</v>
      </c>
    </row>
    <row r="1684" spans="4:13">
      <c r="D1684" s="1" t="s">
        <v>199</v>
      </c>
      <c r="E1684" s="1" t="s">
        <v>759</v>
      </c>
      <c r="H1684" s="1" t="s">
        <v>22</v>
      </c>
      <c r="I1684" s="1" t="s">
        <v>23</v>
      </c>
      <c r="L1684" s="1">
        <v>1</v>
      </c>
      <c r="M1684" s="1">
        <v>1.1000000000000001</v>
      </c>
    </row>
    <row r="1685" spans="4:13">
      <c r="D1685" s="1" t="s">
        <v>199</v>
      </c>
      <c r="E1685" s="1" t="s">
        <v>760</v>
      </c>
      <c r="H1685" s="1" t="s">
        <v>22</v>
      </c>
      <c r="I1685" s="1" t="s">
        <v>23</v>
      </c>
      <c r="L1685" s="1">
        <v>1</v>
      </c>
      <c r="M1685" s="1">
        <v>1.2</v>
      </c>
    </row>
    <row r="1686" spans="4:13">
      <c r="D1686" s="1" t="s">
        <v>199</v>
      </c>
      <c r="E1686" s="1" t="s">
        <v>761</v>
      </c>
      <c r="H1686" s="1" t="s">
        <v>22</v>
      </c>
      <c r="I1686" s="1" t="s">
        <v>23</v>
      </c>
      <c r="L1686" s="1">
        <v>1</v>
      </c>
      <c r="M1686" s="1">
        <v>1.2</v>
      </c>
    </row>
    <row r="1687" spans="4:13">
      <c r="D1687" s="1" t="s">
        <v>199</v>
      </c>
      <c r="E1687" s="1" t="s">
        <v>762</v>
      </c>
      <c r="H1687" s="1" t="s">
        <v>22</v>
      </c>
      <c r="I1687" s="1" t="s">
        <v>23</v>
      </c>
      <c r="L1687" s="1">
        <v>1</v>
      </c>
      <c r="M1687" s="1">
        <v>1.2</v>
      </c>
    </row>
    <row r="1688" spans="4:13">
      <c r="D1688" s="1" t="s">
        <v>199</v>
      </c>
      <c r="E1688" s="1" t="s">
        <v>763</v>
      </c>
      <c r="H1688" s="1" t="s">
        <v>22</v>
      </c>
      <c r="I1688" s="1" t="s">
        <v>23</v>
      </c>
      <c r="L1688" s="1">
        <v>1</v>
      </c>
      <c r="M1688" s="1">
        <v>1.2</v>
      </c>
    </row>
    <row r="1689" spans="4:13">
      <c r="D1689" s="1" t="s">
        <v>199</v>
      </c>
      <c r="E1689" s="1" t="s">
        <v>764</v>
      </c>
      <c r="H1689" s="1" t="s">
        <v>22</v>
      </c>
      <c r="I1689" s="1" t="s">
        <v>23</v>
      </c>
      <c r="L1689" s="1">
        <v>1</v>
      </c>
      <c r="M1689" s="1">
        <v>1.2</v>
      </c>
    </row>
    <row r="1690" spans="4:13">
      <c r="D1690" s="1" t="s">
        <v>199</v>
      </c>
      <c r="E1690" s="1" t="s">
        <v>765</v>
      </c>
      <c r="H1690" s="1" t="s">
        <v>22</v>
      </c>
      <c r="I1690" s="1" t="s">
        <v>23</v>
      </c>
      <c r="L1690" s="1">
        <v>1</v>
      </c>
      <c r="M1690" s="1">
        <v>1.2</v>
      </c>
    </row>
    <row r="1691" spans="4:13">
      <c r="D1691" s="1" t="s">
        <v>199</v>
      </c>
      <c r="E1691" s="1" t="s">
        <v>766</v>
      </c>
      <c r="H1691" s="1" t="s">
        <v>22</v>
      </c>
      <c r="I1691" s="1" t="s">
        <v>23</v>
      </c>
      <c r="L1691" s="1">
        <v>1</v>
      </c>
      <c r="M1691" s="1">
        <v>1.2</v>
      </c>
    </row>
    <row r="1692" spans="4:13">
      <c r="D1692" s="1" t="s">
        <v>199</v>
      </c>
      <c r="E1692" s="1" t="s">
        <v>767</v>
      </c>
      <c r="H1692" s="1" t="s">
        <v>22</v>
      </c>
      <c r="I1692" s="1" t="s">
        <v>23</v>
      </c>
      <c r="L1692" s="1">
        <v>1</v>
      </c>
      <c r="M1692" s="1">
        <v>1.2</v>
      </c>
    </row>
    <row r="1693" spans="4:13">
      <c r="D1693" s="1" t="s">
        <v>199</v>
      </c>
      <c r="E1693" s="1" t="s">
        <v>768</v>
      </c>
      <c r="H1693" s="1" t="s">
        <v>22</v>
      </c>
      <c r="I1693" s="1" t="s">
        <v>23</v>
      </c>
      <c r="L1693" s="1">
        <v>1</v>
      </c>
      <c r="M1693" s="1">
        <v>1.2</v>
      </c>
    </row>
    <row r="1694" spans="4:13">
      <c r="D1694" s="1" t="s">
        <v>199</v>
      </c>
      <c r="E1694" s="1" t="s">
        <v>769</v>
      </c>
      <c r="H1694" s="1" t="s">
        <v>22</v>
      </c>
      <c r="I1694" s="1" t="s">
        <v>23</v>
      </c>
      <c r="L1694" s="1">
        <v>1</v>
      </c>
      <c r="M1694" s="1">
        <v>1.3</v>
      </c>
    </row>
    <row r="1695" spans="4:13">
      <c r="D1695" s="1" t="s">
        <v>199</v>
      </c>
      <c r="E1695" s="1" t="s">
        <v>770</v>
      </c>
      <c r="H1695" s="1" t="s">
        <v>22</v>
      </c>
      <c r="I1695" s="1" t="s">
        <v>23</v>
      </c>
      <c r="L1695" s="1">
        <v>1</v>
      </c>
      <c r="M1695" s="1">
        <v>1.3</v>
      </c>
    </row>
    <row r="1696" spans="4:13">
      <c r="D1696" s="1" t="s">
        <v>199</v>
      </c>
      <c r="E1696" s="1" t="s">
        <v>771</v>
      </c>
      <c r="H1696" s="1" t="s">
        <v>22</v>
      </c>
      <c r="I1696" s="1" t="s">
        <v>23</v>
      </c>
      <c r="L1696" s="1">
        <v>1</v>
      </c>
      <c r="M1696" s="1">
        <v>1.3</v>
      </c>
    </row>
    <row r="1697" spans="4:13">
      <c r="D1697" s="1" t="s">
        <v>199</v>
      </c>
      <c r="E1697" s="1" t="s">
        <v>772</v>
      </c>
      <c r="H1697" s="1" t="s">
        <v>22</v>
      </c>
      <c r="I1697" s="1" t="s">
        <v>23</v>
      </c>
      <c r="L1697" s="1">
        <v>1</v>
      </c>
      <c r="M1697" s="1">
        <v>1.3</v>
      </c>
    </row>
    <row r="1698" spans="4:13">
      <c r="D1698" s="1" t="s">
        <v>199</v>
      </c>
      <c r="E1698" s="1" t="s">
        <v>773</v>
      </c>
      <c r="H1698" s="1" t="s">
        <v>22</v>
      </c>
      <c r="I1698" s="1" t="s">
        <v>23</v>
      </c>
      <c r="L1698" s="1">
        <v>1</v>
      </c>
      <c r="M1698" s="1">
        <v>1.3</v>
      </c>
    </row>
    <row r="1699" spans="4:13">
      <c r="D1699" s="1" t="s">
        <v>199</v>
      </c>
      <c r="E1699" s="1" t="s">
        <v>774</v>
      </c>
      <c r="H1699" s="1" t="s">
        <v>22</v>
      </c>
      <c r="I1699" s="1" t="s">
        <v>23</v>
      </c>
      <c r="L1699" s="1">
        <v>1</v>
      </c>
      <c r="M1699" s="1">
        <v>1.3</v>
      </c>
    </row>
    <row r="1700" spans="4:13">
      <c r="D1700" s="1" t="s">
        <v>199</v>
      </c>
      <c r="E1700" s="1" t="s">
        <v>775</v>
      </c>
      <c r="H1700" s="1" t="s">
        <v>22</v>
      </c>
      <c r="I1700" s="1" t="s">
        <v>23</v>
      </c>
      <c r="L1700" s="1">
        <v>1</v>
      </c>
      <c r="M1700" s="1">
        <v>1.3</v>
      </c>
    </row>
    <row r="1701" spans="4:13">
      <c r="D1701" s="1" t="s">
        <v>199</v>
      </c>
      <c r="E1701" s="1" t="s">
        <v>776</v>
      </c>
      <c r="H1701" s="1" t="s">
        <v>22</v>
      </c>
      <c r="I1701" s="1" t="s">
        <v>23</v>
      </c>
      <c r="L1701" s="1">
        <v>1</v>
      </c>
      <c r="M1701" s="1">
        <v>1.3</v>
      </c>
    </row>
    <row r="1702" spans="4:13">
      <c r="D1702" s="1" t="s">
        <v>199</v>
      </c>
      <c r="E1702" s="1" t="s">
        <v>777</v>
      </c>
      <c r="H1702" s="1" t="s">
        <v>22</v>
      </c>
      <c r="I1702" s="1" t="s">
        <v>23</v>
      </c>
      <c r="L1702" s="1">
        <v>1</v>
      </c>
      <c r="M1702" s="1">
        <v>1.3</v>
      </c>
    </row>
    <row r="1703" spans="4:13">
      <c r="D1703" s="1" t="s">
        <v>199</v>
      </c>
      <c r="E1703" s="1" t="s">
        <v>778</v>
      </c>
      <c r="H1703" s="1" t="s">
        <v>22</v>
      </c>
      <c r="I1703" s="1" t="s">
        <v>23</v>
      </c>
      <c r="L1703" s="1">
        <v>1</v>
      </c>
      <c r="M1703" s="1">
        <v>1.4</v>
      </c>
    </row>
    <row r="1704" spans="4:13">
      <c r="D1704" s="1" t="s">
        <v>199</v>
      </c>
      <c r="E1704" s="1" t="s">
        <v>779</v>
      </c>
      <c r="H1704" s="1" t="s">
        <v>22</v>
      </c>
      <c r="I1704" s="1" t="s">
        <v>23</v>
      </c>
      <c r="L1704" s="1">
        <v>1</v>
      </c>
      <c r="M1704" s="1">
        <v>1.4</v>
      </c>
    </row>
    <row r="1705" spans="4:13">
      <c r="D1705" s="1" t="s">
        <v>199</v>
      </c>
      <c r="E1705" s="1" t="s">
        <v>780</v>
      </c>
      <c r="H1705" s="1" t="s">
        <v>22</v>
      </c>
      <c r="I1705" s="1" t="s">
        <v>23</v>
      </c>
      <c r="L1705" s="1">
        <v>1</v>
      </c>
      <c r="M1705" s="1">
        <v>1.4</v>
      </c>
    </row>
    <row r="1706" spans="4:13">
      <c r="D1706" s="1" t="s">
        <v>199</v>
      </c>
      <c r="E1706" s="1" t="s">
        <v>781</v>
      </c>
      <c r="H1706" s="1" t="s">
        <v>22</v>
      </c>
      <c r="I1706" s="1" t="s">
        <v>23</v>
      </c>
      <c r="L1706" s="1">
        <v>1</v>
      </c>
      <c r="M1706" s="1">
        <v>1.4</v>
      </c>
    </row>
    <row r="1707" spans="4:13">
      <c r="D1707" s="1" t="s">
        <v>199</v>
      </c>
      <c r="E1707" s="1" t="s">
        <v>782</v>
      </c>
      <c r="H1707" s="1" t="s">
        <v>22</v>
      </c>
      <c r="I1707" s="1" t="s">
        <v>23</v>
      </c>
      <c r="L1707" s="1">
        <v>1</v>
      </c>
      <c r="M1707" s="1">
        <v>1.4</v>
      </c>
    </row>
    <row r="1708" spans="4:13">
      <c r="D1708" s="1" t="s">
        <v>199</v>
      </c>
      <c r="E1708" s="1" t="s">
        <v>783</v>
      </c>
      <c r="H1708" s="1" t="s">
        <v>22</v>
      </c>
      <c r="I1708" s="1" t="s">
        <v>23</v>
      </c>
      <c r="L1708" s="1">
        <v>1</v>
      </c>
      <c r="M1708" s="1">
        <v>1.4</v>
      </c>
    </row>
    <row r="1709" spans="4:13">
      <c r="D1709" s="1" t="s">
        <v>199</v>
      </c>
      <c r="E1709" s="1" t="s">
        <v>784</v>
      </c>
      <c r="H1709" s="1" t="s">
        <v>22</v>
      </c>
      <c r="I1709" s="1" t="s">
        <v>23</v>
      </c>
      <c r="L1709" s="1">
        <v>1</v>
      </c>
      <c r="M1709" s="1">
        <v>1.4</v>
      </c>
    </row>
    <row r="1710" spans="4:13">
      <c r="D1710" s="1" t="s">
        <v>199</v>
      </c>
      <c r="E1710" s="1" t="s">
        <v>785</v>
      </c>
      <c r="H1710" s="1" t="s">
        <v>22</v>
      </c>
      <c r="I1710" s="1" t="s">
        <v>23</v>
      </c>
      <c r="L1710" s="1">
        <v>1</v>
      </c>
      <c r="M1710" s="1">
        <v>1.4</v>
      </c>
    </row>
    <row r="1711" spans="4:13">
      <c r="D1711" s="1" t="s">
        <v>199</v>
      </c>
      <c r="E1711" s="1" t="s">
        <v>786</v>
      </c>
      <c r="H1711" s="1" t="s">
        <v>22</v>
      </c>
      <c r="I1711" s="1" t="s">
        <v>23</v>
      </c>
      <c r="L1711" s="1">
        <v>1</v>
      </c>
      <c r="M1711" s="1">
        <v>1.4</v>
      </c>
    </row>
    <row r="1712" spans="4:13">
      <c r="D1712" s="1" t="s">
        <v>199</v>
      </c>
      <c r="E1712" s="1" t="s">
        <v>787</v>
      </c>
      <c r="H1712" s="1" t="s">
        <v>22</v>
      </c>
      <c r="I1712" s="1" t="s">
        <v>23</v>
      </c>
      <c r="L1712" s="1">
        <v>1</v>
      </c>
      <c r="M1712" s="1">
        <v>1.5</v>
      </c>
    </row>
    <row r="1713" spans="4:13">
      <c r="D1713" s="1" t="s">
        <v>199</v>
      </c>
      <c r="E1713" s="1" t="s">
        <v>788</v>
      </c>
      <c r="H1713" s="1" t="s">
        <v>22</v>
      </c>
      <c r="I1713" s="1" t="s">
        <v>23</v>
      </c>
      <c r="L1713" s="1">
        <v>1</v>
      </c>
      <c r="M1713" s="1">
        <v>1.5</v>
      </c>
    </row>
    <row r="1714" spans="4:13">
      <c r="D1714" s="1" t="s">
        <v>199</v>
      </c>
      <c r="E1714" s="1" t="s">
        <v>789</v>
      </c>
      <c r="H1714" s="1" t="s">
        <v>22</v>
      </c>
      <c r="I1714" s="1" t="s">
        <v>23</v>
      </c>
      <c r="L1714" s="1">
        <v>1</v>
      </c>
      <c r="M1714" s="1">
        <v>1.5</v>
      </c>
    </row>
    <row r="1715" spans="4:13">
      <c r="D1715" s="1" t="s">
        <v>199</v>
      </c>
      <c r="E1715" s="1" t="s">
        <v>790</v>
      </c>
      <c r="H1715" s="1" t="s">
        <v>22</v>
      </c>
      <c r="I1715" s="1" t="s">
        <v>23</v>
      </c>
      <c r="L1715" s="1">
        <v>1</v>
      </c>
      <c r="M1715" s="1">
        <v>1.5</v>
      </c>
    </row>
    <row r="1716" spans="4:13">
      <c r="D1716" s="1" t="s">
        <v>199</v>
      </c>
      <c r="E1716" s="1" t="s">
        <v>791</v>
      </c>
      <c r="H1716" s="1" t="s">
        <v>22</v>
      </c>
      <c r="I1716" s="1" t="s">
        <v>23</v>
      </c>
      <c r="L1716" s="1">
        <v>1</v>
      </c>
      <c r="M1716" s="1">
        <v>1.5</v>
      </c>
    </row>
    <row r="1717" spans="4:13">
      <c r="D1717" s="1" t="s">
        <v>199</v>
      </c>
      <c r="E1717" s="1" t="s">
        <v>792</v>
      </c>
      <c r="H1717" s="1" t="s">
        <v>22</v>
      </c>
      <c r="I1717" s="1" t="s">
        <v>23</v>
      </c>
      <c r="L1717" s="1">
        <v>1</v>
      </c>
      <c r="M1717" s="1">
        <v>1.5</v>
      </c>
    </row>
    <row r="1718" spans="4:13">
      <c r="D1718" s="1" t="s">
        <v>199</v>
      </c>
      <c r="E1718" s="1" t="s">
        <v>793</v>
      </c>
      <c r="H1718" s="1" t="s">
        <v>22</v>
      </c>
      <c r="I1718" s="1" t="s">
        <v>23</v>
      </c>
      <c r="L1718" s="1">
        <v>1</v>
      </c>
      <c r="M1718" s="1">
        <v>1.5</v>
      </c>
    </row>
    <row r="1719" spans="4:13">
      <c r="D1719" s="1" t="s">
        <v>199</v>
      </c>
      <c r="E1719" s="1" t="s">
        <v>794</v>
      </c>
      <c r="H1719" s="1" t="s">
        <v>22</v>
      </c>
      <c r="I1719" s="1" t="s">
        <v>23</v>
      </c>
      <c r="L1719" s="1">
        <v>1</v>
      </c>
      <c r="M1719" s="1">
        <v>1.5</v>
      </c>
    </row>
    <row r="1720" spans="4:13">
      <c r="D1720" s="1" t="s">
        <v>199</v>
      </c>
      <c r="E1720" s="1" t="s">
        <v>795</v>
      </c>
      <c r="H1720" s="1" t="s">
        <v>22</v>
      </c>
      <c r="I1720" s="1" t="s">
        <v>23</v>
      </c>
      <c r="L1720" s="1">
        <v>1</v>
      </c>
      <c r="M1720" s="1">
        <v>1.5</v>
      </c>
    </row>
    <row r="1721" spans="4:13">
      <c r="D1721" s="1" t="s">
        <v>199</v>
      </c>
      <c r="E1721" s="1" t="s">
        <v>796</v>
      </c>
      <c r="H1721" s="1" t="s">
        <v>22</v>
      </c>
      <c r="I1721" s="1" t="s">
        <v>23</v>
      </c>
      <c r="L1721" s="1">
        <v>1</v>
      </c>
      <c r="M1721" s="1">
        <v>0</v>
      </c>
    </row>
    <row r="1722" spans="4:13">
      <c r="D1722" s="1" t="s">
        <v>199</v>
      </c>
      <c r="E1722" s="1" t="s">
        <v>797</v>
      </c>
      <c r="H1722" s="1" t="s">
        <v>22</v>
      </c>
      <c r="I1722" s="1" t="s">
        <v>23</v>
      </c>
      <c r="L1722" s="1">
        <v>1</v>
      </c>
      <c r="M1722" s="1">
        <v>0</v>
      </c>
    </row>
    <row r="1723" spans="4:13">
      <c r="D1723" s="1" t="s">
        <v>199</v>
      </c>
      <c r="E1723" s="1" t="s">
        <v>798</v>
      </c>
      <c r="H1723" s="1" t="s">
        <v>22</v>
      </c>
      <c r="I1723" s="1" t="s">
        <v>23</v>
      </c>
      <c r="L1723" s="1">
        <v>1</v>
      </c>
      <c r="M1723" s="1">
        <v>0</v>
      </c>
    </row>
    <row r="1724" spans="4:13">
      <c r="D1724" s="1" t="s">
        <v>199</v>
      </c>
      <c r="E1724" s="1" t="s">
        <v>799</v>
      </c>
      <c r="H1724" s="1" t="s">
        <v>22</v>
      </c>
      <c r="I1724" s="1" t="s">
        <v>23</v>
      </c>
      <c r="L1724" s="1">
        <v>1</v>
      </c>
      <c r="M1724" s="1">
        <v>0</v>
      </c>
    </row>
    <row r="1725" spans="4:13">
      <c r="D1725" s="1" t="s">
        <v>199</v>
      </c>
      <c r="E1725" s="1" t="s">
        <v>800</v>
      </c>
      <c r="H1725" s="1" t="s">
        <v>22</v>
      </c>
      <c r="I1725" s="1" t="s">
        <v>23</v>
      </c>
      <c r="L1725" s="1">
        <v>1</v>
      </c>
      <c r="M1725" s="1">
        <v>0</v>
      </c>
    </row>
    <row r="1726" spans="4:13">
      <c r="D1726" s="1" t="s">
        <v>199</v>
      </c>
      <c r="E1726" s="1" t="s">
        <v>801</v>
      </c>
      <c r="H1726" s="1" t="s">
        <v>22</v>
      </c>
      <c r="I1726" s="1" t="s">
        <v>23</v>
      </c>
      <c r="L1726" s="1">
        <v>1</v>
      </c>
      <c r="M1726" s="1">
        <v>0</v>
      </c>
    </row>
    <row r="1727" spans="4:13">
      <c r="D1727" s="1" t="s">
        <v>199</v>
      </c>
      <c r="E1727" s="1" t="s">
        <v>802</v>
      </c>
      <c r="H1727" s="1" t="s">
        <v>22</v>
      </c>
      <c r="I1727" s="1" t="s">
        <v>23</v>
      </c>
      <c r="L1727" s="1">
        <v>1</v>
      </c>
      <c r="M1727" s="1">
        <v>0</v>
      </c>
    </row>
    <row r="1728" spans="4:13">
      <c r="D1728" s="1" t="s">
        <v>199</v>
      </c>
      <c r="E1728" s="1" t="s">
        <v>803</v>
      </c>
      <c r="H1728" s="1" t="s">
        <v>22</v>
      </c>
      <c r="I1728" s="1" t="s">
        <v>23</v>
      </c>
      <c r="L1728" s="1">
        <v>1</v>
      </c>
      <c r="M1728" s="1">
        <v>0</v>
      </c>
    </row>
    <row r="1729" spans="4:13">
      <c r="D1729" s="1" t="s">
        <v>199</v>
      </c>
      <c r="E1729" s="1" t="s">
        <v>804</v>
      </c>
      <c r="H1729" s="1" t="s">
        <v>22</v>
      </c>
      <c r="I1729" s="1" t="s">
        <v>23</v>
      </c>
      <c r="L1729" s="1">
        <v>1</v>
      </c>
      <c r="M1729" s="1">
        <v>0</v>
      </c>
    </row>
    <row r="1730" spans="4:13">
      <c r="D1730" s="1" t="s">
        <v>199</v>
      </c>
      <c r="E1730" s="1" t="s">
        <v>805</v>
      </c>
      <c r="H1730" s="1" t="s">
        <v>22</v>
      </c>
      <c r="I1730" s="1" t="s">
        <v>23</v>
      </c>
      <c r="L1730" s="1">
        <v>1</v>
      </c>
      <c r="M1730" s="1">
        <v>0.1</v>
      </c>
    </row>
    <row r="1731" spans="4:13">
      <c r="D1731" s="1" t="s">
        <v>199</v>
      </c>
      <c r="E1731" s="1" t="s">
        <v>806</v>
      </c>
      <c r="H1731" s="1" t="s">
        <v>22</v>
      </c>
      <c r="I1731" s="1" t="s">
        <v>23</v>
      </c>
      <c r="L1731" s="1">
        <v>1</v>
      </c>
      <c r="M1731" s="1">
        <v>0.1</v>
      </c>
    </row>
    <row r="1732" spans="4:13">
      <c r="D1732" s="1" t="s">
        <v>199</v>
      </c>
      <c r="E1732" s="1" t="s">
        <v>807</v>
      </c>
      <c r="H1732" s="1" t="s">
        <v>22</v>
      </c>
      <c r="I1732" s="1" t="s">
        <v>23</v>
      </c>
      <c r="L1732" s="1">
        <v>1</v>
      </c>
      <c r="M1732" s="1">
        <v>0.2</v>
      </c>
    </row>
    <row r="1733" spans="4:13">
      <c r="D1733" s="1" t="s">
        <v>199</v>
      </c>
      <c r="E1733" s="1" t="s">
        <v>808</v>
      </c>
      <c r="H1733" s="1" t="s">
        <v>22</v>
      </c>
      <c r="I1733" s="1" t="s">
        <v>23</v>
      </c>
      <c r="L1733" s="1">
        <v>1</v>
      </c>
      <c r="M1733" s="1">
        <v>0.2</v>
      </c>
    </row>
    <row r="1734" spans="4:13">
      <c r="D1734" s="1" t="s">
        <v>199</v>
      </c>
      <c r="E1734" s="1" t="s">
        <v>809</v>
      </c>
      <c r="H1734" s="1" t="s">
        <v>22</v>
      </c>
      <c r="I1734" s="1" t="s">
        <v>23</v>
      </c>
      <c r="L1734" s="1">
        <v>1</v>
      </c>
      <c r="M1734" s="1">
        <v>0.2</v>
      </c>
    </row>
    <row r="1735" spans="4:13">
      <c r="D1735" s="1" t="s">
        <v>199</v>
      </c>
      <c r="E1735" s="1" t="s">
        <v>810</v>
      </c>
      <c r="H1735" s="1" t="s">
        <v>22</v>
      </c>
      <c r="I1735" s="1" t="s">
        <v>23</v>
      </c>
      <c r="L1735" s="1">
        <v>1</v>
      </c>
      <c r="M1735" s="1">
        <v>0.2</v>
      </c>
    </row>
    <row r="1736" spans="4:13">
      <c r="D1736" s="1" t="s">
        <v>199</v>
      </c>
      <c r="E1736" s="1" t="s">
        <v>811</v>
      </c>
      <c r="H1736" s="1" t="s">
        <v>22</v>
      </c>
      <c r="I1736" s="1" t="s">
        <v>23</v>
      </c>
      <c r="L1736" s="1">
        <v>1</v>
      </c>
      <c r="M1736" s="1">
        <v>0.2</v>
      </c>
    </row>
    <row r="1737" spans="4:13">
      <c r="D1737" s="1" t="s">
        <v>199</v>
      </c>
      <c r="E1737" s="1" t="s">
        <v>812</v>
      </c>
      <c r="H1737" s="1" t="s">
        <v>22</v>
      </c>
      <c r="I1737" s="1" t="s">
        <v>23</v>
      </c>
      <c r="L1737" s="1">
        <v>1</v>
      </c>
      <c r="M1737" s="1">
        <v>0.3</v>
      </c>
    </row>
    <row r="1738" spans="4:13">
      <c r="D1738" s="1" t="s">
        <v>199</v>
      </c>
      <c r="E1738" s="1" t="s">
        <v>813</v>
      </c>
      <c r="H1738" s="1" t="s">
        <v>22</v>
      </c>
      <c r="I1738" s="1" t="s">
        <v>23</v>
      </c>
      <c r="L1738" s="1">
        <v>1</v>
      </c>
      <c r="M1738" s="1">
        <v>0.3</v>
      </c>
    </row>
    <row r="1739" spans="4:13">
      <c r="D1739" s="1" t="s">
        <v>199</v>
      </c>
      <c r="E1739" s="1" t="s">
        <v>814</v>
      </c>
      <c r="H1739" s="1" t="s">
        <v>22</v>
      </c>
      <c r="I1739" s="1" t="s">
        <v>23</v>
      </c>
      <c r="L1739" s="1">
        <v>1</v>
      </c>
      <c r="M1739" s="1">
        <v>0.3</v>
      </c>
    </row>
    <row r="1740" spans="4:13">
      <c r="D1740" s="1" t="s">
        <v>199</v>
      </c>
      <c r="E1740" s="1" t="s">
        <v>815</v>
      </c>
      <c r="H1740" s="1" t="s">
        <v>22</v>
      </c>
      <c r="I1740" s="1" t="s">
        <v>23</v>
      </c>
      <c r="L1740" s="1">
        <v>1</v>
      </c>
      <c r="M1740" s="1">
        <v>0.3</v>
      </c>
    </row>
    <row r="1741" spans="4:13">
      <c r="D1741" s="1" t="s">
        <v>199</v>
      </c>
      <c r="E1741" s="1" t="s">
        <v>816</v>
      </c>
      <c r="H1741" s="1" t="s">
        <v>22</v>
      </c>
      <c r="I1741" s="1" t="s">
        <v>23</v>
      </c>
      <c r="L1741" s="1">
        <v>1</v>
      </c>
      <c r="M1741" s="1">
        <v>0.4</v>
      </c>
    </row>
    <row r="1742" spans="4:13">
      <c r="D1742" s="1" t="s">
        <v>199</v>
      </c>
      <c r="E1742" s="1" t="s">
        <v>817</v>
      </c>
      <c r="H1742" s="1" t="s">
        <v>22</v>
      </c>
      <c r="I1742" s="1" t="s">
        <v>23</v>
      </c>
      <c r="L1742" s="1">
        <v>1</v>
      </c>
      <c r="M1742" s="1">
        <v>0.4</v>
      </c>
    </row>
    <row r="1743" spans="4:13">
      <c r="D1743" s="1" t="s">
        <v>199</v>
      </c>
      <c r="E1743" s="1" t="s">
        <v>818</v>
      </c>
      <c r="H1743" s="1" t="s">
        <v>22</v>
      </c>
      <c r="I1743" s="1" t="s">
        <v>23</v>
      </c>
      <c r="L1743" s="1">
        <v>1</v>
      </c>
      <c r="M1743" s="1">
        <v>0.5</v>
      </c>
    </row>
    <row r="1744" spans="4:13">
      <c r="D1744" s="1" t="s">
        <v>199</v>
      </c>
      <c r="E1744" s="1" t="s">
        <v>819</v>
      </c>
      <c r="H1744" s="1" t="s">
        <v>22</v>
      </c>
      <c r="I1744" s="1" t="s">
        <v>23</v>
      </c>
      <c r="L1744" s="1">
        <v>1</v>
      </c>
      <c r="M1744" s="1">
        <v>0.5</v>
      </c>
    </row>
    <row r="1745" spans="4:13">
      <c r="D1745" s="1" t="s">
        <v>199</v>
      </c>
      <c r="E1745" s="1" t="s">
        <v>820</v>
      </c>
      <c r="H1745" s="1" t="s">
        <v>22</v>
      </c>
      <c r="I1745" s="1" t="s">
        <v>23</v>
      </c>
      <c r="L1745" s="1">
        <v>1</v>
      </c>
      <c r="M1745" s="1">
        <v>0.5</v>
      </c>
    </row>
    <row r="1746" spans="4:13">
      <c r="D1746" s="1" t="s">
        <v>199</v>
      </c>
      <c r="E1746" s="1" t="s">
        <v>821</v>
      </c>
      <c r="H1746" s="1" t="s">
        <v>22</v>
      </c>
      <c r="I1746" s="1" t="s">
        <v>23</v>
      </c>
      <c r="L1746" s="1">
        <v>1</v>
      </c>
      <c r="M1746" s="1">
        <v>0.5</v>
      </c>
    </row>
    <row r="1747" spans="4:13">
      <c r="D1747" s="1" t="s">
        <v>199</v>
      </c>
      <c r="E1747" s="1" t="s">
        <v>822</v>
      </c>
      <c r="H1747" s="1" t="s">
        <v>22</v>
      </c>
      <c r="I1747" s="1" t="s">
        <v>23</v>
      </c>
      <c r="L1747" s="1">
        <v>1</v>
      </c>
      <c r="M1747" s="1">
        <v>0.5</v>
      </c>
    </row>
    <row r="1748" spans="4:13">
      <c r="D1748" s="1" t="s">
        <v>199</v>
      </c>
      <c r="E1748" s="1" t="s">
        <v>823</v>
      </c>
      <c r="H1748" s="1" t="s">
        <v>22</v>
      </c>
      <c r="I1748" s="1" t="s">
        <v>23</v>
      </c>
      <c r="L1748" s="1">
        <v>1</v>
      </c>
      <c r="M1748" s="1">
        <v>0.5</v>
      </c>
    </row>
    <row r="1749" spans="4:13">
      <c r="D1749" s="1" t="s">
        <v>199</v>
      </c>
      <c r="E1749" s="1" t="s">
        <v>824</v>
      </c>
      <c r="H1749" s="1" t="s">
        <v>22</v>
      </c>
      <c r="I1749" s="1" t="s">
        <v>23</v>
      </c>
      <c r="L1749" s="1">
        <v>1</v>
      </c>
      <c r="M1749" s="1">
        <v>0.6</v>
      </c>
    </row>
    <row r="1750" spans="4:13">
      <c r="D1750" s="1" t="s">
        <v>199</v>
      </c>
      <c r="E1750" s="1" t="s">
        <v>825</v>
      </c>
      <c r="H1750" s="1" t="s">
        <v>22</v>
      </c>
      <c r="I1750" s="1" t="s">
        <v>23</v>
      </c>
      <c r="L1750" s="1">
        <v>1</v>
      </c>
      <c r="M1750" s="1">
        <v>0.6</v>
      </c>
    </row>
    <row r="1751" spans="4:13">
      <c r="D1751" s="1" t="s">
        <v>199</v>
      </c>
      <c r="E1751" s="1" t="s">
        <v>826</v>
      </c>
      <c r="H1751" s="1" t="s">
        <v>22</v>
      </c>
      <c r="I1751" s="1" t="s">
        <v>23</v>
      </c>
      <c r="L1751" s="1">
        <v>1</v>
      </c>
      <c r="M1751" s="1">
        <v>0.6</v>
      </c>
    </row>
    <row r="1752" spans="4:13">
      <c r="D1752" s="1" t="s">
        <v>199</v>
      </c>
      <c r="E1752" s="1" t="s">
        <v>827</v>
      </c>
      <c r="H1752" s="1" t="s">
        <v>22</v>
      </c>
      <c r="I1752" s="1" t="s">
        <v>23</v>
      </c>
      <c r="L1752" s="1">
        <v>1</v>
      </c>
      <c r="M1752" s="1">
        <v>0.6</v>
      </c>
    </row>
    <row r="1753" spans="4:13">
      <c r="D1753" s="1" t="s">
        <v>199</v>
      </c>
      <c r="E1753" s="1" t="s">
        <v>828</v>
      </c>
      <c r="H1753" s="1" t="s">
        <v>22</v>
      </c>
      <c r="I1753" s="1" t="s">
        <v>23</v>
      </c>
      <c r="L1753" s="1">
        <v>1</v>
      </c>
      <c r="M1753" s="1">
        <v>0.7</v>
      </c>
    </row>
    <row r="1754" spans="4:13">
      <c r="D1754" s="1" t="s">
        <v>199</v>
      </c>
      <c r="E1754" s="1" t="s">
        <v>829</v>
      </c>
      <c r="H1754" s="1" t="s">
        <v>22</v>
      </c>
      <c r="I1754" s="1" t="s">
        <v>23</v>
      </c>
      <c r="L1754" s="1">
        <v>1</v>
      </c>
      <c r="M1754" s="1">
        <v>0.7</v>
      </c>
    </row>
    <row r="1755" spans="4:13">
      <c r="D1755" s="1" t="s">
        <v>199</v>
      </c>
      <c r="E1755" s="1" t="s">
        <v>830</v>
      </c>
      <c r="H1755" s="1" t="s">
        <v>22</v>
      </c>
      <c r="I1755" s="1" t="s">
        <v>23</v>
      </c>
      <c r="L1755" s="1">
        <v>1</v>
      </c>
      <c r="M1755" s="1">
        <v>0.7</v>
      </c>
    </row>
    <row r="1756" spans="4:13">
      <c r="D1756" s="1" t="s">
        <v>199</v>
      </c>
      <c r="E1756" s="1" t="s">
        <v>831</v>
      </c>
      <c r="H1756" s="1" t="s">
        <v>22</v>
      </c>
      <c r="I1756" s="1" t="s">
        <v>23</v>
      </c>
      <c r="L1756" s="1">
        <v>1</v>
      </c>
      <c r="M1756" s="1">
        <v>0.7</v>
      </c>
    </row>
    <row r="1757" spans="4:13">
      <c r="D1757" s="1" t="s">
        <v>199</v>
      </c>
      <c r="E1757" s="1" t="s">
        <v>832</v>
      </c>
      <c r="H1757" s="1" t="s">
        <v>22</v>
      </c>
      <c r="I1757" s="1" t="s">
        <v>23</v>
      </c>
      <c r="L1757" s="1">
        <v>1</v>
      </c>
      <c r="M1757" s="1">
        <v>0.7</v>
      </c>
    </row>
    <row r="1758" spans="4:13">
      <c r="D1758" s="1" t="s">
        <v>199</v>
      </c>
      <c r="E1758" s="1" t="s">
        <v>833</v>
      </c>
      <c r="H1758" s="1" t="s">
        <v>22</v>
      </c>
      <c r="I1758" s="1" t="s">
        <v>23</v>
      </c>
      <c r="L1758" s="1">
        <v>1</v>
      </c>
      <c r="M1758" s="1">
        <v>0.7</v>
      </c>
    </row>
    <row r="1759" spans="4:13">
      <c r="D1759" s="1" t="s">
        <v>199</v>
      </c>
      <c r="E1759" s="1" t="s">
        <v>834</v>
      </c>
      <c r="H1759" s="1" t="s">
        <v>22</v>
      </c>
      <c r="I1759" s="1" t="s">
        <v>23</v>
      </c>
      <c r="L1759" s="1">
        <v>1</v>
      </c>
      <c r="M1759" s="1">
        <v>0.7</v>
      </c>
    </row>
    <row r="1760" spans="4:13">
      <c r="D1760" s="1" t="s">
        <v>199</v>
      </c>
      <c r="E1760" s="1" t="s">
        <v>835</v>
      </c>
      <c r="H1760" s="1" t="s">
        <v>22</v>
      </c>
      <c r="I1760" s="1" t="s">
        <v>23</v>
      </c>
      <c r="L1760" s="1">
        <v>1</v>
      </c>
      <c r="M1760" s="1">
        <v>0.8</v>
      </c>
    </row>
    <row r="1761" spans="4:13">
      <c r="D1761" s="1" t="s">
        <v>199</v>
      </c>
      <c r="E1761" s="1" t="s">
        <v>836</v>
      </c>
      <c r="H1761" s="1" t="s">
        <v>22</v>
      </c>
      <c r="I1761" s="1" t="s">
        <v>23</v>
      </c>
      <c r="L1761" s="1">
        <v>1</v>
      </c>
      <c r="M1761" s="1">
        <v>0.8</v>
      </c>
    </row>
    <row r="1762" spans="4:13">
      <c r="D1762" s="1" t="s">
        <v>199</v>
      </c>
      <c r="E1762" s="1" t="s">
        <v>837</v>
      </c>
      <c r="H1762" s="1" t="s">
        <v>22</v>
      </c>
      <c r="I1762" s="1" t="s">
        <v>23</v>
      </c>
      <c r="L1762" s="1">
        <v>1</v>
      </c>
      <c r="M1762" s="1">
        <v>0.8</v>
      </c>
    </row>
    <row r="1763" spans="4:13">
      <c r="D1763" s="1" t="s">
        <v>199</v>
      </c>
      <c r="E1763" s="1" t="s">
        <v>838</v>
      </c>
      <c r="H1763" s="1" t="s">
        <v>22</v>
      </c>
      <c r="I1763" s="1" t="s">
        <v>23</v>
      </c>
      <c r="L1763" s="1">
        <v>1</v>
      </c>
      <c r="M1763" s="1">
        <v>0.9</v>
      </c>
    </row>
    <row r="1764" spans="4:13">
      <c r="D1764" s="1" t="s">
        <v>199</v>
      </c>
      <c r="E1764" s="1" t="s">
        <v>839</v>
      </c>
      <c r="H1764" s="1" t="s">
        <v>22</v>
      </c>
      <c r="I1764" s="1" t="s">
        <v>23</v>
      </c>
      <c r="L1764" s="1">
        <v>1</v>
      </c>
      <c r="M1764" s="1">
        <v>0.9</v>
      </c>
    </row>
    <row r="1765" spans="4:13">
      <c r="D1765" s="1" t="s">
        <v>199</v>
      </c>
      <c r="E1765" s="1" t="s">
        <v>840</v>
      </c>
      <c r="H1765" s="1" t="s">
        <v>22</v>
      </c>
      <c r="I1765" s="1" t="s">
        <v>23</v>
      </c>
      <c r="L1765" s="1">
        <v>1</v>
      </c>
      <c r="M1765" s="1">
        <v>1</v>
      </c>
    </row>
    <row r="1766" spans="4:13">
      <c r="D1766" s="1" t="s">
        <v>199</v>
      </c>
      <c r="E1766" s="1" t="s">
        <v>841</v>
      </c>
      <c r="H1766" s="1" t="s">
        <v>22</v>
      </c>
      <c r="I1766" s="1" t="s">
        <v>23</v>
      </c>
      <c r="L1766" s="1">
        <v>1</v>
      </c>
      <c r="M1766" s="1">
        <v>1</v>
      </c>
    </row>
    <row r="1767" spans="4:13">
      <c r="D1767" s="1" t="s">
        <v>199</v>
      </c>
      <c r="E1767" s="1" t="s">
        <v>842</v>
      </c>
      <c r="H1767" s="1" t="s">
        <v>22</v>
      </c>
      <c r="I1767" s="1" t="s">
        <v>23</v>
      </c>
      <c r="L1767" s="1">
        <v>1</v>
      </c>
      <c r="M1767" s="1">
        <v>1</v>
      </c>
    </row>
    <row r="1768" spans="4:13">
      <c r="D1768" s="1" t="s">
        <v>199</v>
      </c>
      <c r="E1768" s="1" t="s">
        <v>843</v>
      </c>
      <c r="H1768" s="1" t="s">
        <v>22</v>
      </c>
      <c r="I1768" s="1" t="s">
        <v>23</v>
      </c>
      <c r="L1768" s="1">
        <v>1</v>
      </c>
      <c r="M1768" s="1">
        <v>1</v>
      </c>
    </row>
    <row r="1769" spans="4:13">
      <c r="D1769" s="1" t="s">
        <v>199</v>
      </c>
      <c r="E1769" s="1" t="s">
        <v>844</v>
      </c>
      <c r="H1769" s="1" t="s">
        <v>22</v>
      </c>
      <c r="I1769" s="1" t="s">
        <v>23</v>
      </c>
      <c r="L1769" s="1">
        <v>1</v>
      </c>
      <c r="M1769" s="1">
        <v>1.1000000000000001</v>
      </c>
    </row>
    <row r="1770" spans="4:13">
      <c r="D1770" s="1" t="s">
        <v>199</v>
      </c>
      <c r="E1770" s="1" t="s">
        <v>845</v>
      </c>
      <c r="H1770" s="1" t="s">
        <v>22</v>
      </c>
      <c r="I1770" s="1" t="s">
        <v>23</v>
      </c>
      <c r="L1770" s="1">
        <v>1</v>
      </c>
      <c r="M1770" s="1">
        <v>1.1000000000000001</v>
      </c>
    </row>
    <row r="1771" spans="4:13">
      <c r="D1771" s="1" t="s">
        <v>199</v>
      </c>
      <c r="E1771" s="1" t="s">
        <v>846</v>
      </c>
      <c r="H1771" s="1" t="s">
        <v>22</v>
      </c>
      <c r="I1771" s="1" t="s">
        <v>23</v>
      </c>
      <c r="L1771" s="1">
        <v>1</v>
      </c>
      <c r="M1771" s="1">
        <v>1.1000000000000001</v>
      </c>
    </row>
    <row r="1772" spans="4:13">
      <c r="D1772" s="1" t="s">
        <v>199</v>
      </c>
      <c r="E1772" s="1" t="s">
        <v>847</v>
      </c>
      <c r="H1772" s="1" t="s">
        <v>22</v>
      </c>
      <c r="I1772" s="1" t="s">
        <v>23</v>
      </c>
      <c r="L1772" s="1">
        <v>1</v>
      </c>
      <c r="M1772" s="1">
        <v>1.1000000000000001</v>
      </c>
    </row>
    <row r="1773" spans="4:13">
      <c r="D1773" s="1" t="s">
        <v>199</v>
      </c>
      <c r="E1773" s="1" t="s">
        <v>848</v>
      </c>
      <c r="H1773" s="1" t="s">
        <v>22</v>
      </c>
      <c r="I1773" s="1" t="s">
        <v>23</v>
      </c>
      <c r="L1773" s="1">
        <v>1</v>
      </c>
      <c r="M1773" s="1">
        <v>1.1000000000000001</v>
      </c>
    </row>
    <row r="1774" spans="4:13">
      <c r="D1774" s="1" t="s">
        <v>199</v>
      </c>
      <c r="E1774" s="1" t="s">
        <v>849</v>
      </c>
      <c r="H1774" s="1" t="s">
        <v>22</v>
      </c>
      <c r="I1774" s="1" t="s">
        <v>23</v>
      </c>
      <c r="L1774" s="1">
        <v>1</v>
      </c>
      <c r="M1774" s="1">
        <v>1.1000000000000001</v>
      </c>
    </row>
    <row r="1775" spans="4:13">
      <c r="D1775" s="1" t="s">
        <v>199</v>
      </c>
      <c r="E1775" s="1" t="s">
        <v>850</v>
      </c>
      <c r="H1775" s="1" t="s">
        <v>22</v>
      </c>
      <c r="I1775" s="1" t="s">
        <v>23</v>
      </c>
      <c r="L1775" s="1">
        <v>1</v>
      </c>
      <c r="M1775" s="1">
        <v>1.2</v>
      </c>
    </row>
    <row r="1776" spans="4:13">
      <c r="D1776" s="1" t="s">
        <v>199</v>
      </c>
      <c r="E1776" s="1" t="s">
        <v>851</v>
      </c>
      <c r="H1776" s="1" t="s">
        <v>22</v>
      </c>
      <c r="I1776" s="1" t="s">
        <v>23</v>
      </c>
      <c r="L1776" s="1">
        <v>1</v>
      </c>
      <c r="M1776" s="1">
        <v>1.2</v>
      </c>
    </row>
    <row r="1777" spans="4:13">
      <c r="D1777" s="1" t="s">
        <v>199</v>
      </c>
      <c r="E1777" s="1" t="s">
        <v>852</v>
      </c>
      <c r="H1777" s="1" t="s">
        <v>22</v>
      </c>
      <c r="I1777" s="1" t="s">
        <v>23</v>
      </c>
      <c r="L1777" s="1">
        <v>1</v>
      </c>
      <c r="M1777" s="1">
        <v>1.2</v>
      </c>
    </row>
    <row r="1778" spans="4:13">
      <c r="D1778" s="1" t="s">
        <v>199</v>
      </c>
      <c r="E1778" s="1" t="s">
        <v>853</v>
      </c>
      <c r="H1778" s="1" t="s">
        <v>22</v>
      </c>
      <c r="I1778" s="1" t="s">
        <v>23</v>
      </c>
      <c r="L1778" s="1">
        <v>1</v>
      </c>
      <c r="M1778" s="1">
        <v>1.2</v>
      </c>
    </row>
    <row r="1779" spans="4:13">
      <c r="D1779" s="1" t="s">
        <v>199</v>
      </c>
      <c r="E1779" s="1" t="s">
        <v>854</v>
      </c>
      <c r="H1779" s="1" t="s">
        <v>22</v>
      </c>
      <c r="I1779" s="1" t="s">
        <v>23</v>
      </c>
      <c r="L1779" s="1">
        <v>1</v>
      </c>
      <c r="M1779" s="1">
        <v>1.2</v>
      </c>
    </row>
    <row r="1780" spans="4:13">
      <c r="D1780" s="1" t="s">
        <v>199</v>
      </c>
      <c r="E1780" s="1" t="s">
        <v>855</v>
      </c>
      <c r="H1780" s="1" t="s">
        <v>22</v>
      </c>
      <c r="I1780" s="1" t="s">
        <v>23</v>
      </c>
      <c r="L1780" s="1">
        <v>1</v>
      </c>
      <c r="M1780" s="1">
        <v>1.3</v>
      </c>
    </row>
    <row r="1781" spans="4:13">
      <c r="D1781" s="1" t="s">
        <v>199</v>
      </c>
      <c r="E1781" s="1" t="s">
        <v>856</v>
      </c>
      <c r="H1781" s="1" t="s">
        <v>22</v>
      </c>
      <c r="I1781" s="1" t="s">
        <v>23</v>
      </c>
      <c r="L1781" s="1">
        <v>1</v>
      </c>
      <c r="M1781" s="1">
        <v>1.3</v>
      </c>
    </row>
    <row r="1782" spans="4:13">
      <c r="D1782" s="1" t="s">
        <v>199</v>
      </c>
      <c r="E1782" s="1" t="s">
        <v>857</v>
      </c>
      <c r="H1782" s="1" t="s">
        <v>22</v>
      </c>
      <c r="I1782" s="1" t="s">
        <v>23</v>
      </c>
      <c r="L1782" s="1">
        <v>1</v>
      </c>
      <c r="M1782" s="1">
        <v>1.4</v>
      </c>
    </row>
    <row r="1783" spans="4:13">
      <c r="D1783" s="1" t="s">
        <v>199</v>
      </c>
      <c r="E1783" s="1" t="s">
        <v>858</v>
      </c>
      <c r="H1783" s="1" t="s">
        <v>22</v>
      </c>
      <c r="I1783" s="1" t="s">
        <v>23</v>
      </c>
      <c r="L1783" s="1">
        <v>1</v>
      </c>
      <c r="M1783" s="1">
        <v>1.4</v>
      </c>
    </row>
    <row r="1784" spans="4:13">
      <c r="D1784" s="1" t="s">
        <v>199</v>
      </c>
      <c r="E1784" s="1" t="s">
        <v>859</v>
      </c>
      <c r="H1784" s="1" t="s">
        <v>22</v>
      </c>
      <c r="I1784" s="1" t="s">
        <v>23</v>
      </c>
      <c r="L1784" s="1">
        <v>1</v>
      </c>
      <c r="M1784" s="1">
        <v>1.4</v>
      </c>
    </row>
    <row r="1785" spans="4:13">
      <c r="D1785" s="1" t="s">
        <v>199</v>
      </c>
      <c r="E1785" s="1" t="s">
        <v>860</v>
      </c>
      <c r="H1785" s="1" t="s">
        <v>22</v>
      </c>
      <c r="I1785" s="1" t="s">
        <v>23</v>
      </c>
      <c r="L1785" s="1">
        <v>1</v>
      </c>
      <c r="M1785" s="1">
        <v>1.4</v>
      </c>
    </row>
    <row r="1786" spans="4:13">
      <c r="D1786" s="1" t="s">
        <v>199</v>
      </c>
      <c r="E1786" s="1" t="s">
        <v>861</v>
      </c>
      <c r="H1786" s="1" t="s">
        <v>22</v>
      </c>
      <c r="I1786" s="1" t="s">
        <v>23</v>
      </c>
      <c r="L1786" s="1">
        <v>1</v>
      </c>
      <c r="M1786" s="1">
        <v>1.4</v>
      </c>
    </row>
    <row r="1787" spans="4:13">
      <c r="D1787" s="1" t="s">
        <v>199</v>
      </c>
      <c r="E1787" s="1" t="s">
        <v>862</v>
      </c>
      <c r="H1787" s="1" t="s">
        <v>22</v>
      </c>
      <c r="I1787" s="1" t="s">
        <v>23</v>
      </c>
      <c r="L1787" s="1">
        <v>1</v>
      </c>
      <c r="M1787" s="1">
        <v>1.4</v>
      </c>
    </row>
    <row r="1788" spans="4:13">
      <c r="D1788" s="1" t="s">
        <v>199</v>
      </c>
      <c r="E1788" s="1" t="s">
        <v>863</v>
      </c>
      <c r="H1788" s="1" t="s">
        <v>22</v>
      </c>
      <c r="I1788" s="1" t="s">
        <v>23</v>
      </c>
      <c r="L1788" s="1">
        <v>1</v>
      </c>
      <c r="M1788" s="1">
        <v>1.4</v>
      </c>
    </row>
    <row r="1789" spans="4:13">
      <c r="D1789" s="1" t="s">
        <v>199</v>
      </c>
      <c r="E1789" s="1" t="s">
        <v>864</v>
      </c>
      <c r="H1789" s="1" t="s">
        <v>22</v>
      </c>
      <c r="I1789" s="1" t="s">
        <v>23</v>
      </c>
      <c r="L1789" s="1">
        <v>1</v>
      </c>
      <c r="M1789" s="1">
        <v>1.5</v>
      </c>
    </row>
    <row r="1790" spans="4:13">
      <c r="D1790" s="1" t="s">
        <v>199</v>
      </c>
      <c r="E1790" s="1" t="s">
        <v>865</v>
      </c>
      <c r="H1790" s="1" t="s">
        <v>22</v>
      </c>
      <c r="I1790" s="1" t="s">
        <v>23</v>
      </c>
      <c r="L1790" s="1">
        <v>1</v>
      </c>
      <c r="M1790" s="1">
        <v>1.5</v>
      </c>
    </row>
    <row r="1791" spans="4:13">
      <c r="D1791" s="1" t="s">
        <v>199</v>
      </c>
      <c r="E1791" s="1" t="s">
        <v>866</v>
      </c>
      <c r="H1791" s="1" t="s">
        <v>22</v>
      </c>
      <c r="I1791" s="1" t="s">
        <v>23</v>
      </c>
      <c r="L1791" s="1">
        <v>1</v>
      </c>
      <c r="M1791" s="1">
        <v>1.5</v>
      </c>
    </row>
    <row r="1792" spans="4:13">
      <c r="D1792" s="1" t="s">
        <v>199</v>
      </c>
      <c r="E1792" s="1" t="s">
        <v>867</v>
      </c>
      <c r="H1792" s="1" t="s">
        <v>22</v>
      </c>
      <c r="I1792" s="1" t="s">
        <v>23</v>
      </c>
      <c r="L1792" s="1">
        <v>1</v>
      </c>
      <c r="M1792" s="1">
        <v>1.5</v>
      </c>
    </row>
    <row r="1793" spans="1:13">
      <c r="D1793" s="1" t="s">
        <v>199</v>
      </c>
      <c r="E1793" s="1" t="s">
        <v>868</v>
      </c>
      <c r="H1793" s="1" t="s">
        <v>22</v>
      </c>
      <c r="I1793" s="1" t="s">
        <v>23</v>
      </c>
      <c r="L1793" s="1">
        <v>1</v>
      </c>
      <c r="M1793" s="1">
        <v>1.5</v>
      </c>
    </row>
    <row r="1794" spans="1:13">
      <c r="D1794" s="1" t="s">
        <v>199</v>
      </c>
      <c r="E1794" s="1" t="s">
        <v>869</v>
      </c>
      <c r="H1794" s="1" t="s">
        <v>22</v>
      </c>
      <c r="I1794" s="1" t="s">
        <v>23</v>
      </c>
      <c r="L1794" s="1">
        <v>1</v>
      </c>
      <c r="M1794" s="1">
        <v>1.5</v>
      </c>
    </row>
    <row r="1795" spans="1:13">
      <c r="D1795" s="1" t="s">
        <v>199</v>
      </c>
      <c r="E1795" s="1" t="s">
        <v>870</v>
      </c>
      <c r="H1795" s="1" t="s">
        <v>22</v>
      </c>
      <c r="I1795" s="1" t="s">
        <v>23</v>
      </c>
      <c r="L1795" s="1">
        <v>1</v>
      </c>
      <c r="M1795" s="1">
        <v>1.5</v>
      </c>
    </row>
    <row r="1796" spans="1:13">
      <c r="A1796" s="2" t="s">
        <v>1721</v>
      </c>
      <c r="B1796" s="3" t="s">
        <v>1730</v>
      </c>
      <c r="D1796" s="1" t="s">
        <v>199</v>
      </c>
      <c r="E1796" s="1" t="s">
        <v>871</v>
      </c>
      <c r="H1796" s="1" t="s">
        <v>25</v>
      </c>
      <c r="I1796" s="1" t="s">
        <v>23</v>
      </c>
      <c r="M1796" s="1" t="b">
        <v>1</v>
      </c>
    </row>
    <row r="1797" spans="1:13">
      <c r="A1797" s="2" t="s">
        <v>1721</v>
      </c>
      <c r="B1797" s="3" t="s">
        <v>1731</v>
      </c>
      <c r="D1797" s="1" t="s">
        <v>199</v>
      </c>
      <c r="E1797" s="1" t="s">
        <v>872</v>
      </c>
      <c r="F1797" s="1" t="s">
        <v>147</v>
      </c>
      <c r="G1797" s="1" t="s">
        <v>148</v>
      </c>
      <c r="H1797" s="1" t="s">
        <v>22</v>
      </c>
      <c r="I1797" s="1" t="s">
        <v>23</v>
      </c>
      <c r="J1797" s="1">
        <v>0</v>
      </c>
      <c r="K1797" s="1">
        <v>34121416.351331003</v>
      </c>
      <c r="L1797" s="1">
        <v>3.4121416351331</v>
      </c>
      <c r="M1797" s="1">
        <v>1706.07081756655</v>
      </c>
    </row>
    <row r="1798" spans="1:13">
      <c r="D1798" s="1" t="s">
        <v>199</v>
      </c>
      <c r="E1798" s="1" t="s">
        <v>873</v>
      </c>
      <c r="F1798" s="1" t="s">
        <v>874</v>
      </c>
      <c r="G1798" s="1" t="s">
        <v>874</v>
      </c>
      <c r="H1798" s="1" t="s">
        <v>22</v>
      </c>
      <c r="I1798" s="1" t="s">
        <v>23</v>
      </c>
      <c r="L1798" s="1">
        <v>1</v>
      </c>
      <c r="M1798" s="1">
        <v>6000</v>
      </c>
    </row>
    <row r="1799" spans="1:13">
      <c r="D1799" s="1" t="s">
        <v>199</v>
      </c>
      <c r="E1799" s="1" t="s">
        <v>875</v>
      </c>
      <c r="H1799" s="1" t="s">
        <v>63</v>
      </c>
      <c r="I1799" s="1" t="s">
        <v>23</v>
      </c>
      <c r="M1799" s="1">
        <v>0</v>
      </c>
    </row>
    <row r="1800" spans="1:13">
      <c r="D1800" s="1" t="s">
        <v>199</v>
      </c>
      <c r="E1800" s="1" t="s">
        <v>876</v>
      </c>
      <c r="H1800" s="1" t="s">
        <v>22</v>
      </c>
      <c r="I1800" s="1" t="s">
        <v>29</v>
      </c>
      <c r="J1800" s="1">
        <v>0</v>
      </c>
      <c r="K1800" s="1">
        <v>3</v>
      </c>
      <c r="L1800" s="1">
        <v>1</v>
      </c>
    </row>
    <row r="1801" spans="1:13">
      <c r="D1801" s="1" t="s">
        <v>199</v>
      </c>
      <c r="E1801" s="1" t="s">
        <v>877</v>
      </c>
      <c r="H1801" s="1" t="s">
        <v>22</v>
      </c>
      <c r="I1801" s="1" t="s">
        <v>23</v>
      </c>
      <c r="J1801" s="1">
        <v>0</v>
      </c>
      <c r="K1801" s="1">
        <v>3</v>
      </c>
      <c r="L1801" s="1">
        <v>1</v>
      </c>
      <c r="M1801" s="1">
        <v>1.05</v>
      </c>
    </row>
    <row r="1802" spans="1:13">
      <c r="D1802" s="1" t="s">
        <v>199</v>
      </c>
      <c r="E1802" s="1" t="s">
        <v>878</v>
      </c>
      <c r="F1802" s="1" t="s">
        <v>879</v>
      </c>
      <c r="G1802" s="1" t="s">
        <v>880</v>
      </c>
      <c r="H1802" s="1" t="s">
        <v>22</v>
      </c>
      <c r="I1802" s="1" t="s">
        <v>29</v>
      </c>
      <c r="J1802" s="1">
        <v>0</v>
      </c>
      <c r="K1802" s="1">
        <v>107.6391041670972</v>
      </c>
      <c r="L1802" s="1">
        <v>0.10763910416709721</v>
      </c>
    </row>
    <row r="1803" spans="1:13">
      <c r="D1803" s="1" t="s">
        <v>199</v>
      </c>
      <c r="E1803" s="1" t="s">
        <v>881</v>
      </c>
      <c r="F1803" s="1" t="s">
        <v>879</v>
      </c>
      <c r="G1803" s="1" t="s">
        <v>880</v>
      </c>
      <c r="H1803" s="1" t="s">
        <v>22</v>
      </c>
      <c r="I1803" s="1" t="s">
        <v>29</v>
      </c>
      <c r="J1803" s="1">
        <v>0</v>
      </c>
      <c r="K1803" s="1">
        <v>107.6391041670972</v>
      </c>
      <c r="L1803" s="1">
        <v>0.10763910416709721</v>
      </c>
    </row>
    <row r="1804" spans="1:13">
      <c r="D1804" s="1" t="s">
        <v>199</v>
      </c>
      <c r="E1804" s="1" t="s">
        <v>882</v>
      </c>
      <c r="H1804" s="1" t="s">
        <v>22</v>
      </c>
      <c r="I1804" s="1" t="s">
        <v>29</v>
      </c>
      <c r="L1804" s="1">
        <v>1</v>
      </c>
    </row>
    <row r="1805" spans="1:13">
      <c r="D1805" s="1" t="s">
        <v>199</v>
      </c>
      <c r="E1805" s="1" t="s">
        <v>883</v>
      </c>
      <c r="H1805" s="1" t="s">
        <v>22</v>
      </c>
      <c r="I1805" s="1" t="s">
        <v>29</v>
      </c>
      <c r="L1805" s="1">
        <v>1</v>
      </c>
    </row>
    <row r="1806" spans="1:13">
      <c r="D1806" s="1" t="s">
        <v>199</v>
      </c>
      <c r="E1806" s="1" t="s">
        <v>884</v>
      </c>
      <c r="H1806" s="1" t="s">
        <v>22</v>
      </c>
      <c r="I1806" s="1" t="s">
        <v>29</v>
      </c>
      <c r="L1806" s="1">
        <v>1</v>
      </c>
    </row>
    <row r="1807" spans="1:13">
      <c r="D1807" s="1" t="s">
        <v>199</v>
      </c>
      <c r="E1807" s="1" t="s">
        <v>885</v>
      </c>
      <c r="H1807" s="1" t="s">
        <v>22</v>
      </c>
      <c r="I1807" s="1" t="s">
        <v>29</v>
      </c>
      <c r="L1807" s="1">
        <v>1</v>
      </c>
    </row>
    <row r="1808" spans="1:13">
      <c r="D1808" s="1" t="s">
        <v>199</v>
      </c>
      <c r="E1808" s="1" t="s">
        <v>886</v>
      </c>
      <c r="F1808" s="1" t="s">
        <v>45</v>
      </c>
      <c r="G1808" s="1" t="s">
        <v>46</v>
      </c>
      <c r="H1808" s="1" t="s">
        <v>22</v>
      </c>
      <c r="I1808" s="1" t="s">
        <v>29</v>
      </c>
      <c r="J1808" s="1">
        <v>-6.3932502128443591</v>
      </c>
      <c r="K1808" s="1">
        <v>358.61435929656</v>
      </c>
      <c r="L1808" s="1">
        <v>114.79148749423418</v>
      </c>
    </row>
    <row r="1809" spans="4:13">
      <c r="D1809" s="1" t="s">
        <v>199</v>
      </c>
      <c r="E1809" s="1" t="s">
        <v>887</v>
      </c>
      <c r="F1809" s="1" t="s">
        <v>45</v>
      </c>
      <c r="G1809" s="1" t="s">
        <v>46</v>
      </c>
      <c r="H1809" s="1" t="s">
        <v>22</v>
      </c>
      <c r="I1809" s="1" t="s">
        <v>29</v>
      </c>
      <c r="J1809" s="1">
        <v>-6.3932502128443591</v>
      </c>
      <c r="K1809" s="1">
        <v>358.61435929656</v>
      </c>
      <c r="L1809" s="1">
        <v>114.79148749423418</v>
      </c>
    </row>
    <row r="1810" spans="4:13">
      <c r="D1810" s="1" t="s">
        <v>199</v>
      </c>
      <c r="E1810" s="1" t="s">
        <v>888</v>
      </c>
      <c r="F1810" s="1" t="s">
        <v>45</v>
      </c>
      <c r="G1810" s="1" t="s">
        <v>46</v>
      </c>
      <c r="H1810" s="1" t="s">
        <v>22</v>
      </c>
      <c r="I1810" s="1" t="s">
        <v>29</v>
      </c>
      <c r="J1810" s="1">
        <v>-6.3932502128443591</v>
      </c>
      <c r="K1810" s="1">
        <v>358.61435929656</v>
      </c>
      <c r="L1810" s="1">
        <v>114.79148749423418</v>
      </c>
    </row>
    <row r="1811" spans="4:13">
      <c r="D1811" s="1" t="s">
        <v>199</v>
      </c>
      <c r="E1811" s="1" t="s">
        <v>889</v>
      </c>
      <c r="F1811" s="1" t="s">
        <v>52</v>
      </c>
      <c r="G1811" s="1" t="s">
        <v>53</v>
      </c>
      <c r="H1811" s="1" t="s">
        <v>22</v>
      </c>
      <c r="I1811" s="1" t="s">
        <v>29</v>
      </c>
      <c r="J1811" s="1">
        <v>-7936641438.6555996</v>
      </c>
      <c r="K1811" s="1">
        <v>7936641438.6555996</v>
      </c>
      <c r="L1811" s="1">
        <v>7936.6414386555998</v>
      </c>
    </row>
    <row r="1812" spans="4:13">
      <c r="D1812" s="1" t="s">
        <v>199</v>
      </c>
      <c r="E1812" s="1" t="s">
        <v>890</v>
      </c>
      <c r="F1812" s="1" t="s">
        <v>56</v>
      </c>
      <c r="G1812" s="1" t="s">
        <v>57</v>
      </c>
      <c r="H1812" s="1" t="s">
        <v>22</v>
      </c>
      <c r="I1812" s="1" t="s">
        <v>29</v>
      </c>
      <c r="J1812" s="1">
        <v>4.9312830828271128</v>
      </c>
      <c r="K1812" s="1">
        <v>623.66227223989961</v>
      </c>
      <c r="L1812" s="1">
        <v>50.713895374744951</v>
      </c>
    </row>
    <row r="1813" spans="4:13">
      <c r="D1813" s="1" t="s">
        <v>199</v>
      </c>
      <c r="E1813" s="1" t="s">
        <v>891</v>
      </c>
      <c r="F1813" s="1" t="s">
        <v>56</v>
      </c>
      <c r="G1813" s="1" t="s">
        <v>57</v>
      </c>
      <c r="H1813" s="1" t="s">
        <v>22</v>
      </c>
      <c r="I1813" s="1" t="s">
        <v>29</v>
      </c>
      <c r="J1813" s="1">
        <v>4.9312830828271128</v>
      </c>
      <c r="K1813" s="1">
        <v>623.66227223989961</v>
      </c>
      <c r="L1813" s="1">
        <v>50.713895374744951</v>
      </c>
    </row>
    <row r="1814" spans="4:13">
      <c r="D1814" s="1" t="s">
        <v>199</v>
      </c>
      <c r="E1814" s="1" t="s">
        <v>892</v>
      </c>
      <c r="H1814" s="1" t="s">
        <v>22</v>
      </c>
      <c r="I1814" s="1" t="s">
        <v>23</v>
      </c>
      <c r="J1814" s="1">
        <v>0.5</v>
      </c>
      <c r="K1814" s="1">
        <v>2</v>
      </c>
      <c r="L1814" s="1">
        <v>1</v>
      </c>
      <c r="M1814" s="1">
        <v>1</v>
      </c>
    </row>
    <row r="1815" spans="4:13">
      <c r="D1815" s="1" t="s">
        <v>199</v>
      </c>
      <c r="E1815" s="1" t="s">
        <v>893</v>
      </c>
      <c r="H1815" s="1" t="s">
        <v>25</v>
      </c>
      <c r="I1815" s="1" t="s">
        <v>23</v>
      </c>
      <c r="M1815" s="1" t="b">
        <v>0</v>
      </c>
    </row>
    <row r="1816" spans="4:13">
      <c r="D1816" s="1" t="s">
        <v>199</v>
      </c>
      <c r="E1816" s="1" t="s">
        <v>894</v>
      </c>
      <c r="H1816" s="1" t="s">
        <v>22</v>
      </c>
      <c r="I1816" s="1" t="s">
        <v>23</v>
      </c>
      <c r="J1816" s="1">
        <v>0.5</v>
      </c>
      <c r="K1816" s="1">
        <v>2</v>
      </c>
      <c r="L1816" s="1">
        <v>1</v>
      </c>
      <c r="M1816" s="1">
        <v>1</v>
      </c>
    </row>
    <row r="1817" spans="4:13">
      <c r="D1817" s="1" t="s">
        <v>199</v>
      </c>
      <c r="E1817" s="1" t="s">
        <v>895</v>
      </c>
      <c r="H1817" s="1" t="s">
        <v>25</v>
      </c>
      <c r="I1817" s="1" t="s">
        <v>23</v>
      </c>
      <c r="M1817" s="1" t="b">
        <v>0</v>
      </c>
    </row>
    <row r="1818" spans="4:13">
      <c r="D1818" s="1" t="s">
        <v>199</v>
      </c>
      <c r="E1818" s="1" t="s">
        <v>896</v>
      </c>
      <c r="H1818" s="1" t="s">
        <v>22</v>
      </c>
      <c r="I1818" s="1" t="s">
        <v>23</v>
      </c>
      <c r="J1818" s="1">
        <v>0.5</v>
      </c>
      <c r="K1818" s="1">
        <v>2</v>
      </c>
      <c r="L1818" s="1">
        <v>1</v>
      </c>
      <c r="M1818" s="1">
        <v>1</v>
      </c>
    </row>
    <row r="1819" spans="4:13">
      <c r="D1819" s="1" t="s">
        <v>199</v>
      </c>
      <c r="E1819" s="1" t="s">
        <v>897</v>
      </c>
      <c r="H1819" s="1" t="s">
        <v>25</v>
      </c>
      <c r="I1819" s="1" t="s">
        <v>23</v>
      </c>
      <c r="M1819" s="1" t="b">
        <v>1</v>
      </c>
    </row>
    <row r="1820" spans="4:13">
      <c r="D1820" s="1" t="s">
        <v>199</v>
      </c>
      <c r="E1820" s="1" t="s">
        <v>898</v>
      </c>
      <c r="H1820" s="1" t="s">
        <v>22</v>
      </c>
      <c r="I1820" s="1" t="s">
        <v>23</v>
      </c>
      <c r="L1820" s="1">
        <v>1</v>
      </c>
      <c r="M1820" s="1">
        <v>1.1172202</v>
      </c>
    </row>
    <row r="1821" spans="4:13">
      <c r="D1821" s="1" t="s">
        <v>199</v>
      </c>
      <c r="E1821" s="1" t="s">
        <v>899</v>
      </c>
      <c r="H1821" s="1" t="s">
        <v>22</v>
      </c>
      <c r="I1821" s="1" t="s">
        <v>23</v>
      </c>
      <c r="L1821" s="1">
        <v>1</v>
      </c>
      <c r="M1821" s="1">
        <v>0.87132120000000002</v>
      </c>
    </row>
    <row r="1822" spans="4:13">
      <c r="D1822" s="1" t="s">
        <v>199</v>
      </c>
      <c r="E1822" s="1" t="s">
        <v>900</v>
      </c>
      <c r="H1822" s="1" t="s">
        <v>22</v>
      </c>
      <c r="I1822" s="1" t="s">
        <v>23</v>
      </c>
      <c r="L1822" s="1">
        <v>1</v>
      </c>
      <c r="M1822" s="1">
        <v>1.0089676999999999</v>
      </c>
    </row>
    <row r="1823" spans="4:13">
      <c r="D1823" s="1" t="s">
        <v>199</v>
      </c>
      <c r="E1823" s="1" t="s">
        <v>901</v>
      </c>
      <c r="H1823" s="1" t="s">
        <v>22</v>
      </c>
      <c r="I1823" s="1" t="s">
        <v>23</v>
      </c>
      <c r="L1823" s="1">
        <v>1</v>
      </c>
      <c r="M1823" s="1">
        <v>0.98033800000000004</v>
      </c>
    </row>
    <row r="1824" spans="4:13">
      <c r="D1824" s="1" t="s">
        <v>199</v>
      </c>
      <c r="E1824" s="1" t="s">
        <v>902</v>
      </c>
      <c r="H1824" s="1" t="s">
        <v>22</v>
      </c>
      <c r="I1824" s="1" t="s">
        <v>23</v>
      </c>
      <c r="L1824" s="1">
        <v>1</v>
      </c>
      <c r="M1824" s="1">
        <v>0.60685299999999998</v>
      </c>
    </row>
    <row r="1825" spans="4:13">
      <c r="D1825" s="1" t="s">
        <v>199</v>
      </c>
      <c r="E1825" s="1" t="s">
        <v>903</v>
      </c>
      <c r="H1825" s="1" t="s">
        <v>22</v>
      </c>
      <c r="I1825" s="1" t="s">
        <v>23</v>
      </c>
      <c r="L1825" s="1">
        <v>1</v>
      </c>
      <c r="M1825" s="1">
        <v>0.65223129999999996</v>
      </c>
    </row>
    <row r="1826" spans="4:13">
      <c r="D1826" s="1" t="s">
        <v>199</v>
      </c>
      <c r="E1826" s="1" t="s">
        <v>904</v>
      </c>
      <c r="H1826" s="1" t="s">
        <v>22</v>
      </c>
      <c r="I1826" s="1" t="s">
        <v>23</v>
      </c>
      <c r="L1826" s="1">
        <v>1</v>
      </c>
      <c r="M1826" s="1">
        <v>-0.13990669999999999</v>
      </c>
    </row>
    <row r="1827" spans="4:13">
      <c r="D1827" s="1" t="s">
        <v>199</v>
      </c>
      <c r="E1827" s="1" t="s">
        <v>905</v>
      </c>
      <c r="H1827" s="1" t="s">
        <v>22</v>
      </c>
      <c r="I1827" s="1" t="s">
        <v>23</v>
      </c>
      <c r="L1827" s="1">
        <v>1</v>
      </c>
      <c r="M1827" s="1">
        <v>-0.18227769999999999</v>
      </c>
    </row>
    <row r="1828" spans="4:13">
      <c r="D1828" s="1" t="s">
        <v>199</v>
      </c>
      <c r="E1828" s="1" t="s">
        <v>906</v>
      </c>
      <c r="H1828" s="1" t="s">
        <v>22</v>
      </c>
      <c r="I1828" s="1" t="s">
        <v>23</v>
      </c>
      <c r="J1828" s="1">
        <v>0.5</v>
      </c>
      <c r="K1828" s="1">
        <v>2</v>
      </c>
      <c r="L1828" s="1">
        <v>1</v>
      </c>
      <c r="M1828" s="1">
        <v>1</v>
      </c>
    </row>
    <row r="1829" spans="4:13">
      <c r="D1829" s="1" t="s">
        <v>199</v>
      </c>
      <c r="E1829" s="1" t="s">
        <v>907</v>
      </c>
      <c r="H1829" s="1" t="s">
        <v>25</v>
      </c>
      <c r="I1829" s="1" t="s">
        <v>23</v>
      </c>
      <c r="M1829" s="1" t="b">
        <v>1</v>
      </c>
    </row>
    <row r="1830" spans="4:13">
      <c r="D1830" s="1" t="s">
        <v>199</v>
      </c>
      <c r="E1830" s="1" t="s">
        <v>908</v>
      </c>
      <c r="H1830" s="1" t="s">
        <v>22</v>
      </c>
      <c r="I1830" s="1" t="s">
        <v>29</v>
      </c>
      <c r="J1830" s="1">
        <v>0.1</v>
      </c>
      <c r="K1830" s="1">
        <v>10</v>
      </c>
      <c r="L1830" s="1">
        <v>5.05</v>
      </c>
    </row>
    <row r="1831" spans="4:13">
      <c r="D1831" s="1" t="s">
        <v>199</v>
      </c>
      <c r="E1831" s="1" t="s">
        <v>909</v>
      </c>
      <c r="H1831" s="1" t="s">
        <v>22</v>
      </c>
      <c r="I1831" s="1" t="s">
        <v>29</v>
      </c>
      <c r="J1831" s="1">
        <v>0.1</v>
      </c>
      <c r="K1831" s="1">
        <v>10</v>
      </c>
      <c r="L1831" s="1">
        <v>5.05</v>
      </c>
    </row>
    <row r="1832" spans="4:13">
      <c r="D1832" s="1" t="s">
        <v>199</v>
      </c>
      <c r="E1832" s="1" t="s">
        <v>910</v>
      </c>
      <c r="H1832" s="1" t="s">
        <v>22</v>
      </c>
      <c r="I1832" s="1" t="s">
        <v>29</v>
      </c>
      <c r="J1832" s="1">
        <v>0.1</v>
      </c>
      <c r="K1832" s="1">
        <v>10</v>
      </c>
      <c r="L1832" s="1">
        <v>5.05</v>
      </c>
    </row>
    <row r="1833" spans="4:13">
      <c r="D1833" s="1" t="s">
        <v>199</v>
      </c>
      <c r="E1833" s="1" t="s">
        <v>911</v>
      </c>
      <c r="H1833" s="1" t="s">
        <v>22</v>
      </c>
      <c r="I1833" s="1" t="s">
        <v>29</v>
      </c>
      <c r="J1833" s="1">
        <v>0.1</v>
      </c>
      <c r="K1833" s="1">
        <v>10</v>
      </c>
      <c r="L1833" s="1">
        <v>5.05</v>
      </c>
    </row>
    <row r="1834" spans="4:13">
      <c r="D1834" s="1" t="s">
        <v>199</v>
      </c>
      <c r="E1834" s="1" t="s">
        <v>912</v>
      </c>
      <c r="H1834" s="1" t="s">
        <v>22</v>
      </c>
      <c r="I1834" s="1" t="s">
        <v>29</v>
      </c>
      <c r="J1834" s="1">
        <v>0.1</v>
      </c>
      <c r="K1834" s="1">
        <v>10</v>
      </c>
      <c r="L1834" s="1">
        <v>5.05</v>
      </c>
    </row>
    <row r="1835" spans="4:13">
      <c r="D1835" s="1" t="s">
        <v>199</v>
      </c>
      <c r="E1835" s="1" t="s">
        <v>913</v>
      </c>
      <c r="H1835" s="1" t="s">
        <v>22</v>
      </c>
      <c r="I1835" s="1" t="s">
        <v>29</v>
      </c>
      <c r="J1835" s="1">
        <v>0.1</v>
      </c>
      <c r="K1835" s="1">
        <v>10</v>
      </c>
      <c r="L1835" s="1">
        <v>5.05</v>
      </c>
    </row>
    <row r="1836" spans="4:13">
      <c r="D1836" s="1" t="s">
        <v>199</v>
      </c>
      <c r="E1836" s="1" t="s">
        <v>914</v>
      </c>
      <c r="H1836" s="1" t="s">
        <v>22</v>
      </c>
      <c r="I1836" s="1" t="s">
        <v>29</v>
      </c>
      <c r="J1836" s="1">
        <v>0.1</v>
      </c>
      <c r="K1836" s="1">
        <v>10</v>
      </c>
      <c r="L1836" s="1">
        <v>5.05</v>
      </c>
    </row>
    <row r="1837" spans="4:13">
      <c r="D1837" s="1" t="s">
        <v>199</v>
      </c>
      <c r="E1837" s="1" t="s">
        <v>915</v>
      </c>
      <c r="H1837" s="1" t="s">
        <v>181</v>
      </c>
      <c r="I1837" s="1" t="s">
        <v>23</v>
      </c>
      <c r="J1837" s="1">
        <v>1</v>
      </c>
      <c r="K1837" s="1">
        <v>2</v>
      </c>
      <c r="M1837" s="1" t="s">
        <v>916</v>
      </c>
    </row>
    <row r="1838" spans="4:13">
      <c r="D1838" s="1" t="s">
        <v>199</v>
      </c>
      <c r="E1838" s="1" t="s">
        <v>917</v>
      </c>
      <c r="H1838" s="1" t="s">
        <v>22</v>
      </c>
      <c r="I1838" s="1" t="s">
        <v>23</v>
      </c>
      <c r="L1838" s="1">
        <v>1</v>
      </c>
      <c r="M1838" s="1">
        <v>9.9999999999999995E-7</v>
      </c>
    </row>
    <row r="1839" spans="4:13">
      <c r="D1839" s="1" t="s">
        <v>199</v>
      </c>
      <c r="E1839" s="1" t="s">
        <v>918</v>
      </c>
      <c r="H1839" s="1" t="s">
        <v>22</v>
      </c>
      <c r="I1839" s="1" t="s">
        <v>23</v>
      </c>
      <c r="L1839" s="1">
        <v>1</v>
      </c>
      <c r="M1839" s="1">
        <v>3.4856456179999999</v>
      </c>
    </row>
    <row r="1840" spans="4:13">
      <c r="D1840" s="1" t="s">
        <v>199</v>
      </c>
      <c r="E1840" s="1" t="s">
        <v>919</v>
      </c>
      <c r="H1840" s="1" t="s">
        <v>22</v>
      </c>
      <c r="I1840" s="1" t="s">
        <v>23</v>
      </c>
      <c r="L1840" s="1">
        <v>1</v>
      </c>
      <c r="M1840" s="1">
        <v>2.9632862709999999</v>
      </c>
    </row>
    <row r="1841" spans="4:13">
      <c r="D1841" s="1" t="s">
        <v>199</v>
      </c>
      <c r="E1841" s="1" t="s">
        <v>47</v>
      </c>
      <c r="H1841" s="1" t="s">
        <v>25</v>
      </c>
      <c r="I1841" s="1" t="s">
        <v>23</v>
      </c>
      <c r="M1841" s="1" t="b">
        <v>0</v>
      </c>
    </row>
    <row r="1842" spans="4:13">
      <c r="D1842" s="1" t="s">
        <v>199</v>
      </c>
      <c r="E1842" s="1" t="s">
        <v>920</v>
      </c>
      <c r="H1842" s="1" t="s">
        <v>22</v>
      </c>
      <c r="I1842" s="1" t="s">
        <v>23</v>
      </c>
      <c r="J1842" s="1">
        <v>-1</v>
      </c>
      <c r="K1842" s="1">
        <v>1</v>
      </c>
      <c r="L1842" s="1">
        <v>1</v>
      </c>
      <c r="M1842" s="1">
        <v>0</v>
      </c>
    </row>
    <row r="1843" spans="4:13">
      <c r="D1843" s="1" t="s">
        <v>199</v>
      </c>
      <c r="E1843" s="1" t="s">
        <v>921</v>
      </c>
      <c r="H1843" s="1" t="s">
        <v>22</v>
      </c>
      <c r="I1843" s="1" t="s">
        <v>23</v>
      </c>
      <c r="J1843" s="1">
        <v>-1</v>
      </c>
      <c r="K1843" s="1">
        <v>1</v>
      </c>
      <c r="L1843" s="1">
        <v>1</v>
      </c>
      <c r="M1843" s="1">
        <v>0</v>
      </c>
    </row>
    <row r="1844" spans="4:13">
      <c r="D1844" s="1" t="s">
        <v>199</v>
      </c>
      <c r="E1844" s="1" t="s">
        <v>922</v>
      </c>
      <c r="F1844" s="1" t="s">
        <v>56</v>
      </c>
      <c r="G1844" s="1" t="s">
        <v>57</v>
      </c>
      <c r="H1844" s="1" t="s">
        <v>22</v>
      </c>
      <c r="I1844" s="1" t="s">
        <v>29</v>
      </c>
      <c r="J1844" s="1">
        <v>4.9312830828271128</v>
      </c>
      <c r="K1844" s="1">
        <v>623.66227223989961</v>
      </c>
      <c r="L1844" s="1">
        <v>50.713895374744951</v>
      </c>
    </row>
    <row r="1845" spans="4:13">
      <c r="D1845" s="1" t="s">
        <v>199</v>
      </c>
      <c r="E1845" s="1" t="s">
        <v>923</v>
      </c>
      <c r="H1845" s="1" t="s">
        <v>22</v>
      </c>
      <c r="I1845" s="1" t="s">
        <v>29</v>
      </c>
      <c r="J1845" s="1">
        <v>0.9</v>
      </c>
      <c r="K1845" s="1">
        <v>10</v>
      </c>
      <c r="L1845" s="1">
        <v>1.01</v>
      </c>
    </row>
    <row r="1846" spans="4:13">
      <c r="D1846" s="1" t="s">
        <v>199</v>
      </c>
      <c r="E1846" s="1" t="s">
        <v>924</v>
      </c>
      <c r="F1846" s="1" t="s">
        <v>56</v>
      </c>
      <c r="G1846" s="1" t="s">
        <v>57</v>
      </c>
      <c r="H1846" s="1" t="s">
        <v>22</v>
      </c>
      <c r="I1846" s="1" t="s">
        <v>29</v>
      </c>
      <c r="J1846" s="1">
        <v>4.9312830828271128</v>
      </c>
      <c r="K1846" s="1">
        <v>623.66227223989961</v>
      </c>
      <c r="L1846" s="1">
        <v>50.713895374744951</v>
      </c>
    </row>
    <row r="1847" spans="4:13">
      <c r="D1847" s="1" t="s">
        <v>199</v>
      </c>
      <c r="E1847" s="1" t="s">
        <v>925</v>
      </c>
      <c r="H1847" s="1" t="s">
        <v>22</v>
      </c>
      <c r="I1847" s="1" t="s">
        <v>29</v>
      </c>
      <c r="J1847" s="1">
        <v>0.9</v>
      </c>
      <c r="K1847" s="1">
        <v>10</v>
      </c>
      <c r="L1847" s="1">
        <v>1.01</v>
      </c>
    </row>
    <row r="1848" spans="4:13">
      <c r="D1848" s="1" t="s">
        <v>199</v>
      </c>
      <c r="E1848" s="1" t="s">
        <v>926</v>
      </c>
      <c r="H1848" s="1" t="s">
        <v>22</v>
      </c>
      <c r="I1848" s="1" t="s">
        <v>29</v>
      </c>
      <c r="J1848" s="1">
        <v>34000</v>
      </c>
      <c r="K1848" s="1">
        <v>4300000</v>
      </c>
      <c r="L1848" s="1">
        <v>349660</v>
      </c>
    </row>
    <row r="1849" spans="4:13">
      <c r="D1849" s="1" t="s">
        <v>199</v>
      </c>
      <c r="E1849" s="1" t="s">
        <v>927</v>
      </c>
      <c r="H1849" s="1" t="s">
        <v>22</v>
      </c>
      <c r="I1849" s="1" t="s">
        <v>29</v>
      </c>
      <c r="J1849" s="1">
        <v>-3.94</v>
      </c>
      <c r="K1849" s="1">
        <v>3.66</v>
      </c>
      <c r="L1849" s="1">
        <v>1</v>
      </c>
    </row>
    <row r="1850" spans="4:13">
      <c r="D1850" s="1" t="s">
        <v>199</v>
      </c>
      <c r="E1850" s="1" t="s">
        <v>928</v>
      </c>
      <c r="H1850" s="1" t="s">
        <v>22</v>
      </c>
      <c r="I1850" s="1" t="s">
        <v>29</v>
      </c>
      <c r="J1850" s="1">
        <v>0</v>
      </c>
      <c r="K1850" s="1">
        <v>100</v>
      </c>
      <c r="L1850" s="1">
        <v>1</v>
      </c>
    </row>
    <row r="1851" spans="4:13">
      <c r="D1851" s="1" t="s">
        <v>199</v>
      </c>
      <c r="E1851" s="1" t="s">
        <v>929</v>
      </c>
      <c r="H1851" s="1" t="s">
        <v>22</v>
      </c>
      <c r="I1851" s="1" t="s">
        <v>29</v>
      </c>
      <c r="J1851" s="1">
        <v>-3.94</v>
      </c>
      <c r="K1851" s="1">
        <v>3.66</v>
      </c>
      <c r="L1851" s="1">
        <v>1</v>
      </c>
    </row>
    <row r="1852" spans="4:13">
      <c r="D1852" s="1" t="s">
        <v>199</v>
      </c>
      <c r="E1852" s="1" t="s">
        <v>930</v>
      </c>
      <c r="H1852" s="1" t="s">
        <v>22</v>
      </c>
      <c r="I1852" s="1" t="s">
        <v>29</v>
      </c>
      <c r="J1852" s="1">
        <v>34000</v>
      </c>
      <c r="K1852" s="1">
        <v>4300000</v>
      </c>
      <c r="L1852" s="1">
        <v>349660</v>
      </c>
    </row>
    <row r="1853" spans="4:13">
      <c r="D1853" s="1" t="s">
        <v>199</v>
      </c>
      <c r="E1853" s="1" t="s">
        <v>931</v>
      </c>
      <c r="H1853" s="1" t="s">
        <v>22</v>
      </c>
      <c r="I1853" s="1" t="s">
        <v>29</v>
      </c>
      <c r="J1853" s="1">
        <v>-3.94</v>
      </c>
      <c r="K1853" s="1">
        <v>3.66</v>
      </c>
      <c r="L1853" s="1">
        <v>1</v>
      </c>
    </row>
    <row r="1854" spans="4:13">
      <c r="D1854" s="1" t="s">
        <v>199</v>
      </c>
      <c r="E1854" s="1" t="s">
        <v>932</v>
      </c>
      <c r="H1854" s="1" t="s">
        <v>22</v>
      </c>
      <c r="I1854" s="1" t="s">
        <v>29</v>
      </c>
      <c r="J1854" s="1">
        <v>0</v>
      </c>
      <c r="K1854" s="1">
        <v>100</v>
      </c>
      <c r="L1854" s="1">
        <v>1</v>
      </c>
    </row>
    <row r="1855" spans="4:13">
      <c r="D1855" s="1" t="s">
        <v>199</v>
      </c>
      <c r="E1855" s="1" t="s">
        <v>933</v>
      </c>
      <c r="H1855" s="1" t="s">
        <v>22</v>
      </c>
      <c r="I1855" s="1" t="s">
        <v>29</v>
      </c>
      <c r="J1855" s="1">
        <v>-3.94</v>
      </c>
      <c r="K1855" s="1">
        <v>3.66</v>
      </c>
      <c r="L1855" s="1">
        <v>1</v>
      </c>
    </row>
    <row r="1856" spans="4:13">
      <c r="D1856" s="1" t="s">
        <v>199</v>
      </c>
      <c r="E1856" s="1" t="s">
        <v>934</v>
      </c>
      <c r="H1856" s="1" t="s">
        <v>22</v>
      </c>
      <c r="I1856" s="1" t="s">
        <v>29</v>
      </c>
      <c r="J1856" s="1">
        <v>34000</v>
      </c>
      <c r="K1856" s="1">
        <v>4300000</v>
      </c>
      <c r="L1856" s="1">
        <v>349660</v>
      </c>
    </row>
    <row r="1857" spans="4:13">
      <c r="D1857" s="1" t="s">
        <v>199</v>
      </c>
      <c r="E1857" s="1" t="s">
        <v>935</v>
      </c>
      <c r="H1857" s="1" t="s">
        <v>22</v>
      </c>
      <c r="I1857" s="1" t="s">
        <v>29</v>
      </c>
      <c r="J1857" s="1">
        <v>-3.94</v>
      </c>
      <c r="K1857" s="1">
        <v>3.66</v>
      </c>
      <c r="L1857" s="1">
        <v>1</v>
      </c>
    </row>
    <row r="1858" spans="4:13">
      <c r="D1858" s="1" t="s">
        <v>199</v>
      </c>
      <c r="E1858" s="1" t="s">
        <v>936</v>
      </c>
      <c r="H1858" s="1" t="s">
        <v>22</v>
      </c>
      <c r="I1858" s="1" t="s">
        <v>29</v>
      </c>
      <c r="J1858" s="1">
        <v>0</v>
      </c>
      <c r="K1858" s="1">
        <v>100</v>
      </c>
      <c r="L1858" s="1">
        <v>1</v>
      </c>
    </row>
    <row r="1859" spans="4:13">
      <c r="D1859" s="1" t="s">
        <v>199</v>
      </c>
      <c r="E1859" s="1" t="s">
        <v>937</v>
      </c>
      <c r="H1859" s="1" t="s">
        <v>22</v>
      </c>
      <c r="I1859" s="1" t="s">
        <v>29</v>
      </c>
      <c r="J1859" s="1">
        <v>-3.94</v>
      </c>
      <c r="K1859" s="1">
        <v>3.66</v>
      </c>
      <c r="L1859" s="1">
        <v>1</v>
      </c>
    </row>
    <row r="1860" spans="4:13">
      <c r="D1860" s="1" t="s">
        <v>199</v>
      </c>
      <c r="E1860" s="1" t="s">
        <v>938</v>
      </c>
      <c r="H1860" s="1" t="s">
        <v>22</v>
      </c>
      <c r="I1860" s="1" t="s">
        <v>29</v>
      </c>
      <c r="J1860" s="1">
        <v>34000</v>
      </c>
      <c r="K1860" s="1">
        <v>4300000</v>
      </c>
      <c r="L1860" s="1">
        <v>349660</v>
      </c>
    </row>
    <row r="1861" spans="4:13">
      <c r="D1861" s="1" t="s">
        <v>199</v>
      </c>
      <c r="E1861" s="1" t="s">
        <v>939</v>
      </c>
      <c r="H1861" s="1" t="s">
        <v>22</v>
      </c>
      <c r="I1861" s="1" t="s">
        <v>29</v>
      </c>
      <c r="J1861" s="1">
        <v>-3.94</v>
      </c>
      <c r="K1861" s="1">
        <v>3.66</v>
      </c>
      <c r="L1861" s="1">
        <v>1</v>
      </c>
    </row>
    <row r="1862" spans="4:13">
      <c r="D1862" s="1" t="s">
        <v>199</v>
      </c>
      <c r="E1862" s="1" t="s">
        <v>940</v>
      </c>
      <c r="H1862" s="1" t="s">
        <v>22</v>
      </c>
      <c r="I1862" s="1" t="s">
        <v>29</v>
      </c>
      <c r="J1862" s="1">
        <v>0</v>
      </c>
      <c r="K1862" s="1">
        <v>100</v>
      </c>
      <c r="L1862" s="1">
        <v>1</v>
      </c>
    </row>
    <row r="1863" spans="4:13">
      <c r="D1863" s="1" t="s">
        <v>199</v>
      </c>
      <c r="E1863" s="1" t="s">
        <v>941</v>
      </c>
      <c r="H1863" s="1" t="s">
        <v>22</v>
      </c>
      <c r="I1863" s="1" t="s">
        <v>29</v>
      </c>
      <c r="J1863" s="1">
        <v>-3.94</v>
      </c>
      <c r="K1863" s="1">
        <v>3.66</v>
      </c>
      <c r="L1863" s="1">
        <v>1</v>
      </c>
    </row>
    <row r="1864" spans="4:13">
      <c r="D1864" s="1" t="s">
        <v>199</v>
      </c>
      <c r="E1864" s="1" t="s">
        <v>942</v>
      </c>
      <c r="H1864" s="1" t="s">
        <v>25</v>
      </c>
      <c r="I1864" s="1" t="s">
        <v>23</v>
      </c>
      <c r="M1864" s="1" t="b">
        <v>0</v>
      </c>
    </row>
    <row r="1865" spans="4:13">
      <c r="D1865" s="1" t="s">
        <v>199</v>
      </c>
      <c r="E1865" s="1" t="s">
        <v>943</v>
      </c>
      <c r="H1865" s="1" t="s">
        <v>25</v>
      </c>
      <c r="I1865" s="1" t="s">
        <v>23</v>
      </c>
      <c r="M1865" s="1" t="b">
        <v>0</v>
      </c>
    </row>
    <row r="1866" spans="4:13">
      <c r="D1866" s="1" t="s">
        <v>199</v>
      </c>
      <c r="E1866" s="1" t="s">
        <v>944</v>
      </c>
      <c r="F1866" s="1" t="s">
        <v>147</v>
      </c>
      <c r="G1866" s="1" t="s">
        <v>148</v>
      </c>
      <c r="H1866" s="1" t="s">
        <v>22</v>
      </c>
      <c r="I1866" s="1" t="s">
        <v>23</v>
      </c>
      <c r="J1866" s="1">
        <v>0</v>
      </c>
      <c r="K1866" s="1">
        <v>34121416.351331003</v>
      </c>
      <c r="L1866" s="1">
        <v>3.4121416351331</v>
      </c>
      <c r="M1866" s="1">
        <v>170607.08175665501</v>
      </c>
    </row>
    <row r="1867" spans="4:13">
      <c r="D1867" s="1" t="s">
        <v>199</v>
      </c>
      <c r="E1867" s="1" t="s">
        <v>945</v>
      </c>
      <c r="H1867" s="1" t="s">
        <v>25</v>
      </c>
      <c r="I1867" s="1" t="s">
        <v>23</v>
      </c>
      <c r="M1867" s="1" t="b">
        <v>0</v>
      </c>
    </row>
    <row r="1868" spans="4:13">
      <c r="D1868" s="1" t="s">
        <v>199</v>
      </c>
      <c r="E1868" s="1" t="s">
        <v>946</v>
      </c>
      <c r="F1868" s="1" t="s">
        <v>147</v>
      </c>
      <c r="G1868" s="1" t="s">
        <v>148</v>
      </c>
      <c r="H1868" s="1" t="s">
        <v>22</v>
      </c>
      <c r="I1868" s="1" t="s">
        <v>23</v>
      </c>
      <c r="J1868" s="1">
        <v>0</v>
      </c>
      <c r="K1868" s="1">
        <v>34121416.351331003</v>
      </c>
      <c r="L1868" s="1">
        <v>3.4121416351331</v>
      </c>
      <c r="M1868" s="1">
        <v>170607.08175665501</v>
      </c>
    </row>
    <row r="1869" spans="4:13">
      <c r="D1869" s="1" t="s">
        <v>199</v>
      </c>
      <c r="E1869" s="1" t="s">
        <v>947</v>
      </c>
      <c r="H1869" s="1" t="s">
        <v>25</v>
      </c>
      <c r="I1869" s="1" t="s">
        <v>23</v>
      </c>
      <c r="M1869" s="1" t="b">
        <v>0</v>
      </c>
    </row>
    <row r="1870" spans="4:13">
      <c r="D1870" s="1" t="s">
        <v>199</v>
      </c>
      <c r="E1870" s="1" t="s">
        <v>948</v>
      </c>
      <c r="F1870" s="1" t="s">
        <v>147</v>
      </c>
      <c r="G1870" s="1" t="s">
        <v>148</v>
      </c>
      <c r="H1870" s="1" t="s">
        <v>22</v>
      </c>
      <c r="I1870" s="1" t="s">
        <v>23</v>
      </c>
      <c r="J1870" s="1">
        <v>0</v>
      </c>
      <c r="K1870" s="1">
        <v>34121416.351331003</v>
      </c>
      <c r="L1870" s="1">
        <v>3.4121416351331</v>
      </c>
      <c r="M1870" s="1">
        <v>341214.16351331002</v>
      </c>
    </row>
    <row r="1871" spans="4:13">
      <c r="D1871" s="1" t="s">
        <v>199</v>
      </c>
      <c r="E1871" s="1" t="s">
        <v>949</v>
      </c>
      <c r="H1871" s="1" t="s">
        <v>181</v>
      </c>
      <c r="I1871" s="1" t="s">
        <v>23</v>
      </c>
      <c r="J1871" s="1">
        <v>1</v>
      </c>
      <c r="K1871" s="1">
        <v>19</v>
      </c>
      <c r="M1871" s="1" t="s">
        <v>950</v>
      </c>
    </row>
    <row r="1872" spans="4:13">
      <c r="D1872" s="1" t="s">
        <v>199</v>
      </c>
      <c r="E1872" s="1" t="s">
        <v>951</v>
      </c>
      <c r="H1872" s="1" t="s">
        <v>181</v>
      </c>
      <c r="I1872" s="1" t="s">
        <v>23</v>
      </c>
      <c r="J1872" s="1">
        <v>1</v>
      </c>
      <c r="K1872" s="1">
        <v>8</v>
      </c>
      <c r="M1872" s="1" t="s">
        <v>952</v>
      </c>
    </row>
    <row r="1873" spans="1:12">
      <c r="D1873" s="1" t="s">
        <v>199</v>
      </c>
      <c r="E1873" s="1" t="s">
        <v>953</v>
      </c>
      <c r="F1873" s="1" t="s">
        <v>874</v>
      </c>
      <c r="G1873" s="1" t="s">
        <v>874</v>
      </c>
      <c r="H1873" s="1" t="s">
        <v>22</v>
      </c>
      <c r="I1873" s="1" t="s">
        <v>29</v>
      </c>
      <c r="L1873" s="1">
        <v>1</v>
      </c>
    </row>
    <row r="1874" spans="1:12">
      <c r="D1874" s="1" t="s">
        <v>199</v>
      </c>
      <c r="E1874" s="1" t="s">
        <v>954</v>
      </c>
      <c r="F1874" s="1">
        <v>1</v>
      </c>
      <c r="G1874" s="1">
        <v>1</v>
      </c>
      <c r="H1874" s="1" t="s">
        <v>22</v>
      </c>
      <c r="I1874" s="1" t="s">
        <v>65</v>
      </c>
      <c r="J1874" s="1">
        <v>0</v>
      </c>
      <c r="L1874" s="1">
        <v>1</v>
      </c>
    </row>
    <row r="1875" spans="1:12">
      <c r="D1875" s="1" t="s">
        <v>199</v>
      </c>
      <c r="E1875" s="1" t="s">
        <v>955</v>
      </c>
      <c r="F1875" s="1">
        <v>1</v>
      </c>
      <c r="G1875" s="1">
        <v>1</v>
      </c>
      <c r="H1875" s="1" t="s">
        <v>22</v>
      </c>
      <c r="I1875" s="1" t="s">
        <v>65</v>
      </c>
      <c r="J1875" s="1">
        <v>0</v>
      </c>
      <c r="L1875" s="1">
        <v>1</v>
      </c>
    </row>
    <row r="1876" spans="1:12">
      <c r="D1876" s="1" t="s">
        <v>199</v>
      </c>
      <c r="E1876" s="1" t="s">
        <v>956</v>
      </c>
      <c r="F1876" s="1">
        <v>1</v>
      </c>
      <c r="G1876" s="1">
        <v>1</v>
      </c>
      <c r="H1876" s="1" t="s">
        <v>22</v>
      </c>
      <c r="I1876" s="1" t="s">
        <v>65</v>
      </c>
      <c r="J1876" s="1">
        <v>0</v>
      </c>
      <c r="L1876" s="1">
        <v>1</v>
      </c>
    </row>
    <row r="1877" spans="1:12">
      <c r="D1877" s="1" t="s">
        <v>199</v>
      </c>
      <c r="E1877" s="1" t="s">
        <v>957</v>
      </c>
      <c r="H1877" s="1" t="s">
        <v>22</v>
      </c>
      <c r="I1877" s="1" t="s">
        <v>65</v>
      </c>
      <c r="L1877" s="1">
        <v>1</v>
      </c>
    </row>
    <row r="1878" spans="1:12">
      <c r="D1878" s="1" t="s">
        <v>199</v>
      </c>
      <c r="E1878" s="1" t="s">
        <v>958</v>
      </c>
      <c r="H1878" s="1" t="s">
        <v>22</v>
      </c>
      <c r="I1878" s="1" t="s">
        <v>65</v>
      </c>
      <c r="L1878" s="1">
        <v>1</v>
      </c>
    </row>
    <row r="1879" spans="1:12">
      <c r="D1879" s="1" t="s">
        <v>199</v>
      </c>
      <c r="E1879" s="1" t="s">
        <v>959</v>
      </c>
      <c r="H1879" s="1" t="s">
        <v>22</v>
      </c>
      <c r="I1879" s="1" t="s">
        <v>65</v>
      </c>
      <c r="L1879" s="1">
        <v>1</v>
      </c>
    </row>
    <row r="1880" spans="1:12">
      <c r="D1880" s="1" t="s">
        <v>199</v>
      </c>
      <c r="E1880" s="1" t="s">
        <v>960</v>
      </c>
      <c r="H1880" s="1" t="s">
        <v>22</v>
      </c>
      <c r="I1880" s="1" t="s">
        <v>65</v>
      </c>
      <c r="L1880" s="1">
        <v>1</v>
      </c>
    </row>
    <row r="1881" spans="1:12">
      <c r="D1881" s="1" t="s">
        <v>199</v>
      </c>
      <c r="E1881" s="1" t="s">
        <v>961</v>
      </c>
      <c r="H1881" s="1" t="s">
        <v>22</v>
      </c>
      <c r="I1881" s="1" t="s">
        <v>65</v>
      </c>
      <c r="L1881" s="1">
        <v>1</v>
      </c>
    </row>
    <row r="1882" spans="1:12">
      <c r="D1882" s="1" t="s">
        <v>199</v>
      </c>
      <c r="E1882" s="1" t="s">
        <v>962</v>
      </c>
      <c r="H1882" s="1" t="s">
        <v>22</v>
      </c>
      <c r="I1882" s="1" t="s">
        <v>65</v>
      </c>
      <c r="L1882" s="1">
        <v>1</v>
      </c>
    </row>
    <row r="1883" spans="1:12">
      <c r="D1883" s="1" t="s">
        <v>199</v>
      </c>
      <c r="E1883" s="1" t="s">
        <v>963</v>
      </c>
      <c r="H1883" s="1" t="s">
        <v>22</v>
      </c>
      <c r="I1883" s="1" t="s">
        <v>65</v>
      </c>
      <c r="L1883" s="1">
        <v>1</v>
      </c>
    </row>
    <row r="1884" spans="1:12">
      <c r="D1884" s="1" t="s">
        <v>199</v>
      </c>
      <c r="E1884" s="1" t="s">
        <v>964</v>
      </c>
      <c r="H1884" s="1" t="s">
        <v>25</v>
      </c>
      <c r="I1884" s="1" t="s">
        <v>65</v>
      </c>
    </row>
    <row r="1885" spans="1:12">
      <c r="D1885" s="1" t="s">
        <v>199</v>
      </c>
      <c r="E1885" s="1" t="s">
        <v>965</v>
      </c>
      <c r="H1885" s="1" t="s">
        <v>22</v>
      </c>
      <c r="I1885" s="1" t="s">
        <v>65</v>
      </c>
      <c r="L1885" s="1">
        <v>1</v>
      </c>
    </row>
    <row r="1886" spans="1:12">
      <c r="D1886" s="1" t="s">
        <v>199</v>
      </c>
      <c r="E1886" s="1" t="s">
        <v>966</v>
      </c>
      <c r="H1886" s="1" t="s">
        <v>22</v>
      </c>
      <c r="I1886" s="1" t="s">
        <v>65</v>
      </c>
      <c r="L1886" s="1">
        <v>1</v>
      </c>
    </row>
    <row r="1887" spans="1:12">
      <c r="A1887" s="2" t="s">
        <v>1758</v>
      </c>
      <c r="B1887" s="3" t="s">
        <v>1790</v>
      </c>
      <c r="D1887" s="1" t="s">
        <v>199</v>
      </c>
      <c r="E1887" s="1" t="s">
        <v>967</v>
      </c>
      <c r="F1887" s="1" t="s">
        <v>147</v>
      </c>
      <c r="G1887" s="1" t="s">
        <v>148</v>
      </c>
      <c r="H1887" s="1" t="s">
        <v>22</v>
      </c>
      <c r="I1887" s="1" t="s">
        <v>65</v>
      </c>
      <c r="L1887" s="1">
        <v>3.4121416351331</v>
      </c>
    </row>
    <row r="1888" spans="1:12">
      <c r="D1888" s="1" t="s">
        <v>199</v>
      </c>
      <c r="E1888" s="1" t="s">
        <v>968</v>
      </c>
      <c r="F1888" s="1" t="s">
        <v>874</v>
      </c>
      <c r="G1888" s="1" t="s">
        <v>874</v>
      </c>
      <c r="H1888" s="1" t="s">
        <v>22</v>
      </c>
      <c r="I1888" s="1" t="s">
        <v>65</v>
      </c>
      <c r="L1888" s="1">
        <v>1</v>
      </c>
    </row>
    <row r="1889" spans="1:12">
      <c r="D1889" s="1" t="s">
        <v>199</v>
      </c>
      <c r="E1889" s="1" t="s">
        <v>969</v>
      </c>
      <c r="H1889" s="1" t="s">
        <v>22</v>
      </c>
      <c r="I1889" s="1" t="s">
        <v>65</v>
      </c>
      <c r="L1889" s="1">
        <v>1</v>
      </c>
    </row>
    <row r="1890" spans="1:12">
      <c r="D1890" s="1" t="s">
        <v>199</v>
      </c>
      <c r="E1890" s="1" t="s">
        <v>970</v>
      </c>
      <c r="H1890" s="1" t="s">
        <v>22</v>
      </c>
      <c r="I1890" s="1" t="s">
        <v>65</v>
      </c>
      <c r="L1890" s="1">
        <v>1</v>
      </c>
    </row>
    <row r="1891" spans="1:12">
      <c r="D1891" s="1" t="s">
        <v>199</v>
      </c>
      <c r="E1891" s="1" t="s">
        <v>971</v>
      </c>
      <c r="H1891" s="1" t="s">
        <v>22</v>
      </c>
      <c r="I1891" s="1" t="s">
        <v>65</v>
      </c>
      <c r="L1891" s="1">
        <v>1</v>
      </c>
    </row>
    <row r="1892" spans="1:12">
      <c r="A1892" s="2" t="s">
        <v>1758</v>
      </c>
      <c r="B1892" s="3" t="s">
        <v>1791</v>
      </c>
      <c r="D1892" s="1" t="s">
        <v>199</v>
      </c>
      <c r="E1892" s="1" t="s">
        <v>972</v>
      </c>
      <c r="F1892" s="1" t="s">
        <v>147</v>
      </c>
      <c r="G1892" s="1" t="s">
        <v>148</v>
      </c>
      <c r="H1892" s="1" t="s">
        <v>22</v>
      </c>
      <c r="I1892" s="1" t="s">
        <v>65</v>
      </c>
      <c r="L1892" s="1">
        <v>3.4121416351331</v>
      </c>
    </row>
    <row r="1893" spans="1:12">
      <c r="A1893" s="2" t="s">
        <v>1758</v>
      </c>
      <c r="B1893" s="3" t="s">
        <v>1792</v>
      </c>
      <c r="D1893" s="1" t="s">
        <v>199</v>
      </c>
      <c r="E1893" s="1" t="s">
        <v>973</v>
      </c>
      <c r="F1893" s="1" t="s">
        <v>147</v>
      </c>
      <c r="G1893" s="1" t="s">
        <v>148</v>
      </c>
      <c r="H1893" s="1" t="s">
        <v>22</v>
      </c>
      <c r="I1893" s="1" t="s">
        <v>65</v>
      </c>
      <c r="L1893" s="1">
        <v>3.4121416351331</v>
      </c>
    </row>
    <row r="1894" spans="1:12">
      <c r="A1894" s="2" t="s">
        <v>1758</v>
      </c>
      <c r="B1894" s="3" t="s">
        <v>1793</v>
      </c>
      <c r="D1894" s="1" t="s">
        <v>199</v>
      </c>
      <c r="E1894" s="1" t="s">
        <v>974</v>
      </c>
      <c r="F1894" s="1" t="s">
        <v>147</v>
      </c>
      <c r="G1894" s="1" t="s">
        <v>148</v>
      </c>
      <c r="H1894" s="1" t="s">
        <v>22</v>
      </c>
      <c r="I1894" s="1" t="s">
        <v>65</v>
      </c>
      <c r="L1894" s="1">
        <v>3.4121416351331</v>
      </c>
    </row>
    <row r="1895" spans="1:12">
      <c r="D1895" s="1" t="s">
        <v>199</v>
      </c>
      <c r="E1895" s="1" t="s">
        <v>975</v>
      </c>
      <c r="F1895" s="1" t="s">
        <v>35</v>
      </c>
      <c r="G1895" s="1" t="s">
        <v>36</v>
      </c>
      <c r="H1895" s="1" t="s">
        <v>22</v>
      </c>
      <c r="I1895" s="1" t="s">
        <v>65</v>
      </c>
      <c r="J1895" s="1">
        <v>-459.67</v>
      </c>
      <c r="L1895" s="1">
        <v>80.329999999999984</v>
      </c>
    </row>
    <row r="1896" spans="1:12">
      <c r="D1896" s="1" t="s">
        <v>199</v>
      </c>
      <c r="E1896" s="1" t="s">
        <v>976</v>
      </c>
      <c r="F1896" s="1" t="s">
        <v>35</v>
      </c>
      <c r="G1896" s="1" t="s">
        <v>36</v>
      </c>
      <c r="H1896" s="1" t="s">
        <v>22</v>
      </c>
      <c r="I1896" s="1" t="s">
        <v>65</v>
      </c>
      <c r="J1896" s="1">
        <v>-459.67</v>
      </c>
      <c r="L1896" s="1">
        <v>80.329999999999984</v>
      </c>
    </row>
    <row r="1897" spans="1:12">
      <c r="D1897" s="1" t="s">
        <v>199</v>
      </c>
      <c r="E1897" s="1" t="s">
        <v>977</v>
      </c>
      <c r="F1897" s="1" t="s">
        <v>35</v>
      </c>
      <c r="G1897" s="1" t="s">
        <v>36</v>
      </c>
      <c r="H1897" s="1" t="s">
        <v>22</v>
      </c>
      <c r="I1897" s="1" t="s">
        <v>65</v>
      </c>
      <c r="J1897" s="1">
        <v>-459.67</v>
      </c>
      <c r="L1897" s="1">
        <v>80.329999999999984</v>
      </c>
    </row>
    <row r="1898" spans="1:12">
      <c r="D1898" s="1" t="s">
        <v>199</v>
      </c>
      <c r="E1898" s="1" t="s">
        <v>978</v>
      </c>
      <c r="F1898" s="1" t="s">
        <v>35</v>
      </c>
      <c r="G1898" s="1" t="s">
        <v>36</v>
      </c>
      <c r="H1898" s="1" t="s">
        <v>22</v>
      </c>
      <c r="I1898" s="1" t="s">
        <v>65</v>
      </c>
      <c r="J1898" s="1">
        <v>-459.67</v>
      </c>
      <c r="L1898" s="1">
        <v>80.329999999999984</v>
      </c>
    </row>
    <row r="1899" spans="1:12">
      <c r="D1899" s="1" t="s">
        <v>199</v>
      </c>
      <c r="E1899" s="1" t="s">
        <v>979</v>
      </c>
      <c r="F1899" s="1" t="s">
        <v>35</v>
      </c>
      <c r="G1899" s="1" t="s">
        <v>36</v>
      </c>
      <c r="H1899" s="1" t="s">
        <v>22</v>
      </c>
      <c r="I1899" s="1" t="s">
        <v>65</v>
      </c>
      <c r="J1899" s="1">
        <v>-459.67</v>
      </c>
      <c r="L1899" s="1">
        <v>80.329999999999984</v>
      </c>
    </row>
    <row r="1900" spans="1:12">
      <c r="D1900" s="1" t="s">
        <v>199</v>
      </c>
      <c r="E1900" s="1" t="s">
        <v>980</v>
      </c>
      <c r="F1900" s="1" t="s">
        <v>35</v>
      </c>
      <c r="G1900" s="1" t="s">
        <v>36</v>
      </c>
      <c r="H1900" s="1" t="s">
        <v>22</v>
      </c>
      <c r="I1900" s="1" t="s">
        <v>65</v>
      </c>
      <c r="J1900" s="1">
        <v>-459.67</v>
      </c>
      <c r="L1900" s="1">
        <v>80.329999999999984</v>
      </c>
    </row>
    <row r="1901" spans="1:12">
      <c r="D1901" s="1" t="s">
        <v>199</v>
      </c>
      <c r="E1901" s="1" t="s">
        <v>981</v>
      </c>
      <c r="F1901" s="1" t="s">
        <v>35</v>
      </c>
      <c r="G1901" s="1" t="s">
        <v>36</v>
      </c>
      <c r="H1901" s="1" t="s">
        <v>22</v>
      </c>
      <c r="I1901" s="1" t="s">
        <v>65</v>
      </c>
      <c r="J1901" s="1">
        <v>-459.67</v>
      </c>
      <c r="L1901" s="1">
        <v>80.329999999999984</v>
      </c>
    </row>
    <row r="1902" spans="1:12">
      <c r="D1902" s="1" t="s">
        <v>199</v>
      </c>
      <c r="E1902" s="1" t="s">
        <v>982</v>
      </c>
      <c r="F1902" s="1" t="s">
        <v>35</v>
      </c>
      <c r="G1902" s="1" t="s">
        <v>36</v>
      </c>
      <c r="H1902" s="1" t="s">
        <v>22</v>
      </c>
      <c r="I1902" s="1" t="s">
        <v>65</v>
      </c>
      <c r="J1902" s="1">
        <v>-459.67</v>
      </c>
      <c r="L1902" s="1">
        <v>80.329999999999984</v>
      </c>
    </row>
    <row r="1903" spans="1:12">
      <c r="D1903" s="1" t="s">
        <v>199</v>
      </c>
      <c r="E1903" s="1" t="s">
        <v>983</v>
      </c>
      <c r="F1903" s="1" t="s">
        <v>41</v>
      </c>
      <c r="G1903" s="1" t="s">
        <v>42</v>
      </c>
      <c r="H1903" s="1" t="s">
        <v>22</v>
      </c>
      <c r="I1903" s="1" t="s">
        <v>65</v>
      </c>
      <c r="L1903" s="1">
        <v>1.8</v>
      </c>
    </row>
    <row r="1904" spans="1:12">
      <c r="D1904" s="1" t="s">
        <v>199</v>
      </c>
      <c r="E1904" s="1" t="s">
        <v>984</v>
      </c>
      <c r="F1904" s="1" t="s">
        <v>41</v>
      </c>
      <c r="G1904" s="1" t="s">
        <v>42</v>
      </c>
      <c r="H1904" s="1" t="s">
        <v>22</v>
      </c>
      <c r="I1904" s="1" t="s">
        <v>65</v>
      </c>
      <c r="L1904" s="1">
        <v>1.8</v>
      </c>
    </row>
    <row r="1905" spans="4:12">
      <c r="D1905" s="1" t="s">
        <v>199</v>
      </c>
      <c r="E1905" s="1" t="s">
        <v>985</v>
      </c>
      <c r="F1905" s="1" t="s">
        <v>41</v>
      </c>
      <c r="G1905" s="1" t="s">
        <v>42</v>
      </c>
      <c r="H1905" s="1" t="s">
        <v>22</v>
      </c>
      <c r="I1905" s="1" t="s">
        <v>65</v>
      </c>
      <c r="L1905" s="1">
        <v>1.8</v>
      </c>
    </row>
    <row r="1906" spans="4:12">
      <c r="D1906" s="1" t="s">
        <v>199</v>
      </c>
      <c r="E1906" s="1" t="s">
        <v>986</v>
      </c>
      <c r="F1906" s="1" t="s">
        <v>41</v>
      </c>
      <c r="G1906" s="1" t="s">
        <v>42</v>
      </c>
      <c r="H1906" s="1" t="s">
        <v>22</v>
      </c>
      <c r="I1906" s="1" t="s">
        <v>65</v>
      </c>
      <c r="L1906" s="1">
        <v>1.8</v>
      </c>
    </row>
    <row r="1907" spans="4:12">
      <c r="D1907" s="1" t="s">
        <v>199</v>
      </c>
      <c r="E1907" s="1" t="s">
        <v>987</v>
      </c>
      <c r="H1907" s="1" t="s">
        <v>22</v>
      </c>
      <c r="I1907" s="1" t="s">
        <v>65</v>
      </c>
      <c r="L1907" s="1">
        <v>1</v>
      </c>
    </row>
    <row r="1908" spans="4:12">
      <c r="D1908" s="1" t="s">
        <v>199</v>
      </c>
      <c r="E1908" s="1" t="s">
        <v>988</v>
      </c>
      <c r="H1908" s="1" t="s">
        <v>22</v>
      </c>
      <c r="I1908" s="1" t="s">
        <v>65</v>
      </c>
      <c r="L1908" s="1">
        <v>1</v>
      </c>
    </row>
    <row r="1909" spans="4:12">
      <c r="D1909" s="1" t="s">
        <v>199</v>
      </c>
      <c r="E1909" s="1" t="s">
        <v>989</v>
      </c>
      <c r="H1909" s="1" t="s">
        <v>22</v>
      </c>
      <c r="I1909" s="1" t="s">
        <v>65</v>
      </c>
      <c r="L1909" s="1">
        <v>1</v>
      </c>
    </row>
    <row r="1910" spans="4:12">
      <c r="D1910" s="1" t="s">
        <v>199</v>
      </c>
      <c r="E1910" s="1" t="s">
        <v>990</v>
      </c>
      <c r="H1910" s="1" t="s">
        <v>22</v>
      </c>
      <c r="I1910" s="1" t="s">
        <v>65</v>
      </c>
      <c r="L1910" s="1">
        <v>1</v>
      </c>
    </row>
    <row r="1911" spans="4:12">
      <c r="D1911" s="1" t="s">
        <v>199</v>
      </c>
      <c r="E1911" s="1" t="s">
        <v>991</v>
      </c>
      <c r="F1911" s="1" t="s">
        <v>118</v>
      </c>
      <c r="G1911" s="1" t="s">
        <v>119</v>
      </c>
      <c r="H1911" s="1" t="s">
        <v>22</v>
      </c>
      <c r="I1911" s="1" t="s">
        <v>120</v>
      </c>
      <c r="J1911" s="1">
        <v>0</v>
      </c>
      <c r="L1911" s="1">
        <v>2.20462262185</v>
      </c>
    </row>
    <row r="1912" spans="4:12">
      <c r="D1912" s="1" t="s">
        <v>199</v>
      </c>
      <c r="E1912" s="1" t="s">
        <v>992</v>
      </c>
      <c r="F1912" s="1" t="s">
        <v>52</v>
      </c>
      <c r="G1912" s="1" t="s">
        <v>53</v>
      </c>
      <c r="H1912" s="1" t="s">
        <v>22</v>
      </c>
      <c r="I1912" s="1" t="s">
        <v>65</v>
      </c>
      <c r="L1912" s="1">
        <v>7936.6414386555998</v>
      </c>
    </row>
    <row r="1913" spans="4:12">
      <c r="D1913" s="1" t="s">
        <v>199</v>
      </c>
      <c r="E1913" s="1" t="s">
        <v>993</v>
      </c>
      <c r="F1913" s="1" t="s">
        <v>52</v>
      </c>
      <c r="G1913" s="1" t="s">
        <v>53</v>
      </c>
      <c r="H1913" s="1" t="s">
        <v>22</v>
      </c>
      <c r="I1913" s="1" t="s">
        <v>65</v>
      </c>
      <c r="L1913" s="1">
        <v>7936.6414386555998</v>
      </c>
    </row>
    <row r="1914" spans="4:12">
      <c r="D1914" s="1" t="s">
        <v>199</v>
      </c>
      <c r="E1914" s="1" t="s">
        <v>994</v>
      </c>
      <c r="F1914" s="1" t="s">
        <v>52</v>
      </c>
      <c r="G1914" s="1" t="s">
        <v>53</v>
      </c>
      <c r="H1914" s="1" t="s">
        <v>22</v>
      </c>
      <c r="I1914" s="1" t="s">
        <v>65</v>
      </c>
      <c r="L1914" s="1">
        <v>7936.6414386555998</v>
      </c>
    </row>
    <row r="1915" spans="4:12">
      <c r="D1915" s="1" t="s">
        <v>199</v>
      </c>
      <c r="E1915" s="1" t="s">
        <v>995</v>
      </c>
      <c r="F1915" s="1" t="s">
        <v>52</v>
      </c>
      <c r="G1915" s="1" t="s">
        <v>53</v>
      </c>
      <c r="H1915" s="1" t="s">
        <v>22</v>
      </c>
      <c r="I1915" s="1" t="s">
        <v>65</v>
      </c>
      <c r="L1915" s="1">
        <v>7936.6414386555998</v>
      </c>
    </row>
    <row r="1916" spans="4:12">
      <c r="D1916" s="1" t="s">
        <v>199</v>
      </c>
      <c r="E1916" s="1" t="s">
        <v>996</v>
      </c>
      <c r="H1916" s="1" t="s">
        <v>22</v>
      </c>
      <c r="I1916" s="1" t="s">
        <v>120</v>
      </c>
      <c r="L1916" s="1">
        <v>1</v>
      </c>
    </row>
    <row r="1917" spans="4:12">
      <c r="D1917" s="1" t="s">
        <v>199</v>
      </c>
      <c r="E1917" s="1" t="s">
        <v>997</v>
      </c>
      <c r="H1917" s="1" t="s">
        <v>22</v>
      </c>
      <c r="I1917" s="1" t="s">
        <v>65</v>
      </c>
      <c r="L1917" s="1">
        <v>1</v>
      </c>
    </row>
    <row r="1918" spans="4:12">
      <c r="D1918" s="1" t="s">
        <v>199</v>
      </c>
      <c r="E1918" s="1" t="s">
        <v>998</v>
      </c>
      <c r="F1918" s="1" t="s">
        <v>56</v>
      </c>
      <c r="G1918" s="1" t="s">
        <v>57</v>
      </c>
      <c r="H1918" s="1" t="s">
        <v>22</v>
      </c>
      <c r="I1918" s="1" t="s">
        <v>65</v>
      </c>
      <c r="L1918" s="1">
        <v>1.4503773773020921E-4</v>
      </c>
    </row>
    <row r="1919" spans="4:12">
      <c r="D1919" s="1" t="s">
        <v>199</v>
      </c>
      <c r="E1919" s="1" t="s">
        <v>999</v>
      </c>
      <c r="F1919" s="1" t="s">
        <v>56</v>
      </c>
      <c r="G1919" s="1" t="s">
        <v>57</v>
      </c>
      <c r="H1919" s="1" t="s">
        <v>22</v>
      </c>
      <c r="I1919" s="1" t="s">
        <v>65</v>
      </c>
      <c r="L1919" s="1">
        <v>1.4503773773020921E-4</v>
      </c>
    </row>
    <row r="1920" spans="4:12">
      <c r="D1920" s="1" t="s">
        <v>199</v>
      </c>
      <c r="E1920" s="1" t="s">
        <v>1000</v>
      </c>
      <c r="F1920" s="1" t="s">
        <v>56</v>
      </c>
      <c r="G1920" s="1" t="s">
        <v>57</v>
      </c>
      <c r="H1920" s="1" t="s">
        <v>22</v>
      </c>
      <c r="I1920" s="1" t="s">
        <v>65</v>
      </c>
      <c r="L1920" s="1">
        <v>1.4503773773020921E-4</v>
      </c>
    </row>
    <row r="1921" spans="4:13">
      <c r="D1921" s="1" t="s">
        <v>199</v>
      </c>
      <c r="E1921" s="1" t="s">
        <v>1001</v>
      </c>
      <c r="F1921" s="1" t="s">
        <v>56</v>
      </c>
      <c r="G1921" s="1" t="s">
        <v>57</v>
      </c>
      <c r="H1921" s="1" t="s">
        <v>22</v>
      </c>
      <c r="I1921" s="1" t="s">
        <v>65</v>
      </c>
      <c r="L1921" s="1">
        <v>1.4503773773020921E-4</v>
      </c>
    </row>
    <row r="1922" spans="4:13">
      <c r="D1922" s="1" t="s">
        <v>199</v>
      </c>
      <c r="E1922" s="1" t="s">
        <v>1002</v>
      </c>
      <c r="F1922" s="1" t="s">
        <v>124</v>
      </c>
      <c r="G1922" s="1" t="s">
        <v>125</v>
      </c>
      <c r="H1922" s="1" t="s">
        <v>22</v>
      </c>
      <c r="I1922" s="1" t="s">
        <v>120</v>
      </c>
      <c r="L1922" s="1">
        <v>35.314666699999997</v>
      </c>
    </row>
    <row r="1923" spans="4:13">
      <c r="D1923" s="1" t="s">
        <v>199</v>
      </c>
      <c r="E1923" s="1" t="s">
        <v>1003</v>
      </c>
      <c r="H1923" s="1" t="s">
        <v>22</v>
      </c>
      <c r="I1923" s="1" t="s">
        <v>65</v>
      </c>
      <c r="L1923" s="1">
        <v>1</v>
      </c>
    </row>
    <row r="1924" spans="4:13">
      <c r="D1924" s="1" t="s">
        <v>199</v>
      </c>
      <c r="E1924" s="1" t="s">
        <v>1004</v>
      </c>
      <c r="H1924" s="1" t="s">
        <v>22</v>
      </c>
      <c r="I1924" s="1" t="s">
        <v>65</v>
      </c>
      <c r="L1924" s="1">
        <v>1</v>
      </c>
    </row>
    <row r="1925" spans="4:13">
      <c r="D1925" s="1" t="s">
        <v>199</v>
      </c>
      <c r="E1925" s="1" t="s">
        <v>1005</v>
      </c>
      <c r="H1925" s="1" t="s">
        <v>22</v>
      </c>
      <c r="I1925" s="1" t="s">
        <v>65</v>
      </c>
      <c r="L1925" s="1">
        <v>1</v>
      </c>
    </row>
    <row r="1926" spans="4:13">
      <c r="D1926" s="1" t="s">
        <v>199</v>
      </c>
      <c r="E1926" s="1" t="s">
        <v>1006</v>
      </c>
      <c r="H1926" s="1" t="s">
        <v>22</v>
      </c>
      <c r="I1926" s="1" t="s">
        <v>65</v>
      </c>
      <c r="L1926" s="1">
        <v>1</v>
      </c>
    </row>
    <row r="1927" spans="4:13">
      <c r="D1927" s="1" t="s">
        <v>199</v>
      </c>
      <c r="E1927" s="1" t="s">
        <v>1007</v>
      </c>
      <c r="H1927" s="1" t="s">
        <v>25</v>
      </c>
      <c r="I1927" s="1" t="s">
        <v>23</v>
      </c>
      <c r="M1927" s="1" t="b">
        <v>1</v>
      </c>
    </row>
    <row r="1928" spans="4:13">
      <c r="D1928" s="1" t="s">
        <v>199</v>
      </c>
      <c r="E1928" s="1" t="s">
        <v>1008</v>
      </c>
      <c r="H1928" s="1" t="s">
        <v>25</v>
      </c>
      <c r="I1928" s="1" t="s">
        <v>23</v>
      </c>
      <c r="M1928" s="1" t="b">
        <v>1</v>
      </c>
    </row>
    <row r="1929" spans="4:13">
      <c r="D1929" s="1" t="s">
        <v>199</v>
      </c>
      <c r="E1929" s="1" t="s">
        <v>1009</v>
      </c>
      <c r="H1929" s="1" t="s">
        <v>25</v>
      </c>
      <c r="I1929" s="1" t="s">
        <v>23</v>
      </c>
      <c r="M1929" s="1" t="b">
        <v>1</v>
      </c>
    </row>
    <row r="1930" spans="4:13">
      <c r="D1930" s="1" t="s">
        <v>199</v>
      </c>
      <c r="E1930" s="1" t="s">
        <v>1010</v>
      </c>
      <c r="H1930" s="1" t="s">
        <v>25</v>
      </c>
      <c r="I1930" s="1" t="s">
        <v>23</v>
      </c>
      <c r="M1930" s="1" t="b">
        <v>0</v>
      </c>
    </row>
    <row r="1931" spans="4:13">
      <c r="D1931" s="1" t="s">
        <v>199</v>
      </c>
      <c r="E1931" s="1" t="s">
        <v>1011</v>
      </c>
      <c r="H1931" s="1" t="s">
        <v>25</v>
      </c>
      <c r="I1931" s="1" t="s">
        <v>23</v>
      </c>
      <c r="M1931" s="1" t="b">
        <v>0</v>
      </c>
    </row>
    <row r="1932" spans="4:13">
      <c r="D1932" s="1" t="s">
        <v>199</v>
      </c>
      <c r="E1932" s="1" t="s">
        <v>1012</v>
      </c>
      <c r="H1932" s="1" t="s">
        <v>25</v>
      </c>
      <c r="I1932" s="1" t="s">
        <v>23</v>
      </c>
      <c r="M1932" s="1" t="b">
        <v>0</v>
      </c>
    </row>
    <row r="1933" spans="4:13">
      <c r="D1933" s="1" t="s">
        <v>199</v>
      </c>
      <c r="E1933" s="1" t="s">
        <v>1013</v>
      </c>
      <c r="H1933" s="1" t="s">
        <v>25</v>
      </c>
      <c r="I1933" s="1" t="s">
        <v>23</v>
      </c>
      <c r="M1933" s="1" t="b">
        <v>0</v>
      </c>
    </row>
    <row r="1934" spans="4:13">
      <c r="D1934" s="1" t="s">
        <v>1014</v>
      </c>
      <c r="E1934" s="1" t="s">
        <v>1015</v>
      </c>
      <c r="F1934" s="1" t="s">
        <v>176</v>
      </c>
      <c r="G1934" s="1" t="s">
        <v>177</v>
      </c>
      <c r="H1934" s="1" t="s">
        <v>22</v>
      </c>
      <c r="I1934" s="1" t="s">
        <v>23</v>
      </c>
      <c r="J1934" s="1">
        <v>0</v>
      </c>
      <c r="L1934" s="1">
        <v>39.370078740157467</v>
      </c>
      <c r="M1934" s="1">
        <v>0.24803149606299205</v>
      </c>
    </row>
    <row r="1935" spans="4:13">
      <c r="D1935" s="1" t="s">
        <v>1014</v>
      </c>
      <c r="E1935" s="1" t="s">
        <v>1016</v>
      </c>
      <c r="F1935" s="1" t="s">
        <v>176</v>
      </c>
      <c r="G1935" s="1" t="s">
        <v>177</v>
      </c>
      <c r="H1935" s="1" t="s">
        <v>22</v>
      </c>
      <c r="I1935" s="1" t="s">
        <v>23</v>
      </c>
      <c r="L1935" s="1">
        <v>39.370078740157467</v>
      </c>
      <c r="M1935" s="1">
        <v>0</v>
      </c>
    </row>
    <row r="1936" spans="4:13">
      <c r="D1936" s="1" t="s">
        <v>1014</v>
      </c>
      <c r="E1936" s="1" t="s">
        <v>1017</v>
      </c>
      <c r="F1936" s="1" t="s">
        <v>41</v>
      </c>
      <c r="G1936" s="1" t="s">
        <v>42</v>
      </c>
      <c r="H1936" s="1" t="s">
        <v>22</v>
      </c>
      <c r="I1936" s="1" t="s">
        <v>23</v>
      </c>
      <c r="J1936" s="1">
        <v>0</v>
      </c>
      <c r="K1936" s="1">
        <v>27</v>
      </c>
      <c r="L1936" s="1">
        <v>1.8</v>
      </c>
      <c r="M1936" s="1">
        <v>0.9</v>
      </c>
    </row>
    <row r="1937" spans="1:13">
      <c r="D1937" s="1" t="s">
        <v>1014</v>
      </c>
      <c r="E1937" s="1" t="s">
        <v>1018</v>
      </c>
      <c r="H1937" s="1" t="s">
        <v>25</v>
      </c>
      <c r="I1937" s="1" t="s">
        <v>23</v>
      </c>
      <c r="M1937" s="1" t="b">
        <v>0</v>
      </c>
    </row>
    <row r="1938" spans="1:13">
      <c r="D1938" s="1" t="s">
        <v>1014</v>
      </c>
      <c r="E1938" s="1" t="s">
        <v>1019</v>
      </c>
      <c r="F1938" s="1" t="s">
        <v>41</v>
      </c>
      <c r="G1938" s="1" t="s">
        <v>42</v>
      </c>
      <c r="H1938" s="1" t="s">
        <v>22</v>
      </c>
      <c r="I1938" s="1" t="s">
        <v>23</v>
      </c>
      <c r="J1938" s="1">
        <v>0</v>
      </c>
      <c r="K1938" s="1">
        <v>27</v>
      </c>
      <c r="L1938" s="1">
        <v>1.8</v>
      </c>
      <c r="M1938" s="1">
        <v>0.9</v>
      </c>
    </row>
    <row r="1939" spans="1:13">
      <c r="D1939" s="1" t="s">
        <v>1014</v>
      </c>
      <c r="E1939" s="1" t="s">
        <v>1020</v>
      </c>
      <c r="F1939" s="1" t="s">
        <v>176</v>
      </c>
      <c r="G1939" s="1" t="s">
        <v>177</v>
      </c>
      <c r="H1939" s="1" t="s">
        <v>22</v>
      </c>
      <c r="I1939" s="1" t="s">
        <v>23</v>
      </c>
      <c r="L1939" s="1">
        <v>39.370078740157467</v>
      </c>
      <c r="M1939" s="1">
        <v>0.8748031496062989</v>
      </c>
    </row>
    <row r="1940" spans="1:13">
      <c r="D1940" s="1" t="s">
        <v>1014</v>
      </c>
      <c r="E1940" s="1" t="s">
        <v>1021</v>
      </c>
      <c r="F1940" s="1" t="s">
        <v>176</v>
      </c>
      <c r="G1940" s="1" t="s">
        <v>177</v>
      </c>
      <c r="H1940" s="1" t="s">
        <v>22</v>
      </c>
      <c r="I1940" s="1" t="s">
        <v>23</v>
      </c>
      <c r="L1940" s="1">
        <v>39.370078740157467</v>
      </c>
      <c r="M1940" s="1">
        <v>1.5157480314960625</v>
      </c>
    </row>
    <row r="1941" spans="1:13">
      <c r="A1941" s="2" t="s">
        <v>1721</v>
      </c>
      <c r="B1941" s="3" t="s">
        <v>1732</v>
      </c>
      <c r="D1941" s="1" t="s">
        <v>1014</v>
      </c>
      <c r="E1941" s="1" t="s">
        <v>1022</v>
      </c>
      <c r="F1941" s="1" t="s">
        <v>143</v>
      </c>
      <c r="G1941" s="1" t="s">
        <v>144</v>
      </c>
      <c r="H1941" s="1" t="s">
        <v>22</v>
      </c>
      <c r="I1941" s="1" t="s">
        <v>23</v>
      </c>
      <c r="J1941" s="1">
        <v>0</v>
      </c>
      <c r="K1941" s="1">
        <v>9.9937434836636016E-3</v>
      </c>
      <c r="L1941" s="1">
        <v>5.6782633429906824</v>
      </c>
      <c r="M1941" s="1">
        <v>2.4984358709159E-4</v>
      </c>
    </row>
    <row r="1942" spans="1:13">
      <c r="D1942" s="1" t="s">
        <v>1014</v>
      </c>
      <c r="E1942" s="1" t="s">
        <v>1023</v>
      </c>
      <c r="F1942" s="1" t="s">
        <v>35</v>
      </c>
      <c r="G1942" s="1" t="s">
        <v>36</v>
      </c>
      <c r="H1942" s="1" t="s">
        <v>22</v>
      </c>
      <c r="I1942" s="1" t="s">
        <v>23</v>
      </c>
      <c r="J1942" s="1">
        <v>-99.670000000000016</v>
      </c>
      <c r="K1942" s="1">
        <v>211.99999999999994</v>
      </c>
      <c r="L1942" s="1">
        <v>80.329999999999984</v>
      </c>
      <c r="M1942" s="1">
        <v>85.999999999999943</v>
      </c>
    </row>
    <row r="1943" spans="1:13">
      <c r="D1943" s="1" t="s">
        <v>1014</v>
      </c>
      <c r="E1943" s="1" t="s">
        <v>1024</v>
      </c>
      <c r="F1943" s="1" t="s">
        <v>35</v>
      </c>
      <c r="G1943" s="1" t="s">
        <v>36</v>
      </c>
      <c r="H1943" s="1" t="s">
        <v>22</v>
      </c>
      <c r="I1943" s="1" t="s">
        <v>23</v>
      </c>
      <c r="J1943" s="1">
        <v>-99.670000000000016</v>
      </c>
      <c r="K1943" s="1">
        <v>211.99999999999994</v>
      </c>
      <c r="L1943" s="1">
        <v>80.329999999999984</v>
      </c>
      <c r="M1943" s="1">
        <v>94.999999999999943</v>
      </c>
    </row>
    <row r="1944" spans="1:13">
      <c r="D1944" s="1" t="s">
        <v>1014</v>
      </c>
      <c r="E1944" s="1" t="s">
        <v>1025</v>
      </c>
      <c r="F1944" s="1" t="s">
        <v>41</v>
      </c>
      <c r="G1944" s="1" t="s">
        <v>42</v>
      </c>
      <c r="H1944" s="1" t="s">
        <v>22</v>
      </c>
      <c r="I1944" s="1" t="s">
        <v>23</v>
      </c>
      <c r="J1944" s="1">
        <v>0</v>
      </c>
      <c r="K1944" s="1">
        <v>36</v>
      </c>
      <c r="L1944" s="1">
        <v>1.8</v>
      </c>
      <c r="M1944" s="1">
        <v>3.6</v>
      </c>
    </row>
    <row r="1945" spans="1:13">
      <c r="D1945" s="1" t="s">
        <v>1014</v>
      </c>
      <c r="E1945" s="1" t="s">
        <v>163</v>
      </c>
      <c r="H1945" s="1" t="s">
        <v>22</v>
      </c>
      <c r="I1945" s="1" t="s">
        <v>23</v>
      </c>
      <c r="J1945" s="1">
        <v>0</v>
      </c>
      <c r="K1945" s="1">
        <v>1</v>
      </c>
      <c r="L1945" s="1">
        <v>0.1</v>
      </c>
      <c r="M1945" s="1">
        <v>0.2</v>
      </c>
    </row>
    <row r="1946" spans="1:13">
      <c r="D1946" s="1" t="s">
        <v>1014</v>
      </c>
      <c r="E1946" s="1" t="s">
        <v>1026</v>
      </c>
      <c r="H1946" s="1" t="s">
        <v>22</v>
      </c>
      <c r="I1946" s="1" t="s">
        <v>23</v>
      </c>
      <c r="J1946" s="1">
        <v>0.5</v>
      </c>
      <c r="K1946" s="1">
        <v>2</v>
      </c>
      <c r="L1946" s="1">
        <v>1</v>
      </c>
      <c r="M1946" s="1">
        <v>1</v>
      </c>
    </row>
    <row r="1947" spans="1:13">
      <c r="D1947" s="1" t="s">
        <v>1014</v>
      </c>
      <c r="E1947" s="1" t="s">
        <v>1027</v>
      </c>
      <c r="H1947" s="1" t="s">
        <v>22</v>
      </c>
      <c r="I1947" s="1" t="s">
        <v>23</v>
      </c>
      <c r="J1947" s="1">
        <v>0.5</v>
      </c>
      <c r="K1947" s="1">
        <v>2</v>
      </c>
      <c r="L1947" s="1">
        <v>1</v>
      </c>
      <c r="M1947" s="1">
        <v>1</v>
      </c>
    </row>
    <row r="1948" spans="1:13">
      <c r="D1948" s="1" t="s">
        <v>1014</v>
      </c>
      <c r="E1948" s="1" t="s">
        <v>1028</v>
      </c>
      <c r="H1948" s="1" t="s">
        <v>25</v>
      </c>
      <c r="I1948" s="1" t="s">
        <v>23</v>
      </c>
      <c r="M1948" s="1" t="b">
        <v>1</v>
      </c>
    </row>
    <row r="1949" spans="1:13">
      <c r="D1949" s="1" t="s">
        <v>1014</v>
      </c>
      <c r="E1949" s="1" t="s">
        <v>1029</v>
      </c>
      <c r="H1949" s="1" t="s">
        <v>25</v>
      </c>
      <c r="I1949" s="1" t="s">
        <v>23</v>
      </c>
      <c r="M1949" s="1" t="b">
        <v>1</v>
      </c>
    </row>
    <row r="1950" spans="1:13">
      <c r="D1950" s="1" t="s">
        <v>1014</v>
      </c>
      <c r="E1950" s="1" t="s">
        <v>1030</v>
      </c>
      <c r="H1950" s="1" t="s">
        <v>22</v>
      </c>
      <c r="I1950" s="1" t="s">
        <v>23</v>
      </c>
      <c r="J1950" s="1">
        <v>0.5</v>
      </c>
      <c r="K1950" s="1">
        <v>2</v>
      </c>
      <c r="L1950" s="1">
        <v>1</v>
      </c>
      <c r="M1950" s="1">
        <v>1</v>
      </c>
    </row>
    <row r="1951" spans="1:13">
      <c r="D1951" s="1" t="s">
        <v>1014</v>
      </c>
      <c r="E1951" s="1" t="s">
        <v>1031</v>
      </c>
      <c r="H1951" s="1" t="s">
        <v>25</v>
      </c>
      <c r="I1951" s="1" t="s">
        <v>23</v>
      </c>
      <c r="M1951" s="1" t="b">
        <v>1</v>
      </c>
    </row>
    <row r="1952" spans="1:13">
      <c r="D1952" s="1" t="s">
        <v>1014</v>
      </c>
      <c r="E1952" s="1" t="s">
        <v>1032</v>
      </c>
      <c r="H1952" s="1" t="s">
        <v>22</v>
      </c>
      <c r="I1952" s="1" t="s">
        <v>23</v>
      </c>
      <c r="J1952" s="1">
        <v>0.5</v>
      </c>
      <c r="K1952" s="1">
        <v>2</v>
      </c>
      <c r="L1952" s="1">
        <v>1</v>
      </c>
      <c r="M1952" s="1">
        <v>1</v>
      </c>
    </row>
    <row r="1953" spans="4:13">
      <c r="D1953" s="1" t="s">
        <v>1014</v>
      </c>
      <c r="E1953" s="1" t="s">
        <v>1033</v>
      </c>
      <c r="H1953" s="1" t="s">
        <v>25</v>
      </c>
      <c r="I1953" s="1" t="s">
        <v>23</v>
      </c>
      <c r="M1953" s="1" t="b">
        <v>1</v>
      </c>
    </row>
    <row r="1954" spans="4:13">
      <c r="D1954" s="1" t="s">
        <v>1014</v>
      </c>
      <c r="E1954" s="1" t="s">
        <v>1034</v>
      </c>
      <c r="H1954" s="1" t="s">
        <v>22</v>
      </c>
      <c r="I1954" s="1" t="s">
        <v>23</v>
      </c>
      <c r="J1954" s="1">
        <v>0.5</v>
      </c>
      <c r="K1954" s="1">
        <v>2</v>
      </c>
      <c r="L1954" s="1">
        <v>1</v>
      </c>
      <c r="M1954" s="1">
        <v>1</v>
      </c>
    </row>
    <row r="1955" spans="4:13">
      <c r="D1955" s="1" t="s">
        <v>1014</v>
      </c>
      <c r="E1955" s="1" t="s">
        <v>1035</v>
      </c>
      <c r="H1955" s="1" t="s">
        <v>25</v>
      </c>
      <c r="I1955" s="1" t="s">
        <v>23</v>
      </c>
      <c r="M1955" s="1" t="b">
        <v>1</v>
      </c>
    </row>
    <row r="1956" spans="4:13">
      <c r="D1956" s="1" t="s">
        <v>1014</v>
      </c>
      <c r="E1956" s="1" t="s">
        <v>1036</v>
      </c>
      <c r="H1956" s="1" t="s">
        <v>22</v>
      </c>
      <c r="I1956" s="1" t="s">
        <v>23</v>
      </c>
      <c r="J1956" s="1">
        <v>0.5</v>
      </c>
      <c r="K1956" s="1">
        <v>2</v>
      </c>
      <c r="L1956" s="1">
        <v>1</v>
      </c>
      <c r="M1956" s="1">
        <v>1</v>
      </c>
    </row>
    <row r="1957" spans="4:13">
      <c r="D1957" s="1" t="s">
        <v>1014</v>
      </c>
      <c r="E1957" s="1" t="s">
        <v>1037</v>
      </c>
      <c r="H1957" s="1" t="s">
        <v>25</v>
      </c>
      <c r="I1957" s="1" t="s">
        <v>23</v>
      </c>
      <c r="M1957" s="1" t="b">
        <v>1</v>
      </c>
    </row>
    <row r="1958" spans="4:13">
      <c r="D1958" s="1" t="s">
        <v>1014</v>
      </c>
      <c r="E1958" s="1" t="s">
        <v>1038</v>
      </c>
      <c r="H1958" s="1" t="s">
        <v>22</v>
      </c>
      <c r="I1958" s="1" t="s">
        <v>23</v>
      </c>
      <c r="J1958" s="1">
        <v>0.5</v>
      </c>
      <c r="K1958" s="1">
        <v>2</v>
      </c>
      <c r="L1958" s="1">
        <v>1</v>
      </c>
      <c r="M1958" s="1">
        <v>1</v>
      </c>
    </row>
    <row r="1959" spans="4:13">
      <c r="D1959" s="1" t="s">
        <v>1014</v>
      </c>
      <c r="E1959" s="1" t="s">
        <v>1039</v>
      </c>
      <c r="H1959" s="1" t="s">
        <v>25</v>
      </c>
      <c r="I1959" s="1" t="s">
        <v>23</v>
      </c>
      <c r="M1959" s="1" t="b">
        <v>1</v>
      </c>
    </row>
    <row r="1960" spans="4:13">
      <c r="D1960" s="1" t="s">
        <v>1014</v>
      </c>
      <c r="E1960" s="1" t="s">
        <v>1040</v>
      </c>
      <c r="F1960" s="1" t="s">
        <v>1041</v>
      </c>
      <c r="G1960" s="1" t="s">
        <v>1042</v>
      </c>
      <c r="H1960" s="1" t="s">
        <v>22</v>
      </c>
      <c r="I1960" s="1" t="s">
        <v>23</v>
      </c>
      <c r="J1960" s="1">
        <v>1.7611018362408509E-2</v>
      </c>
      <c r="K1960" s="1">
        <v>88.055091812042548</v>
      </c>
      <c r="L1960" s="1">
        <v>0.17611018362408509</v>
      </c>
      <c r="M1960" s="1">
        <v>0</v>
      </c>
    </row>
    <row r="1961" spans="4:13">
      <c r="D1961" s="1" t="s">
        <v>1014</v>
      </c>
      <c r="E1961" s="1" t="s">
        <v>1043</v>
      </c>
      <c r="F1961" s="1" t="s">
        <v>1044</v>
      </c>
      <c r="G1961" s="1" t="s">
        <v>1045</v>
      </c>
      <c r="H1961" s="1" t="s">
        <v>22</v>
      </c>
      <c r="I1961" s="1" t="s">
        <v>23</v>
      </c>
      <c r="L1961" s="1">
        <v>57.29577951308238</v>
      </c>
      <c r="M1961" s="1">
        <v>30.000000000000028</v>
      </c>
    </row>
    <row r="1962" spans="4:13">
      <c r="D1962" s="1" t="s">
        <v>1014</v>
      </c>
      <c r="E1962" s="1" t="s">
        <v>1046</v>
      </c>
      <c r="F1962" s="1" t="s">
        <v>1044</v>
      </c>
      <c r="G1962" s="1" t="s">
        <v>1045</v>
      </c>
      <c r="H1962" s="1" t="s">
        <v>22</v>
      </c>
      <c r="I1962" s="1" t="s">
        <v>23</v>
      </c>
      <c r="L1962" s="1">
        <v>57.29577951308238</v>
      </c>
      <c r="M1962" s="1">
        <v>30.000000000000028</v>
      </c>
    </row>
    <row r="1963" spans="4:13">
      <c r="D1963" s="1" t="s">
        <v>1014</v>
      </c>
      <c r="E1963" s="1" t="s">
        <v>1047</v>
      </c>
      <c r="H1963" s="1" t="s">
        <v>22</v>
      </c>
      <c r="I1963" s="1" t="s">
        <v>29</v>
      </c>
      <c r="J1963" s="1">
        <v>0.1</v>
      </c>
      <c r="K1963" s="1">
        <v>10</v>
      </c>
      <c r="L1963" s="1">
        <v>5.05</v>
      </c>
    </row>
    <row r="1964" spans="4:13">
      <c r="D1964" s="1" t="s">
        <v>1014</v>
      </c>
      <c r="E1964" s="1" t="s">
        <v>1048</v>
      </c>
      <c r="H1964" s="1" t="s">
        <v>22</v>
      </c>
      <c r="I1964" s="1" t="s">
        <v>29</v>
      </c>
      <c r="J1964" s="1">
        <v>0.1</v>
      </c>
      <c r="K1964" s="1">
        <v>10</v>
      </c>
      <c r="L1964" s="1">
        <v>5.05</v>
      </c>
    </row>
    <row r="1965" spans="4:13">
      <c r="D1965" s="1" t="s">
        <v>1014</v>
      </c>
      <c r="E1965" s="1" t="s">
        <v>1049</v>
      </c>
      <c r="H1965" s="1" t="s">
        <v>22</v>
      </c>
      <c r="I1965" s="1" t="s">
        <v>29</v>
      </c>
      <c r="J1965" s="1">
        <v>0.1</v>
      </c>
      <c r="K1965" s="1">
        <v>10</v>
      </c>
      <c r="L1965" s="1">
        <v>5.05</v>
      </c>
    </row>
    <row r="1966" spans="4:13">
      <c r="D1966" s="1" t="s">
        <v>1014</v>
      </c>
      <c r="E1966" s="1" t="s">
        <v>1050</v>
      </c>
      <c r="H1966" s="1" t="s">
        <v>22</v>
      </c>
      <c r="I1966" s="1" t="s">
        <v>29</v>
      </c>
      <c r="J1966" s="1">
        <v>0.1</v>
      </c>
      <c r="K1966" s="1">
        <v>10</v>
      </c>
      <c r="L1966" s="1">
        <v>5.05</v>
      </c>
    </row>
    <row r="1967" spans="4:13">
      <c r="D1967" s="1" t="s">
        <v>1014</v>
      </c>
      <c r="E1967" s="1" t="s">
        <v>1051</v>
      </c>
      <c r="H1967" s="1" t="s">
        <v>22</v>
      </c>
      <c r="I1967" s="1" t="s">
        <v>29</v>
      </c>
      <c r="J1967" s="1">
        <v>0.1</v>
      </c>
      <c r="K1967" s="1">
        <v>10</v>
      </c>
      <c r="L1967" s="1">
        <v>5.05</v>
      </c>
    </row>
    <row r="1968" spans="4:13">
      <c r="D1968" s="1" t="s">
        <v>1014</v>
      </c>
      <c r="E1968" s="1" t="s">
        <v>1052</v>
      </c>
      <c r="H1968" s="1" t="s">
        <v>22</v>
      </c>
      <c r="I1968" s="1" t="s">
        <v>29</v>
      </c>
      <c r="J1968" s="1">
        <v>0.1</v>
      </c>
      <c r="K1968" s="1">
        <v>10</v>
      </c>
      <c r="L1968" s="1">
        <v>5.05</v>
      </c>
    </row>
    <row r="1969" spans="4:13">
      <c r="D1969" s="1" t="s">
        <v>1014</v>
      </c>
      <c r="E1969" s="1" t="s">
        <v>1053</v>
      </c>
      <c r="H1969" s="1" t="s">
        <v>22</v>
      </c>
      <c r="I1969" s="1" t="s">
        <v>29</v>
      </c>
      <c r="J1969" s="1">
        <v>0.1</v>
      </c>
      <c r="K1969" s="1">
        <v>10</v>
      </c>
      <c r="L1969" s="1">
        <v>5.05</v>
      </c>
    </row>
    <row r="1970" spans="4:13">
      <c r="D1970" s="1" t="s">
        <v>1014</v>
      </c>
      <c r="E1970" s="1" t="s">
        <v>1054</v>
      </c>
      <c r="F1970" s="1" t="s">
        <v>147</v>
      </c>
      <c r="G1970" s="1" t="s">
        <v>148</v>
      </c>
      <c r="H1970" s="1" t="s">
        <v>22</v>
      </c>
      <c r="I1970" s="1" t="s">
        <v>23</v>
      </c>
      <c r="J1970" s="1">
        <v>0</v>
      </c>
      <c r="K1970" s="1">
        <v>68242832.702662006</v>
      </c>
      <c r="L1970" s="1">
        <v>3.4121416351331</v>
      </c>
      <c r="M1970" s="1">
        <v>3412141.6351331002</v>
      </c>
    </row>
    <row r="1971" spans="4:13">
      <c r="D1971" s="1" t="s">
        <v>1014</v>
      </c>
      <c r="E1971" s="1" t="s">
        <v>1055</v>
      </c>
      <c r="H1971" s="1" t="s">
        <v>25</v>
      </c>
      <c r="I1971" s="1" t="s">
        <v>23</v>
      </c>
      <c r="M1971" s="1" t="b">
        <v>0</v>
      </c>
    </row>
    <row r="1972" spans="4:13">
      <c r="D1972" s="1" t="s">
        <v>1014</v>
      </c>
      <c r="E1972" s="1" t="s">
        <v>1056</v>
      </c>
      <c r="F1972" s="1" t="s">
        <v>56</v>
      </c>
      <c r="G1972" s="1" t="s">
        <v>57</v>
      </c>
      <c r="H1972" s="1" t="s">
        <v>22</v>
      </c>
      <c r="I1972" s="1" t="s">
        <v>23</v>
      </c>
      <c r="L1972" s="1">
        <v>1.4503773773020921E-4</v>
      </c>
      <c r="M1972" s="1">
        <v>0.72518868865104602</v>
      </c>
    </row>
    <row r="1973" spans="4:13">
      <c r="D1973" s="1" t="s">
        <v>1014</v>
      </c>
      <c r="E1973" s="1" t="s">
        <v>1057</v>
      </c>
      <c r="H1973" s="1" t="s">
        <v>25</v>
      </c>
      <c r="I1973" s="1" t="s">
        <v>23</v>
      </c>
      <c r="M1973" s="1" t="b">
        <v>0</v>
      </c>
    </row>
    <row r="1974" spans="4:13">
      <c r="D1974" s="1" t="s">
        <v>1014</v>
      </c>
      <c r="E1974" s="1" t="s">
        <v>1058</v>
      </c>
      <c r="F1974" s="1" t="s">
        <v>56</v>
      </c>
      <c r="G1974" s="1" t="s">
        <v>57</v>
      </c>
      <c r="H1974" s="1" t="s">
        <v>22</v>
      </c>
      <c r="I1974" s="1" t="s">
        <v>29</v>
      </c>
      <c r="J1974" s="1">
        <v>4.9312830828271128</v>
      </c>
      <c r="K1974" s="1">
        <v>623.66227223989961</v>
      </c>
      <c r="L1974" s="1">
        <v>50.713895374744951</v>
      </c>
    </row>
    <row r="1975" spans="4:13">
      <c r="D1975" s="1" t="s">
        <v>1014</v>
      </c>
      <c r="E1975" s="1" t="s">
        <v>1059</v>
      </c>
      <c r="F1975" s="1" t="s">
        <v>45</v>
      </c>
      <c r="G1975" s="1" t="s">
        <v>46</v>
      </c>
      <c r="H1975" s="1" t="s">
        <v>22</v>
      </c>
      <c r="I1975" s="1" t="s">
        <v>29</v>
      </c>
      <c r="J1975" s="1">
        <v>-6.3932502128443591</v>
      </c>
      <c r="K1975" s="1">
        <v>358.61435929656</v>
      </c>
      <c r="L1975" s="1">
        <v>114.79148749423418</v>
      </c>
    </row>
    <row r="1976" spans="4:13">
      <c r="D1976" s="1" t="s">
        <v>1014</v>
      </c>
      <c r="E1976" s="1" t="s">
        <v>1060</v>
      </c>
      <c r="F1976" s="1" t="s">
        <v>56</v>
      </c>
      <c r="G1976" s="1" t="s">
        <v>57</v>
      </c>
      <c r="H1976" s="1" t="s">
        <v>22</v>
      </c>
      <c r="I1976" s="1" t="s">
        <v>29</v>
      </c>
      <c r="J1976" s="1">
        <v>4.9312830828271128</v>
      </c>
      <c r="K1976" s="1">
        <v>623.66227223989961</v>
      </c>
      <c r="L1976" s="1">
        <v>50.713895374744951</v>
      </c>
    </row>
    <row r="1977" spans="4:13">
      <c r="D1977" s="1" t="s">
        <v>1014</v>
      </c>
      <c r="E1977" s="1" t="s">
        <v>1061</v>
      </c>
      <c r="H1977" s="1" t="s">
        <v>22</v>
      </c>
      <c r="I1977" s="1" t="s">
        <v>29</v>
      </c>
      <c r="L1977" s="1">
        <v>1</v>
      </c>
    </row>
    <row r="1978" spans="4:13">
      <c r="D1978" s="1" t="s">
        <v>1014</v>
      </c>
      <c r="E1978" s="1" t="s">
        <v>1062</v>
      </c>
      <c r="F1978" s="1" t="s">
        <v>176</v>
      </c>
      <c r="G1978" s="1" t="s">
        <v>177</v>
      </c>
      <c r="H1978" s="1" t="s">
        <v>22</v>
      </c>
      <c r="I1978" s="1" t="s">
        <v>23</v>
      </c>
      <c r="J1978" s="1">
        <v>0</v>
      </c>
      <c r="L1978" s="1">
        <v>39.370078740157467</v>
      </c>
      <c r="M1978" s="1">
        <v>0.19685039370078733</v>
      </c>
    </row>
    <row r="1979" spans="4:13">
      <c r="D1979" s="1" t="s">
        <v>1014</v>
      </c>
      <c r="E1979" s="1" t="s">
        <v>1063</v>
      </c>
      <c r="F1979" s="1" t="s">
        <v>176</v>
      </c>
      <c r="G1979" s="1" t="s">
        <v>177</v>
      </c>
      <c r="H1979" s="1" t="s">
        <v>22</v>
      </c>
      <c r="I1979" s="1" t="s">
        <v>23</v>
      </c>
      <c r="J1979" s="1">
        <v>0</v>
      </c>
      <c r="L1979" s="1">
        <v>39.370078740157467</v>
      </c>
      <c r="M1979" s="1">
        <v>0.78740157480314932</v>
      </c>
    </row>
    <row r="1980" spans="4:13">
      <c r="D1980" s="1" t="s">
        <v>1014</v>
      </c>
      <c r="E1980" s="1" t="s">
        <v>1064</v>
      </c>
      <c r="F1980" s="1" t="s">
        <v>176</v>
      </c>
      <c r="G1980" s="1" t="s">
        <v>177</v>
      </c>
      <c r="H1980" s="1" t="s">
        <v>22</v>
      </c>
      <c r="I1980" s="1" t="s">
        <v>23</v>
      </c>
      <c r="J1980" s="1">
        <v>0</v>
      </c>
      <c r="L1980" s="1">
        <v>39.370078740157467</v>
      </c>
      <c r="M1980" s="1">
        <v>0.39370078740157466</v>
      </c>
    </row>
    <row r="1981" spans="4:13">
      <c r="D1981" s="1" t="s">
        <v>1014</v>
      </c>
      <c r="E1981" s="1" t="s">
        <v>1065</v>
      </c>
      <c r="F1981" s="1" t="s">
        <v>56</v>
      </c>
      <c r="G1981" s="1" t="s">
        <v>57</v>
      </c>
      <c r="H1981" s="1" t="s">
        <v>22</v>
      </c>
      <c r="I1981" s="1" t="s">
        <v>29</v>
      </c>
      <c r="J1981" s="1">
        <v>4.9312830828271128</v>
      </c>
      <c r="K1981" s="1">
        <v>623.66227223989961</v>
      </c>
      <c r="L1981" s="1">
        <v>50.713895374744951</v>
      </c>
    </row>
    <row r="1982" spans="4:13">
      <c r="D1982" s="1" t="s">
        <v>1014</v>
      </c>
      <c r="E1982" s="1" t="s">
        <v>1066</v>
      </c>
      <c r="H1982" s="1" t="s">
        <v>25</v>
      </c>
      <c r="I1982" s="1" t="s">
        <v>23</v>
      </c>
      <c r="M1982" s="1" t="b">
        <v>0</v>
      </c>
    </row>
    <row r="1983" spans="4:13">
      <c r="D1983" s="1" t="s">
        <v>1014</v>
      </c>
      <c r="E1983" s="1" t="s">
        <v>1067</v>
      </c>
      <c r="F1983" s="1" t="s">
        <v>176</v>
      </c>
      <c r="G1983" s="1" t="s">
        <v>177</v>
      </c>
      <c r="H1983" s="1" t="s">
        <v>22</v>
      </c>
      <c r="I1983" s="1" t="s">
        <v>23</v>
      </c>
      <c r="J1983" s="1">
        <v>0</v>
      </c>
      <c r="L1983" s="1">
        <v>39.370078740157467</v>
      </c>
      <c r="M1983" s="1">
        <v>0</v>
      </c>
    </row>
    <row r="1984" spans="4:13">
      <c r="D1984" s="1" t="s">
        <v>1014</v>
      </c>
      <c r="E1984" s="1" t="s">
        <v>1068</v>
      </c>
      <c r="F1984" s="1" t="s">
        <v>176</v>
      </c>
      <c r="G1984" s="1" t="s">
        <v>177</v>
      </c>
      <c r="H1984" s="1" t="s">
        <v>22</v>
      </c>
      <c r="I1984" s="1" t="s">
        <v>23</v>
      </c>
      <c r="J1984" s="1">
        <v>0</v>
      </c>
      <c r="L1984" s="1">
        <v>39.370078740157467</v>
      </c>
      <c r="M1984" s="1">
        <v>4.7244094488188955</v>
      </c>
    </row>
    <row r="1985" spans="4:13">
      <c r="D1985" s="1" t="s">
        <v>1014</v>
      </c>
      <c r="E1985" s="1" t="s">
        <v>47</v>
      </c>
      <c r="H1985" s="1" t="s">
        <v>25</v>
      </c>
      <c r="I1985" s="1" t="s">
        <v>23</v>
      </c>
      <c r="M1985" s="1" t="b">
        <v>0</v>
      </c>
    </row>
    <row r="1986" spans="4:13">
      <c r="D1986" s="1" t="s">
        <v>1014</v>
      </c>
      <c r="E1986" s="1" t="s">
        <v>1069</v>
      </c>
      <c r="H1986" s="1" t="s">
        <v>25</v>
      </c>
      <c r="I1986" s="1" t="s">
        <v>23</v>
      </c>
      <c r="M1986" s="1" t="b">
        <v>0</v>
      </c>
    </row>
    <row r="1987" spans="4:13">
      <c r="D1987" s="1" t="s">
        <v>1014</v>
      </c>
      <c r="E1987" s="1" t="s">
        <v>920</v>
      </c>
      <c r="H1987" s="1" t="s">
        <v>22</v>
      </c>
      <c r="I1987" s="1" t="s">
        <v>23</v>
      </c>
      <c r="J1987" s="1">
        <v>0</v>
      </c>
      <c r="K1987" s="1">
        <v>1</v>
      </c>
      <c r="L1987" s="1">
        <v>1</v>
      </c>
      <c r="M1987" s="1">
        <v>0</v>
      </c>
    </row>
    <row r="1988" spans="4:13">
      <c r="D1988" s="1" t="s">
        <v>1014</v>
      </c>
      <c r="E1988" s="1" t="s">
        <v>921</v>
      </c>
      <c r="H1988" s="1" t="s">
        <v>22</v>
      </c>
      <c r="I1988" s="1" t="s">
        <v>23</v>
      </c>
      <c r="J1988" s="1">
        <v>0</v>
      </c>
      <c r="K1988" s="1">
        <v>1</v>
      </c>
      <c r="L1988" s="1">
        <v>1</v>
      </c>
      <c r="M1988" s="1">
        <v>1</v>
      </c>
    </row>
    <row r="1989" spans="4:13">
      <c r="D1989" s="1" t="s">
        <v>1014</v>
      </c>
      <c r="E1989" s="1" t="s">
        <v>1070</v>
      </c>
      <c r="F1989" s="1" t="s">
        <v>1071</v>
      </c>
      <c r="G1989" s="1" t="s">
        <v>1072</v>
      </c>
      <c r="H1989" s="1" t="s">
        <v>22</v>
      </c>
      <c r="I1989" s="1" t="s">
        <v>23</v>
      </c>
      <c r="J1989" s="1">
        <v>5.7778931654299819E-4</v>
      </c>
      <c r="K1989" s="1">
        <v>0.57778931654299814</v>
      </c>
      <c r="L1989" s="1">
        <v>0.57778931654299814</v>
      </c>
      <c r="M1989" s="1">
        <v>2.1672877263527863E-2</v>
      </c>
    </row>
    <row r="1990" spans="4:13">
      <c r="D1990" s="1" t="s">
        <v>1014</v>
      </c>
      <c r="E1990" s="1" t="s">
        <v>1073</v>
      </c>
      <c r="H1990" s="1" t="s">
        <v>22</v>
      </c>
      <c r="I1990" s="1" t="s">
        <v>23</v>
      </c>
      <c r="J1990" s="1">
        <v>0.5</v>
      </c>
      <c r="K1990" s="1">
        <v>1</v>
      </c>
      <c r="L1990" s="1">
        <v>1</v>
      </c>
      <c r="M1990" s="1">
        <v>1</v>
      </c>
    </row>
    <row r="1991" spans="4:13">
      <c r="D1991" s="1" t="s">
        <v>1014</v>
      </c>
      <c r="E1991" s="1" t="s">
        <v>1074</v>
      </c>
      <c r="H1991" s="1" t="s">
        <v>25</v>
      </c>
      <c r="I1991" s="1" t="s">
        <v>23</v>
      </c>
      <c r="M1991" s="1" t="b">
        <v>0</v>
      </c>
    </row>
    <row r="1992" spans="4:13">
      <c r="D1992" s="1" t="s">
        <v>1014</v>
      </c>
      <c r="E1992" s="1" t="s">
        <v>1075</v>
      </c>
      <c r="H1992" s="1" t="s">
        <v>25</v>
      </c>
      <c r="I1992" s="1" t="s">
        <v>23</v>
      </c>
      <c r="M1992" s="1" t="b">
        <v>0</v>
      </c>
    </row>
    <row r="1993" spans="4:13">
      <c r="D1993" s="1" t="s">
        <v>1014</v>
      </c>
      <c r="E1993" s="1" t="s">
        <v>1076</v>
      </c>
      <c r="F1993" s="1" t="s">
        <v>118</v>
      </c>
      <c r="G1993" s="1" t="s">
        <v>119</v>
      </c>
      <c r="H1993" s="1" t="s">
        <v>22</v>
      </c>
      <c r="I1993" s="1" t="s">
        <v>23</v>
      </c>
      <c r="J1993" s="1">
        <v>0</v>
      </c>
      <c r="K1993" s="1">
        <v>6613.8678655499998</v>
      </c>
      <c r="L1993" s="1">
        <v>2.20462262185</v>
      </c>
      <c r="M1993" s="1">
        <v>440.92452437000003</v>
      </c>
    </row>
    <row r="1994" spans="4:13">
      <c r="D1994" s="1" t="s">
        <v>1014</v>
      </c>
      <c r="E1994" s="1" t="s">
        <v>1077</v>
      </c>
      <c r="H1994" s="1" t="s">
        <v>25</v>
      </c>
      <c r="I1994" s="1" t="s">
        <v>23</v>
      </c>
      <c r="M1994" s="1" t="b">
        <v>0</v>
      </c>
    </row>
    <row r="1995" spans="4:13">
      <c r="D1995" s="1" t="s">
        <v>1014</v>
      </c>
      <c r="E1995" s="1" t="s">
        <v>1078</v>
      </c>
      <c r="H1995" s="1" t="s">
        <v>22</v>
      </c>
      <c r="I1995" s="1" t="s">
        <v>23</v>
      </c>
      <c r="J1995" s="1">
        <v>0</v>
      </c>
      <c r="K1995" s="1">
        <v>1</v>
      </c>
      <c r="L1995" s="1">
        <v>1</v>
      </c>
      <c r="M1995" s="1">
        <v>0.03</v>
      </c>
    </row>
    <row r="1996" spans="4:13">
      <c r="D1996" s="1" t="s">
        <v>1014</v>
      </c>
      <c r="E1996" s="1" t="s">
        <v>1079</v>
      </c>
      <c r="H1996" s="1" t="s">
        <v>25</v>
      </c>
      <c r="I1996" s="1" t="s">
        <v>23</v>
      </c>
      <c r="M1996" s="1" t="b">
        <v>0</v>
      </c>
    </row>
    <row r="1997" spans="4:13">
      <c r="D1997" s="1" t="s">
        <v>1014</v>
      </c>
      <c r="E1997" s="1" t="s">
        <v>1080</v>
      </c>
      <c r="H1997" s="1" t="s">
        <v>22</v>
      </c>
      <c r="I1997" s="1" t="s">
        <v>23</v>
      </c>
      <c r="J1997" s="1">
        <v>0</v>
      </c>
      <c r="K1997" s="1">
        <v>1</v>
      </c>
      <c r="L1997" s="1">
        <v>1</v>
      </c>
      <c r="M1997" s="1">
        <v>0.5</v>
      </c>
    </row>
    <row r="1998" spans="4:13">
      <c r="D1998" s="1" t="s">
        <v>1014</v>
      </c>
      <c r="E1998" s="1" t="s">
        <v>1081</v>
      </c>
      <c r="H1998" s="1" t="s">
        <v>22</v>
      </c>
      <c r="I1998" s="1" t="s">
        <v>23</v>
      </c>
      <c r="J1998" s="1">
        <v>0</v>
      </c>
      <c r="K1998" s="1">
        <v>1</v>
      </c>
      <c r="L1998" s="1">
        <v>1</v>
      </c>
      <c r="M1998" s="1">
        <v>0.2</v>
      </c>
    </row>
    <row r="1999" spans="4:13">
      <c r="D1999" s="1" t="s">
        <v>1014</v>
      </c>
      <c r="E1999" s="1" t="s">
        <v>1082</v>
      </c>
      <c r="H1999" s="1" t="s">
        <v>22</v>
      </c>
      <c r="I1999" s="1" t="s">
        <v>23</v>
      </c>
      <c r="J1999" s="1">
        <v>0</v>
      </c>
      <c r="K1999" s="1">
        <v>1</v>
      </c>
      <c r="L1999" s="1">
        <v>1</v>
      </c>
      <c r="M1999" s="1">
        <v>0.2</v>
      </c>
    </row>
    <row r="2000" spans="4:13">
      <c r="D2000" s="1" t="s">
        <v>1014</v>
      </c>
      <c r="E2000" s="1" t="s">
        <v>1083</v>
      </c>
      <c r="H2000" s="1" t="s">
        <v>181</v>
      </c>
      <c r="I2000" s="1" t="s">
        <v>23</v>
      </c>
      <c r="J2000" s="1">
        <v>1</v>
      </c>
      <c r="K2000" s="1">
        <v>94</v>
      </c>
      <c r="M2000" s="1" t="s">
        <v>952</v>
      </c>
    </row>
    <row r="2001" spans="1:13">
      <c r="D2001" s="1" t="s">
        <v>1014</v>
      </c>
      <c r="E2001" s="1" t="s">
        <v>1084</v>
      </c>
      <c r="H2001" s="1" t="s">
        <v>181</v>
      </c>
      <c r="I2001" s="1" t="s">
        <v>23</v>
      </c>
      <c r="J2001" s="1">
        <v>1</v>
      </c>
      <c r="K2001" s="1">
        <v>3</v>
      </c>
      <c r="M2001" s="1" t="s">
        <v>1085</v>
      </c>
    </row>
    <row r="2002" spans="1:13">
      <c r="A2002" s="2" t="s">
        <v>1721</v>
      </c>
      <c r="B2002" s="3" t="s">
        <v>1733</v>
      </c>
      <c r="D2002" s="1" t="s">
        <v>1014</v>
      </c>
      <c r="E2002" s="1" t="s">
        <v>1086</v>
      </c>
      <c r="H2002" s="1" t="s">
        <v>181</v>
      </c>
      <c r="I2002" s="1" t="s">
        <v>23</v>
      </c>
      <c r="J2002" s="1">
        <v>1</v>
      </c>
      <c r="K2002" s="1">
        <v>54</v>
      </c>
      <c r="M2002" s="1" t="s">
        <v>1087</v>
      </c>
    </row>
    <row r="2003" spans="1:13">
      <c r="D2003" s="1" t="s">
        <v>1014</v>
      </c>
      <c r="E2003" s="1" t="s">
        <v>1088</v>
      </c>
      <c r="H2003" s="1" t="s">
        <v>25</v>
      </c>
      <c r="I2003" s="1" t="s">
        <v>23</v>
      </c>
      <c r="M2003" s="1" t="b">
        <v>0</v>
      </c>
    </row>
    <row r="2004" spans="1:13">
      <c r="D2004" s="1" t="s">
        <v>1014</v>
      </c>
      <c r="E2004" s="1" t="s">
        <v>1089</v>
      </c>
      <c r="F2004" s="1" t="s">
        <v>35</v>
      </c>
      <c r="G2004" s="1" t="s">
        <v>36</v>
      </c>
      <c r="H2004" s="1" t="s">
        <v>22</v>
      </c>
      <c r="I2004" s="1" t="s">
        <v>29</v>
      </c>
      <c r="J2004" s="1">
        <v>-31.018000000000029</v>
      </c>
      <c r="K2004" s="1">
        <v>256.99999999999994</v>
      </c>
      <c r="L2004" s="1">
        <v>80.329999999999984</v>
      </c>
    </row>
    <row r="2005" spans="1:13">
      <c r="D2005" s="1" t="s">
        <v>1014</v>
      </c>
      <c r="E2005" s="1" t="s">
        <v>1090</v>
      </c>
      <c r="F2005" s="1" t="s">
        <v>35</v>
      </c>
      <c r="G2005" s="1" t="s">
        <v>36</v>
      </c>
      <c r="H2005" s="1" t="s">
        <v>22</v>
      </c>
      <c r="I2005" s="1" t="s">
        <v>29</v>
      </c>
      <c r="J2005" s="1">
        <v>-31.018000000000029</v>
      </c>
      <c r="K2005" s="1">
        <v>256.99999999999994</v>
      </c>
      <c r="L2005" s="1">
        <v>80.329999999999984</v>
      </c>
    </row>
    <row r="2006" spans="1:13">
      <c r="D2006" s="1" t="s">
        <v>1014</v>
      </c>
      <c r="E2006" s="1" t="s">
        <v>1091</v>
      </c>
      <c r="F2006" s="1" t="s">
        <v>35</v>
      </c>
      <c r="G2006" s="1" t="s">
        <v>36</v>
      </c>
      <c r="H2006" s="1" t="s">
        <v>22</v>
      </c>
      <c r="I2006" s="1" t="s">
        <v>29</v>
      </c>
      <c r="J2006" s="1">
        <v>-31.018000000000029</v>
      </c>
      <c r="K2006" s="1">
        <v>256.99999999999994</v>
      </c>
      <c r="L2006" s="1">
        <v>80.329999999999984</v>
      </c>
    </row>
    <row r="2007" spans="1:13">
      <c r="D2007" s="1" t="s">
        <v>1014</v>
      </c>
      <c r="E2007" s="1" t="s">
        <v>1092</v>
      </c>
      <c r="F2007" s="1" t="s">
        <v>35</v>
      </c>
      <c r="G2007" s="1" t="s">
        <v>36</v>
      </c>
      <c r="H2007" s="1" t="s">
        <v>22</v>
      </c>
      <c r="I2007" s="1" t="s">
        <v>29</v>
      </c>
      <c r="J2007" s="1">
        <v>-31.018000000000029</v>
      </c>
      <c r="K2007" s="1">
        <v>256.99999999999994</v>
      </c>
      <c r="L2007" s="1">
        <v>80.329999999999984</v>
      </c>
    </row>
    <row r="2008" spans="1:13">
      <c r="D2008" s="1" t="s">
        <v>1014</v>
      </c>
      <c r="E2008" s="1" t="s">
        <v>1093</v>
      </c>
      <c r="F2008" s="1" t="s">
        <v>45</v>
      </c>
      <c r="G2008" s="1" t="s">
        <v>46</v>
      </c>
      <c r="H2008" s="1" t="s">
        <v>22</v>
      </c>
      <c r="I2008" s="1" t="s">
        <v>29</v>
      </c>
      <c r="J2008" s="1">
        <v>-6.3932502128443591</v>
      </c>
      <c r="K2008" s="1">
        <v>358.61435929656</v>
      </c>
      <c r="L2008" s="1">
        <v>114.79148749423418</v>
      </c>
    </row>
    <row r="2009" spans="1:13">
      <c r="D2009" s="1" t="s">
        <v>1014</v>
      </c>
      <c r="E2009" s="1" t="s">
        <v>1094</v>
      </c>
      <c r="F2009" s="1" t="s">
        <v>45</v>
      </c>
      <c r="G2009" s="1" t="s">
        <v>46</v>
      </c>
      <c r="H2009" s="1" t="s">
        <v>22</v>
      </c>
      <c r="I2009" s="1" t="s">
        <v>29</v>
      </c>
      <c r="J2009" s="1">
        <v>-6.3932502128443591</v>
      </c>
      <c r="K2009" s="1">
        <v>358.61435929656</v>
      </c>
      <c r="L2009" s="1">
        <v>114.79148749423418</v>
      </c>
    </row>
    <row r="2010" spans="1:13">
      <c r="D2010" s="1" t="s">
        <v>1014</v>
      </c>
      <c r="E2010" s="1" t="s">
        <v>1095</v>
      </c>
      <c r="F2010" s="1" t="s">
        <v>45</v>
      </c>
      <c r="G2010" s="1" t="s">
        <v>46</v>
      </c>
      <c r="H2010" s="1" t="s">
        <v>22</v>
      </c>
      <c r="I2010" s="1" t="s">
        <v>29</v>
      </c>
      <c r="J2010" s="1">
        <v>-6.3932502128443591</v>
      </c>
      <c r="K2010" s="1">
        <v>358.61435929656</v>
      </c>
      <c r="L2010" s="1">
        <v>114.79148749423418</v>
      </c>
    </row>
    <row r="2011" spans="1:13">
      <c r="D2011" s="1" t="s">
        <v>1014</v>
      </c>
      <c r="E2011" s="1" t="s">
        <v>1096</v>
      </c>
      <c r="F2011" s="1" t="s">
        <v>45</v>
      </c>
      <c r="G2011" s="1" t="s">
        <v>46</v>
      </c>
      <c r="H2011" s="1" t="s">
        <v>22</v>
      </c>
      <c r="I2011" s="1" t="s">
        <v>29</v>
      </c>
      <c r="J2011" s="1">
        <v>-6.3932502128443591</v>
      </c>
      <c r="K2011" s="1">
        <v>358.61435929656</v>
      </c>
      <c r="L2011" s="1">
        <v>114.79148749423418</v>
      </c>
    </row>
    <row r="2012" spans="1:13">
      <c r="D2012" s="1" t="s">
        <v>1014</v>
      </c>
      <c r="E2012" s="1" t="s">
        <v>1097</v>
      </c>
      <c r="F2012" s="1" t="s">
        <v>45</v>
      </c>
      <c r="G2012" s="1" t="s">
        <v>46</v>
      </c>
      <c r="H2012" s="1" t="s">
        <v>22</v>
      </c>
      <c r="I2012" s="1" t="s">
        <v>29</v>
      </c>
      <c r="J2012" s="1">
        <v>-6.3932502128443591</v>
      </c>
      <c r="K2012" s="1">
        <v>358.61435929656</v>
      </c>
      <c r="L2012" s="1">
        <v>114.79148749423418</v>
      </c>
    </row>
    <row r="2013" spans="1:13">
      <c r="D2013" s="1" t="s">
        <v>1014</v>
      </c>
      <c r="E2013" s="1" t="s">
        <v>1098</v>
      </c>
      <c r="F2013" s="1" t="s">
        <v>45</v>
      </c>
      <c r="G2013" s="1" t="s">
        <v>46</v>
      </c>
      <c r="H2013" s="1" t="s">
        <v>22</v>
      </c>
      <c r="I2013" s="1" t="s">
        <v>29</v>
      </c>
      <c r="J2013" s="1">
        <v>-6.3932502128443591</v>
      </c>
      <c r="K2013" s="1">
        <v>358.61435929656</v>
      </c>
      <c r="L2013" s="1">
        <v>114.79148749423418</v>
      </c>
    </row>
    <row r="2014" spans="1:13">
      <c r="D2014" s="1" t="s">
        <v>1014</v>
      </c>
      <c r="E2014" s="1" t="s">
        <v>1099</v>
      </c>
      <c r="F2014" s="1" t="s">
        <v>45</v>
      </c>
      <c r="G2014" s="1" t="s">
        <v>46</v>
      </c>
      <c r="H2014" s="1" t="s">
        <v>22</v>
      </c>
      <c r="I2014" s="1" t="s">
        <v>29</v>
      </c>
      <c r="J2014" s="1">
        <v>-6.3932502128443591</v>
      </c>
      <c r="K2014" s="1">
        <v>358.61435929656</v>
      </c>
      <c r="L2014" s="1">
        <v>114.79148749423418</v>
      </c>
    </row>
    <row r="2015" spans="1:13">
      <c r="D2015" s="1" t="s">
        <v>1014</v>
      </c>
      <c r="E2015" s="1" t="s">
        <v>1100</v>
      </c>
      <c r="F2015" s="1" t="s">
        <v>45</v>
      </c>
      <c r="G2015" s="1" t="s">
        <v>46</v>
      </c>
      <c r="H2015" s="1" t="s">
        <v>22</v>
      </c>
      <c r="I2015" s="1" t="s">
        <v>29</v>
      </c>
      <c r="J2015" s="1">
        <v>-6.3932502128443591</v>
      </c>
      <c r="K2015" s="1">
        <v>358.61435929656</v>
      </c>
      <c r="L2015" s="1">
        <v>114.79148749423418</v>
      </c>
    </row>
    <row r="2016" spans="1:13">
      <c r="D2016" s="1" t="s">
        <v>1014</v>
      </c>
      <c r="E2016" s="1" t="s">
        <v>1101</v>
      </c>
      <c r="F2016" s="1" t="s">
        <v>45</v>
      </c>
      <c r="G2016" s="1" t="s">
        <v>46</v>
      </c>
      <c r="H2016" s="1" t="s">
        <v>22</v>
      </c>
      <c r="I2016" s="1" t="s">
        <v>29</v>
      </c>
      <c r="J2016" s="1">
        <v>-6.3932502128443591</v>
      </c>
      <c r="K2016" s="1">
        <v>358.61435929656</v>
      </c>
      <c r="L2016" s="1">
        <v>114.79148749423418</v>
      </c>
    </row>
    <row r="2017" spans="4:12">
      <c r="D2017" s="1" t="s">
        <v>1014</v>
      </c>
      <c r="E2017" s="1" t="s">
        <v>1102</v>
      </c>
      <c r="F2017" s="1" t="s">
        <v>45</v>
      </c>
      <c r="G2017" s="1" t="s">
        <v>46</v>
      </c>
      <c r="H2017" s="1" t="s">
        <v>22</v>
      </c>
      <c r="I2017" s="1" t="s">
        <v>29</v>
      </c>
      <c r="J2017" s="1">
        <v>-6.3932502128443591</v>
      </c>
      <c r="K2017" s="1">
        <v>358.61435929656</v>
      </c>
      <c r="L2017" s="1">
        <v>114.79148749423418</v>
      </c>
    </row>
    <row r="2018" spans="4:12">
      <c r="D2018" s="1" t="s">
        <v>1014</v>
      </c>
      <c r="E2018" s="1" t="s">
        <v>1103</v>
      </c>
      <c r="H2018" s="1" t="s">
        <v>22</v>
      </c>
      <c r="I2018" s="1" t="s">
        <v>29</v>
      </c>
      <c r="J2018" s="1">
        <v>-3.94</v>
      </c>
      <c r="K2018" s="1">
        <v>3.66</v>
      </c>
      <c r="L2018" s="1">
        <v>1</v>
      </c>
    </row>
    <row r="2019" spans="4:12">
      <c r="D2019" s="1" t="s">
        <v>1014</v>
      </c>
      <c r="E2019" s="1" t="s">
        <v>1104</v>
      </c>
      <c r="F2019" s="1" t="s">
        <v>35</v>
      </c>
      <c r="G2019" s="1" t="s">
        <v>36</v>
      </c>
      <c r="H2019" s="1" t="s">
        <v>22</v>
      </c>
      <c r="I2019" s="1" t="s">
        <v>29</v>
      </c>
      <c r="J2019" s="1">
        <v>-99.670000000000016</v>
      </c>
      <c r="K2019" s="1">
        <v>440.33</v>
      </c>
      <c r="L2019" s="1">
        <v>80.329999999999984</v>
      </c>
    </row>
    <row r="2020" spans="4:12">
      <c r="D2020" s="1" t="s">
        <v>1014</v>
      </c>
      <c r="E2020" s="1" t="s">
        <v>1105</v>
      </c>
      <c r="F2020" s="1" t="s">
        <v>35</v>
      </c>
      <c r="G2020" s="1" t="s">
        <v>36</v>
      </c>
      <c r="H2020" s="1" t="s">
        <v>22</v>
      </c>
      <c r="I2020" s="1" t="s">
        <v>29</v>
      </c>
      <c r="J2020" s="1">
        <v>-99.670000000000016</v>
      </c>
      <c r="K2020" s="1">
        <v>440.33</v>
      </c>
      <c r="L2020" s="1">
        <v>80.329999999999984</v>
      </c>
    </row>
    <row r="2021" spans="4:12">
      <c r="D2021" s="1" t="s">
        <v>1014</v>
      </c>
      <c r="E2021" s="1" t="s">
        <v>1106</v>
      </c>
      <c r="F2021" s="1" t="s">
        <v>35</v>
      </c>
      <c r="G2021" s="1" t="s">
        <v>36</v>
      </c>
      <c r="H2021" s="1" t="s">
        <v>22</v>
      </c>
      <c r="I2021" s="1" t="s">
        <v>29</v>
      </c>
      <c r="J2021" s="1">
        <v>-99.670000000000016</v>
      </c>
      <c r="K2021" s="1">
        <v>440.33</v>
      </c>
      <c r="L2021" s="1">
        <v>80.329999999999984</v>
      </c>
    </row>
    <row r="2022" spans="4:12">
      <c r="D2022" s="1" t="s">
        <v>1014</v>
      </c>
      <c r="E2022" s="1" t="s">
        <v>1107</v>
      </c>
      <c r="F2022" s="1" t="s">
        <v>35</v>
      </c>
      <c r="G2022" s="1" t="s">
        <v>36</v>
      </c>
      <c r="H2022" s="1" t="s">
        <v>22</v>
      </c>
      <c r="I2022" s="1" t="s">
        <v>29</v>
      </c>
      <c r="J2022" s="1">
        <v>-99.670000000000016</v>
      </c>
      <c r="K2022" s="1">
        <v>440.33</v>
      </c>
      <c r="L2022" s="1">
        <v>80.329999999999984</v>
      </c>
    </row>
    <row r="2023" spans="4:12">
      <c r="D2023" s="1" t="s">
        <v>1014</v>
      </c>
      <c r="E2023" s="1" t="s">
        <v>1108</v>
      </c>
      <c r="F2023" s="1" t="s">
        <v>35</v>
      </c>
      <c r="G2023" s="1" t="s">
        <v>36</v>
      </c>
      <c r="H2023" s="1" t="s">
        <v>22</v>
      </c>
      <c r="I2023" s="1" t="s">
        <v>29</v>
      </c>
      <c r="J2023" s="1">
        <v>-99.670000000000016</v>
      </c>
      <c r="K2023" s="1">
        <v>440.33</v>
      </c>
      <c r="L2023" s="1">
        <v>80.329999999999984</v>
      </c>
    </row>
    <row r="2024" spans="4:12">
      <c r="D2024" s="1" t="s">
        <v>1014</v>
      </c>
      <c r="E2024" s="1" t="s">
        <v>1109</v>
      </c>
      <c r="F2024" s="1" t="s">
        <v>35</v>
      </c>
      <c r="G2024" s="1" t="s">
        <v>36</v>
      </c>
      <c r="H2024" s="1" t="s">
        <v>22</v>
      </c>
      <c r="I2024" s="1" t="s">
        <v>29</v>
      </c>
      <c r="J2024" s="1">
        <v>-99.670000000000016</v>
      </c>
      <c r="K2024" s="1">
        <v>440.33</v>
      </c>
      <c r="L2024" s="1">
        <v>80.329999999999984</v>
      </c>
    </row>
    <row r="2025" spans="4:12">
      <c r="D2025" s="1" t="s">
        <v>1014</v>
      </c>
      <c r="E2025" s="1" t="s">
        <v>1110</v>
      </c>
      <c r="F2025" s="1" t="s">
        <v>35</v>
      </c>
      <c r="G2025" s="1" t="s">
        <v>36</v>
      </c>
      <c r="H2025" s="1" t="s">
        <v>22</v>
      </c>
      <c r="I2025" s="1" t="s">
        <v>29</v>
      </c>
      <c r="J2025" s="1">
        <v>-99.670000000000016</v>
      </c>
      <c r="K2025" s="1">
        <v>440.33</v>
      </c>
      <c r="L2025" s="1">
        <v>80.329999999999984</v>
      </c>
    </row>
    <row r="2026" spans="4:12">
      <c r="D2026" s="1" t="s">
        <v>1014</v>
      </c>
      <c r="E2026" s="1" t="s">
        <v>1111</v>
      </c>
      <c r="F2026" s="1" t="s">
        <v>35</v>
      </c>
      <c r="G2026" s="1" t="s">
        <v>36</v>
      </c>
      <c r="H2026" s="1" t="s">
        <v>22</v>
      </c>
      <c r="I2026" s="1" t="s">
        <v>29</v>
      </c>
      <c r="J2026" s="1">
        <v>-99.670000000000016</v>
      </c>
      <c r="K2026" s="1">
        <v>440.33</v>
      </c>
      <c r="L2026" s="1">
        <v>80.329999999999984</v>
      </c>
    </row>
    <row r="2027" spans="4:12">
      <c r="D2027" s="1" t="s">
        <v>1014</v>
      </c>
      <c r="E2027" s="1" t="s">
        <v>1112</v>
      </c>
      <c r="F2027" s="1" t="s">
        <v>35</v>
      </c>
      <c r="G2027" s="1" t="s">
        <v>36</v>
      </c>
      <c r="H2027" s="1" t="s">
        <v>22</v>
      </c>
      <c r="I2027" s="1" t="s">
        <v>29</v>
      </c>
      <c r="J2027" s="1">
        <v>-99.670000000000016</v>
      </c>
      <c r="K2027" s="1">
        <v>440.33</v>
      </c>
      <c r="L2027" s="1">
        <v>80.329999999999984</v>
      </c>
    </row>
    <row r="2028" spans="4:12">
      <c r="D2028" s="1" t="s">
        <v>1014</v>
      </c>
      <c r="E2028" s="1" t="s">
        <v>1113</v>
      </c>
      <c r="F2028" s="1" t="s">
        <v>35</v>
      </c>
      <c r="G2028" s="1" t="s">
        <v>36</v>
      </c>
      <c r="H2028" s="1" t="s">
        <v>22</v>
      </c>
      <c r="I2028" s="1" t="s">
        <v>29</v>
      </c>
      <c r="J2028" s="1">
        <v>-99.670000000000016</v>
      </c>
      <c r="K2028" s="1">
        <v>440.33</v>
      </c>
      <c r="L2028" s="1">
        <v>80.329999999999984</v>
      </c>
    </row>
    <row r="2029" spans="4:12">
      <c r="D2029" s="1" t="s">
        <v>1014</v>
      </c>
      <c r="E2029" s="1" t="s">
        <v>1114</v>
      </c>
      <c r="F2029" s="1" t="s">
        <v>35</v>
      </c>
      <c r="G2029" s="1" t="s">
        <v>36</v>
      </c>
      <c r="H2029" s="1" t="s">
        <v>22</v>
      </c>
      <c r="I2029" s="1" t="s">
        <v>29</v>
      </c>
      <c r="J2029" s="1">
        <v>-31.018000000000029</v>
      </c>
      <c r="K2029" s="1">
        <v>256.99999999999994</v>
      </c>
      <c r="L2029" s="1">
        <v>80.329999999999984</v>
      </c>
    </row>
    <row r="2030" spans="4:12">
      <c r="D2030" s="1" t="s">
        <v>1014</v>
      </c>
      <c r="E2030" s="1" t="s">
        <v>1115</v>
      </c>
      <c r="F2030" s="1" t="s">
        <v>35</v>
      </c>
      <c r="G2030" s="1" t="s">
        <v>36</v>
      </c>
      <c r="H2030" s="1" t="s">
        <v>22</v>
      </c>
      <c r="I2030" s="1" t="s">
        <v>29</v>
      </c>
      <c r="J2030" s="1">
        <v>-31.018000000000029</v>
      </c>
      <c r="K2030" s="1">
        <v>256.99999999999994</v>
      </c>
      <c r="L2030" s="1">
        <v>80.329999999999984</v>
      </c>
    </row>
    <row r="2031" spans="4:12">
      <c r="D2031" s="1" t="s">
        <v>1014</v>
      </c>
      <c r="E2031" s="1" t="s">
        <v>1116</v>
      </c>
      <c r="F2031" s="1" t="s">
        <v>35</v>
      </c>
      <c r="G2031" s="1" t="s">
        <v>36</v>
      </c>
      <c r="H2031" s="1" t="s">
        <v>22</v>
      </c>
      <c r="I2031" s="1" t="s">
        <v>29</v>
      </c>
      <c r="J2031" s="1">
        <v>-31.018000000000029</v>
      </c>
      <c r="K2031" s="1">
        <v>256.99999999999994</v>
      </c>
      <c r="L2031" s="1">
        <v>80.329999999999984</v>
      </c>
    </row>
    <row r="2032" spans="4:12">
      <c r="D2032" s="1" t="s">
        <v>1014</v>
      </c>
      <c r="E2032" s="1" t="s">
        <v>1117</v>
      </c>
      <c r="F2032" s="1" t="s">
        <v>35</v>
      </c>
      <c r="G2032" s="1" t="s">
        <v>36</v>
      </c>
      <c r="H2032" s="1" t="s">
        <v>22</v>
      </c>
      <c r="I2032" s="1" t="s">
        <v>29</v>
      </c>
      <c r="J2032" s="1">
        <v>-31.018000000000029</v>
      </c>
      <c r="K2032" s="1">
        <v>256.99999999999994</v>
      </c>
      <c r="L2032" s="1">
        <v>80.329999999999984</v>
      </c>
    </row>
    <row r="2033" spans="4:12">
      <c r="D2033" s="1" t="s">
        <v>1014</v>
      </c>
      <c r="E2033" s="1" t="s">
        <v>1118</v>
      </c>
      <c r="F2033" s="1" t="s">
        <v>35</v>
      </c>
      <c r="G2033" s="1" t="s">
        <v>36</v>
      </c>
      <c r="H2033" s="1" t="s">
        <v>22</v>
      </c>
      <c r="I2033" s="1" t="s">
        <v>29</v>
      </c>
      <c r="J2033" s="1">
        <v>-31.018000000000029</v>
      </c>
      <c r="K2033" s="1">
        <v>256.99999999999994</v>
      </c>
      <c r="L2033" s="1">
        <v>80.329999999999984</v>
      </c>
    </row>
    <row r="2034" spans="4:12">
      <c r="D2034" s="1" t="s">
        <v>1014</v>
      </c>
      <c r="E2034" s="1" t="s">
        <v>1119</v>
      </c>
      <c r="F2034" s="1" t="s">
        <v>35</v>
      </c>
      <c r="G2034" s="1" t="s">
        <v>36</v>
      </c>
      <c r="H2034" s="1" t="s">
        <v>22</v>
      </c>
      <c r="I2034" s="1" t="s">
        <v>29</v>
      </c>
      <c r="J2034" s="1">
        <v>-31.018000000000029</v>
      </c>
      <c r="K2034" s="1">
        <v>256.99999999999994</v>
      </c>
      <c r="L2034" s="1">
        <v>80.329999999999984</v>
      </c>
    </row>
    <row r="2035" spans="4:12">
      <c r="D2035" s="1" t="s">
        <v>1014</v>
      </c>
      <c r="E2035" s="1" t="s">
        <v>1120</v>
      </c>
      <c r="F2035" s="1" t="s">
        <v>35</v>
      </c>
      <c r="G2035" s="1" t="s">
        <v>36</v>
      </c>
      <c r="H2035" s="1" t="s">
        <v>22</v>
      </c>
      <c r="I2035" s="1" t="s">
        <v>29</v>
      </c>
      <c r="J2035" s="1">
        <v>-31.018000000000029</v>
      </c>
      <c r="K2035" s="1">
        <v>256.99999999999994</v>
      </c>
      <c r="L2035" s="1">
        <v>80.329999999999984</v>
      </c>
    </row>
    <row r="2036" spans="4:12">
      <c r="D2036" s="1" t="s">
        <v>1014</v>
      </c>
      <c r="E2036" s="1" t="s">
        <v>1121</v>
      </c>
      <c r="F2036" s="1" t="s">
        <v>35</v>
      </c>
      <c r="G2036" s="1" t="s">
        <v>36</v>
      </c>
      <c r="H2036" s="1" t="s">
        <v>22</v>
      </c>
      <c r="I2036" s="1" t="s">
        <v>29</v>
      </c>
      <c r="J2036" s="1">
        <v>-31.018000000000029</v>
      </c>
      <c r="K2036" s="1">
        <v>256.99999999999994</v>
      </c>
      <c r="L2036" s="1">
        <v>80.329999999999984</v>
      </c>
    </row>
    <row r="2037" spans="4:12">
      <c r="D2037" s="1" t="s">
        <v>1014</v>
      </c>
      <c r="E2037" s="1" t="s">
        <v>1122</v>
      </c>
      <c r="F2037" s="1" t="s">
        <v>35</v>
      </c>
      <c r="G2037" s="1" t="s">
        <v>36</v>
      </c>
      <c r="H2037" s="1" t="s">
        <v>22</v>
      </c>
      <c r="I2037" s="1" t="s">
        <v>29</v>
      </c>
      <c r="J2037" s="1">
        <v>-31.018000000000029</v>
      </c>
      <c r="K2037" s="1">
        <v>256.99999999999994</v>
      </c>
      <c r="L2037" s="1">
        <v>80.329999999999984</v>
      </c>
    </row>
    <row r="2038" spans="4:12">
      <c r="D2038" s="1" t="s">
        <v>1014</v>
      </c>
      <c r="E2038" s="1" t="s">
        <v>1123</v>
      </c>
      <c r="F2038" s="1" t="s">
        <v>35</v>
      </c>
      <c r="G2038" s="1" t="s">
        <v>36</v>
      </c>
      <c r="H2038" s="1" t="s">
        <v>22</v>
      </c>
      <c r="I2038" s="1" t="s">
        <v>29</v>
      </c>
      <c r="J2038" s="1">
        <v>-31.018000000000029</v>
      </c>
      <c r="K2038" s="1">
        <v>256.99999999999994</v>
      </c>
      <c r="L2038" s="1">
        <v>80.329999999999984</v>
      </c>
    </row>
    <row r="2039" spans="4:12">
      <c r="D2039" s="1" t="s">
        <v>1014</v>
      </c>
      <c r="E2039" s="1" t="s">
        <v>1124</v>
      </c>
      <c r="F2039" s="1" t="s">
        <v>35</v>
      </c>
      <c r="G2039" s="1" t="s">
        <v>36</v>
      </c>
      <c r="H2039" s="1" t="s">
        <v>22</v>
      </c>
      <c r="I2039" s="1" t="s">
        <v>29</v>
      </c>
      <c r="J2039" s="1">
        <v>-31.018000000000029</v>
      </c>
      <c r="K2039" s="1">
        <v>256.99999999999994</v>
      </c>
      <c r="L2039" s="1">
        <v>80.329999999999984</v>
      </c>
    </row>
    <row r="2040" spans="4:12">
      <c r="D2040" s="1" t="s">
        <v>1014</v>
      </c>
      <c r="E2040" s="1" t="s">
        <v>1125</v>
      </c>
      <c r="F2040" s="1" t="s">
        <v>35</v>
      </c>
      <c r="G2040" s="1" t="s">
        <v>36</v>
      </c>
      <c r="H2040" s="1" t="s">
        <v>22</v>
      </c>
      <c r="I2040" s="1" t="s">
        <v>29</v>
      </c>
      <c r="J2040" s="1">
        <v>-31.018000000000029</v>
      </c>
      <c r="K2040" s="1">
        <v>256.99999999999994</v>
      </c>
      <c r="L2040" s="1">
        <v>80.329999999999984</v>
      </c>
    </row>
    <row r="2041" spans="4:12">
      <c r="D2041" s="1" t="s">
        <v>1014</v>
      </c>
      <c r="E2041" s="1" t="s">
        <v>1126</v>
      </c>
      <c r="F2041" s="1" t="s">
        <v>35</v>
      </c>
      <c r="G2041" s="1" t="s">
        <v>36</v>
      </c>
      <c r="H2041" s="1" t="s">
        <v>22</v>
      </c>
      <c r="I2041" s="1" t="s">
        <v>29</v>
      </c>
      <c r="J2041" s="1">
        <v>-99.670000000000016</v>
      </c>
      <c r="K2041" s="1">
        <v>440.33</v>
      </c>
      <c r="L2041" s="1">
        <v>80.329999999999984</v>
      </c>
    </row>
    <row r="2042" spans="4:12">
      <c r="D2042" s="1" t="s">
        <v>1014</v>
      </c>
      <c r="E2042" s="1" t="s">
        <v>1127</v>
      </c>
      <c r="F2042" s="1" t="s">
        <v>35</v>
      </c>
      <c r="G2042" s="1" t="s">
        <v>36</v>
      </c>
      <c r="H2042" s="1" t="s">
        <v>22</v>
      </c>
      <c r="I2042" s="1" t="s">
        <v>29</v>
      </c>
      <c r="J2042" s="1">
        <v>-99.670000000000016</v>
      </c>
      <c r="K2042" s="1">
        <v>440.33</v>
      </c>
      <c r="L2042" s="1">
        <v>80.329999999999984</v>
      </c>
    </row>
    <row r="2043" spans="4:12">
      <c r="D2043" s="1" t="s">
        <v>1014</v>
      </c>
      <c r="E2043" s="1" t="s">
        <v>1128</v>
      </c>
      <c r="F2043" s="1" t="s">
        <v>35</v>
      </c>
      <c r="G2043" s="1" t="s">
        <v>36</v>
      </c>
      <c r="H2043" s="1" t="s">
        <v>22</v>
      </c>
      <c r="I2043" s="1" t="s">
        <v>29</v>
      </c>
      <c r="J2043" s="1">
        <v>-99.670000000000016</v>
      </c>
      <c r="K2043" s="1">
        <v>440.33</v>
      </c>
      <c r="L2043" s="1">
        <v>80.329999999999984</v>
      </c>
    </row>
    <row r="2044" spans="4:12">
      <c r="D2044" s="1" t="s">
        <v>1014</v>
      </c>
      <c r="E2044" s="1" t="s">
        <v>1129</v>
      </c>
      <c r="F2044" s="1" t="s">
        <v>35</v>
      </c>
      <c r="G2044" s="1" t="s">
        <v>36</v>
      </c>
      <c r="H2044" s="1" t="s">
        <v>22</v>
      </c>
      <c r="I2044" s="1" t="s">
        <v>29</v>
      </c>
      <c r="J2044" s="1">
        <v>-99.670000000000016</v>
      </c>
      <c r="K2044" s="1">
        <v>440.33</v>
      </c>
      <c r="L2044" s="1">
        <v>80.329999999999984</v>
      </c>
    </row>
    <row r="2045" spans="4:12">
      <c r="D2045" s="1" t="s">
        <v>1014</v>
      </c>
      <c r="E2045" s="1" t="s">
        <v>1130</v>
      </c>
      <c r="F2045" s="1" t="s">
        <v>35</v>
      </c>
      <c r="G2045" s="1" t="s">
        <v>36</v>
      </c>
      <c r="H2045" s="1" t="s">
        <v>22</v>
      </c>
      <c r="I2045" s="1" t="s">
        <v>29</v>
      </c>
      <c r="J2045" s="1">
        <v>-99.670000000000016</v>
      </c>
      <c r="K2045" s="1">
        <v>440.33</v>
      </c>
      <c r="L2045" s="1">
        <v>80.329999999999984</v>
      </c>
    </row>
    <row r="2046" spans="4:12">
      <c r="D2046" s="1" t="s">
        <v>1014</v>
      </c>
      <c r="E2046" s="1" t="s">
        <v>1131</v>
      </c>
      <c r="F2046" s="1" t="s">
        <v>35</v>
      </c>
      <c r="G2046" s="1" t="s">
        <v>36</v>
      </c>
      <c r="H2046" s="1" t="s">
        <v>22</v>
      </c>
      <c r="I2046" s="1" t="s">
        <v>29</v>
      </c>
      <c r="J2046" s="1">
        <v>-99.670000000000016</v>
      </c>
      <c r="K2046" s="1">
        <v>440.33</v>
      </c>
      <c r="L2046" s="1">
        <v>80.329999999999984</v>
      </c>
    </row>
    <row r="2047" spans="4:12">
      <c r="D2047" s="1" t="s">
        <v>1014</v>
      </c>
      <c r="E2047" s="1" t="s">
        <v>1132</v>
      </c>
      <c r="F2047" s="1" t="s">
        <v>35</v>
      </c>
      <c r="G2047" s="1" t="s">
        <v>36</v>
      </c>
      <c r="H2047" s="1" t="s">
        <v>22</v>
      </c>
      <c r="I2047" s="1" t="s">
        <v>29</v>
      </c>
      <c r="J2047" s="1">
        <v>-99.670000000000016</v>
      </c>
      <c r="K2047" s="1">
        <v>440.33</v>
      </c>
      <c r="L2047" s="1">
        <v>80.329999999999984</v>
      </c>
    </row>
    <row r="2048" spans="4:12">
      <c r="D2048" s="1" t="s">
        <v>1014</v>
      </c>
      <c r="E2048" s="1" t="s">
        <v>1133</v>
      </c>
      <c r="F2048" s="1" t="s">
        <v>35</v>
      </c>
      <c r="G2048" s="1" t="s">
        <v>36</v>
      </c>
      <c r="H2048" s="1" t="s">
        <v>22</v>
      </c>
      <c r="I2048" s="1" t="s">
        <v>29</v>
      </c>
      <c r="J2048" s="1">
        <v>-99.670000000000016</v>
      </c>
      <c r="K2048" s="1">
        <v>440.33</v>
      </c>
      <c r="L2048" s="1">
        <v>80.329999999999984</v>
      </c>
    </row>
    <row r="2049" spans="4:12">
      <c r="D2049" s="1" t="s">
        <v>1014</v>
      </c>
      <c r="E2049" s="1" t="s">
        <v>1134</v>
      </c>
      <c r="F2049" s="1" t="s">
        <v>35</v>
      </c>
      <c r="G2049" s="1" t="s">
        <v>36</v>
      </c>
      <c r="H2049" s="1" t="s">
        <v>22</v>
      </c>
      <c r="I2049" s="1" t="s">
        <v>29</v>
      </c>
      <c r="J2049" s="1">
        <v>-99.670000000000016</v>
      </c>
      <c r="K2049" s="1">
        <v>440.33</v>
      </c>
      <c r="L2049" s="1">
        <v>80.329999999999984</v>
      </c>
    </row>
    <row r="2050" spans="4:12">
      <c r="D2050" s="1" t="s">
        <v>1014</v>
      </c>
      <c r="E2050" s="1" t="s">
        <v>1135</v>
      </c>
      <c r="F2050" s="1" t="s">
        <v>35</v>
      </c>
      <c r="G2050" s="1" t="s">
        <v>36</v>
      </c>
      <c r="H2050" s="1" t="s">
        <v>22</v>
      </c>
      <c r="I2050" s="1" t="s">
        <v>29</v>
      </c>
      <c r="J2050" s="1">
        <v>-99.670000000000016</v>
      </c>
      <c r="K2050" s="1">
        <v>440.33</v>
      </c>
      <c r="L2050" s="1">
        <v>80.329999999999984</v>
      </c>
    </row>
    <row r="2051" spans="4:12">
      <c r="D2051" s="1" t="s">
        <v>1014</v>
      </c>
      <c r="E2051" s="1" t="s">
        <v>1136</v>
      </c>
      <c r="F2051" s="1" t="s">
        <v>35</v>
      </c>
      <c r="G2051" s="1" t="s">
        <v>36</v>
      </c>
      <c r="H2051" s="1" t="s">
        <v>22</v>
      </c>
      <c r="I2051" s="1" t="s">
        <v>29</v>
      </c>
      <c r="J2051" s="1">
        <v>-31.018000000000029</v>
      </c>
      <c r="K2051" s="1">
        <v>256.99999999999994</v>
      </c>
      <c r="L2051" s="1">
        <v>80.329999999999984</v>
      </c>
    </row>
    <row r="2052" spans="4:12">
      <c r="D2052" s="1" t="s">
        <v>1014</v>
      </c>
      <c r="E2052" s="1" t="s">
        <v>1137</v>
      </c>
      <c r="F2052" s="1" t="s">
        <v>35</v>
      </c>
      <c r="G2052" s="1" t="s">
        <v>36</v>
      </c>
      <c r="H2052" s="1" t="s">
        <v>22</v>
      </c>
      <c r="I2052" s="1" t="s">
        <v>29</v>
      </c>
      <c r="J2052" s="1">
        <v>-31.018000000000029</v>
      </c>
      <c r="K2052" s="1">
        <v>256.99999999999994</v>
      </c>
      <c r="L2052" s="1">
        <v>80.329999999999984</v>
      </c>
    </row>
    <row r="2053" spans="4:12">
      <c r="D2053" s="1" t="s">
        <v>1014</v>
      </c>
      <c r="E2053" s="1" t="s">
        <v>1138</v>
      </c>
      <c r="F2053" s="1" t="s">
        <v>35</v>
      </c>
      <c r="G2053" s="1" t="s">
        <v>36</v>
      </c>
      <c r="H2053" s="1" t="s">
        <v>22</v>
      </c>
      <c r="I2053" s="1" t="s">
        <v>29</v>
      </c>
      <c r="J2053" s="1">
        <v>-31.018000000000029</v>
      </c>
      <c r="K2053" s="1">
        <v>256.99999999999994</v>
      </c>
      <c r="L2053" s="1">
        <v>80.329999999999984</v>
      </c>
    </row>
    <row r="2054" spans="4:12">
      <c r="D2054" s="1" t="s">
        <v>1014</v>
      </c>
      <c r="E2054" s="1" t="s">
        <v>1139</v>
      </c>
      <c r="F2054" s="1" t="s">
        <v>35</v>
      </c>
      <c r="G2054" s="1" t="s">
        <v>36</v>
      </c>
      <c r="H2054" s="1" t="s">
        <v>22</v>
      </c>
      <c r="I2054" s="1" t="s">
        <v>29</v>
      </c>
      <c r="J2054" s="1">
        <v>-31.018000000000029</v>
      </c>
      <c r="K2054" s="1">
        <v>256.99999999999994</v>
      </c>
      <c r="L2054" s="1">
        <v>80.329999999999984</v>
      </c>
    </row>
    <row r="2055" spans="4:12">
      <c r="D2055" s="1" t="s">
        <v>1014</v>
      </c>
      <c r="E2055" s="1" t="s">
        <v>1140</v>
      </c>
      <c r="F2055" s="1" t="s">
        <v>35</v>
      </c>
      <c r="G2055" s="1" t="s">
        <v>36</v>
      </c>
      <c r="H2055" s="1" t="s">
        <v>22</v>
      </c>
      <c r="I2055" s="1" t="s">
        <v>29</v>
      </c>
      <c r="J2055" s="1">
        <v>-31.018000000000029</v>
      </c>
      <c r="K2055" s="1">
        <v>256.99999999999994</v>
      </c>
      <c r="L2055" s="1">
        <v>80.329999999999984</v>
      </c>
    </row>
    <row r="2056" spans="4:12">
      <c r="D2056" s="1" t="s">
        <v>1014</v>
      </c>
      <c r="E2056" s="1" t="s">
        <v>1141</v>
      </c>
      <c r="F2056" s="1" t="s">
        <v>35</v>
      </c>
      <c r="G2056" s="1" t="s">
        <v>36</v>
      </c>
      <c r="H2056" s="1" t="s">
        <v>22</v>
      </c>
      <c r="I2056" s="1" t="s">
        <v>29</v>
      </c>
      <c r="J2056" s="1">
        <v>-31.018000000000029</v>
      </c>
      <c r="K2056" s="1">
        <v>256.99999999999994</v>
      </c>
      <c r="L2056" s="1">
        <v>80.329999999999984</v>
      </c>
    </row>
    <row r="2057" spans="4:12">
      <c r="D2057" s="1" t="s">
        <v>1014</v>
      </c>
      <c r="E2057" s="1" t="s">
        <v>1142</v>
      </c>
      <c r="F2057" s="1" t="s">
        <v>35</v>
      </c>
      <c r="G2057" s="1" t="s">
        <v>36</v>
      </c>
      <c r="H2057" s="1" t="s">
        <v>22</v>
      </c>
      <c r="I2057" s="1" t="s">
        <v>29</v>
      </c>
      <c r="J2057" s="1">
        <v>-31.018000000000029</v>
      </c>
      <c r="K2057" s="1">
        <v>256.99999999999994</v>
      </c>
      <c r="L2057" s="1">
        <v>80.329999999999984</v>
      </c>
    </row>
    <row r="2058" spans="4:12">
      <c r="D2058" s="1" t="s">
        <v>1014</v>
      </c>
      <c r="E2058" s="1" t="s">
        <v>1143</v>
      </c>
      <c r="F2058" s="1" t="s">
        <v>35</v>
      </c>
      <c r="G2058" s="1" t="s">
        <v>36</v>
      </c>
      <c r="H2058" s="1" t="s">
        <v>22</v>
      </c>
      <c r="I2058" s="1" t="s">
        <v>29</v>
      </c>
      <c r="J2058" s="1">
        <v>-31.018000000000029</v>
      </c>
      <c r="K2058" s="1">
        <v>256.99999999999994</v>
      </c>
      <c r="L2058" s="1">
        <v>80.329999999999984</v>
      </c>
    </row>
    <row r="2059" spans="4:12">
      <c r="D2059" s="1" t="s">
        <v>1014</v>
      </c>
      <c r="E2059" s="1" t="s">
        <v>1144</v>
      </c>
      <c r="F2059" s="1" t="s">
        <v>35</v>
      </c>
      <c r="G2059" s="1" t="s">
        <v>36</v>
      </c>
      <c r="H2059" s="1" t="s">
        <v>22</v>
      </c>
      <c r="I2059" s="1" t="s">
        <v>29</v>
      </c>
      <c r="J2059" s="1">
        <v>-31.018000000000029</v>
      </c>
      <c r="K2059" s="1">
        <v>256.99999999999994</v>
      </c>
      <c r="L2059" s="1">
        <v>80.329999999999984</v>
      </c>
    </row>
    <row r="2060" spans="4:12">
      <c r="D2060" s="1" t="s">
        <v>1014</v>
      </c>
      <c r="E2060" s="1" t="s">
        <v>1145</v>
      </c>
      <c r="F2060" s="1" t="s">
        <v>35</v>
      </c>
      <c r="G2060" s="1" t="s">
        <v>36</v>
      </c>
      <c r="H2060" s="1" t="s">
        <v>22</v>
      </c>
      <c r="I2060" s="1" t="s">
        <v>29</v>
      </c>
      <c r="J2060" s="1">
        <v>-31.018000000000029</v>
      </c>
      <c r="K2060" s="1">
        <v>256.99999999999994</v>
      </c>
      <c r="L2060" s="1">
        <v>80.329999999999984</v>
      </c>
    </row>
    <row r="2061" spans="4:12">
      <c r="D2061" s="1" t="s">
        <v>1014</v>
      </c>
      <c r="E2061" s="1" t="s">
        <v>1146</v>
      </c>
      <c r="F2061" s="1" t="s">
        <v>35</v>
      </c>
      <c r="G2061" s="1" t="s">
        <v>36</v>
      </c>
      <c r="H2061" s="1" t="s">
        <v>22</v>
      </c>
      <c r="I2061" s="1" t="s">
        <v>29</v>
      </c>
      <c r="J2061" s="1">
        <v>-31.018000000000029</v>
      </c>
      <c r="K2061" s="1">
        <v>256.99999999999994</v>
      </c>
      <c r="L2061" s="1">
        <v>80.329999999999984</v>
      </c>
    </row>
    <row r="2062" spans="4:12">
      <c r="D2062" s="1" t="s">
        <v>1014</v>
      </c>
      <c r="E2062" s="1" t="s">
        <v>1147</v>
      </c>
      <c r="F2062" s="1" t="s">
        <v>35</v>
      </c>
      <c r="G2062" s="1" t="s">
        <v>36</v>
      </c>
      <c r="H2062" s="1" t="s">
        <v>22</v>
      </c>
      <c r="I2062" s="1" t="s">
        <v>29</v>
      </c>
      <c r="J2062" s="1">
        <v>-31.018000000000029</v>
      </c>
      <c r="K2062" s="1">
        <v>256.99999999999994</v>
      </c>
      <c r="L2062" s="1">
        <v>80.329999999999984</v>
      </c>
    </row>
    <row r="2063" spans="4:12">
      <c r="D2063" s="1" t="s">
        <v>1014</v>
      </c>
      <c r="E2063" s="1" t="s">
        <v>1148</v>
      </c>
      <c r="F2063" s="1" t="s">
        <v>35</v>
      </c>
      <c r="G2063" s="1" t="s">
        <v>36</v>
      </c>
      <c r="H2063" s="1" t="s">
        <v>22</v>
      </c>
      <c r="I2063" s="1" t="s">
        <v>29</v>
      </c>
      <c r="J2063" s="1">
        <v>-99.670000000000016</v>
      </c>
      <c r="K2063" s="1">
        <v>440.33</v>
      </c>
      <c r="L2063" s="1">
        <v>80.329999999999984</v>
      </c>
    </row>
    <row r="2064" spans="4:12">
      <c r="D2064" s="1" t="s">
        <v>1014</v>
      </c>
      <c r="E2064" s="1" t="s">
        <v>1149</v>
      </c>
      <c r="F2064" s="1" t="s">
        <v>35</v>
      </c>
      <c r="G2064" s="1" t="s">
        <v>36</v>
      </c>
      <c r="H2064" s="1" t="s">
        <v>22</v>
      </c>
      <c r="I2064" s="1" t="s">
        <v>29</v>
      </c>
      <c r="J2064" s="1">
        <v>-99.670000000000016</v>
      </c>
      <c r="K2064" s="1">
        <v>440.33</v>
      </c>
      <c r="L2064" s="1">
        <v>80.329999999999984</v>
      </c>
    </row>
    <row r="2065" spans="4:12">
      <c r="D2065" s="1" t="s">
        <v>1014</v>
      </c>
      <c r="E2065" s="1" t="s">
        <v>1150</v>
      </c>
      <c r="F2065" s="1" t="s">
        <v>35</v>
      </c>
      <c r="G2065" s="1" t="s">
        <v>36</v>
      </c>
      <c r="H2065" s="1" t="s">
        <v>22</v>
      </c>
      <c r="I2065" s="1" t="s">
        <v>29</v>
      </c>
      <c r="J2065" s="1">
        <v>-99.670000000000016</v>
      </c>
      <c r="K2065" s="1">
        <v>440.33</v>
      </c>
      <c r="L2065" s="1">
        <v>80.329999999999984</v>
      </c>
    </row>
    <row r="2066" spans="4:12">
      <c r="D2066" s="1" t="s">
        <v>1014</v>
      </c>
      <c r="E2066" s="1" t="s">
        <v>1151</v>
      </c>
      <c r="F2066" s="1" t="s">
        <v>35</v>
      </c>
      <c r="G2066" s="1" t="s">
        <v>36</v>
      </c>
      <c r="H2066" s="1" t="s">
        <v>22</v>
      </c>
      <c r="I2066" s="1" t="s">
        <v>29</v>
      </c>
      <c r="J2066" s="1">
        <v>-99.670000000000016</v>
      </c>
      <c r="K2066" s="1">
        <v>440.33</v>
      </c>
      <c r="L2066" s="1">
        <v>80.329999999999984</v>
      </c>
    </row>
    <row r="2067" spans="4:12">
      <c r="D2067" s="1" t="s">
        <v>1014</v>
      </c>
      <c r="E2067" s="1" t="s">
        <v>1152</v>
      </c>
      <c r="F2067" s="1" t="s">
        <v>35</v>
      </c>
      <c r="G2067" s="1" t="s">
        <v>36</v>
      </c>
      <c r="H2067" s="1" t="s">
        <v>22</v>
      </c>
      <c r="I2067" s="1" t="s">
        <v>29</v>
      </c>
      <c r="J2067" s="1">
        <v>-99.670000000000016</v>
      </c>
      <c r="K2067" s="1">
        <v>440.33</v>
      </c>
      <c r="L2067" s="1">
        <v>80.329999999999984</v>
      </c>
    </row>
    <row r="2068" spans="4:12">
      <c r="D2068" s="1" t="s">
        <v>1014</v>
      </c>
      <c r="E2068" s="1" t="s">
        <v>1153</v>
      </c>
      <c r="F2068" s="1" t="s">
        <v>35</v>
      </c>
      <c r="G2068" s="1" t="s">
        <v>36</v>
      </c>
      <c r="H2068" s="1" t="s">
        <v>22</v>
      </c>
      <c r="I2068" s="1" t="s">
        <v>29</v>
      </c>
      <c r="J2068" s="1">
        <v>-99.670000000000016</v>
      </c>
      <c r="K2068" s="1">
        <v>440.33</v>
      </c>
      <c r="L2068" s="1">
        <v>80.329999999999984</v>
      </c>
    </row>
    <row r="2069" spans="4:12">
      <c r="D2069" s="1" t="s">
        <v>1014</v>
      </c>
      <c r="E2069" s="1" t="s">
        <v>1154</v>
      </c>
      <c r="F2069" s="1" t="s">
        <v>35</v>
      </c>
      <c r="G2069" s="1" t="s">
        <v>36</v>
      </c>
      <c r="H2069" s="1" t="s">
        <v>22</v>
      </c>
      <c r="I2069" s="1" t="s">
        <v>29</v>
      </c>
      <c r="J2069" s="1">
        <v>-99.670000000000016</v>
      </c>
      <c r="K2069" s="1">
        <v>440.33</v>
      </c>
      <c r="L2069" s="1">
        <v>80.329999999999984</v>
      </c>
    </row>
    <row r="2070" spans="4:12">
      <c r="D2070" s="1" t="s">
        <v>1014</v>
      </c>
      <c r="E2070" s="1" t="s">
        <v>1155</v>
      </c>
      <c r="F2070" s="1" t="s">
        <v>35</v>
      </c>
      <c r="G2070" s="1" t="s">
        <v>36</v>
      </c>
      <c r="H2070" s="1" t="s">
        <v>22</v>
      </c>
      <c r="I2070" s="1" t="s">
        <v>29</v>
      </c>
      <c r="J2070" s="1">
        <v>-99.670000000000016</v>
      </c>
      <c r="K2070" s="1">
        <v>440.33</v>
      </c>
      <c r="L2070" s="1">
        <v>80.329999999999984</v>
      </c>
    </row>
    <row r="2071" spans="4:12">
      <c r="D2071" s="1" t="s">
        <v>1014</v>
      </c>
      <c r="E2071" s="1" t="s">
        <v>1156</v>
      </c>
      <c r="F2071" s="1" t="s">
        <v>35</v>
      </c>
      <c r="G2071" s="1" t="s">
        <v>36</v>
      </c>
      <c r="H2071" s="1" t="s">
        <v>22</v>
      </c>
      <c r="I2071" s="1" t="s">
        <v>29</v>
      </c>
      <c r="J2071" s="1">
        <v>-99.670000000000016</v>
      </c>
      <c r="K2071" s="1">
        <v>440.33</v>
      </c>
      <c r="L2071" s="1">
        <v>80.329999999999984</v>
      </c>
    </row>
    <row r="2072" spans="4:12">
      <c r="D2072" s="1" t="s">
        <v>1014</v>
      </c>
      <c r="E2072" s="1" t="s">
        <v>1157</v>
      </c>
      <c r="F2072" s="1" t="s">
        <v>35</v>
      </c>
      <c r="G2072" s="1" t="s">
        <v>36</v>
      </c>
      <c r="H2072" s="1" t="s">
        <v>22</v>
      </c>
      <c r="I2072" s="1" t="s">
        <v>29</v>
      </c>
      <c r="J2072" s="1">
        <v>-99.670000000000016</v>
      </c>
      <c r="K2072" s="1">
        <v>440.33</v>
      </c>
      <c r="L2072" s="1">
        <v>80.329999999999984</v>
      </c>
    </row>
    <row r="2073" spans="4:12">
      <c r="D2073" s="1" t="s">
        <v>1014</v>
      </c>
      <c r="E2073" s="1" t="s">
        <v>1158</v>
      </c>
      <c r="F2073" s="1" t="s">
        <v>35</v>
      </c>
      <c r="G2073" s="1" t="s">
        <v>36</v>
      </c>
      <c r="H2073" s="1" t="s">
        <v>22</v>
      </c>
      <c r="I2073" s="1" t="s">
        <v>29</v>
      </c>
      <c r="J2073" s="1">
        <v>-99.670000000000016</v>
      </c>
      <c r="K2073" s="1">
        <v>440.33</v>
      </c>
      <c r="L2073" s="1">
        <v>80.329999999999984</v>
      </c>
    </row>
    <row r="2074" spans="4:12">
      <c r="D2074" s="1" t="s">
        <v>1014</v>
      </c>
      <c r="E2074" s="1" t="s">
        <v>1159</v>
      </c>
      <c r="F2074" s="1" t="s">
        <v>35</v>
      </c>
      <c r="G2074" s="1" t="s">
        <v>36</v>
      </c>
      <c r="H2074" s="1" t="s">
        <v>22</v>
      </c>
      <c r="I2074" s="1" t="s">
        <v>29</v>
      </c>
      <c r="J2074" s="1">
        <v>-99.670000000000016</v>
      </c>
      <c r="K2074" s="1">
        <v>440.33</v>
      </c>
      <c r="L2074" s="1">
        <v>80.329999999999984</v>
      </c>
    </row>
    <row r="2075" spans="4:12">
      <c r="D2075" s="1" t="s">
        <v>1014</v>
      </c>
      <c r="E2075" s="1" t="s">
        <v>1160</v>
      </c>
      <c r="F2075" s="1" t="s">
        <v>35</v>
      </c>
      <c r="G2075" s="1" t="s">
        <v>36</v>
      </c>
      <c r="H2075" s="1" t="s">
        <v>22</v>
      </c>
      <c r="I2075" s="1" t="s">
        <v>29</v>
      </c>
      <c r="J2075" s="1">
        <v>-99.670000000000016</v>
      </c>
      <c r="K2075" s="1">
        <v>440.33</v>
      </c>
      <c r="L2075" s="1">
        <v>80.329999999999984</v>
      </c>
    </row>
    <row r="2076" spans="4:12">
      <c r="D2076" s="1" t="s">
        <v>1014</v>
      </c>
      <c r="E2076" s="1" t="s">
        <v>1161</v>
      </c>
      <c r="F2076" s="1" t="s">
        <v>35</v>
      </c>
      <c r="G2076" s="1" t="s">
        <v>36</v>
      </c>
      <c r="H2076" s="1" t="s">
        <v>22</v>
      </c>
      <c r="I2076" s="1" t="s">
        <v>29</v>
      </c>
      <c r="J2076" s="1">
        <v>-99.670000000000016</v>
      </c>
      <c r="K2076" s="1">
        <v>440.33</v>
      </c>
      <c r="L2076" s="1">
        <v>80.329999999999984</v>
      </c>
    </row>
    <row r="2077" spans="4:12">
      <c r="D2077" s="1" t="s">
        <v>1014</v>
      </c>
      <c r="E2077" s="1" t="s">
        <v>1162</v>
      </c>
      <c r="F2077" s="1" t="s">
        <v>35</v>
      </c>
      <c r="G2077" s="1" t="s">
        <v>36</v>
      </c>
      <c r="H2077" s="1" t="s">
        <v>22</v>
      </c>
      <c r="I2077" s="1" t="s">
        <v>29</v>
      </c>
      <c r="J2077" s="1">
        <v>-99.670000000000016</v>
      </c>
      <c r="K2077" s="1">
        <v>440.33</v>
      </c>
      <c r="L2077" s="1">
        <v>80.329999999999984</v>
      </c>
    </row>
    <row r="2078" spans="4:12">
      <c r="D2078" s="1" t="s">
        <v>1014</v>
      </c>
      <c r="E2078" s="1" t="s">
        <v>1163</v>
      </c>
      <c r="F2078" s="1" t="s">
        <v>35</v>
      </c>
      <c r="G2078" s="1" t="s">
        <v>36</v>
      </c>
      <c r="H2078" s="1" t="s">
        <v>22</v>
      </c>
      <c r="I2078" s="1" t="s">
        <v>29</v>
      </c>
      <c r="J2078" s="1">
        <v>-99.670000000000016</v>
      </c>
      <c r="K2078" s="1">
        <v>440.33</v>
      </c>
      <c r="L2078" s="1">
        <v>80.329999999999984</v>
      </c>
    </row>
    <row r="2079" spans="4:12">
      <c r="D2079" s="1" t="s">
        <v>1014</v>
      </c>
      <c r="E2079" s="1" t="s">
        <v>1164</v>
      </c>
      <c r="F2079" s="1" t="s">
        <v>35</v>
      </c>
      <c r="G2079" s="1" t="s">
        <v>36</v>
      </c>
      <c r="H2079" s="1" t="s">
        <v>22</v>
      </c>
      <c r="I2079" s="1" t="s">
        <v>29</v>
      </c>
      <c r="J2079" s="1">
        <v>-99.670000000000016</v>
      </c>
      <c r="K2079" s="1">
        <v>440.33</v>
      </c>
      <c r="L2079" s="1">
        <v>80.329999999999984</v>
      </c>
    </row>
    <row r="2080" spans="4:12">
      <c r="D2080" s="1" t="s">
        <v>1014</v>
      </c>
      <c r="E2080" s="1" t="s">
        <v>1165</v>
      </c>
      <c r="F2080" s="1" t="s">
        <v>35</v>
      </c>
      <c r="G2080" s="1" t="s">
        <v>36</v>
      </c>
      <c r="H2080" s="1" t="s">
        <v>22</v>
      </c>
      <c r="I2080" s="1" t="s">
        <v>29</v>
      </c>
      <c r="J2080" s="1">
        <v>-99.670000000000016</v>
      </c>
      <c r="K2080" s="1">
        <v>440.33</v>
      </c>
      <c r="L2080" s="1">
        <v>80.329999999999984</v>
      </c>
    </row>
    <row r="2081" spans="4:12">
      <c r="D2081" s="1" t="s">
        <v>1014</v>
      </c>
      <c r="E2081" s="1" t="s">
        <v>1166</v>
      </c>
      <c r="F2081" s="1" t="s">
        <v>35</v>
      </c>
      <c r="G2081" s="1" t="s">
        <v>36</v>
      </c>
      <c r="H2081" s="1" t="s">
        <v>22</v>
      </c>
      <c r="I2081" s="1" t="s">
        <v>29</v>
      </c>
      <c r="J2081" s="1">
        <v>-99.670000000000016</v>
      </c>
      <c r="K2081" s="1">
        <v>440.33</v>
      </c>
      <c r="L2081" s="1">
        <v>80.329999999999984</v>
      </c>
    </row>
    <row r="2082" spans="4:12">
      <c r="D2082" s="1" t="s">
        <v>1014</v>
      </c>
      <c r="E2082" s="1" t="s">
        <v>1167</v>
      </c>
      <c r="F2082" s="1" t="s">
        <v>35</v>
      </c>
      <c r="G2082" s="1" t="s">
        <v>36</v>
      </c>
      <c r="H2082" s="1" t="s">
        <v>22</v>
      </c>
      <c r="I2082" s="1" t="s">
        <v>29</v>
      </c>
      <c r="J2082" s="1">
        <v>-99.670000000000016</v>
      </c>
      <c r="K2082" s="1">
        <v>440.33</v>
      </c>
      <c r="L2082" s="1">
        <v>80.329999999999984</v>
      </c>
    </row>
    <row r="2083" spans="4:12">
      <c r="D2083" s="1" t="s">
        <v>1014</v>
      </c>
      <c r="E2083" s="1" t="s">
        <v>1168</v>
      </c>
      <c r="F2083" s="1" t="s">
        <v>35</v>
      </c>
      <c r="G2083" s="1" t="s">
        <v>36</v>
      </c>
      <c r="H2083" s="1" t="s">
        <v>22</v>
      </c>
      <c r="I2083" s="1" t="s">
        <v>29</v>
      </c>
      <c r="J2083" s="1">
        <v>-31.018000000000029</v>
      </c>
      <c r="K2083" s="1">
        <v>256.99999999999994</v>
      </c>
      <c r="L2083" s="1">
        <v>80.329999999999984</v>
      </c>
    </row>
    <row r="2084" spans="4:12">
      <c r="D2084" s="1" t="s">
        <v>1014</v>
      </c>
      <c r="E2084" s="1" t="s">
        <v>1169</v>
      </c>
      <c r="F2084" s="1" t="s">
        <v>35</v>
      </c>
      <c r="G2084" s="1" t="s">
        <v>36</v>
      </c>
      <c r="H2084" s="1" t="s">
        <v>22</v>
      </c>
      <c r="I2084" s="1" t="s">
        <v>29</v>
      </c>
      <c r="J2084" s="1">
        <v>-31.018000000000029</v>
      </c>
      <c r="K2084" s="1">
        <v>256.99999999999994</v>
      </c>
      <c r="L2084" s="1">
        <v>80.329999999999984</v>
      </c>
    </row>
    <row r="2085" spans="4:12">
      <c r="D2085" s="1" t="s">
        <v>1014</v>
      </c>
      <c r="E2085" s="1" t="s">
        <v>1170</v>
      </c>
      <c r="F2085" s="1" t="s">
        <v>35</v>
      </c>
      <c r="G2085" s="1" t="s">
        <v>36</v>
      </c>
      <c r="H2085" s="1" t="s">
        <v>22</v>
      </c>
      <c r="I2085" s="1" t="s">
        <v>29</v>
      </c>
      <c r="J2085" s="1">
        <v>-31.018000000000029</v>
      </c>
      <c r="K2085" s="1">
        <v>256.99999999999994</v>
      </c>
      <c r="L2085" s="1">
        <v>80.329999999999984</v>
      </c>
    </row>
    <row r="2086" spans="4:12">
      <c r="D2086" s="1" t="s">
        <v>1014</v>
      </c>
      <c r="E2086" s="1" t="s">
        <v>1171</v>
      </c>
      <c r="F2086" s="1" t="s">
        <v>35</v>
      </c>
      <c r="G2086" s="1" t="s">
        <v>36</v>
      </c>
      <c r="H2086" s="1" t="s">
        <v>22</v>
      </c>
      <c r="I2086" s="1" t="s">
        <v>29</v>
      </c>
      <c r="J2086" s="1">
        <v>-31.018000000000029</v>
      </c>
      <c r="K2086" s="1">
        <v>256.99999999999994</v>
      </c>
      <c r="L2086" s="1">
        <v>80.329999999999984</v>
      </c>
    </row>
    <row r="2087" spans="4:12">
      <c r="D2087" s="1" t="s">
        <v>1014</v>
      </c>
      <c r="E2087" s="1" t="s">
        <v>1172</v>
      </c>
      <c r="F2087" s="1" t="s">
        <v>35</v>
      </c>
      <c r="G2087" s="1" t="s">
        <v>36</v>
      </c>
      <c r="H2087" s="1" t="s">
        <v>22</v>
      </c>
      <c r="I2087" s="1" t="s">
        <v>29</v>
      </c>
      <c r="J2087" s="1">
        <v>-31.018000000000029</v>
      </c>
      <c r="K2087" s="1">
        <v>256.99999999999994</v>
      </c>
      <c r="L2087" s="1">
        <v>80.329999999999984</v>
      </c>
    </row>
    <row r="2088" spans="4:12">
      <c r="D2088" s="1" t="s">
        <v>1014</v>
      </c>
      <c r="E2088" s="1" t="s">
        <v>1173</v>
      </c>
      <c r="F2088" s="1" t="s">
        <v>35</v>
      </c>
      <c r="G2088" s="1" t="s">
        <v>36</v>
      </c>
      <c r="H2088" s="1" t="s">
        <v>22</v>
      </c>
      <c r="I2088" s="1" t="s">
        <v>29</v>
      </c>
      <c r="J2088" s="1">
        <v>-31.018000000000029</v>
      </c>
      <c r="K2088" s="1">
        <v>256.99999999999994</v>
      </c>
      <c r="L2088" s="1">
        <v>80.329999999999984</v>
      </c>
    </row>
    <row r="2089" spans="4:12">
      <c r="D2089" s="1" t="s">
        <v>1014</v>
      </c>
      <c r="E2089" s="1" t="s">
        <v>1174</v>
      </c>
      <c r="F2089" s="1" t="s">
        <v>35</v>
      </c>
      <c r="G2089" s="1" t="s">
        <v>36</v>
      </c>
      <c r="H2089" s="1" t="s">
        <v>22</v>
      </c>
      <c r="I2089" s="1" t="s">
        <v>29</v>
      </c>
      <c r="J2089" s="1">
        <v>-31.018000000000029</v>
      </c>
      <c r="K2089" s="1">
        <v>256.99999999999994</v>
      </c>
      <c r="L2089" s="1">
        <v>80.329999999999984</v>
      </c>
    </row>
    <row r="2090" spans="4:12">
      <c r="D2090" s="1" t="s">
        <v>1014</v>
      </c>
      <c r="E2090" s="1" t="s">
        <v>1175</v>
      </c>
      <c r="F2090" s="1" t="s">
        <v>35</v>
      </c>
      <c r="G2090" s="1" t="s">
        <v>36</v>
      </c>
      <c r="H2090" s="1" t="s">
        <v>22</v>
      </c>
      <c r="I2090" s="1" t="s">
        <v>29</v>
      </c>
      <c r="J2090" s="1">
        <v>-31.018000000000029</v>
      </c>
      <c r="K2090" s="1">
        <v>256.99999999999994</v>
      </c>
      <c r="L2090" s="1">
        <v>80.329999999999984</v>
      </c>
    </row>
    <row r="2091" spans="4:12">
      <c r="D2091" s="1" t="s">
        <v>1014</v>
      </c>
      <c r="E2091" s="1" t="s">
        <v>1176</v>
      </c>
      <c r="F2091" s="1" t="s">
        <v>35</v>
      </c>
      <c r="G2091" s="1" t="s">
        <v>36</v>
      </c>
      <c r="H2091" s="1" t="s">
        <v>22</v>
      </c>
      <c r="I2091" s="1" t="s">
        <v>29</v>
      </c>
      <c r="J2091" s="1">
        <v>-31.018000000000029</v>
      </c>
      <c r="K2091" s="1">
        <v>256.99999999999994</v>
      </c>
      <c r="L2091" s="1">
        <v>80.329999999999984</v>
      </c>
    </row>
    <row r="2092" spans="4:12">
      <c r="D2092" s="1" t="s">
        <v>1014</v>
      </c>
      <c r="E2092" s="1" t="s">
        <v>1177</v>
      </c>
      <c r="F2092" s="1" t="s">
        <v>35</v>
      </c>
      <c r="G2092" s="1" t="s">
        <v>36</v>
      </c>
      <c r="H2092" s="1" t="s">
        <v>22</v>
      </c>
      <c r="I2092" s="1" t="s">
        <v>29</v>
      </c>
      <c r="J2092" s="1">
        <v>-31.018000000000029</v>
      </c>
      <c r="K2092" s="1">
        <v>256.99999999999994</v>
      </c>
      <c r="L2092" s="1">
        <v>80.329999999999984</v>
      </c>
    </row>
    <row r="2093" spans="4:12">
      <c r="D2093" s="1" t="s">
        <v>1014</v>
      </c>
      <c r="E2093" s="1" t="s">
        <v>1178</v>
      </c>
      <c r="F2093" s="1" t="s">
        <v>35</v>
      </c>
      <c r="G2093" s="1" t="s">
        <v>36</v>
      </c>
      <c r="H2093" s="1" t="s">
        <v>22</v>
      </c>
      <c r="I2093" s="1" t="s">
        <v>29</v>
      </c>
      <c r="J2093" s="1">
        <v>-31.018000000000029</v>
      </c>
      <c r="K2093" s="1">
        <v>256.99999999999994</v>
      </c>
      <c r="L2093" s="1">
        <v>80.329999999999984</v>
      </c>
    </row>
    <row r="2094" spans="4:12">
      <c r="D2094" s="1" t="s">
        <v>1014</v>
      </c>
      <c r="E2094" s="1" t="s">
        <v>1179</v>
      </c>
      <c r="F2094" s="1" t="s">
        <v>35</v>
      </c>
      <c r="G2094" s="1" t="s">
        <v>36</v>
      </c>
      <c r="H2094" s="1" t="s">
        <v>22</v>
      </c>
      <c r="I2094" s="1" t="s">
        <v>29</v>
      </c>
      <c r="J2094" s="1">
        <v>-31.018000000000029</v>
      </c>
      <c r="K2094" s="1">
        <v>256.99999999999994</v>
      </c>
      <c r="L2094" s="1">
        <v>80.329999999999984</v>
      </c>
    </row>
    <row r="2095" spans="4:12">
      <c r="D2095" s="1" t="s">
        <v>1014</v>
      </c>
      <c r="E2095" s="1" t="s">
        <v>1180</v>
      </c>
      <c r="F2095" s="1" t="s">
        <v>35</v>
      </c>
      <c r="G2095" s="1" t="s">
        <v>36</v>
      </c>
      <c r="H2095" s="1" t="s">
        <v>22</v>
      </c>
      <c r="I2095" s="1" t="s">
        <v>29</v>
      </c>
      <c r="J2095" s="1">
        <v>-31.018000000000029</v>
      </c>
      <c r="K2095" s="1">
        <v>256.99999999999994</v>
      </c>
      <c r="L2095" s="1">
        <v>80.329999999999984</v>
      </c>
    </row>
    <row r="2096" spans="4:12">
      <c r="D2096" s="1" t="s">
        <v>1014</v>
      </c>
      <c r="E2096" s="1" t="s">
        <v>1181</v>
      </c>
      <c r="F2096" s="1" t="s">
        <v>35</v>
      </c>
      <c r="G2096" s="1" t="s">
        <v>36</v>
      </c>
      <c r="H2096" s="1" t="s">
        <v>22</v>
      </c>
      <c r="I2096" s="1" t="s">
        <v>29</v>
      </c>
      <c r="J2096" s="1">
        <v>-31.018000000000029</v>
      </c>
      <c r="K2096" s="1">
        <v>256.99999999999994</v>
      </c>
      <c r="L2096" s="1">
        <v>80.329999999999984</v>
      </c>
    </row>
    <row r="2097" spans="4:12">
      <c r="D2097" s="1" t="s">
        <v>1014</v>
      </c>
      <c r="E2097" s="1" t="s">
        <v>1182</v>
      </c>
      <c r="F2097" s="1" t="s">
        <v>35</v>
      </c>
      <c r="G2097" s="1" t="s">
        <v>36</v>
      </c>
      <c r="H2097" s="1" t="s">
        <v>22</v>
      </c>
      <c r="I2097" s="1" t="s">
        <v>29</v>
      </c>
      <c r="J2097" s="1">
        <v>-31.018000000000029</v>
      </c>
      <c r="K2097" s="1">
        <v>256.99999999999994</v>
      </c>
      <c r="L2097" s="1">
        <v>80.329999999999984</v>
      </c>
    </row>
    <row r="2098" spans="4:12">
      <c r="D2098" s="1" t="s">
        <v>1014</v>
      </c>
      <c r="E2098" s="1" t="s">
        <v>1183</v>
      </c>
      <c r="F2098" s="1" t="s">
        <v>35</v>
      </c>
      <c r="G2098" s="1" t="s">
        <v>36</v>
      </c>
      <c r="H2098" s="1" t="s">
        <v>22</v>
      </c>
      <c r="I2098" s="1" t="s">
        <v>29</v>
      </c>
      <c r="J2098" s="1">
        <v>-31.018000000000029</v>
      </c>
      <c r="K2098" s="1">
        <v>256.99999999999994</v>
      </c>
      <c r="L2098" s="1">
        <v>80.329999999999984</v>
      </c>
    </row>
    <row r="2099" spans="4:12">
      <c r="D2099" s="1" t="s">
        <v>1014</v>
      </c>
      <c r="E2099" s="1" t="s">
        <v>1184</v>
      </c>
      <c r="F2099" s="1" t="s">
        <v>35</v>
      </c>
      <c r="G2099" s="1" t="s">
        <v>36</v>
      </c>
      <c r="H2099" s="1" t="s">
        <v>22</v>
      </c>
      <c r="I2099" s="1" t="s">
        <v>29</v>
      </c>
      <c r="J2099" s="1">
        <v>-31.018000000000029</v>
      </c>
      <c r="K2099" s="1">
        <v>256.99999999999994</v>
      </c>
      <c r="L2099" s="1">
        <v>80.329999999999984</v>
      </c>
    </row>
    <row r="2100" spans="4:12">
      <c r="D2100" s="1" t="s">
        <v>1014</v>
      </c>
      <c r="E2100" s="1" t="s">
        <v>1185</v>
      </c>
      <c r="F2100" s="1" t="s">
        <v>35</v>
      </c>
      <c r="G2100" s="1" t="s">
        <v>36</v>
      </c>
      <c r="H2100" s="1" t="s">
        <v>22</v>
      </c>
      <c r="I2100" s="1" t="s">
        <v>29</v>
      </c>
      <c r="J2100" s="1">
        <v>-31.018000000000029</v>
      </c>
      <c r="K2100" s="1">
        <v>256.99999999999994</v>
      </c>
      <c r="L2100" s="1">
        <v>80.329999999999984</v>
      </c>
    </row>
    <row r="2101" spans="4:12">
      <c r="D2101" s="1" t="s">
        <v>1014</v>
      </c>
      <c r="E2101" s="1" t="s">
        <v>1186</v>
      </c>
      <c r="F2101" s="1" t="s">
        <v>35</v>
      </c>
      <c r="G2101" s="1" t="s">
        <v>36</v>
      </c>
      <c r="H2101" s="1" t="s">
        <v>22</v>
      </c>
      <c r="I2101" s="1" t="s">
        <v>29</v>
      </c>
      <c r="J2101" s="1">
        <v>-31.018000000000029</v>
      </c>
      <c r="K2101" s="1">
        <v>256.99999999999994</v>
      </c>
      <c r="L2101" s="1">
        <v>80.329999999999984</v>
      </c>
    </row>
    <row r="2102" spans="4:12">
      <c r="D2102" s="1" t="s">
        <v>1014</v>
      </c>
      <c r="E2102" s="1" t="s">
        <v>1187</v>
      </c>
      <c r="F2102" s="1" t="s">
        <v>35</v>
      </c>
      <c r="G2102" s="1" t="s">
        <v>36</v>
      </c>
      <c r="H2102" s="1" t="s">
        <v>22</v>
      </c>
      <c r="I2102" s="1" t="s">
        <v>29</v>
      </c>
      <c r="J2102" s="1">
        <v>-31.018000000000029</v>
      </c>
      <c r="K2102" s="1">
        <v>256.99999999999994</v>
      </c>
      <c r="L2102" s="1">
        <v>80.329999999999984</v>
      </c>
    </row>
    <row r="2103" spans="4:12">
      <c r="D2103" s="1" t="s">
        <v>1014</v>
      </c>
      <c r="E2103" s="1" t="s">
        <v>1188</v>
      </c>
      <c r="F2103" s="1" t="s">
        <v>35</v>
      </c>
      <c r="G2103" s="1" t="s">
        <v>36</v>
      </c>
      <c r="H2103" s="1" t="s">
        <v>22</v>
      </c>
      <c r="I2103" s="1" t="s">
        <v>29</v>
      </c>
      <c r="J2103" s="1">
        <v>-31.018000000000029</v>
      </c>
      <c r="K2103" s="1">
        <v>256.99999999999994</v>
      </c>
      <c r="L2103" s="1">
        <v>80.329999999999984</v>
      </c>
    </row>
    <row r="2104" spans="4:12">
      <c r="D2104" s="1" t="s">
        <v>1014</v>
      </c>
      <c r="E2104" s="1" t="s">
        <v>1189</v>
      </c>
      <c r="F2104" s="1" t="s">
        <v>35</v>
      </c>
      <c r="G2104" s="1" t="s">
        <v>36</v>
      </c>
      <c r="H2104" s="1" t="s">
        <v>22</v>
      </c>
      <c r="I2104" s="1" t="s">
        <v>29</v>
      </c>
      <c r="J2104" s="1">
        <v>-31.018000000000029</v>
      </c>
      <c r="K2104" s="1">
        <v>256.99999999999994</v>
      </c>
      <c r="L2104" s="1">
        <v>80.329999999999984</v>
      </c>
    </row>
    <row r="2105" spans="4:12">
      <c r="D2105" s="1" t="s">
        <v>1014</v>
      </c>
      <c r="E2105" s="1" t="s">
        <v>1190</v>
      </c>
      <c r="F2105" s="1" t="s">
        <v>35</v>
      </c>
      <c r="G2105" s="1" t="s">
        <v>36</v>
      </c>
      <c r="H2105" s="1" t="s">
        <v>22</v>
      </c>
      <c r="I2105" s="1" t="s">
        <v>29</v>
      </c>
      <c r="J2105" s="1">
        <v>-99.670000000000016</v>
      </c>
      <c r="K2105" s="1">
        <v>440.33</v>
      </c>
      <c r="L2105" s="1">
        <v>80.329999999999984</v>
      </c>
    </row>
    <row r="2106" spans="4:12">
      <c r="D2106" s="1" t="s">
        <v>1014</v>
      </c>
      <c r="E2106" s="1" t="s">
        <v>1191</v>
      </c>
      <c r="F2106" s="1" t="s">
        <v>35</v>
      </c>
      <c r="G2106" s="1" t="s">
        <v>36</v>
      </c>
      <c r="H2106" s="1" t="s">
        <v>22</v>
      </c>
      <c r="I2106" s="1" t="s">
        <v>29</v>
      </c>
      <c r="J2106" s="1">
        <v>-99.670000000000016</v>
      </c>
      <c r="K2106" s="1">
        <v>440.33</v>
      </c>
      <c r="L2106" s="1">
        <v>80.329999999999984</v>
      </c>
    </row>
    <row r="2107" spans="4:12">
      <c r="D2107" s="1" t="s">
        <v>1014</v>
      </c>
      <c r="E2107" s="1" t="s">
        <v>1192</v>
      </c>
      <c r="F2107" s="1" t="s">
        <v>35</v>
      </c>
      <c r="G2107" s="1" t="s">
        <v>36</v>
      </c>
      <c r="H2107" s="1" t="s">
        <v>22</v>
      </c>
      <c r="I2107" s="1" t="s">
        <v>29</v>
      </c>
      <c r="J2107" s="1">
        <v>-99.670000000000016</v>
      </c>
      <c r="K2107" s="1">
        <v>440.33</v>
      </c>
      <c r="L2107" s="1">
        <v>80.329999999999984</v>
      </c>
    </row>
    <row r="2108" spans="4:12">
      <c r="D2108" s="1" t="s">
        <v>1014</v>
      </c>
      <c r="E2108" s="1" t="s">
        <v>1193</v>
      </c>
      <c r="F2108" s="1" t="s">
        <v>35</v>
      </c>
      <c r="G2108" s="1" t="s">
        <v>36</v>
      </c>
      <c r="H2108" s="1" t="s">
        <v>22</v>
      </c>
      <c r="I2108" s="1" t="s">
        <v>29</v>
      </c>
      <c r="J2108" s="1">
        <v>-99.670000000000016</v>
      </c>
      <c r="K2108" s="1">
        <v>440.33</v>
      </c>
      <c r="L2108" s="1">
        <v>80.329999999999984</v>
      </c>
    </row>
    <row r="2109" spans="4:12">
      <c r="D2109" s="1" t="s">
        <v>1014</v>
      </c>
      <c r="E2109" s="1" t="s">
        <v>1194</v>
      </c>
      <c r="F2109" s="1" t="s">
        <v>35</v>
      </c>
      <c r="G2109" s="1" t="s">
        <v>36</v>
      </c>
      <c r="H2109" s="1" t="s">
        <v>22</v>
      </c>
      <c r="I2109" s="1" t="s">
        <v>29</v>
      </c>
      <c r="J2109" s="1">
        <v>-99.670000000000016</v>
      </c>
      <c r="K2109" s="1">
        <v>440.33</v>
      </c>
      <c r="L2109" s="1">
        <v>80.329999999999984</v>
      </c>
    </row>
    <row r="2110" spans="4:12">
      <c r="D2110" s="1" t="s">
        <v>1014</v>
      </c>
      <c r="E2110" s="1" t="s">
        <v>1195</v>
      </c>
      <c r="F2110" s="1" t="s">
        <v>35</v>
      </c>
      <c r="G2110" s="1" t="s">
        <v>36</v>
      </c>
      <c r="H2110" s="1" t="s">
        <v>22</v>
      </c>
      <c r="I2110" s="1" t="s">
        <v>29</v>
      </c>
      <c r="J2110" s="1">
        <v>-99.670000000000016</v>
      </c>
      <c r="K2110" s="1">
        <v>440.33</v>
      </c>
      <c r="L2110" s="1">
        <v>80.329999999999984</v>
      </c>
    </row>
    <row r="2111" spans="4:12">
      <c r="D2111" s="1" t="s">
        <v>1014</v>
      </c>
      <c r="E2111" s="1" t="s">
        <v>1196</v>
      </c>
      <c r="F2111" s="1" t="s">
        <v>35</v>
      </c>
      <c r="G2111" s="1" t="s">
        <v>36</v>
      </c>
      <c r="H2111" s="1" t="s">
        <v>22</v>
      </c>
      <c r="I2111" s="1" t="s">
        <v>29</v>
      </c>
      <c r="J2111" s="1">
        <v>-99.670000000000016</v>
      </c>
      <c r="K2111" s="1">
        <v>440.33</v>
      </c>
      <c r="L2111" s="1">
        <v>80.329999999999984</v>
      </c>
    </row>
    <row r="2112" spans="4:12">
      <c r="D2112" s="1" t="s">
        <v>1014</v>
      </c>
      <c r="E2112" s="1" t="s">
        <v>1197</v>
      </c>
      <c r="F2112" s="1" t="s">
        <v>35</v>
      </c>
      <c r="G2112" s="1" t="s">
        <v>36</v>
      </c>
      <c r="H2112" s="1" t="s">
        <v>22</v>
      </c>
      <c r="I2112" s="1" t="s">
        <v>29</v>
      </c>
      <c r="J2112" s="1">
        <v>-99.670000000000016</v>
      </c>
      <c r="K2112" s="1">
        <v>440.33</v>
      </c>
      <c r="L2112" s="1">
        <v>80.329999999999984</v>
      </c>
    </row>
    <row r="2113" spans="4:12">
      <c r="D2113" s="1" t="s">
        <v>1014</v>
      </c>
      <c r="E2113" s="1" t="s">
        <v>1198</v>
      </c>
      <c r="F2113" s="1" t="s">
        <v>35</v>
      </c>
      <c r="G2113" s="1" t="s">
        <v>36</v>
      </c>
      <c r="H2113" s="1" t="s">
        <v>22</v>
      </c>
      <c r="I2113" s="1" t="s">
        <v>29</v>
      </c>
      <c r="J2113" s="1">
        <v>-99.670000000000016</v>
      </c>
      <c r="K2113" s="1">
        <v>440.33</v>
      </c>
      <c r="L2113" s="1">
        <v>80.329999999999984</v>
      </c>
    </row>
    <row r="2114" spans="4:12">
      <c r="D2114" s="1" t="s">
        <v>1014</v>
      </c>
      <c r="E2114" s="1" t="s">
        <v>1199</v>
      </c>
      <c r="F2114" s="1" t="s">
        <v>35</v>
      </c>
      <c r="G2114" s="1" t="s">
        <v>36</v>
      </c>
      <c r="H2114" s="1" t="s">
        <v>22</v>
      </c>
      <c r="I2114" s="1" t="s">
        <v>29</v>
      </c>
      <c r="J2114" s="1">
        <v>-99.670000000000016</v>
      </c>
      <c r="K2114" s="1">
        <v>440.33</v>
      </c>
      <c r="L2114" s="1">
        <v>80.329999999999984</v>
      </c>
    </row>
    <row r="2115" spans="4:12">
      <c r="D2115" s="1" t="s">
        <v>1014</v>
      </c>
      <c r="E2115" s="1" t="s">
        <v>1200</v>
      </c>
      <c r="F2115" s="1" t="s">
        <v>35</v>
      </c>
      <c r="G2115" s="1" t="s">
        <v>36</v>
      </c>
      <c r="H2115" s="1" t="s">
        <v>22</v>
      </c>
      <c r="I2115" s="1" t="s">
        <v>29</v>
      </c>
      <c r="J2115" s="1">
        <v>-99.670000000000016</v>
      </c>
      <c r="K2115" s="1">
        <v>440.33</v>
      </c>
      <c r="L2115" s="1">
        <v>80.329999999999984</v>
      </c>
    </row>
    <row r="2116" spans="4:12">
      <c r="D2116" s="1" t="s">
        <v>1014</v>
      </c>
      <c r="E2116" s="1" t="s">
        <v>1201</v>
      </c>
      <c r="F2116" s="1" t="s">
        <v>35</v>
      </c>
      <c r="G2116" s="1" t="s">
        <v>36</v>
      </c>
      <c r="H2116" s="1" t="s">
        <v>22</v>
      </c>
      <c r="I2116" s="1" t="s">
        <v>29</v>
      </c>
      <c r="J2116" s="1">
        <v>-99.670000000000016</v>
      </c>
      <c r="K2116" s="1">
        <v>440.33</v>
      </c>
      <c r="L2116" s="1">
        <v>80.329999999999984</v>
      </c>
    </row>
    <row r="2117" spans="4:12">
      <c r="D2117" s="1" t="s">
        <v>1014</v>
      </c>
      <c r="E2117" s="1" t="s">
        <v>1202</v>
      </c>
      <c r="F2117" s="1" t="s">
        <v>35</v>
      </c>
      <c r="G2117" s="1" t="s">
        <v>36</v>
      </c>
      <c r="H2117" s="1" t="s">
        <v>22</v>
      </c>
      <c r="I2117" s="1" t="s">
        <v>29</v>
      </c>
      <c r="J2117" s="1">
        <v>-99.670000000000016</v>
      </c>
      <c r="K2117" s="1">
        <v>440.33</v>
      </c>
      <c r="L2117" s="1">
        <v>80.329999999999984</v>
      </c>
    </row>
    <row r="2118" spans="4:12">
      <c r="D2118" s="1" t="s">
        <v>1014</v>
      </c>
      <c r="E2118" s="1" t="s">
        <v>1203</v>
      </c>
      <c r="F2118" s="1" t="s">
        <v>35</v>
      </c>
      <c r="G2118" s="1" t="s">
        <v>36</v>
      </c>
      <c r="H2118" s="1" t="s">
        <v>22</v>
      </c>
      <c r="I2118" s="1" t="s">
        <v>29</v>
      </c>
      <c r="J2118" s="1">
        <v>-99.670000000000016</v>
      </c>
      <c r="K2118" s="1">
        <v>440.33</v>
      </c>
      <c r="L2118" s="1">
        <v>80.329999999999984</v>
      </c>
    </row>
    <row r="2119" spans="4:12">
      <c r="D2119" s="1" t="s">
        <v>1014</v>
      </c>
      <c r="E2119" s="1" t="s">
        <v>1204</v>
      </c>
      <c r="F2119" s="1" t="s">
        <v>35</v>
      </c>
      <c r="G2119" s="1" t="s">
        <v>36</v>
      </c>
      <c r="H2119" s="1" t="s">
        <v>22</v>
      </c>
      <c r="I2119" s="1" t="s">
        <v>29</v>
      </c>
      <c r="J2119" s="1">
        <v>-99.670000000000016</v>
      </c>
      <c r="K2119" s="1">
        <v>440.33</v>
      </c>
      <c r="L2119" s="1">
        <v>80.329999999999984</v>
      </c>
    </row>
    <row r="2120" spans="4:12">
      <c r="D2120" s="1" t="s">
        <v>1014</v>
      </c>
      <c r="E2120" s="1" t="s">
        <v>1205</v>
      </c>
      <c r="F2120" s="1" t="s">
        <v>35</v>
      </c>
      <c r="G2120" s="1" t="s">
        <v>36</v>
      </c>
      <c r="H2120" s="1" t="s">
        <v>22</v>
      </c>
      <c r="I2120" s="1" t="s">
        <v>29</v>
      </c>
      <c r="J2120" s="1">
        <v>-99.670000000000016</v>
      </c>
      <c r="K2120" s="1">
        <v>440.33</v>
      </c>
      <c r="L2120" s="1">
        <v>80.329999999999984</v>
      </c>
    </row>
    <row r="2121" spans="4:12">
      <c r="D2121" s="1" t="s">
        <v>1014</v>
      </c>
      <c r="E2121" s="1" t="s">
        <v>1206</v>
      </c>
      <c r="F2121" s="1" t="s">
        <v>35</v>
      </c>
      <c r="G2121" s="1" t="s">
        <v>36</v>
      </c>
      <c r="H2121" s="1" t="s">
        <v>22</v>
      </c>
      <c r="I2121" s="1" t="s">
        <v>29</v>
      </c>
      <c r="J2121" s="1">
        <v>-99.670000000000016</v>
      </c>
      <c r="K2121" s="1">
        <v>440.33</v>
      </c>
      <c r="L2121" s="1">
        <v>80.329999999999984</v>
      </c>
    </row>
    <row r="2122" spans="4:12">
      <c r="D2122" s="1" t="s">
        <v>1014</v>
      </c>
      <c r="E2122" s="1" t="s">
        <v>1207</v>
      </c>
      <c r="F2122" s="1" t="s">
        <v>35</v>
      </c>
      <c r="G2122" s="1" t="s">
        <v>36</v>
      </c>
      <c r="H2122" s="1" t="s">
        <v>22</v>
      </c>
      <c r="I2122" s="1" t="s">
        <v>29</v>
      </c>
      <c r="J2122" s="1">
        <v>-99.670000000000016</v>
      </c>
      <c r="K2122" s="1">
        <v>440.33</v>
      </c>
      <c r="L2122" s="1">
        <v>80.329999999999984</v>
      </c>
    </row>
    <row r="2123" spans="4:12">
      <c r="D2123" s="1" t="s">
        <v>1014</v>
      </c>
      <c r="E2123" s="1" t="s">
        <v>1208</v>
      </c>
      <c r="F2123" s="1" t="s">
        <v>35</v>
      </c>
      <c r="G2123" s="1" t="s">
        <v>36</v>
      </c>
      <c r="H2123" s="1" t="s">
        <v>22</v>
      </c>
      <c r="I2123" s="1" t="s">
        <v>29</v>
      </c>
      <c r="J2123" s="1">
        <v>-99.670000000000016</v>
      </c>
      <c r="K2123" s="1">
        <v>440.33</v>
      </c>
      <c r="L2123" s="1">
        <v>80.329999999999984</v>
      </c>
    </row>
    <row r="2124" spans="4:12">
      <c r="D2124" s="1" t="s">
        <v>1014</v>
      </c>
      <c r="E2124" s="1" t="s">
        <v>1209</v>
      </c>
      <c r="F2124" s="1" t="s">
        <v>35</v>
      </c>
      <c r="G2124" s="1" t="s">
        <v>36</v>
      </c>
      <c r="H2124" s="1" t="s">
        <v>22</v>
      </c>
      <c r="I2124" s="1" t="s">
        <v>29</v>
      </c>
      <c r="J2124" s="1">
        <v>-99.670000000000016</v>
      </c>
      <c r="K2124" s="1">
        <v>440.33</v>
      </c>
      <c r="L2124" s="1">
        <v>80.329999999999984</v>
      </c>
    </row>
    <row r="2125" spans="4:12">
      <c r="D2125" s="1" t="s">
        <v>1014</v>
      </c>
      <c r="E2125" s="1" t="s">
        <v>1210</v>
      </c>
      <c r="F2125" s="1" t="s">
        <v>35</v>
      </c>
      <c r="G2125" s="1" t="s">
        <v>36</v>
      </c>
      <c r="H2125" s="1" t="s">
        <v>22</v>
      </c>
      <c r="I2125" s="1" t="s">
        <v>29</v>
      </c>
      <c r="J2125" s="1">
        <v>-31.018000000000029</v>
      </c>
      <c r="K2125" s="1">
        <v>256.99999999999994</v>
      </c>
      <c r="L2125" s="1">
        <v>80.329999999999984</v>
      </c>
    </row>
    <row r="2126" spans="4:12">
      <c r="D2126" s="1" t="s">
        <v>1014</v>
      </c>
      <c r="E2126" s="1" t="s">
        <v>1211</v>
      </c>
      <c r="F2126" s="1" t="s">
        <v>35</v>
      </c>
      <c r="G2126" s="1" t="s">
        <v>36</v>
      </c>
      <c r="H2126" s="1" t="s">
        <v>22</v>
      </c>
      <c r="I2126" s="1" t="s">
        <v>29</v>
      </c>
      <c r="J2126" s="1">
        <v>-31.018000000000029</v>
      </c>
      <c r="K2126" s="1">
        <v>256.99999999999994</v>
      </c>
      <c r="L2126" s="1">
        <v>80.329999999999984</v>
      </c>
    </row>
    <row r="2127" spans="4:12">
      <c r="D2127" s="1" t="s">
        <v>1014</v>
      </c>
      <c r="E2127" s="1" t="s">
        <v>1212</v>
      </c>
      <c r="F2127" s="1" t="s">
        <v>35</v>
      </c>
      <c r="G2127" s="1" t="s">
        <v>36</v>
      </c>
      <c r="H2127" s="1" t="s">
        <v>22</v>
      </c>
      <c r="I2127" s="1" t="s">
        <v>29</v>
      </c>
      <c r="J2127" s="1">
        <v>-31.018000000000029</v>
      </c>
      <c r="K2127" s="1">
        <v>256.99999999999994</v>
      </c>
      <c r="L2127" s="1">
        <v>80.329999999999984</v>
      </c>
    </row>
    <row r="2128" spans="4:12">
      <c r="D2128" s="1" t="s">
        <v>1014</v>
      </c>
      <c r="E2128" s="1" t="s">
        <v>1213</v>
      </c>
      <c r="F2128" s="1" t="s">
        <v>35</v>
      </c>
      <c r="G2128" s="1" t="s">
        <v>36</v>
      </c>
      <c r="H2128" s="1" t="s">
        <v>22</v>
      </c>
      <c r="I2128" s="1" t="s">
        <v>29</v>
      </c>
      <c r="J2128" s="1">
        <v>-31.018000000000029</v>
      </c>
      <c r="K2128" s="1">
        <v>256.99999999999994</v>
      </c>
      <c r="L2128" s="1">
        <v>80.329999999999984</v>
      </c>
    </row>
    <row r="2129" spans="4:12">
      <c r="D2129" s="1" t="s">
        <v>1014</v>
      </c>
      <c r="E2129" s="1" t="s">
        <v>1214</v>
      </c>
      <c r="F2129" s="1" t="s">
        <v>35</v>
      </c>
      <c r="G2129" s="1" t="s">
        <v>36</v>
      </c>
      <c r="H2129" s="1" t="s">
        <v>22</v>
      </c>
      <c r="I2129" s="1" t="s">
        <v>29</v>
      </c>
      <c r="J2129" s="1">
        <v>-31.018000000000029</v>
      </c>
      <c r="K2129" s="1">
        <v>256.99999999999994</v>
      </c>
      <c r="L2129" s="1">
        <v>80.329999999999984</v>
      </c>
    </row>
    <row r="2130" spans="4:12">
      <c r="D2130" s="1" t="s">
        <v>1014</v>
      </c>
      <c r="E2130" s="1" t="s">
        <v>1215</v>
      </c>
      <c r="F2130" s="1" t="s">
        <v>35</v>
      </c>
      <c r="G2130" s="1" t="s">
        <v>36</v>
      </c>
      <c r="H2130" s="1" t="s">
        <v>22</v>
      </c>
      <c r="I2130" s="1" t="s">
        <v>29</v>
      </c>
      <c r="J2130" s="1">
        <v>-31.018000000000029</v>
      </c>
      <c r="K2130" s="1">
        <v>256.99999999999994</v>
      </c>
      <c r="L2130" s="1">
        <v>80.329999999999984</v>
      </c>
    </row>
    <row r="2131" spans="4:12">
      <c r="D2131" s="1" t="s">
        <v>1014</v>
      </c>
      <c r="E2131" s="1" t="s">
        <v>1216</v>
      </c>
      <c r="F2131" s="1" t="s">
        <v>35</v>
      </c>
      <c r="G2131" s="1" t="s">
        <v>36</v>
      </c>
      <c r="H2131" s="1" t="s">
        <v>22</v>
      </c>
      <c r="I2131" s="1" t="s">
        <v>29</v>
      </c>
      <c r="J2131" s="1">
        <v>-31.018000000000029</v>
      </c>
      <c r="K2131" s="1">
        <v>256.99999999999994</v>
      </c>
      <c r="L2131" s="1">
        <v>80.329999999999984</v>
      </c>
    </row>
    <row r="2132" spans="4:12">
      <c r="D2132" s="1" t="s">
        <v>1014</v>
      </c>
      <c r="E2132" s="1" t="s">
        <v>1217</v>
      </c>
      <c r="F2132" s="1" t="s">
        <v>35</v>
      </c>
      <c r="G2132" s="1" t="s">
        <v>36</v>
      </c>
      <c r="H2132" s="1" t="s">
        <v>22</v>
      </c>
      <c r="I2132" s="1" t="s">
        <v>29</v>
      </c>
      <c r="J2132" s="1">
        <v>-31.018000000000029</v>
      </c>
      <c r="K2132" s="1">
        <v>256.99999999999994</v>
      </c>
      <c r="L2132" s="1">
        <v>80.329999999999984</v>
      </c>
    </row>
    <row r="2133" spans="4:12">
      <c r="D2133" s="1" t="s">
        <v>1014</v>
      </c>
      <c r="E2133" s="1" t="s">
        <v>1218</v>
      </c>
      <c r="F2133" s="1" t="s">
        <v>35</v>
      </c>
      <c r="G2133" s="1" t="s">
        <v>36</v>
      </c>
      <c r="H2133" s="1" t="s">
        <v>22</v>
      </c>
      <c r="I2133" s="1" t="s">
        <v>29</v>
      </c>
      <c r="J2133" s="1">
        <v>-31.018000000000029</v>
      </c>
      <c r="K2133" s="1">
        <v>256.99999999999994</v>
      </c>
      <c r="L2133" s="1">
        <v>80.329999999999984</v>
      </c>
    </row>
    <row r="2134" spans="4:12">
      <c r="D2134" s="1" t="s">
        <v>1014</v>
      </c>
      <c r="E2134" s="1" t="s">
        <v>1219</v>
      </c>
      <c r="F2134" s="1" t="s">
        <v>35</v>
      </c>
      <c r="G2134" s="1" t="s">
        <v>36</v>
      </c>
      <c r="H2134" s="1" t="s">
        <v>22</v>
      </c>
      <c r="I2134" s="1" t="s">
        <v>29</v>
      </c>
      <c r="J2134" s="1">
        <v>-31.018000000000029</v>
      </c>
      <c r="K2134" s="1">
        <v>256.99999999999994</v>
      </c>
      <c r="L2134" s="1">
        <v>80.329999999999984</v>
      </c>
    </row>
    <row r="2135" spans="4:12">
      <c r="D2135" s="1" t="s">
        <v>1014</v>
      </c>
      <c r="E2135" s="1" t="s">
        <v>1220</v>
      </c>
      <c r="F2135" s="1" t="s">
        <v>35</v>
      </c>
      <c r="G2135" s="1" t="s">
        <v>36</v>
      </c>
      <c r="H2135" s="1" t="s">
        <v>22</v>
      </c>
      <c r="I2135" s="1" t="s">
        <v>29</v>
      </c>
      <c r="J2135" s="1">
        <v>-31.018000000000029</v>
      </c>
      <c r="K2135" s="1">
        <v>256.99999999999994</v>
      </c>
      <c r="L2135" s="1">
        <v>80.329999999999984</v>
      </c>
    </row>
    <row r="2136" spans="4:12">
      <c r="D2136" s="1" t="s">
        <v>1014</v>
      </c>
      <c r="E2136" s="1" t="s">
        <v>1221</v>
      </c>
      <c r="F2136" s="1" t="s">
        <v>35</v>
      </c>
      <c r="G2136" s="1" t="s">
        <v>36</v>
      </c>
      <c r="H2136" s="1" t="s">
        <v>22</v>
      </c>
      <c r="I2136" s="1" t="s">
        <v>29</v>
      </c>
      <c r="J2136" s="1">
        <v>-31.018000000000029</v>
      </c>
      <c r="K2136" s="1">
        <v>256.99999999999994</v>
      </c>
      <c r="L2136" s="1">
        <v>80.329999999999984</v>
      </c>
    </row>
    <row r="2137" spans="4:12">
      <c r="D2137" s="1" t="s">
        <v>1014</v>
      </c>
      <c r="E2137" s="1" t="s">
        <v>1222</v>
      </c>
      <c r="F2137" s="1" t="s">
        <v>35</v>
      </c>
      <c r="G2137" s="1" t="s">
        <v>36</v>
      </c>
      <c r="H2137" s="1" t="s">
        <v>22</v>
      </c>
      <c r="I2137" s="1" t="s">
        <v>29</v>
      </c>
      <c r="J2137" s="1">
        <v>-31.018000000000029</v>
      </c>
      <c r="K2137" s="1">
        <v>256.99999999999994</v>
      </c>
      <c r="L2137" s="1">
        <v>80.329999999999984</v>
      </c>
    </row>
    <row r="2138" spans="4:12">
      <c r="D2138" s="1" t="s">
        <v>1014</v>
      </c>
      <c r="E2138" s="1" t="s">
        <v>1223</v>
      </c>
      <c r="F2138" s="1" t="s">
        <v>35</v>
      </c>
      <c r="G2138" s="1" t="s">
        <v>36</v>
      </c>
      <c r="H2138" s="1" t="s">
        <v>22</v>
      </c>
      <c r="I2138" s="1" t="s">
        <v>29</v>
      </c>
      <c r="J2138" s="1">
        <v>-31.018000000000029</v>
      </c>
      <c r="K2138" s="1">
        <v>256.99999999999994</v>
      </c>
      <c r="L2138" s="1">
        <v>80.329999999999984</v>
      </c>
    </row>
    <row r="2139" spans="4:12">
      <c r="D2139" s="1" t="s">
        <v>1014</v>
      </c>
      <c r="E2139" s="1" t="s">
        <v>1224</v>
      </c>
      <c r="F2139" s="1" t="s">
        <v>35</v>
      </c>
      <c r="G2139" s="1" t="s">
        <v>36</v>
      </c>
      <c r="H2139" s="1" t="s">
        <v>22</v>
      </c>
      <c r="I2139" s="1" t="s">
        <v>29</v>
      </c>
      <c r="J2139" s="1">
        <v>-31.018000000000029</v>
      </c>
      <c r="K2139" s="1">
        <v>256.99999999999994</v>
      </c>
      <c r="L2139" s="1">
        <v>80.329999999999984</v>
      </c>
    </row>
    <row r="2140" spans="4:12">
      <c r="D2140" s="1" t="s">
        <v>1014</v>
      </c>
      <c r="E2140" s="1" t="s">
        <v>1225</v>
      </c>
      <c r="F2140" s="1" t="s">
        <v>35</v>
      </c>
      <c r="G2140" s="1" t="s">
        <v>36</v>
      </c>
      <c r="H2140" s="1" t="s">
        <v>22</v>
      </c>
      <c r="I2140" s="1" t="s">
        <v>29</v>
      </c>
      <c r="J2140" s="1">
        <v>-31.018000000000029</v>
      </c>
      <c r="K2140" s="1">
        <v>256.99999999999994</v>
      </c>
      <c r="L2140" s="1">
        <v>80.329999999999984</v>
      </c>
    </row>
    <row r="2141" spans="4:12">
      <c r="D2141" s="1" t="s">
        <v>1014</v>
      </c>
      <c r="E2141" s="1" t="s">
        <v>1226</v>
      </c>
      <c r="F2141" s="1" t="s">
        <v>35</v>
      </c>
      <c r="G2141" s="1" t="s">
        <v>36</v>
      </c>
      <c r="H2141" s="1" t="s">
        <v>22</v>
      </c>
      <c r="I2141" s="1" t="s">
        <v>29</v>
      </c>
      <c r="J2141" s="1">
        <v>-31.018000000000029</v>
      </c>
      <c r="K2141" s="1">
        <v>256.99999999999994</v>
      </c>
      <c r="L2141" s="1">
        <v>80.329999999999984</v>
      </c>
    </row>
    <row r="2142" spans="4:12">
      <c r="D2142" s="1" t="s">
        <v>1014</v>
      </c>
      <c r="E2142" s="1" t="s">
        <v>1227</v>
      </c>
      <c r="F2142" s="1" t="s">
        <v>35</v>
      </c>
      <c r="G2142" s="1" t="s">
        <v>36</v>
      </c>
      <c r="H2142" s="1" t="s">
        <v>22</v>
      </c>
      <c r="I2142" s="1" t="s">
        <v>29</v>
      </c>
      <c r="J2142" s="1">
        <v>-31.018000000000029</v>
      </c>
      <c r="K2142" s="1">
        <v>256.99999999999994</v>
      </c>
      <c r="L2142" s="1">
        <v>80.329999999999984</v>
      </c>
    </row>
    <row r="2143" spans="4:12">
      <c r="D2143" s="1" t="s">
        <v>1014</v>
      </c>
      <c r="E2143" s="1" t="s">
        <v>1228</v>
      </c>
      <c r="F2143" s="1" t="s">
        <v>35</v>
      </c>
      <c r="G2143" s="1" t="s">
        <v>36</v>
      </c>
      <c r="H2143" s="1" t="s">
        <v>22</v>
      </c>
      <c r="I2143" s="1" t="s">
        <v>29</v>
      </c>
      <c r="J2143" s="1">
        <v>-31.018000000000029</v>
      </c>
      <c r="K2143" s="1">
        <v>256.99999999999994</v>
      </c>
      <c r="L2143" s="1">
        <v>80.329999999999984</v>
      </c>
    </row>
    <row r="2144" spans="4:12">
      <c r="D2144" s="1" t="s">
        <v>1014</v>
      </c>
      <c r="E2144" s="1" t="s">
        <v>1229</v>
      </c>
      <c r="F2144" s="1" t="s">
        <v>35</v>
      </c>
      <c r="G2144" s="1" t="s">
        <v>36</v>
      </c>
      <c r="H2144" s="1" t="s">
        <v>22</v>
      </c>
      <c r="I2144" s="1" t="s">
        <v>29</v>
      </c>
      <c r="J2144" s="1">
        <v>-31.018000000000029</v>
      </c>
      <c r="K2144" s="1">
        <v>256.99999999999994</v>
      </c>
      <c r="L2144" s="1">
        <v>80.329999999999984</v>
      </c>
    </row>
    <row r="2145" spans="4:12">
      <c r="D2145" s="1" t="s">
        <v>1014</v>
      </c>
      <c r="E2145" s="1" t="s">
        <v>1230</v>
      </c>
      <c r="F2145" s="1" t="s">
        <v>35</v>
      </c>
      <c r="G2145" s="1" t="s">
        <v>36</v>
      </c>
      <c r="H2145" s="1" t="s">
        <v>22</v>
      </c>
      <c r="I2145" s="1" t="s">
        <v>29</v>
      </c>
      <c r="J2145" s="1">
        <v>-31.018000000000029</v>
      </c>
      <c r="K2145" s="1">
        <v>256.99999999999994</v>
      </c>
      <c r="L2145" s="1">
        <v>80.329999999999984</v>
      </c>
    </row>
    <row r="2146" spans="4:12">
      <c r="D2146" s="1" t="s">
        <v>1014</v>
      </c>
      <c r="E2146" s="1" t="s">
        <v>1231</v>
      </c>
      <c r="F2146" s="1" t="s">
        <v>35</v>
      </c>
      <c r="G2146" s="1" t="s">
        <v>36</v>
      </c>
      <c r="H2146" s="1" t="s">
        <v>22</v>
      </c>
      <c r="I2146" s="1" t="s">
        <v>29</v>
      </c>
      <c r="J2146" s="1">
        <v>-31.018000000000029</v>
      </c>
      <c r="K2146" s="1">
        <v>256.99999999999994</v>
      </c>
      <c r="L2146" s="1">
        <v>80.329999999999984</v>
      </c>
    </row>
    <row r="2147" spans="4:12">
      <c r="D2147" s="1" t="s">
        <v>1014</v>
      </c>
      <c r="E2147" s="1" t="s">
        <v>1232</v>
      </c>
      <c r="H2147" s="1" t="s">
        <v>22</v>
      </c>
      <c r="I2147" s="1" t="s">
        <v>29</v>
      </c>
      <c r="J2147" s="1">
        <v>-5</v>
      </c>
      <c r="K2147" s="1">
        <v>5</v>
      </c>
      <c r="L2147" s="1">
        <v>1</v>
      </c>
    </row>
    <row r="2148" spans="4:12">
      <c r="D2148" s="1" t="s">
        <v>1014</v>
      </c>
      <c r="E2148" s="1" t="s">
        <v>1233</v>
      </c>
      <c r="H2148" s="1" t="s">
        <v>22</v>
      </c>
      <c r="I2148" s="1" t="s">
        <v>29</v>
      </c>
      <c r="L2148" s="1">
        <v>1</v>
      </c>
    </row>
    <row r="2149" spans="4:12">
      <c r="D2149" s="1" t="s">
        <v>1014</v>
      </c>
      <c r="E2149" s="1" t="s">
        <v>1234</v>
      </c>
      <c r="F2149" s="1" t="s">
        <v>35</v>
      </c>
      <c r="G2149" s="1" t="s">
        <v>36</v>
      </c>
      <c r="H2149" s="1" t="s">
        <v>22</v>
      </c>
      <c r="I2149" s="1" t="s">
        <v>29</v>
      </c>
      <c r="J2149" s="1">
        <v>-99.670000000000016</v>
      </c>
      <c r="K2149" s="1">
        <v>440.33</v>
      </c>
      <c r="L2149" s="1">
        <v>80.329999999999984</v>
      </c>
    </row>
    <row r="2150" spans="4:12">
      <c r="D2150" s="1" t="s">
        <v>1014</v>
      </c>
      <c r="E2150" s="1" t="s">
        <v>1235</v>
      </c>
      <c r="F2150" s="1" t="s">
        <v>35</v>
      </c>
      <c r="G2150" s="1" t="s">
        <v>36</v>
      </c>
      <c r="H2150" s="1" t="s">
        <v>22</v>
      </c>
      <c r="I2150" s="1" t="s">
        <v>29</v>
      </c>
      <c r="J2150" s="1">
        <v>-99.670000000000016</v>
      </c>
      <c r="K2150" s="1">
        <v>440.33</v>
      </c>
      <c r="L2150" s="1">
        <v>80.329999999999984</v>
      </c>
    </row>
    <row r="2151" spans="4:12">
      <c r="D2151" s="1" t="s">
        <v>1014</v>
      </c>
      <c r="E2151" s="1" t="s">
        <v>1236</v>
      </c>
      <c r="F2151" s="1" t="s">
        <v>35</v>
      </c>
      <c r="G2151" s="1" t="s">
        <v>36</v>
      </c>
      <c r="H2151" s="1" t="s">
        <v>22</v>
      </c>
      <c r="I2151" s="1" t="s">
        <v>29</v>
      </c>
      <c r="J2151" s="1">
        <v>-99.670000000000016</v>
      </c>
      <c r="K2151" s="1">
        <v>440.33</v>
      </c>
      <c r="L2151" s="1">
        <v>80.329999999999984</v>
      </c>
    </row>
    <row r="2152" spans="4:12">
      <c r="D2152" s="1" t="s">
        <v>1014</v>
      </c>
      <c r="E2152" s="1" t="s">
        <v>1237</v>
      </c>
      <c r="F2152" s="1" t="s">
        <v>35</v>
      </c>
      <c r="G2152" s="1" t="s">
        <v>36</v>
      </c>
      <c r="H2152" s="1" t="s">
        <v>22</v>
      </c>
      <c r="I2152" s="1" t="s">
        <v>29</v>
      </c>
      <c r="J2152" s="1">
        <v>-99.670000000000016</v>
      </c>
      <c r="K2152" s="1">
        <v>440.33</v>
      </c>
      <c r="L2152" s="1">
        <v>80.329999999999984</v>
      </c>
    </row>
    <row r="2153" spans="4:12">
      <c r="D2153" s="1" t="s">
        <v>1014</v>
      </c>
      <c r="E2153" s="1" t="s">
        <v>1238</v>
      </c>
      <c r="F2153" s="1" t="s">
        <v>35</v>
      </c>
      <c r="G2153" s="1" t="s">
        <v>36</v>
      </c>
      <c r="H2153" s="1" t="s">
        <v>22</v>
      </c>
      <c r="I2153" s="1" t="s">
        <v>29</v>
      </c>
      <c r="J2153" s="1">
        <v>-99.670000000000016</v>
      </c>
      <c r="K2153" s="1">
        <v>440.33</v>
      </c>
      <c r="L2153" s="1">
        <v>80.329999999999984</v>
      </c>
    </row>
    <row r="2154" spans="4:12">
      <c r="D2154" s="1" t="s">
        <v>1014</v>
      </c>
      <c r="E2154" s="1" t="s">
        <v>1239</v>
      </c>
      <c r="F2154" s="1" t="s">
        <v>35</v>
      </c>
      <c r="G2154" s="1" t="s">
        <v>36</v>
      </c>
      <c r="H2154" s="1" t="s">
        <v>22</v>
      </c>
      <c r="I2154" s="1" t="s">
        <v>29</v>
      </c>
      <c r="J2154" s="1">
        <v>-99.670000000000016</v>
      </c>
      <c r="K2154" s="1">
        <v>440.33</v>
      </c>
      <c r="L2154" s="1">
        <v>80.329999999999984</v>
      </c>
    </row>
    <row r="2155" spans="4:12">
      <c r="D2155" s="1" t="s">
        <v>1014</v>
      </c>
      <c r="E2155" s="1" t="s">
        <v>1240</v>
      </c>
      <c r="F2155" s="1" t="s">
        <v>35</v>
      </c>
      <c r="G2155" s="1" t="s">
        <v>36</v>
      </c>
      <c r="H2155" s="1" t="s">
        <v>22</v>
      </c>
      <c r="I2155" s="1" t="s">
        <v>29</v>
      </c>
      <c r="J2155" s="1">
        <v>-99.670000000000016</v>
      </c>
      <c r="K2155" s="1">
        <v>440.33</v>
      </c>
      <c r="L2155" s="1">
        <v>80.329999999999984</v>
      </c>
    </row>
    <row r="2156" spans="4:12">
      <c r="D2156" s="1" t="s">
        <v>1014</v>
      </c>
      <c r="E2156" s="1" t="s">
        <v>1241</v>
      </c>
      <c r="F2156" s="1" t="s">
        <v>35</v>
      </c>
      <c r="G2156" s="1" t="s">
        <v>36</v>
      </c>
      <c r="H2156" s="1" t="s">
        <v>22</v>
      </c>
      <c r="I2156" s="1" t="s">
        <v>29</v>
      </c>
      <c r="J2156" s="1">
        <v>-99.670000000000016</v>
      </c>
      <c r="K2156" s="1">
        <v>440.33</v>
      </c>
      <c r="L2156" s="1">
        <v>80.329999999999984</v>
      </c>
    </row>
    <row r="2157" spans="4:12">
      <c r="D2157" s="1" t="s">
        <v>1014</v>
      </c>
      <c r="E2157" s="1" t="s">
        <v>1242</v>
      </c>
      <c r="F2157" s="1" t="s">
        <v>35</v>
      </c>
      <c r="G2157" s="1" t="s">
        <v>36</v>
      </c>
      <c r="H2157" s="1" t="s">
        <v>22</v>
      </c>
      <c r="I2157" s="1" t="s">
        <v>29</v>
      </c>
      <c r="J2157" s="1">
        <v>-99.670000000000016</v>
      </c>
      <c r="K2157" s="1">
        <v>440.33</v>
      </c>
      <c r="L2157" s="1">
        <v>80.329999999999984</v>
      </c>
    </row>
    <row r="2158" spans="4:12">
      <c r="D2158" s="1" t="s">
        <v>1014</v>
      </c>
      <c r="E2158" s="1" t="s">
        <v>1243</v>
      </c>
      <c r="F2158" s="1" t="s">
        <v>35</v>
      </c>
      <c r="G2158" s="1" t="s">
        <v>36</v>
      </c>
      <c r="H2158" s="1" t="s">
        <v>22</v>
      </c>
      <c r="I2158" s="1" t="s">
        <v>29</v>
      </c>
      <c r="J2158" s="1">
        <v>-99.670000000000016</v>
      </c>
      <c r="K2158" s="1">
        <v>440.33</v>
      </c>
      <c r="L2158" s="1">
        <v>80.329999999999984</v>
      </c>
    </row>
    <row r="2159" spans="4:12">
      <c r="D2159" s="1" t="s">
        <v>1014</v>
      </c>
      <c r="E2159" s="1" t="s">
        <v>1244</v>
      </c>
      <c r="F2159" s="1" t="s">
        <v>35</v>
      </c>
      <c r="G2159" s="1" t="s">
        <v>36</v>
      </c>
      <c r="H2159" s="1" t="s">
        <v>22</v>
      </c>
      <c r="I2159" s="1" t="s">
        <v>29</v>
      </c>
      <c r="J2159" s="1">
        <v>-99.670000000000016</v>
      </c>
      <c r="K2159" s="1">
        <v>440.33</v>
      </c>
      <c r="L2159" s="1">
        <v>80.329999999999984</v>
      </c>
    </row>
    <row r="2160" spans="4:12">
      <c r="D2160" s="1" t="s">
        <v>1014</v>
      </c>
      <c r="E2160" s="1" t="s">
        <v>1245</v>
      </c>
      <c r="F2160" s="1" t="s">
        <v>35</v>
      </c>
      <c r="G2160" s="1" t="s">
        <v>36</v>
      </c>
      <c r="H2160" s="1" t="s">
        <v>22</v>
      </c>
      <c r="I2160" s="1" t="s">
        <v>29</v>
      </c>
      <c r="J2160" s="1">
        <v>-99.670000000000016</v>
      </c>
      <c r="K2160" s="1">
        <v>440.33</v>
      </c>
      <c r="L2160" s="1">
        <v>80.329999999999984</v>
      </c>
    </row>
    <row r="2161" spans="4:12">
      <c r="D2161" s="1" t="s">
        <v>1014</v>
      </c>
      <c r="E2161" s="1" t="s">
        <v>1246</v>
      </c>
      <c r="F2161" s="1" t="s">
        <v>35</v>
      </c>
      <c r="G2161" s="1" t="s">
        <v>36</v>
      </c>
      <c r="H2161" s="1" t="s">
        <v>22</v>
      </c>
      <c r="I2161" s="1" t="s">
        <v>29</v>
      </c>
      <c r="J2161" s="1">
        <v>-99.670000000000016</v>
      </c>
      <c r="K2161" s="1">
        <v>440.33</v>
      </c>
      <c r="L2161" s="1">
        <v>80.329999999999984</v>
      </c>
    </row>
    <row r="2162" spans="4:12">
      <c r="D2162" s="1" t="s">
        <v>1014</v>
      </c>
      <c r="E2162" s="1" t="s">
        <v>1247</v>
      </c>
      <c r="F2162" s="1" t="s">
        <v>35</v>
      </c>
      <c r="G2162" s="1" t="s">
        <v>36</v>
      </c>
      <c r="H2162" s="1" t="s">
        <v>22</v>
      </c>
      <c r="I2162" s="1" t="s">
        <v>29</v>
      </c>
      <c r="J2162" s="1">
        <v>-99.670000000000016</v>
      </c>
      <c r="K2162" s="1">
        <v>440.33</v>
      </c>
      <c r="L2162" s="1">
        <v>80.329999999999984</v>
      </c>
    </row>
    <row r="2163" spans="4:12">
      <c r="D2163" s="1" t="s">
        <v>1014</v>
      </c>
      <c r="E2163" s="1" t="s">
        <v>1248</v>
      </c>
      <c r="F2163" s="1" t="s">
        <v>35</v>
      </c>
      <c r="G2163" s="1" t="s">
        <v>36</v>
      </c>
      <c r="H2163" s="1" t="s">
        <v>22</v>
      </c>
      <c r="I2163" s="1" t="s">
        <v>29</v>
      </c>
      <c r="J2163" s="1">
        <v>-99.670000000000016</v>
      </c>
      <c r="K2163" s="1">
        <v>440.33</v>
      </c>
      <c r="L2163" s="1">
        <v>80.329999999999984</v>
      </c>
    </row>
    <row r="2164" spans="4:12">
      <c r="D2164" s="1" t="s">
        <v>1014</v>
      </c>
      <c r="E2164" s="1" t="s">
        <v>1249</v>
      </c>
      <c r="F2164" s="1" t="s">
        <v>35</v>
      </c>
      <c r="G2164" s="1" t="s">
        <v>36</v>
      </c>
      <c r="H2164" s="1" t="s">
        <v>22</v>
      </c>
      <c r="I2164" s="1" t="s">
        <v>29</v>
      </c>
      <c r="J2164" s="1">
        <v>-99.670000000000016</v>
      </c>
      <c r="K2164" s="1">
        <v>440.33</v>
      </c>
      <c r="L2164" s="1">
        <v>80.329999999999984</v>
      </c>
    </row>
    <row r="2165" spans="4:12">
      <c r="D2165" s="1" t="s">
        <v>1014</v>
      </c>
      <c r="E2165" s="1" t="s">
        <v>1250</v>
      </c>
      <c r="F2165" s="1" t="s">
        <v>35</v>
      </c>
      <c r="G2165" s="1" t="s">
        <v>36</v>
      </c>
      <c r="H2165" s="1" t="s">
        <v>22</v>
      </c>
      <c r="I2165" s="1" t="s">
        <v>29</v>
      </c>
      <c r="J2165" s="1">
        <v>-99.670000000000016</v>
      </c>
      <c r="K2165" s="1">
        <v>440.33</v>
      </c>
      <c r="L2165" s="1">
        <v>80.329999999999984</v>
      </c>
    </row>
    <row r="2166" spans="4:12">
      <c r="D2166" s="1" t="s">
        <v>1014</v>
      </c>
      <c r="E2166" s="1" t="s">
        <v>1251</v>
      </c>
      <c r="F2166" s="1" t="s">
        <v>35</v>
      </c>
      <c r="G2166" s="1" t="s">
        <v>36</v>
      </c>
      <c r="H2166" s="1" t="s">
        <v>22</v>
      </c>
      <c r="I2166" s="1" t="s">
        <v>29</v>
      </c>
      <c r="J2166" s="1">
        <v>-99.670000000000016</v>
      </c>
      <c r="K2166" s="1">
        <v>440.33</v>
      </c>
      <c r="L2166" s="1">
        <v>80.329999999999984</v>
      </c>
    </row>
    <row r="2167" spans="4:12">
      <c r="D2167" s="1" t="s">
        <v>1014</v>
      </c>
      <c r="E2167" s="1" t="s">
        <v>1252</v>
      </c>
      <c r="F2167" s="1" t="s">
        <v>35</v>
      </c>
      <c r="G2167" s="1" t="s">
        <v>36</v>
      </c>
      <c r="H2167" s="1" t="s">
        <v>22</v>
      </c>
      <c r="I2167" s="1" t="s">
        <v>29</v>
      </c>
      <c r="J2167" s="1">
        <v>-99.670000000000016</v>
      </c>
      <c r="K2167" s="1">
        <v>440.33</v>
      </c>
      <c r="L2167" s="1">
        <v>80.329999999999984</v>
      </c>
    </row>
    <row r="2168" spans="4:12">
      <c r="D2168" s="1" t="s">
        <v>1014</v>
      </c>
      <c r="E2168" s="1" t="s">
        <v>1253</v>
      </c>
      <c r="F2168" s="1" t="s">
        <v>35</v>
      </c>
      <c r="G2168" s="1" t="s">
        <v>36</v>
      </c>
      <c r="H2168" s="1" t="s">
        <v>22</v>
      </c>
      <c r="I2168" s="1" t="s">
        <v>29</v>
      </c>
      <c r="J2168" s="1">
        <v>-99.670000000000016</v>
      </c>
      <c r="K2168" s="1">
        <v>440.33</v>
      </c>
      <c r="L2168" s="1">
        <v>80.329999999999984</v>
      </c>
    </row>
    <row r="2169" spans="4:12">
      <c r="D2169" s="1" t="s">
        <v>1014</v>
      </c>
      <c r="E2169" s="1" t="s">
        <v>1254</v>
      </c>
      <c r="F2169" s="1" t="s">
        <v>35</v>
      </c>
      <c r="G2169" s="1" t="s">
        <v>36</v>
      </c>
      <c r="H2169" s="1" t="s">
        <v>22</v>
      </c>
      <c r="I2169" s="1" t="s">
        <v>29</v>
      </c>
      <c r="J2169" s="1">
        <v>-99.670000000000016</v>
      </c>
      <c r="K2169" s="1">
        <v>440.33</v>
      </c>
      <c r="L2169" s="1">
        <v>80.329999999999984</v>
      </c>
    </row>
    <row r="2170" spans="4:12">
      <c r="D2170" s="1" t="s">
        <v>1014</v>
      </c>
      <c r="E2170" s="1" t="s">
        <v>1255</v>
      </c>
      <c r="F2170" s="1" t="s">
        <v>35</v>
      </c>
      <c r="G2170" s="1" t="s">
        <v>36</v>
      </c>
      <c r="H2170" s="1" t="s">
        <v>22</v>
      </c>
      <c r="I2170" s="1" t="s">
        <v>29</v>
      </c>
      <c r="J2170" s="1">
        <v>-99.670000000000016</v>
      </c>
      <c r="K2170" s="1">
        <v>440.33</v>
      </c>
      <c r="L2170" s="1">
        <v>80.329999999999984</v>
      </c>
    </row>
    <row r="2171" spans="4:12">
      <c r="D2171" s="1" t="s">
        <v>1014</v>
      </c>
      <c r="E2171" s="1" t="s">
        <v>1256</v>
      </c>
      <c r="F2171" s="1" t="s">
        <v>35</v>
      </c>
      <c r="G2171" s="1" t="s">
        <v>36</v>
      </c>
      <c r="H2171" s="1" t="s">
        <v>22</v>
      </c>
      <c r="I2171" s="1" t="s">
        <v>29</v>
      </c>
      <c r="J2171" s="1">
        <v>-99.670000000000016</v>
      </c>
      <c r="K2171" s="1">
        <v>440.33</v>
      </c>
      <c r="L2171" s="1">
        <v>80.329999999999984</v>
      </c>
    </row>
    <row r="2172" spans="4:12">
      <c r="D2172" s="1" t="s">
        <v>1014</v>
      </c>
      <c r="E2172" s="1" t="s">
        <v>1257</v>
      </c>
      <c r="F2172" s="1" t="s">
        <v>35</v>
      </c>
      <c r="G2172" s="1" t="s">
        <v>36</v>
      </c>
      <c r="H2172" s="1" t="s">
        <v>22</v>
      </c>
      <c r="I2172" s="1" t="s">
        <v>29</v>
      </c>
      <c r="J2172" s="1">
        <v>-99.670000000000016</v>
      </c>
      <c r="K2172" s="1">
        <v>440.33</v>
      </c>
      <c r="L2172" s="1">
        <v>80.329999999999984</v>
      </c>
    </row>
    <row r="2173" spans="4:12">
      <c r="D2173" s="1" t="s">
        <v>1014</v>
      </c>
      <c r="E2173" s="1" t="s">
        <v>1258</v>
      </c>
      <c r="F2173" s="1" t="s">
        <v>35</v>
      </c>
      <c r="G2173" s="1" t="s">
        <v>36</v>
      </c>
      <c r="H2173" s="1" t="s">
        <v>22</v>
      </c>
      <c r="I2173" s="1" t="s">
        <v>29</v>
      </c>
      <c r="J2173" s="1">
        <v>-99.670000000000016</v>
      </c>
      <c r="K2173" s="1">
        <v>440.33</v>
      </c>
      <c r="L2173" s="1">
        <v>80.329999999999984</v>
      </c>
    </row>
    <row r="2174" spans="4:12">
      <c r="D2174" s="1" t="s">
        <v>1014</v>
      </c>
      <c r="E2174" s="1" t="s">
        <v>1259</v>
      </c>
      <c r="F2174" s="1" t="s">
        <v>35</v>
      </c>
      <c r="G2174" s="1" t="s">
        <v>36</v>
      </c>
      <c r="H2174" s="1" t="s">
        <v>22</v>
      </c>
      <c r="I2174" s="1" t="s">
        <v>29</v>
      </c>
      <c r="J2174" s="1">
        <v>-99.670000000000016</v>
      </c>
      <c r="K2174" s="1">
        <v>440.33</v>
      </c>
      <c r="L2174" s="1">
        <v>80.329999999999984</v>
      </c>
    </row>
    <row r="2175" spans="4:12">
      <c r="D2175" s="1" t="s">
        <v>1014</v>
      </c>
      <c r="E2175" s="1" t="s">
        <v>1260</v>
      </c>
      <c r="F2175" s="1" t="s">
        <v>35</v>
      </c>
      <c r="G2175" s="1" t="s">
        <v>36</v>
      </c>
      <c r="H2175" s="1" t="s">
        <v>22</v>
      </c>
      <c r="I2175" s="1" t="s">
        <v>29</v>
      </c>
      <c r="J2175" s="1">
        <v>-99.670000000000016</v>
      </c>
      <c r="K2175" s="1">
        <v>440.33</v>
      </c>
      <c r="L2175" s="1">
        <v>80.329999999999984</v>
      </c>
    </row>
    <row r="2176" spans="4:12">
      <c r="D2176" s="1" t="s">
        <v>1014</v>
      </c>
      <c r="E2176" s="1" t="s">
        <v>1261</v>
      </c>
      <c r="F2176" s="1" t="s">
        <v>35</v>
      </c>
      <c r="G2176" s="1" t="s">
        <v>36</v>
      </c>
      <c r="H2176" s="1" t="s">
        <v>22</v>
      </c>
      <c r="I2176" s="1" t="s">
        <v>29</v>
      </c>
      <c r="J2176" s="1">
        <v>-99.670000000000016</v>
      </c>
      <c r="K2176" s="1">
        <v>440.33</v>
      </c>
      <c r="L2176" s="1">
        <v>80.329999999999984</v>
      </c>
    </row>
    <row r="2177" spans="4:12">
      <c r="D2177" s="1" t="s">
        <v>1014</v>
      </c>
      <c r="E2177" s="1" t="s">
        <v>1262</v>
      </c>
      <c r="F2177" s="1" t="s">
        <v>35</v>
      </c>
      <c r="G2177" s="1" t="s">
        <v>36</v>
      </c>
      <c r="H2177" s="1" t="s">
        <v>22</v>
      </c>
      <c r="I2177" s="1" t="s">
        <v>29</v>
      </c>
      <c r="J2177" s="1">
        <v>-99.670000000000016</v>
      </c>
      <c r="K2177" s="1">
        <v>440.33</v>
      </c>
      <c r="L2177" s="1">
        <v>80.329999999999984</v>
      </c>
    </row>
    <row r="2178" spans="4:12">
      <c r="D2178" s="1" t="s">
        <v>1014</v>
      </c>
      <c r="E2178" s="1" t="s">
        <v>1263</v>
      </c>
      <c r="F2178" s="1" t="s">
        <v>35</v>
      </c>
      <c r="G2178" s="1" t="s">
        <v>36</v>
      </c>
      <c r="H2178" s="1" t="s">
        <v>22</v>
      </c>
      <c r="I2178" s="1" t="s">
        <v>29</v>
      </c>
      <c r="J2178" s="1">
        <v>-99.670000000000016</v>
      </c>
      <c r="K2178" s="1">
        <v>440.33</v>
      </c>
      <c r="L2178" s="1">
        <v>80.329999999999984</v>
      </c>
    </row>
    <row r="2179" spans="4:12">
      <c r="D2179" s="1" t="s">
        <v>1014</v>
      </c>
      <c r="E2179" s="1" t="s">
        <v>1264</v>
      </c>
      <c r="F2179" s="1" t="s">
        <v>35</v>
      </c>
      <c r="G2179" s="1" t="s">
        <v>36</v>
      </c>
      <c r="H2179" s="1" t="s">
        <v>22</v>
      </c>
      <c r="I2179" s="1" t="s">
        <v>29</v>
      </c>
      <c r="J2179" s="1">
        <v>-99.670000000000016</v>
      </c>
      <c r="K2179" s="1">
        <v>440.33</v>
      </c>
      <c r="L2179" s="1">
        <v>80.329999999999984</v>
      </c>
    </row>
    <row r="2180" spans="4:12">
      <c r="D2180" s="1" t="s">
        <v>1014</v>
      </c>
      <c r="E2180" s="1" t="s">
        <v>1265</v>
      </c>
      <c r="F2180" s="1" t="s">
        <v>35</v>
      </c>
      <c r="G2180" s="1" t="s">
        <v>36</v>
      </c>
      <c r="H2180" s="1" t="s">
        <v>22</v>
      </c>
      <c r="I2180" s="1" t="s">
        <v>29</v>
      </c>
      <c r="J2180" s="1">
        <v>-99.670000000000016</v>
      </c>
      <c r="K2180" s="1">
        <v>440.33</v>
      </c>
      <c r="L2180" s="1">
        <v>80.329999999999984</v>
      </c>
    </row>
    <row r="2181" spans="4:12">
      <c r="D2181" s="1" t="s">
        <v>1014</v>
      </c>
      <c r="E2181" s="1" t="s">
        <v>1266</v>
      </c>
      <c r="F2181" s="1" t="s">
        <v>35</v>
      </c>
      <c r="G2181" s="1" t="s">
        <v>36</v>
      </c>
      <c r="H2181" s="1" t="s">
        <v>22</v>
      </c>
      <c r="I2181" s="1" t="s">
        <v>29</v>
      </c>
      <c r="J2181" s="1">
        <v>-99.670000000000016</v>
      </c>
      <c r="K2181" s="1">
        <v>440.33</v>
      </c>
      <c r="L2181" s="1">
        <v>80.329999999999984</v>
      </c>
    </row>
    <row r="2182" spans="4:12">
      <c r="D2182" s="1" t="s">
        <v>1014</v>
      </c>
      <c r="E2182" s="1" t="s">
        <v>1267</v>
      </c>
      <c r="F2182" s="1" t="s">
        <v>35</v>
      </c>
      <c r="G2182" s="1" t="s">
        <v>36</v>
      </c>
      <c r="H2182" s="1" t="s">
        <v>22</v>
      </c>
      <c r="I2182" s="1" t="s">
        <v>29</v>
      </c>
      <c r="J2182" s="1">
        <v>-99.670000000000016</v>
      </c>
      <c r="K2182" s="1">
        <v>440.33</v>
      </c>
      <c r="L2182" s="1">
        <v>80.329999999999984</v>
      </c>
    </row>
    <row r="2183" spans="4:12">
      <c r="D2183" s="1" t="s">
        <v>1014</v>
      </c>
      <c r="E2183" s="1" t="s">
        <v>1268</v>
      </c>
      <c r="F2183" s="1" t="s">
        <v>35</v>
      </c>
      <c r="G2183" s="1" t="s">
        <v>36</v>
      </c>
      <c r="H2183" s="1" t="s">
        <v>22</v>
      </c>
      <c r="I2183" s="1" t="s">
        <v>29</v>
      </c>
      <c r="J2183" s="1">
        <v>-99.670000000000016</v>
      </c>
      <c r="K2183" s="1">
        <v>440.33</v>
      </c>
      <c r="L2183" s="1">
        <v>80.329999999999984</v>
      </c>
    </row>
    <row r="2184" spans="4:12">
      <c r="D2184" s="1" t="s">
        <v>1014</v>
      </c>
      <c r="E2184" s="1" t="s">
        <v>1269</v>
      </c>
      <c r="F2184" s="1" t="s">
        <v>35</v>
      </c>
      <c r="G2184" s="1" t="s">
        <v>36</v>
      </c>
      <c r="H2184" s="1" t="s">
        <v>22</v>
      </c>
      <c r="I2184" s="1" t="s">
        <v>29</v>
      </c>
      <c r="J2184" s="1">
        <v>-99.670000000000016</v>
      </c>
      <c r="K2184" s="1">
        <v>440.33</v>
      </c>
      <c r="L2184" s="1">
        <v>80.329999999999984</v>
      </c>
    </row>
    <row r="2185" spans="4:12">
      <c r="D2185" s="1" t="s">
        <v>1014</v>
      </c>
      <c r="E2185" s="1" t="s">
        <v>1270</v>
      </c>
      <c r="F2185" s="1" t="s">
        <v>35</v>
      </c>
      <c r="G2185" s="1" t="s">
        <v>36</v>
      </c>
      <c r="H2185" s="1" t="s">
        <v>22</v>
      </c>
      <c r="I2185" s="1" t="s">
        <v>29</v>
      </c>
      <c r="J2185" s="1">
        <v>-99.670000000000016</v>
      </c>
      <c r="K2185" s="1">
        <v>440.33</v>
      </c>
      <c r="L2185" s="1">
        <v>80.329999999999984</v>
      </c>
    </row>
    <row r="2186" spans="4:12">
      <c r="D2186" s="1" t="s">
        <v>1014</v>
      </c>
      <c r="E2186" s="1" t="s">
        <v>1271</v>
      </c>
      <c r="F2186" s="1" t="s">
        <v>35</v>
      </c>
      <c r="G2186" s="1" t="s">
        <v>36</v>
      </c>
      <c r="H2186" s="1" t="s">
        <v>22</v>
      </c>
      <c r="I2186" s="1" t="s">
        <v>29</v>
      </c>
      <c r="J2186" s="1">
        <v>-99.670000000000016</v>
      </c>
      <c r="K2186" s="1">
        <v>440.33</v>
      </c>
      <c r="L2186" s="1">
        <v>80.329999999999984</v>
      </c>
    </row>
    <row r="2187" spans="4:12">
      <c r="D2187" s="1" t="s">
        <v>1014</v>
      </c>
      <c r="E2187" s="1" t="s">
        <v>1272</v>
      </c>
      <c r="F2187" s="1" t="s">
        <v>35</v>
      </c>
      <c r="G2187" s="1" t="s">
        <v>36</v>
      </c>
      <c r="H2187" s="1" t="s">
        <v>22</v>
      </c>
      <c r="I2187" s="1" t="s">
        <v>29</v>
      </c>
      <c r="J2187" s="1">
        <v>-99.670000000000016</v>
      </c>
      <c r="K2187" s="1">
        <v>440.33</v>
      </c>
      <c r="L2187" s="1">
        <v>80.329999999999984</v>
      </c>
    </row>
    <row r="2188" spans="4:12">
      <c r="D2188" s="1" t="s">
        <v>1014</v>
      </c>
      <c r="E2188" s="1" t="s">
        <v>1273</v>
      </c>
      <c r="F2188" s="1" t="s">
        <v>35</v>
      </c>
      <c r="G2188" s="1" t="s">
        <v>36</v>
      </c>
      <c r="H2188" s="1" t="s">
        <v>22</v>
      </c>
      <c r="I2188" s="1" t="s">
        <v>29</v>
      </c>
      <c r="J2188" s="1">
        <v>-99.670000000000016</v>
      </c>
      <c r="K2188" s="1">
        <v>440.33</v>
      </c>
      <c r="L2188" s="1">
        <v>80.329999999999984</v>
      </c>
    </row>
    <row r="2189" spans="4:12">
      <c r="D2189" s="1" t="s">
        <v>1014</v>
      </c>
      <c r="E2189" s="1" t="s">
        <v>1274</v>
      </c>
      <c r="F2189" s="1" t="s">
        <v>35</v>
      </c>
      <c r="G2189" s="1" t="s">
        <v>36</v>
      </c>
      <c r="H2189" s="1" t="s">
        <v>22</v>
      </c>
      <c r="I2189" s="1" t="s">
        <v>29</v>
      </c>
      <c r="J2189" s="1">
        <v>-99.670000000000016</v>
      </c>
      <c r="K2189" s="1">
        <v>440.33</v>
      </c>
      <c r="L2189" s="1">
        <v>80.329999999999984</v>
      </c>
    </row>
    <row r="2190" spans="4:12">
      <c r="D2190" s="1" t="s">
        <v>1014</v>
      </c>
      <c r="E2190" s="1" t="s">
        <v>1275</v>
      </c>
      <c r="F2190" s="1" t="s">
        <v>35</v>
      </c>
      <c r="G2190" s="1" t="s">
        <v>36</v>
      </c>
      <c r="H2190" s="1" t="s">
        <v>22</v>
      </c>
      <c r="I2190" s="1" t="s">
        <v>29</v>
      </c>
      <c r="J2190" s="1">
        <v>-99.670000000000016</v>
      </c>
      <c r="K2190" s="1">
        <v>440.33</v>
      </c>
      <c r="L2190" s="1">
        <v>80.329999999999984</v>
      </c>
    </row>
    <row r="2191" spans="4:12">
      <c r="D2191" s="1" t="s">
        <v>1014</v>
      </c>
      <c r="E2191" s="1" t="s">
        <v>1276</v>
      </c>
      <c r="F2191" s="1" t="s">
        <v>35</v>
      </c>
      <c r="G2191" s="1" t="s">
        <v>36</v>
      </c>
      <c r="H2191" s="1" t="s">
        <v>22</v>
      </c>
      <c r="I2191" s="1" t="s">
        <v>29</v>
      </c>
      <c r="J2191" s="1">
        <v>-99.670000000000016</v>
      </c>
      <c r="K2191" s="1">
        <v>440.33</v>
      </c>
      <c r="L2191" s="1">
        <v>80.329999999999984</v>
      </c>
    </row>
    <row r="2192" spans="4:12">
      <c r="D2192" s="1" t="s">
        <v>1014</v>
      </c>
      <c r="E2192" s="1" t="s">
        <v>1277</v>
      </c>
      <c r="F2192" s="1" t="s">
        <v>35</v>
      </c>
      <c r="G2192" s="1" t="s">
        <v>36</v>
      </c>
      <c r="H2192" s="1" t="s">
        <v>22</v>
      </c>
      <c r="I2192" s="1" t="s">
        <v>29</v>
      </c>
      <c r="J2192" s="1">
        <v>-99.670000000000016</v>
      </c>
      <c r="K2192" s="1">
        <v>440.33</v>
      </c>
      <c r="L2192" s="1">
        <v>80.329999999999984</v>
      </c>
    </row>
    <row r="2193" spans="4:12">
      <c r="D2193" s="1" t="s">
        <v>1014</v>
      </c>
      <c r="E2193" s="1" t="s">
        <v>1278</v>
      </c>
      <c r="F2193" s="1" t="s">
        <v>35</v>
      </c>
      <c r="G2193" s="1" t="s">
        <v>36</v>
      </c>
      <c r="H2193" s="1" t="s">
        <v>22</v>
      </c>
      <c r="I2193" s="1" t="s">
        <v>29</v>
      </c>
      <c r="J2193" s="1">
        <v>-99.670000000000016</v>
      </c>
      <c r="K2193" s="1">
        <v>440.33</v>
      </c>
      <c r="L2193" s="1">
        <v>80.329999999999984</v>
      </c>
    </row>
    <row r="2194" spans="4:12">
      <c r="D2194" s="1" t="s">
        <v>1014</v>
      </c>
      <c r="E2194" s="1" t="s">
        <v>1279</v>
      </c>
      <c r="F2194" s="1" t="s">
        <v>35</v>
      </c>
      <c r="G2194" s="1" t="s">
        <v>36</v>
      </c>
      <c r="H2194" s="1" t="s">
        <v>22</v>
      </c>
      <c r="I2194" s="1" t="s">
        <v>29</v>
      </c>
      <c r="J2194" s="1">
        <v>-99.670000000000016</v>
      </c>
      <c r="K2194" s="1">
        <v>440.33</v>
      </c>
      <c r="L2194" s="1">
        <v>80.329999999999984</v>
      </c>
    </row>
    <row r="2195" spans="4:12">
      <c r="D2195" s="1" t="s">
        <v>1014</v>
      </c>
      <c r="E2195" s="1" t="s">
        <v>1280</v>
      </c>
      <c r="F2195" s="1" t="s">
        <v>35</v>
      </c>
      <c r="G2195" s="1" t="s">
        <v>36</v>
      </c>
      <c r="H2195" s="1" t="s">
        <v>22</v>
      </c>
      <c r="I2195" s="1" t="s">
        <v>29</v>
      </c>
      <c r="J2195" s="1">
        <v>-99.670000000000016</v>
      </c>
      <c r="K2195" s="1">
        <v>440.33</v>
      </c>
      <c r="L2195" s="1">
        <v>80.329999999999984</v>
      </c>
    </row>
    <row r="2196" spans="4:12">
      <c r="D2196" s="1" t="s">
        <v>1014</v>
      </c>
      <c r="E2196" s="1" t="s">
        <v>1281</v>
      </c>
      <c r="F2196" s="1" t="s">
        <v>35</v>
      </c>
      <c r="G2196" s="1" t="s">
        <v>36</v>
      </c>
      <c r="H2196" s="1" t="s">
        <v>22</v>
      </c>
      <c r="I2196" s="1" t="s">
        <v>29</v>
      </c>
      <c r="J2196" s="1">
        <v>-99.670000000000016</v>
      </c>
      <c r="K2196" s="1">
        <v>440.33</v>
      </c>
      <c r="L2196" s="1">
        <v>80.329999999999984</v>
      </c>
    </row>
    <row r="2197" spans="4:12">
      <c r="D2197" s="1" t="s">
        <v>1014</v>
      </c>
      <c r="E2197" s="1" t="s">
        <v>1282</v>
      </c>
      <c r="F2197" s="1" t="s">
        <v>35</v>
      </c>
      <c r="G2197" s="1" t="s">
        <v>36</v>
      </c>
      <c r="H2197" s="1" t="s">
        <v>22</v>
      </c>
      <c r="I2197" s="1" t="s">
        <v>29</v>
      </c>
      <c r="J2197" s="1">
        <v>-99.670000000000016</v>
      </c>
      <c r="K2197" s="1">
        <v>440.33</v>
      </c>
      <c r="L2197" s="1">
        <v>80.329999999999984</v>
      </c>
    </row>
    <row r="2198" spans="4:12">
      <c r="D2198" s="1" t="s">
        <v>1014</v>
      </c>
      <c r="E2198" s="1" t="s">
        <v>1283</v>
      </c>
      <c r="F2198" s="1" t="s">
        <v>35</v>
      </c>
      <c r="G2198" s="1" t="s">
        <v>36</v>
      </c>
      <c r="H2198" s="1" t="s">
        <v>22</v>
      </c>
      <c r="I2198" s="1" t="s">
        <v>29</v>
      </c>
      <c r="J2198" s="1">
        <v>-99.670000000000016</v>
      </c>
      <c r="K2198" s="1">
        <v>440.33</v>
      </c>
      <c r="L2198" s="1">
        <v>80.329999999999984</v>
      </c>
    </row>
    <row r="2199" spans="4:12">
      <c r="D2199" s="1" t="s">
        <v>1014</v>
      </c>
      <c r="E2199" s="1" t="s">
        <v>1284</v>
      </c>
      <c r="F2199" s="1" t="s">
        <v>35</v>
      </c>
      <c r="G2199" s="1" t="s">
        <v>36</v>
      </c>
      <c r="H2199" s="1" t="s">
        <v>22</v>
      </c>
      <c r="I2199" s="1" t="s">
        <v>29</v>
      </c>
      <c r="J2199" s="1">
        <v>-99.670000000000016</v>
      </c>
      <c r="K2199" s="1">
        <v>440.33</v>
      </c>
      <c r="L2199" s="1">
        <v>80.329999999999984</v>
      </c>
    </row>
    <row r="2200" spans="4:12">
      <c r="D2200" s="1" t="s">
        <v>1014</v>
      </c>
      <c r="E2200" s="1" t="s">
        <v>1285</v>
      </c>
      <c r="F2200" s="1" t="s">
        <v>35</v>
      </c>
      <c r="G2200" s="1" t="s">
        <v>36</v>
      </c>
      <c r="H2200" s="1" t="s">
        <v>22</v>
      </c>
      <c r="I2200" s="1" t="s">
        <v>29</v>
      </c>
      <c r="J2200" s="1">
        <v>-99.670000000000016</v>
      </c>
      <c r="K2200" s="1">
        <v>440.33</v>
      </c>
      <c r="L2200" s="1">
        <v>80.329999999999984</v>
      </c>
    </row>
    <row r="2201" spans="4:12">
      <c r="D2201" s="1" t="s">
        <v>1014</v>
      </c>
      <c r="E2201" s="1" t="s">
        <v>1286</v>
      </c>
      <c r="F2201" s="1" t="s">
        <v>35</v>
      </c>
      <c r="G2201" s="1" t="s">
        <v>36</v>
      </c>
      <c r="H2201" s="1" t="s">
        <v>22</v>
      </c>
      <c r="I2201" s="1" t="s">
        <v>29</v>
      </c>
      <c r="J2201" s="1">
        <v>-99.670000000000016</v>
      </c>
      <c r="K2201" s="1">
        <v>440.33</v>
      </c>
      <c r="L2201" s="1">
        <v>80.329999999999984</v>
      </c>
    </row>
    <row r="2202" spans="4:12">
      <c r="D2202" s="1" t="s">
        <v>1014</v>
      </c>
      <c r="E2202" s="1" t="s">
        <v>1287</v>
      </c>
      <c r="F2202" s="1" t="s">
        <v>35</v>
      </c>
      <c r="G2202" s="1" t="s">
        <v>36</v>
      </c>
      <c r="H2202" s="1" t="s">
        <v>22</v>
      </c>
      <c r="I2202" s="1" t="s">
        <v>29</v>
      </c>
      <c r="J2202" s="1">
        <v>-99.670000000000016</v>
      </c>
      <c r="K2202" s="1">
        <v>440.33</v>
      </c>
      <c r="L2202" s="1">
        <v>80.329999999999984</v>
      </c>
    </row>
    <row r="2203" spans="4:12">
      <c r="D2203" s="1" t="s">
        <v>1014</v>
      </c>
      <c r="E2203" s="1" t="s">
        <v>1288</v>
      </c>
      <c r="F2203" s="1" t="s">
        <v>35</v>
      </c>
      <c r="G2203" s="1" t="s">
        <v>36</v>
      </c>
      <c r="H2203" s="1" t="s">
        <v>22</v>
      </c>
      <c r="I2203" s="1" t="s">
        <v>29</v>
      </c>
      <c r="J2203" s="1">
        <v>-99.670000000000016</v>
      </c>
      <c r="K2203" s="1">
        <v>440.33</v>
      </c>
      <c r="L2203" s="1">
        <v>80.329999999999984</v>
      </c>
    </row>
    <row r="2204" spans="4:12">
      <c r="D2204" s="1" t="s">
        <v>1014</v>
      </c>
      <c r="E2204" s="1" t="s">
        <v>1289</v>
      </c>
      <c r="F2204" s="1" t="s">
        <v>35</v>
      </c>
      <c r="G2204" s="1" t="s">
        <v>36</v>
      </c>
      <c r="H2204" s="1" t="s">
        <v>22</v>
      </c>
      <c r="I2204" s="1" t="s">
        <v>29</v>
      </c>
      <c r="J2204" s="1">
        <v>-99.670000000000016</v>
      </c>
      <c r="K2204" s="1">
        <v>440.33</v>
      </c>
      <c r="L2204" s="1">
        <v>80.329999999999984</v>
      </c>
    </row>
    <row r="2205" spans="4:12">
      <c r="D2205" s="1" t="s">
        <v>1014</v>
      </c>
      <c r="E2205" s="1" t="s">
        <v>1290</v>
      </c>
      <c r="F2205" s="1" t="s">
        <v>35</v>
      </c>
      <c r="G2205" s="1" t="s">
        <v>36</v>
      </c>
      <c r="H2205" s="1" t="s">
        <v>22</v>
      </c>
      <c r="I2205" s="1" t="s">
        <v>29</v>
      </c>
      <c r="J2205" s="1">
        <v>-99.670000000000016</v>
      </c>
      <c r="K2205" s="1">
        <v>440.33</v>
      </c>
      <c r="L2205" s="1">
        <v>80.329999999999984</v>
      </c>
    </row>
    <row r="2206" spans="4:12">
      <c r="D2206" s="1" t="s">
        <v>1014</v>
      </c>
      <c r="E2206" s="1" t="s">
        <v>1291</v>
      </c>
      <c r="F2206" s="1" t="s">
        <v>35</v>
      </c>
      <c r="G2206" s="1" t="s">
        <v>36</v>
      </c>
      <c r="H2206" s="1" t="s">
        <v>22</v>
      </c>
      <c r="I2206" s="1" t="s">
        <v>29</v>
      </c>
      <c r="J2206" s="1">
        <v>-99.670000000000016</v>
      </c>
      <c r="K2206" s="1">
        <v>440.33</v>
      </c>
      <c r="L2206" s="1">
        <v>80.329999999999984</v>
      </c>
    </row>
    <row r="2207" spans="4:12">
      <c r="D2207" s="1" t="s">
        <v>1014</v>
      </c>
      <c r="E2207" s="1" t="s">
        <v>1292</v>
      </c>
      <c r="F2207" s="1" t="s">
        <v>35</v>
      </c>
      <c r="G2207" s="1" t="s">
        <v>36</v>
      </c>
      <c r="H2207" s="1" t="s">
        <v>22</v>
      </c>
      <c r="I2207" s="1" t="s">
        <v>29</v>
      </c>
      <c r="J2207" s="1">
        <v>-99.670000000000016</v>
      </c>
      <c r="K2207" s="1">
        <v>440.33</v>
      </c>
      <c r="L2207" s="1">
        <v>80.329999999999984</v>
      </c>
    </row>
    <row r="2208" spans="4:12">
      <c r="D2208" s="1" t="s">
        <v>1014</v>
      </c>
      <c r="E2208" s="1" t="s">
        <v>1293</v>
      </c>
      <c r="F2208" s="1" t="s">
        <v>35</v>
      </c>
      <c r="G2208" s="1" t="s">
        <v>36</v>
      </c>
      <c r="H2208" s="1" t="s">
        <v>22</v>
      </c>
      <c r="I2208" s="1" t="s">
        <v>29</v>
      </c>
      <c r="J2208" s="1">
        <v>-99.670000000000016</v>
      </c>
      <c r="K2208" s="1">
        <v>440.33</v>
      </c>
      <c r="L2208" s="1">
        <v>80.329999999999984</v>
      </c>
    </row>
    <row r="2209" spans="1:13">
      <c r="A2209" s="2" t="s">
        <v>1758</v>
      </c>
      <c r="B2209" s="3" t="s">
        <v>1794</v>
      </c>
      <c r="D2209" s="1" t="s">
        <v>1014</v>
      </c>
      <c r="E2209" s="1" t="s">
        <v>1294</v>
      </c>
      <c r="F2209" s="1" t="s">
        <v>41</v>
      </c>
      <c r="G2209" s="1" t="s">
        <v>42</v>
      </c>
      <c r="H2209" s="1" t="s">
        <v>22</v>
      </c>
      <c r="I2209" s="1" t="s">
        <v>23</v>
      </c>
      <c r="J2209" s="1">
        <v>-36</v>
      </c>
      <c r="K2209" s="1">
        <v>0</v>
      </c>
      <c r="L2209" s="1">
        <v>1.8</v>
      </c>
      <c r="M2209" s="1">
        <v>-3.6</v>
      </c>
    </row>
    <row r="2210" spans="1:13">
      <c r="D2210" s="1" t="s">
        <v>1014</v>
      </c>
      <c r="E2210" s="1" t="s">
        <v>1295</v>
      </c>
      <c r="H2210" s="1" t="s">
        <v>25</v>
      </c>
      <c r="I2210" s="1" t="s">
        <v>23</v>
      </c>
      <c r="M2210" s="1" t="b">
        <v>0</v>
      </c>
    </row>
    <row r="2211" spans="1:13">
      <c r="A2211" s="2" t="s">
        <v>1758</v>
      </c>
      <c r="B2211" s="3" t="s">
        <v>1795</v>
      </c>
      <c r="D2211" s="1" t="s">
        <v>1014</v>
      </c>
      <c r="E2211" s="1" t="s">
        <v>1296</v>
      </c>
      <c r="F2211" s="1" t="s">
        <v>41</v>
      </c>
      <c r="G2211" s="1" t="s">
        <v>42</v>
      </c>
      <c r="H2211" s="1" t="s">
        <v>22</v>
      </c>
      <c r="I2211" s="1" t="s">
        <v>65</v>
      </c>
      <c r="L2211" s="1">
        <v>1.8</v>
      </c>
    </row>
    <row r="2212" spans="1:13">
      <c r="D2212" s="1" t="s">
        <v>1014</v>
      </c>
      <c r="E2212" s="1" t="s">
        <v>1297</v>
      </c>
      <c r="H2212" s="1" t="s">
        <v>22</v>
      </c>
      <c r="I2212" s="1" t="s">
        <v>65</v>
      </c>
      <c r="L2212" s="1">
        <v>1</v>
      </c>
    </row>
    <row r="2213" spans="1:13">
      <c r="D2213" s="1" t="s">
        <v>1014</v>
      </c>
      <c r="E2213" s="1" t="s">
        <v>1298</v>
      </c>
      <c r="F2213" s="1" t="s">
        <v>147</v>
      </c>
      <c r="G2213" s="1" t="s">
        <v>148</v>
      </c>
      <c r="H2213" s="1" t="s">
        <v>22</v>
      </c>
      <c r="I2213" s="1" t="s">
        <v>65</v>
      </c>
      <c r="L2213" s="1">
        <v>3.4121416351331</v>
      </c>
    </row>
    <row r="2214" spans="1:13">
      <c r="D2214" s="1" t="s">
        <v>1014</v>
      </c>
      <c r="E2214" s="1" t="s">
        <v>1299</v>
      </c>
      <c r="F2214" s="1" t="s">
        <v>147</v>
      </c>
      <c r="G2214" s="1" t="s">
        <v>148</v>
      </c>
      <c r="H2214" s="1" t="s">
        <v>22</v>
      </c>
      <c r="I2214" s="1" t="s">
        <v>65</v>
      </c>
      <c r="L2214" s="1">
        <v>3.4121416351331</v>
      </c>
    </row>
    <row r="2215" spans="1:13">
      <c r="D2215" s="1" t="s">
        <v>1014</v>
      </c>
      <c r="E2215" s="1" t="s">
        <v>1300</v>
      </c>
      <c r="F2215" s="1" t="s">
        <v>147</v>
      </c>
      <c r="G2215" s="1" t="s">
        <v>148</v>
      </c>
      <c r="H2215" s="1" t="s">
        <v>22</v>
      </c>
      <c r="I2215" s="1" t="s">
        <v>65</v>
      </c>
      <c r="L2215" s="1">
        <v>3.4121416351331</v>
      </c>
    </row>
    <row r="2216" spans="1:13">
      <c r="D2216" s="1" t="s">
        <v>1014</v>
      </c>
      <c r="E2216" s="1" t="s">
        <v>1301</v>
      </c>
      <c r="F2216" s="1" t="s">
        <v>147</v>
      </c>
      <c r="G2216" s="1" t="s">
        <v>148</v>
      </c>
      <c r="H2216" s="1" t="s">
        <v>22</v>
      </c>
      <c r="I2216" s="1" t="s">
        <v>65</v>
      </c>
      <c r="L2216" s="1">
        <v>3.4121416351331</v>
      </c>
    </row>
    <row r="2217" spans="1:13">
      <c r="D2217" s="1" t="s">
        <v>1014</v>
      </c>
      <c r="E2217" s="1" t="s">
        <v>1302</v>
      </c>
      <c r="H2217" s="1" t="s">
        <v>22</v>
      </c>
      <c r="I2217" s="1" t="s">
        <v>65</v>
      </c>
      <c r="L2217" s="1">
        <v>1</v>
      </c>
    </row>
    <row r="2218" spans="1:13">
      <c r="D2218" s="1" t="s">
        <v>1014</v>
      </c>
      <c r="E2218" s="1" t="s">
        <v>1303</v>
      </c>
      <c r="F2218" s="1" t="s">
        <v>35</v>
      </c>
      <c r="G2218" s="1" t="s">
        <v>36</v>
      </c>
      <c r="H2218" s="1" t="s">
        <v>22</v>
      </c>
      <c r="I2218" s="1" t="s">
        <v>65</v>
      </c>
      <c r="J2218" s="1">
        <v>-459.67</v>
      </c>
      <c r="L2218" s="1">
        <v>80.329999999999984</v>
      </c>
    </row>
    <row r="2219" spans="1:13">
      <c r="D2219" s="1" t="s">
        <v>1014</v>
      </c>
      <c r="E2219" s="1" t="s">
        <v>1304</v>
      </c>
      <c r="H2219" s="1" t="s">
        <v>22</v>
      </c>
      <c r="I2219" s="1" t="s">
        <v>65</v>
      </c>
      <c r="L2219" s="1">
        <v>1</v>
      </c>
    </row>
    <row r="2220" spans="1:13">
      <c r="D2220" s="1" t="s">
        <v>1014</v>
      </c>
      <c r="E2220" s="1" t="s">
        <v>1305</v>
      </c>
      <c r="H2220" s="1" t="s">
        <v>22</v>
      </c>
      <c r="I2220" s="1" t="s">
        <v>65</v>
      </c>
      <c r="L2220" s="1">
        <v>1</v>
      </c>
    </row>
    <row r="2221" spans="1:13">
      <c r="D2221" s="1" t="s">
        <v>1014</v>
      </c>
      <c r="E2221" s="1" t="s">
        <v>1306</v>
      </c>
      <c r="H2221" s="1" t="s">
        <v>22</v>
      </c>
      <c r="I2221" s="1" t="s">
        <v>65</v>
      </c>
      <c r="L2221" s="1">
        <v>1</v>
      </c>
    </row>
    <row r="2222" spans="1:13">
      <c r="D2222" s="1" t="s">
        <v>1014</v>
      </c>
      <c r="E2222" s="1" t="s">
        <v>1307</v>
      </c>
      <c r="H2222" s="1" t="s">
        <v>22</v>
      </c>
      <c r="I2222" s="1" t="s">
        <v>65</v>
      </c>
      <c r="L2222" s="1">
        <v>1</v>
      </c>
    </row>
    <row r="2223" spans="1:13">
      <c r="D2223" s="1" t="s">
        <v>1014</v>
      </c>
      <c r="E2223" s="1" t="s">
        <v>1308</v>
      </c>
      <c r="H2223" s="1" t="s">
        <v>22</v>
      </c>
      <c r="I2223" s="1" t="s">
        <v>65</v>
      </c>
      <c r="L2223" s="1">
        <v>1</v>
      </c>
    </row>
    <row r="2224" spans="1:13">
      <c r="D2224" s="1" t="s">
        <v>1014</v>
      </c>
      <c r="E2224" s="1" t="s">
        <v>1309</v>
      </c>
      <c r="H2224" s="1" t="s">
        <v>22</v>
      </c>
      <c r="I2224" s="1" t="s">
        <v>65</v>
      </c>
      <c r="L2224" s="1">
        <v>1</v>
      </c>
    </row>
    <row r="2225" spans="1:12">
      <c r="D2225" s="1" t="s">
        <v>1014</v>
      </c>
      <c r="E2225" s="1" t="s">
        <v>1310</v>
      </c>
      <c r="H2225" s="1" t="s">
        <v>22</v>
      </c>
      <c r="I2225" s="1" t="s">
        <v>65</v>
      </c>
      <c r="L2225" s="1">
        <v>1</v>
      </c>
    </row>
    <row r="2226" spans="1:12">
      <c r="D2226" s="1" t="s">
        <v>1014</v>
      </c>
      <c r="E2226" s="1" t="s">
        <v>1311</v>
      </c>
      <c r="F2226" s="1" t="s">
        <v>1041</v>
      </c>
      <c r="G2226" s="1" t="s">
        <v>1042</v>
      </c>
      <c r="H2226" s="1" t="s">
        <v>22</v>
      </c>
      <c r="I2226" s="1" t="s">
        <v>65</v>
      </c>
      <c r="L2226" s="1">
        <v>0.17611018362408509</v>
      </c>
    </row>
    <row r="2227" spans="1:12">
      <c r="D2227" s="1" t="s">
        <v>1014</v>
      </c>
      <c r="E2227" s="1" t="s">
        <v>1312</v>
      </c>
      <c r="F2227" s="1" t="s">
        <v>1041</v>
      </c>
      <c r="G2227" s="1" t="s">
        <v>1042</v>
      </c>
      <c r="H2227" s="1" t="s">
        <v>22</v>
      </c>
      <c r="I2227" s="1" t="s">
        <v>65</v>
      </c>
      <c r="L2227" s="1">
        <v>0.17611018362408509</v>
      </c>
    </row>
    <row r="2228" spans="1:12">
      <c r="D2228" s="1" t="s">
        <v>1014</v>
      </c>
      <c r="E2228" s="1" t="s">
        <v>1313</v>
      </c>
      <c r="F2228" s="1" t="s">
        <v>1041</v>
      </c>
      <c r="G2228" s="1" t="s">
        <v>1042</v>
      </c>
      <c r="H2228" s="1" t="s">
        <v>22</v>
      </c>
      <c r="I2228" s="1" t="s">
        <v>65</v>
      </c>
      <c r="L2228" s="1">
        <v>0.17611018362408509</v>
      </c>
    </row>
    <row r="2229" spans="1:12">
      <c r="D2229" s="1" t="s">
        <v>1014</v>
      </c>
      <c r="E2229" s="1" t="s">
        <v>1314</v>
      </c>
      <c r="F2229" s="1" t="s">
        <v>879</v>
      </c>
      <c r="G2229" s="1" t="s">
        <v>880</v>
      </c>
      <c r="H2229" s="1" t="s">
        <v>22</v>
      </c>
      <c r="I2229" s="1" t="s">
        <v>65</v>
      </c>
      <c r="L2229" s="1">
        <v>10.76391041670972</v>
      </c>
    </row>
    <row r="2230" spans="1:12">
      <c r="D2230" s="1" t="s">
        <v>1014</v>
      </c>
      <c r="E2230" s="1" t="s">
        <v>1315</v>
      </c>
      <c r="F2230" s="1" t="s">
        <v>879</v>
      </c>
      <c r="G2230" s="1" t="s">
        <v>880</v>
      </c>
      <c r="H2230" s="1" t="s">
        <v>22</v>
      </c>
      <c r="I2230" s="1" t="s">
        <v>65</v>
      </c>
      <c r="L2230" s="1">
        <v>10.76391041670972</v>
      </c>
    </row>
    <row r="2231" spans="1:12">
      <c r="D2231" s="1" t="s">
        <v>1014</v>
      </c>
      <c r="E2231" s="1" t="s">
        <v>1316</v>
      </c>
      <c r="F2231" s="1" t="s">
        <v>879</v>
      </c>
      <c r="G2231" s="1" t="s">
        <v>880</v>
      </c>
      <c r="H2231" s="1" t="s">
        <v>22</v>
      </c>
      <c r="I2231" s="1" t="s">
        <v>65</v>
      </c>
      <c r="L2231" s="1">
        <v>10.76391041670972</v>
      </c>
    </row>
    <row r="2232" spans="1:12">
      <c r="D2232" s="1" t="s">
        <v>1014</v>
      </c>
      <c r="E2232" s="1" t="s">
        <v>1317</v>
      </c>
      <c r="F2232" s="1" t="s">
        <v>879</v>
      </c>
      <c r="G2232" s="1" t="s">
        <v>880</v>
      </c>
      <c r="H2232" s="1" t="s">
        <v>22</v>
      </c>
      <c r="I2232" s="1" t="s">
        <v>70</v>
      </c>
      <c r="L2232" s="1">
        <v>10.76391041670972</v>
      </c>
    </row>
    <row r="2233" spans="1:12">
      <c r="D2233" s="1" t="s">
        <v>1014</v>
      </c>
      <c r="E2233" s="1" t="s">
        <v>1318</v>
      </c>
      <c r="F2233" s="1" t="s">
        <v>879</v>
      </c>
      <c r="G2233" s="1" t="s">
        <v>880</v>
      </c>
      <c r="H2233" s="1" t="s">
        <v>22</v>
      </c>
      <c r="I2233" s="1" t="s">
        <v>65</v>
      </c>
      <c r="L2233" s="1">
        <v>10.76391041670972</v>
      </c>
    </row>
    <row r="2234" spans="1:12">
      <c r="D2234" s="1" t="s">
        <v>1014</v>
      </c>
      <c r="E2234" s="1" t="s">
        <v>1319</v>
      </c>
      <c r="F2234" s="1" t="s">
        <v>879</v>
      </c>
      <c r="G2234" s="1" t="s">
        <v>880</v>
      </c>
      <c r="H2234" s="1" t="s">
        <v>22</v>
      </c>
      <c r="I2234" s="1" t="s">
        <v>65</v>
      </c>
      <c r="L2234" s="1">
        <v>10.76391041670972</v>
      </c>
    </row>
    <row r="2235" spans="1:12">
      <c r="D2235" s="1" t="s">
        <v>1014</v>
      </c>
      <c r="E2235" s="1" t="s">
        <v>1320</v>
      </c>
      <c r="F2235" s="1" t="s">
        <v>879</v>
      </c>
      <c r="G2235" s="1" t="s">
        <v>880</v>
      </c>
      <c r="H2235" s="1" t="s">
        <v>22</v>
      </c>
      <c r="I2235" s="1" t="s">
        <v>70</v>
      </c>
      <c r="L2235" s="1">
        <v>10.76391041670972</v>
      </c>
    </row>
    <row r="2236" spans="1:12">
      <c r="D2236" s="1" t="s">
        <v>1014</v>
      </c>
      <c r="E2236" s="1" t="s">
        <v>1321</v>
      </c>
      <c r="F2236" s="1" t="s">
        <v>879</v>
      </c>
      <c r="G2236" s="1" t="s">
        <v>880</v>
      </c>
      <c r="H2236" s="1" t="s">
        <v>22</v>
      </c>
      <c r="I2236" s="1" t="s">
        <v>65</v>
      </c>
      <c r="L2236" s="1">
        <v>10.76391041670972</v>
      </c>
    </row>
    <row r="2237" spans="1:12">
      <c r="A2237" s="2" t="s">
        <v>1758</v>
      </c>
      <c r="B2237" s="3" t="s">
        <v>1796</v>
      </c>
      <c r="D2237" s="1" t="s">
        <v>1014</v>
      </c>
      <c r="E2237" s="1" t="s">
        <v>1322</v>
      </c>
      <c r="F2237" s="1" t="s">
        <v>56</v>
      </c>
      <c r="G2237" s="1" t="s">
        <v>57</v>
      </c>
      <c r="H2237" s="1" t="s">
        <v>22</v>
      </c>
      <c r="I2237" s="1" t="s">
        <v>65</v>
      </c>
      <c r="L2237" s="1">
        <v>1.4503773773020921E-4</v>
      </c>
    </row>
    <row r="2238" spans="1:12">
      <c r="D2238" s="1" t="s">
        <v>1014</v>
      </c>
      <c r="E2238" s="1" t="s">
        <v>1323</v>
      </c>
      <c r="F2238" s="1" t="s">
        <v>56</v>
      </c>
      <c r="G2238" s="1" t="s">
        <v>57</v>
      </c>
      <c r="H2238" s="1" t="s">
        <v>22</v>
      </c>
      <c r="I2238" s="1" t="s">
        <v>65</v>
      </c>
      <c r="L2238" s="1">
        <v>1.4503773773020921E-4</v>
      </c>
    </row>
    <row r="2239" spans="1:12">
      <c r="D2239" s="1" t="s">
        <v>1014</v>
      </c>
      <c r="E2239" s="1" t="s">
        <v>1324</v>
      </c>
      <c r="F2239" s="1" t="s">
        <v>56</v>
      </c>
      <c r="G2239" s="1" t="s">
        <v>57</v>
      </c>
      <c r="H2239" s="1" t="s">
        <v>22</v>
      </c>
      <c r="I2239" s="1" t="s">
        <v>65</v>
      </c>
      <c r="L2239" s="1">
        <v>1.4503773773020921E-4</v>
      </c>
    </row>
    <row r="2240" spans="1:12">
      <c r="D2240" s="1" t="s">
        <v>1014</v>
      </c>
      <c r="E2240" s="1" t="s">
        <v>1325</v>
      </c>
      <c r="F2240" s="1" t="s">
        <v>56</v>
      </c>
      <c r="G2240" s="1" t="s">
        <v>57</v>
      </c>
      <c r="H2240" s="1" t="s">
        <v>22</v>
      </c>
      <c r="I2240" s="1" t="s">
        <v>65</v>
      </c>
      <c r="L2240" s="1">
        <v>1.4503773773020921E-4</v>
      </c>
    </row>
    <row r="2241" spans="4:12">
      <c r="D2241" s="1" t="s">
        <v>1014</v>
      </c>
      <c r="E2241" s="1" t="s">
        <v>1326</v>
      </c>
      <c r="F2241" s="1" t="s">
        <v>56</v>
      </c>
      <c r="G2241" s="1" t="s">
        <v>57</v>
      </c>
      <c r="H2241" s="1" t="s">
        <v>22</v>
      </c>
      <c r="I2241" s="1" t="s">
        <v>65</v>
      </c>
      <c r="L2241" s="1">
        <v>1.4503773773020921E-4</v>
      </c>
    </row>
    <row r="2242" spans="4:12">
      <c r="D2242" s="1" t="s">
        <v>1014</v>
      </c>
      <c r="E2242" s="1" t="s">
        <v>1327</v>
      </c>
      <c r="F2242" s="1" t="s">
        <v>1328</v>
      </c>
      <c r="G2242" s="1" t="s">
        <v>1329</v>
      </c>
      <c r="H2242" s="1" t="s">
        <v>22</v>
      </c>
      <c r="I2242" s="1" t="s">
        <v>65</v>
      </c>
      <c r="L2242" s="1">
        <v>0.31699833100000002</v>
      </c>
    </row>
    <row r="2243" spans="4:12">
      <c r="D2243" s="1" t="s">
        <v>1014</v>
      </c>
      <c r="E2243" s="1" t="s">
        <v>1330</v>
      </c>
      <c r="F2243" s="1" t="s">
        <v>1328</v>
      </c>
      <c r="G2243" s="1" t="s">
        <v>1329</v>
      </c>
      <c r="H2243" s="1" t="s">
        <v>22</v>
      </c>
      <c r="I2243" s="1" t="s">
        <v>65</v>
      </c>
      <c r="L2243" s="1">
        <v>0.31699833100000002</v>
      </c>
    </row>
    <row r="2244" spans="4:12">
      <c r="D2244" s="1" t="s">
        <v>1014</v>
      </c>
      <c r="E2244" s="1" t="s">
        <v>1331</v>
      </c>
      <c r="F2244" s="1" t="s">
        <v>176</v>
      </c>
      <c r="G2244" s="1" t="s">
        <v>177</v>
      </c>
      <c r="H2244" s="1" t="s">
        <v>22</v>
      </c>
      <c r="I2244" s="1" t="s">
        <v>70</v>
      </c>
      <c r="J2244" s="1">
        <v>0</v>
      </c>
      <c r="L2244" s="1">
        <v>39.370078740157467</v>
      </c>
    </row>
    <row r="2245" spans="4:12">
      <c r="D2245" s="1" t="s">
        <v>1014</v>
      </c>
      <c r="E2245" s="1" t="s">
        <v>69</v>
      </c>
      <c r="H2245" s="1" t="s">
        <v>25</v>
      </c>
      <c r="I2245" s="1" t="s">
        <v>70</v>
      </c>
    </row>
    <row r="2246" spans="4:12">
      <c r="D2246" s="1" t="s">
        <v>1014</v>
      </c>
      <c r="E2246" s="1" t="s">
        <v>1332</v>
      </c>
      <c r="F2246" s="1" t="s">
        <v>176</v>
      </c>
      <c r="G2246" s="1" t="s">
        <v>177</v>
      </c>
      <c r="H2246" s="1" t="s">
        <v>22</v>
      </c>
      <c r="I2246" s="1" t="s">
        <v>65</v>
      </c>
      <c r="L2246" s="1">
        <v>39.370078740157467</v>
      </c>
    </row>
    <row r="2247" spans="4:12">
      <c r="D2247" s="1" t="s">
        <v>1014</v>
      </c>
      <c r="E2247" s="1" t="s">
        <v>1333</v>
      </c>
      <c r="F2247" s="1" t="s">
        <v>176</v>
      </c>
      <c r="G2247" s="1" t="s">
        <v>177</v>
      </c>
      <c r="H2247" s="1" t="s">
        <v>22</v>
      </c>
      <c r="I2247" s="1" t="s">
        <v>65</v>
      </c>
      <c r="J2247" s="1">
        <v>0</v>
      </c>
      <c r="L2247" s="1">
        <v>39.370078740157467</v>
      </c>
    </row>
    <row r="2248" spans="4:12">
      <c r="D2248" s="1" t="s">
        <v>1014</v>
      </c>
      <c r="E2248" s="1" t="s">
        <v>991</v>
      </c>
      <c r="F2248" s="1" t="s">
        <v>118</v>
      </c>
      <c r="G2248" s="1" t="s">
        <v>119</v>
      </c>
      <c r="H2248" s="1" t="s">
        <v>22</v>
      </c>
      <c r="I2248" s="1" t="s">
        <v>65</v>
      </c>
      <c r="J2248" s="1">
        <v>0</v>
      </c>
      <c r="L2248" s="1">
        <v>2.20462262185</v>
      </c>
    </row>
    <row r="2249" spans="4:12">
      <c r="D2249" s="1" t="s">
        <v>1014</v>
      </c>
      <c r="E2249" s="1" t="s">
        <v>1334</v>
      </c>
      <c r="H2249" s="1" t="s">
        <v>22</v>
      </c>
      <c r="I2249" s="1" t="s">
        <v>65</v>
      </c>
      <c r="L2249" s="1">
        <v>1</v>
      </c>
    </row>
    <row r="2250" spans="4:12">
      <c r="D2250" s="1" t="s">
        <v>1014</v>
      </c>
      <c r="E2250" s="1" t="s">
        <v>1335</v>
      </c>
      <c r="H2250" s="1" t="s">
        <v>22</v>
      </c>
      <c r="I2250" s="1" t="s">
        <v>65</v>
      </c>
      <c r="L2250" s="1">
        <v>1</v>
      </c>
    </row>
    <row r="2251" spans="4:12">
      <c r="D2251" s="1" t="s">
        <v>1014</v>
      </c>
      <c r="E2251" s="1" t="s">
        <v>1336</v>
      </c>
      <c r="F2251" s="1" t="s">
        <v>56</v>
      </c>
      <c r="G2251" s="1" t="s">
        <v>57</v>
      </c>
      <c r="H2251" s="1" t="s">
        <v>22</v>
      </c>
      <c r="I2251" s="1" t="s">
        <v>65</v>
      </c>
      <c r="L2251" s="1">
        <v>1.4503773773020921E-4</v>
      </c>
    </row>
    <row r="2252" spans="4:12">
      <c r="D2252" s="1" t="s">
        <v>1014</v>
      </c>
      <c r="E2252" s="1" t="s">
        <v>1337</v>
      </c>
      <c r="H2252" s="1" t="s">
        <v>22</v>
      </c>
      <c r="I2252" s="1" t="s">
        <v>65</v>
      </c>
      <c r="L2252" s="1">
        <v>1</v>
      </c>
    </row>
    <row r="2253" spans="4:12">
      <c r="D2253" s="1" t="s">
        <v>1014</v>
      </c>
      <c r="E2253" s="1" t="s">
        <v>1338</v>
      </c>
      <c r="H2253" s="1" t="s">
        <v>22</v>
      </c>
      <c r="I2253" s="1" t="s">
        <v>65</v>
      </c>
      <c r="L2253" s="1">
        <v>1</v>
      </c>
    </row>
    <row r="2254" spans="4:12">
      <c r="D2254" s="1" t="s">
        <v>1014</v>
      </c>
      <c r="E2254" s="1" t="s">
        <v>1339</v>
      </c>
      <c r="H2254" s="1" t="s">
        <v>22</v>
      </c>
      <c r="I2254" s="1" t="s">
        <v>65</v>
      </c>
      <c r="L2254" s="1">
        <v>1</v>
      </c>
    </row>
    <row r="2255" spans="4:12">
      <c r="D2255" s="1" t="s">
        <v>1014</v>
      </c>
      <c r="E2255" s="1" t="s">
        <v>1340</v>
      </c>
      <c r="H2255" s="1" t="s">
        <v>22</v>
      </c>
      <c r="I2255" s="1" t="s">
        <v>65</v>
      </c>
      <c r="L2255" s="1">
        <v>1</v>
      </c>
    </row>
    <row r="2256" spans="4:12">
      <c r="D2256" s="1" t="s">
        <v>1014</v>
      </c>
      <c r="E2256" s="1" t="s">
        <v>1341</v>
      </c>
      <c r="H2256" s="1" t="s">
        <v>25</v>
      </c>
      <c r="I2256" s="1" t="s">
        <v>65</v>
      </c>
    </row>
    <row r="2257" spans="1:13">
      <c r="D2257" s="1" t="s">
        <v>1014</v>
      </c>
      <c r="E2257" s="1" t="s">
        <v>1342</v>
      </c>
      <c r="F2257" s="1" t="s">
        <v>41</v>
      </c>
      <c r="G2257" s="1" t="s">
        <v>42</v>
      </c>
      <c r="H2257" s="1" t="s">
        <v>22</v>
      </c>
      <c r="I2257" s="1" t="s">
        <v>65</v>
      </c>
      <c r="L2257" s="1">
        <v>1.8</v>
      </c>
    </row>
    <row r="2258" spans="1:13">
      <c r="D2258" s="1" t="s">
        <v>1014</v>
      </c>
      <c r="E2258" s="1" t="s">
        <v>1343</v>
      </c>
      <c r="F2258" s="1" t="s">
        <v>1344</v>
      </c>
      <c r="G2258" s="1" t="s">
        <v>1345</v>
      </c>
      <c r="H2258" s="1" t="s">
        <v>22</v>
      </c>
      <c r="I2258" s="1" t="s">
        <v>65</v>
      </c>
      <c r="L2258" s="1">
        <v>2.2369362919199998</v>
      </c>
    </row>
    <row r="2259" spans="1:13">
      <c r="D2259" s="1" t="s">
        <v>1014</v>
      </c>
      <c r="E2259" s="1" t="s">
        <v>1346</v>
      </c>
      <c r="F2259" s="1" t="s">
        <v>124</v>
      </c>
      <c r="G2259" s="1" t="s">
        <v>125</v>
      </c>
      <c r="H2259" s="1" t="s">
        <v>22</v>
      </c>
      <c r="I2259" s="1" t="s">
        <v>65</v>
      </c>
      <c r="L2259" s="1">
        <v>35.314666699999997</v>
      </c>
    </row>
    <row r="2260" spans="1:13">
      <c r="D2260" s="1" t="s">
        <v>1014</v>
      </c>
      <c r="E2260" s="1" t="s">
        <v>1347</v>
      </c>
      <c r="F2260" s="1" t="s">
        <v>124</v>
      </c>
      <c r="G2260" s="1" t="s">
        <v>125</v>
      </c>
      <c r="H2260" s="1" t="s">
        <v>22</v>
      </c>
      <c r="I2260" s="1" t="s">
        <v>65</v>
      </c>
      <c r="L2260" s="1">
        <v>35.314666699999997</v>
      </c>
    </row>
    <row r="2261" spans="1:13">
      <c r="D2261" s="1" t="s">
        <v>1014</v>
      </c>
      <c r="E2261" s="1" t="s">
        <v>1348</v>
      </c>
      <c r="F2261" s="1" t="s">
        <v>176</v>
      </c>
      <c r="G2261" s="1" t="s">
        <v>177</v>
      </c>
      <c r="H2261" s="1" t="s">
        <v>22</v>
      </c>
      <c r="I2261" s="1" t="s">
        <v>23</v>
      </c>
      <c r="J2261" s="1">
        <v>3.9370078740157466E-2</v>
      </c>
      <c r="K2261" s="1">
        <v>3.9370078740157468</v>
      </c>
      <c r="L2261" s="1">
        <v>39.370078740157467</v>
      </c>
      <c r="M2261" s="1">
        <v>0.49999999999999983</v>
      </c>
    </row>
    <row r="2262" spans="1:13">
      <c r="D2262" s="1" t="s">
        <v>1014</v>
      </c>
      <c r="E2262" s="1" t="s">
        <v>1349</v>
      </c>
      <c r="H2262" s="1" t="s">
        <v>25</v>
      </c>
      <c r="I2262" s="1" t="s">
        <v>23</v>
      </c>
      <c r="M2262" s="1" t="b">
        <v>1</v>
      </c>
    </row>
    <row r="2263" spans="1:13">
      <c r="D2263" s="1" t="s">
        <v>1014</v>
      </c>
      <c r="E2263" s="1" t="s">
        <v>1350</v>
      </c>
      <c r="H2263" s="1" t="s">
        <v>25</v>
      </c>
      <c r="I2263" s="1" t="s">
        <v>23</v>
      </c>
      <c r="M2263" s="1" t="b">
        <v>0</v>
      </c>
    </row>
    <row r="2264" spans="1:13">
      <c r="D2264" s="1" t="s">
        <v>1014</v>
      </c>
      <c r="E2264" s="1" t="s">
        <v>1351</v>
      </c>
      <c r="H2264" s="1" t="s">
        <v>25</v>
      </c>
      <c r="I2264" s="1" t="s">
        <v>23</v>
      </c>
      <c r="M2264" s="1" t="b">
        <v>0</v>
      </c>
    </row>
    <row r="2265" spans="1:13">
      <c r="D2265" s="1" t="s">
        <v>1014</v>
      </c>
      <c r="E2265" s="1" t="s">
        <v>1352</v>
      </c>
      <c r="H2265" s="1" t="s">
        <v>25</v>
      </c>
      <c r="I2265" s="1" t="s">
        <v>23</v>
      </c>
      <c r="M2265" s="1" t="b">
        <v>0</v>
      </c>
    </row>
    <row r="2266" spans="1:13">
      <c r="D2266" s="1" t="s">
        <v>1014</v>
      </c>
      <c r="E2266" s="1" t="s">
        <v>1353</v>
      </c>
      <c r="H2266" s="1" t="s">
        <v>25</v>
      </c>
      <c r="I2266" s="1" t="s">
        <v>23</v>
      </c>
      <c r="M2266" s="1" t="b">
        <v>0</v>
      </c>
    </row>
    <row r="2267" spans="1:13">
      <c r="D2267" s="1" t="s">
        <v>1014</v>
      </c>
      <c r="E2267" s="1" t="s">
        <v>1354</v>
      </c>
      <c r="H2267" s="1" t="s">
        <v>22</v>
      </c>
      <c r="I2267" s="1" t="s">
        <v>23</v>
      </c>
      <c r="J2267" s="1">
        <v>0.5</v>
      </c>
      <c r="K2267" s="1">
        <v>2</v>
      </c>
      <c r="L2267" s="1">
        <v>1</v>
      </c>
      <c r="M2267" s="1">
        <v>1</v>
      </c>
    </row>
    <row r="2268" spans="1:13">
      <c r="D2268" s="1" t="s">
        <v>1014</v>
      </c>
      <c r="E2268" s="1" t="s">
        <v>1355</v>
      </c>
      <c r="H2268" s="1" t="s">
        <v>22</v>
      </c>
      <c r="I2268" s="1" t="s">
        <v>23</v>
      </c>
      <c r="J2268" s="1">
        <v>0</v>
      </c>
      <c r="K2268" s="1">
        <v>10</v>
      </c>
      <c r="L2268" s="1">
        <v>1</v>
      </c>
      <c r="M2268" s="1">
        <v>1</v>
      </c>
    </row>
    <row r="2269" spans="1:13">
      <c r="D2269" s="1" t="s">
        <v>1014</v>
      </c>
      <c r="E2269" s="1" t="s">
        <v>1356</v>
      </c>
      <c r="H2269" s="1" t="s">
        <v>150</v>
      </c>
      <c r="I2269" s="1" t="s">
        <v>23</v>
      </c>
      <c r="M2269" s="1" t="s">
        <v>1357</v>
      </c>
    </row>
    <row r="2270" spans="1:13">
      <c r="A2270" s="2" t="s">
        <v>1721</v>
      </c>
      <c r="B2270" s="3" t="s">
        <v>1734</v>
      </c>
      <c r="D2270" s="1" t="s">
        <v>1014</v>
      </c>
      <c r="E2270" s="1" t="s">
        <v>1358</v>
      </c>
      <c r="F2270" s="1" t="s">
        <v>176</v>
      </c>
      <c r="G2270" s="1" t="s">
        <v>177</v>
      </c>
      <c r="H2270" s="1" t="s">
        <v>22</v>
      </c>
      <c r="I2270" s="1" t="s">
        <v>23</v>
      </c>
      <c r="J2270" s="1">
        <v>0.39370078740157466</v>
      </c>
      <c r="K2270" s="1">
        <v>393.70078740157464</v>
      </c>
      <c r="L2270" s="1">
        <v>39.370078740157467</v>
      </c>
      <c r="M2270" s="1">
        <v>42.000000000000284</v>
      </c>
    </row>
    <row r="2271" spans="1:13">
      <c r="A2271" s="2" t="s">
        <v>1721</v>
      </c>
      <c r="B2271" s="3" t="s">
        <v>1735</v>
      </c>
      <c r="D2271" s="1" t="s">
        <v>1014</v>
      </c>
      <c r="E2271" s="1" t="s">
        <v>1359</v>
      </c>
      <c r="F2271" s="1" t="s">
        <v>176</v>
      </c>
      <c r="G2271" s="1" t="s">
        <v>177</v>
      </c>
      <c r="H2271" s="1" t="s">
        <v>22</v>
      </c>
      <c r="I2271" s="1" t="s">
        <v>23</v>
      </c>
      <c r="J2271" s="1">
        <v>0</v>
      </c>
      <c r="L2271" s="1">
        <v>39.370078740157467</v>
      </c>
      <c r="M2271" s="1">
        <v>10.119999999999994</v>
      </c>
    </row>
    <row r="2272" spans="1:13">
      <c r="D2272" s="1" t="s">
        <v>1014</v>
      </c>
      <c r="E2272" s="1" t="s">
        <v>1360</v>
      </c>
      <c r="H2272" s="1" t="s">
        <v>150</v>
      </c>
      <c r="I2272" s="1" t="s">
        <v>23</v>
      </c>
      <c r="M2272" s="1" t="s">
        <v>1357</v>
      </c>
    </row>
    <row r="2273" spans="1:13">
      <c r="D2273" s="1" t="s">
        <v>1014</v>
      </c>
      <c r="E2273" s="1" t="s">
        <v>1361</v>
      </c>
      <c r="F2273" s="1" t="s">
        <v>176</v>
      </c>
      <c r="G2273" s="1" t="s">
        <v>177</v>
      </c>
      <c r="H2273" s="1" t="s">
        <v>22</v>
      </c>
      <c r="I2273" s="1" t="s">
        <v>23</v>
      </c>
      <c r="J2273" s="1">
        <v>0</v>
      </c>
      <c r="L2273" s="1">
        <v>39.370078740157467</v>
      </c>
      <c r="M2273" s="1">
        <v>0</v>
      </c>
    </row>
    <row r="2274" spans="1:13">
      <c r="A2274" s="2" t="s">
        <v>1721</v>
      </c>
      <c r="B2274" s="3" t="s">
        <v>1736</v>
      </c>
      <c r="D2274" s="1" t="s">
        <v>1014</v>
      </c>
      <c r="E2274" s="1" t="s">
        <v>1362</v>
      </c>
      <c r="F2274" s="1" t="s">
        <v>176</v>
      </c>
      <c r="G2274" s="1" t="s">
        <v>177</v>
      </c>
      <c r="H2274" s="1" t="s">
        <v>22</v>
      </c>
      <c r="I2274" s="1" t="s">
        <v>23</v>
      </c>
      <c r="J2274" s="1">
        <v>3.9370078740157468</v>
      </c>
      <c r="K2274" s="1">
        <v>393.70078740157464</v>
      </c>
      <c r="L2274" s="1">
        <v>39.370078740157467</v>
      </c>
      <c r="M2274" s="1">
        <v>164.39999999999992</v>
      </c>
    </row>
    <row r="2275" spans="1:13">
      <c r="D2275" s="1" t="s">
        <v>1014</v>
      </c>
      <c r="E2275" s="1" t="s">
        <v>1363</v>
      </c>
      <c r="H2275" s="1" t="s">
        <v>63</v>
      </c>
      <c r="I2275" s="1" t="s">
        <v>23</v>
      </c>
      <c r="M2275" s="1">
        <v>4</v>
      </c>
    </row>
    <row r="2276" spans="1:13">
      <c r="D2276" s="1" t="s">
        <v>1014</v>
      </c>
      <c r="E2276" s="1" t="s">
        <v>1364</v>
      </c>
      <c r="H2276" s="1" t="s">
        <v>63</v>
      </c>
      <c r="I2276" s="1" t="s">
        <v>23</v>
      </c>
      <c r="M2276" s="1">
        <v>1</v>
      </c>
    </row>
    <row r="2277" spans="1:13">
      <c r="D2277" s="1" t="s">
        <v>1014</v>
      </c>
      <c r="E2277" s="1" t="s">
        <v>1365</v>
      </c>
      <c r="H2277" s="1" t="s">
        <v>63</v>
      </c>
      <c r="I2277" s="1" t="s">
        <v>70</v>
      </c>
    </row>
    <row r="2278" spans="1:13">
      <c r="A2278" s="2" t="s">
        <v>1721</v>
      </c>
      <c r="B2278" s="3" t="s">
        <v>1737</v>
      </c>
      <c r="D2278" s="1" t="s">
        <v>1014</v>
      </c>
      <c r="E2278" s="1" t="s">
        <v>1366</v>
      </c>
      <c r="H2278" s="1" t="s">
        <v>63</v>
      </c>
      <c r="I2278" s="1" t="s">
        <v>23</v>
      </c>
      <c r="M2278" s="1">
        <v>400</v>
      </c>
    </row>
    <row r="2279" spans="1:13">
      <c r="A2279" s="2" t="s">
        <v>1721</v>
      </c>
      <c r="B2279" s="3" t="s">
        <v>1738</v>
      </c>
      <c r="D2279" s="1" t="s">
        <v>1014</v>
      </c>
      <c r="E2279" s="1" t="s">
        <v>1367</v>
      </c>
      <c r="H2279" s="1" t="s">
        <v>63</v>
      </c>
      <c r="I2279" s="1" t="s">
        <v>23</v>
      </c>
      <c r="M2279" s="1">
        <v>400</v>
      </c>
    </row>
    <row r="2280" spans="1:13">
      <c r="D2280" s="1" t="s">
        <v>1014</v>
      </c>
      <c r="E2280" s="1" t="s">
        <v>1368</v>
      </c>
      <c r="H2280" s="1" t="s">
        <v>63</v>
      </c>
      <c r="I2280" s="1" t="s">
        <v>23</v>
      </c>
      <c r="M2280" s="1">
        <v>0</v>
      </c>
    </row>
    <row r="2281" spans="1:13">
      <c r="D2281" s="1" t="s">
        <v>1014</v>
      </c>
      <c r="E2281" s="1" t="s">
        <v>1369</v>
      </c>
      <c r="H2281" s="1" t="s">
        <v>63</v>
      </c>
      <c r="I2281" s="1" t="s">
        <v>23</v>
      </c>
      <c r="M2281" s="1">
        <v>0</v>
      </c>
    </row>
    <row r="2282" spans="1:13">
      <c r="D2282" s="1" t="s">
        <v>1014</v>
      </c>
      <c r="E2282" s="1" t="s">
        <v>1370</v>
      </c>
      <c r="H2282" s="1" t="s">
        <v>63</v>
      </c>
      <c r="I2282" s="1" t="s">
        <v>23</v>
      </c>
      <c r="J2282" s="1">
        <v>0</v>
      </c>
      <c r="K2282" s="1">
        <v>1000</v>
      </c>
      <c r="M2282" s="1">
        <v>0</v>
      </c>
    </row>
    <row r="2283" spans="1:13">
      <c r="D2283" s="1" t="s">
        <v>1014</v>
      </c>
      <c r="E2283" s="1" t="s">
        <v>1371</v>
      </c>
      <c r="H2283" s="1" t="s">
        <v>25</v>
      </c>
      <c r="I2283" s="1" t="s">
        <v>23</v>
      </c>
      <c r="M2283" s="1" t="b">
        <v>0</v>
      </c>
    </row>
    <row r="2284" spans="1:13">
      <c r="D2284" s="1" t="s">
        <v>1014</v>
      </c>
      <c r="E2284" s="1" t="s">
        <v>1372</v>
      </c>
      <c r="F2284" s="1" t="s">
        <v>176</v>
      </c>
      <c r="G2284" s="1" t="s">
        <v>177</v>
      </c>
      <c r="H2284" s="1" t="s">
        <v>22</v>
      </c>
      <c r="I2284" s="1" t="s">
        <v>23</v>
      </c>
      <c r="J2284" s="1">
        <v>3.9370078740157471E-3</v>
      </c>
      <c r="K2284" s="1">
        <v>3.1496062992125973</v>
      </c>
      <c r="L2284" s="1">
        <v>39.370078740157467</v>
      </c>
      <c r="M2284" s="1">
        <v>0.31496062992125973</v>
      </c>
    </row>
    <row r="2285" spans="1:13">
      <c r="D2285" s="1" t="s">
        <v>1014</v>
      </c>
      <c r="E2285" s="1" t="s">
        <v>1373</v>
      </c>
      <c r="F2285" s="1" t="s">
        <v>879</v>
      </c>
      <c r="G2285" s="1" t="s">
        <v>880</v>
      </c>
      <c r="H2285" s="1" t="s">
        <v>22</v>
      </c>
      <c r="I2285" s="1" t="s">
        <v>23</v>
      </c>
      <c r="L2285" s="1">
        <v>10.76391041670972</v>
      </c>
      <c r="M2285" s="1">
        <v>7.7823072312811284E-2</v>
      </c>
    </row>
    <row r="2286" spans="1:13">
      <c r="D2286" s="1" t="s">
        <v>1014</v>
      </c>
      <c r="E2286" s="1" t="s">
        <v>1374</v>
      </c>
      <c r="F2286" s="1" t="s">
        <v>879</v>
      </c>
      <c r="G2286" s="1" t="s">
        <v>880</v>
      </c>
      <c r="H2286" s="1" t="s">
        <v>22</v>
      </c>
      <c r="I2286" s="1" t="s">
        <v>23</v>
      </c>
      <c r="L2286" s="1">
        <v>10.76391041670972</v>
      </c>
      <c r="M2286" s="1">
        <v>1.4208361750056831E-3</v>
      </c>
    </row>
    <row r="2287" spans="1:13">
      <c r="D2287" s="1" t="s">
        <v>1014</v>
      </c>
      <c r="E2287" s="1" t="s">
        <v>1375</v>
      </c>
      <c r="H2287" s="1" t="s">
        <v>22</v>
      </c>
      <c r="I2287" s="1" t="s">
        <v>23</v>
      </c>
      <c r="J2287" s="1">
        <v>0</v>
      </c>
      <c r="L2287" s="1">
        <v>1</v>
      </c>
      <c r="M2287" s="1">
        <v>0.45</v>
      </c>
    </row>
    <row r="2288" spans="1:13">
      <c r="D2288" s="1" t="s">
        <v>1014</v>
      </c>
      <c r="E2288" s="1" t="s">
        <v>1376</v>
      </c>
      <c r="F2288" s="1" t="s">
        <v>176</v>
      </c>
      <c r="G2288" s="1" t="s">
        <v>177</v>
      </c>
      <c r="H2288" s="1" t="s">
        <v>22</v>
      </c>
      <c r="I2288" s="1" t="s">
        <v>23</v>
      </c>
      <c r="L2288" s="1">
        <v>39.370078740157467</v>
      </c>
      <c r="M2288" s="1">
        <v>3.251968503937007</v>
      </c>
    </row>
    <row r="2289" spans="4:13">
      <c r="D2289" s="1" t="s">
        <v>1014</v>
      </c>
      <c r="E2289" s="1" t="s">
        <v>1377</v>
      </c>
      <c r="F2289" s="1" t="s">
        <v>176</v>
      </c>
      <c r="G2289" s="1" t="s">
        <v>177</v>
      </c>
      <c r="H2289" s="1" t="s">
        <v>22</v>
      </c>
      <c r="I2289" s="1" t="s">
        <v>23</v>
      </c>
      <c r="L2289" s="1">
        <v>39.370078740157467</v>
      </c>
      <c r="M2289" s="1">
        <v>0.48425196850393687</v>
      </c>
    </row>
    <row r="2290" spans="4:13">
      <c r="D2290" s="1" t="s">
        <v>1014</v>
      </c>
      <c r="E2290" s="1" t="s">
        <v>1378</v>
      </c>
      <c r="F2290" s="1" t="s">
        <v>176</v>
      </c>
      <c r="G2290" s="1" t="s">
        <v>177</v>
      </c>
      <c r="H2290" s="1" t="s">
        <v>22</v>
      </c>
      <c r="I2290" s="1" t="s">
        <v>23</v>
      </c>
      <c r="L2290" s="1">
        <v>39.370078740157467</v>
      </c>
      <c r="M2290" s="1">
        <v>6.2519685039370057</v>
      </c>
    </row>
    <row r="2291" spans="4:13">
      <c r="D2291" s="1" t="s">
        <v>1014</v>
      </c>
      <c r="E2291" s="1" t="s">
        <v>1379</v>
      </c>
      <c r="F2291" s="1" t="s">
        <v>176</v>
      </c>
      <c r="G2291" s="1" t="s">
        <v>177</v>
      </c>
      <c r="H2291" s="1" t="s">
        <v>22</v>
      </c>
      <c r="I2291" s="1" t="s">
        <v>23</v>
      </c>
      <c r="L2291" s="1">
        <v>39.370078740157467</v>
      </c>
      <c r="M2291" s="1">
        <v>4.9999999999999982</v>
      </c>
    </row>
    <row r="2292" spans="4:13">
      <c r="D2292" s="1" t="s">
        <v>1014</v>
      </c>
      <c r="E2292" s="1" t="s">
        <v>1380</v>
      </c>
      <c r="F2292" s="1" t="s">
        <v>1044</v>
      </c>
      <c r="G2292" s="1" t="s">
        <v>1045</v>
      </c>
      <c r="H2292" s="1" t="s">
        <v>22</v>
      </c>
      <c r="I2292" s="1" t="s">
        <v>23</v>
      </c>
      <c r="L2292" s="1">
        <v>57.29577951308238</v>
      </c>
      <c r="M2292" s="1">
        <v>30.000070153049933</v>
      </c>
    </row>
    <row r="2293" spans="4:13">
      <c r="D2293" s="1" t="s">
        <v>1014</v>
      </c>
      <c r="E2293" s="1" t="s">
        <v>1381</v>
      </c>
      <c r="F2293" s="1" t="s">
        <v>176</v>
      </c>
      <c r="G2293" s="1" t="s">
        <v>177</v>
      </c>
      <c r="H2293" s="1" t="s">
        <v>22</v>
      </c>
      <c r="I2293" s="1" t="s">
        <v>23</v>
      </c>
      <c r="L2293" s="1">
        <v>39.370078740157467</v>
      </c>
      <c r="M2293" s="1">
        <v>2.8110236220472435</v>
      </c>
    </row>
    <row r="2294" spans="4:13">
      <c r="D2294" s="1" t="s">
        <v>1014</v>
      </c>
      <c r="E2294" s="1" t="s">
        <v>1382</v>
      </c>
      <c r="H2294" s="1" t="s">
        <v>22</v>
      </c>
      <c r="I2294" s="1" t="s">
        <v>23</v>
      </c>
      <c r="L2294" s="1">
        <v>1</v>
      </c>
      <c r="M2294" s="1">
        <v>16.425000000000001</v>
      </c>
    </row>
    <row r="2295" spans="4:13">
      <c r="D2295" s="1" t="s">
        <v>1014</v>
      </c>
      <c r="E2295" s="1" t="s">
        <v>1383</v>
      </c>
      <c r="H2295" s="1" t="s">
        <v>22</v>
      </c>
      <c r="I2295" s="1" t="s">
        <v>23</v>
      </c>
      <c r="L2295" s="1">
        <v>1</v>
      </c>
      <c r="M2295" s="1">
        <v>-0.51</v>
      </c>
    </row>
    <row r="2296" spans="4:13">
      <c r="D2296" s="1" t="s">
        <v>1014</v>
      </c>
      <c r="E2296" s="1" t="s">
        <v>1384</v>
      </c>
      <c r="F2296" s="1" t="s">
        <v>176</v>
      </c>
      <c r="G2296" s="1" t="s">
        <v>177</v>
      </c>
      <c r="H2296" s="1" t="s">
        <v>22</v>
      </c>
      <c r="I2296" s="1" t="s">
        <v>23</v>
      </c>
      <c r="L2296" s="1">
        <v>39.370078740157467</v>
      </c>
      <c r="M2296" s="1">
        <v>17.204724409448811</v>
      </c>
    </row>
    <row r="2297" spans="4:13">
      <c r="D2297" s="1" t="s">
        <v>1014</v>
      </c>
      <c r="E2297" s="1" t="s">
        <v>1385</v>
      </c>
      <c r="F2297" s="1" t="s">
        <v>176</v>
      </c>
      <c r="G2297" s="1" t="s">
        <v>177</v>
      </c>
      <c r="H2297" s="1" t="s">
        <v>22</v>
      </c>
      <c r="I2297" s="1" t="s">
        <v>23</v>
      </c>
      <c r="L2297" s="1">
        <v>39.370078740157467</v>
      </c>
      <c r="M2297" s="1">
        <v>13.228346456692909</v>
      </c>
    </row>
    <row r="2298" spans="4:13">
      <c r="D2298" s="1" t="s">
        <v>1014</v>
      </c>
      <c r="E2298" s="1" t="s">
        <v>1386</v>
      </c>
      <c r="F2298" s="1" t="s">
        <v>176</v>
      </c>
      <c r="G2298" s="1" t="s">
        <v>177</v>
      </c>
      <c r="H2298" s="1" t="s">
        <v>22</v>
      </c>
      <c r="I2298" s="1" t="s">
        <v>23</v>
      </c>
      <c r="J2298" s="1">
        <v>3.9370078740157466E-2</v>
      </c>
      <c r="L2298" s="1">
        <v>39.370078740157467</v>
      </c>
      <c r="M2298" s="1">
        <v>25.078740157480308</v>
      </c>
    </row>
    <row r="2299" spans="4:13">
      <c r="D2299" s="1" t="s">
        <v>1014</v>
      </c>
      <c r="E2299" s="1" t="s">
        <v>1387</v>
      </c>
      <c r="F2299" s="1" t="s">
        <v>176</v>
      </c>
      <c r="G2299" s="1" t="s">
        <v>177</v>
      </c>
      <c r="H2299" s="1" t="s">
        <v>22</v>
      </c>
      <c r="I2299" s="1" t="s">
        <v>23</v>
      </c>
      <c r="J2299" s="1">
        <v>0</v>
      </c>
      <c r="L2299" s="1">
        <v>39.370078740157467</v>
      </c>
      <c r="M2299" s="1">
        <v>5.3937007874015732</v>
      </c>
    </row>
    <row r="2300" spans="4:13">
      <c r="D2300" s="1" t="s">
        <v>1014</v>
      </c>
      <c r="E2300" s="1" t="s">
        <v>1388</v>
      </c>
      <c r="H2300" s="1" t="s">
        <v>25</v>
      </c>
      <c r="I2300" s="1" t="s">
        <v>23</v>
      </c>
      <c r="M2300" s="1" t="b">
        <v>1</v>
      </c>
    </row>
    <row r="2301" spans="4:13">
      <c r="D2301" s="1" t="s">
        <v>1014</v>
      </c>
      <c r="E2301" s="1" t="s">
        <v>1389</v>
      </c>
      <c r="H2301" s="1" t="s">
        <v>25</v>
      </c>
      <c r="I2301" s="1" t="s">
        <v>23</v>
      </c>
      <c r="M2301" s="1" t="b">
        <v>1</v>
      </c>
    </row>
    <row r="2302" spans="4:13">
      <c r="D2302" s="1" t="s">
        <v>1014</v>
      </c>
      <c r="E2302" s="1" t="s">
        <v>1390</v>
      </c>
      <c r="F2302" s="1" t="s">
        <v>176</v>
      </c>
      <c r="G2302" s="1" t="s">
        <v>177</v>
      </c>
      <c r="H2302" s="1" t="s">
        <v>22</v>
      </c>
      <c r="I2302" s="1" t="s">
        <v>23</v>
      </c>
      <c r="L2302" s="1">
        <v>39.370078740157467</v>
      </c>
      <c r="M2302" s="1">
        <v>8.4645669291338557</v>
      </c>
    </row>
    <row r="2303" spans="4:13">
      <c r="D2303" s="1" t="s">
        <v>1014</v>
      </c>
      <c r="E2303" s="1" t="s">
        <v>1391</v>
      </c>
      <c r="F2303" s="1" t="s">
        <v>176</v>
      </c>
      <c r="G2303" s="1" t="s">
        <v>177</v>
      </c>
      <c r="H2303" s="1" t="s">
        <v>22</v>
      </c>
      <c r="I2303" s="1" t="s">
        <v>23</v>
      </c>
      <c r="L2303" s="1">
        <v>39.370078740157467</v>
      </c>
      <c r="M2303" s="1">
        <v>4.094488188976376</v>
      </c>
    </row>
    <row r="2304" spans="4:13">
      <c r="D2304" s="1" t="s">
        <v>1014</v>
      </c>
      <c r="E2304" s="1" t="s">
        <v>1392</v>
      </c>
      <c r="F2304" s="1" t="s">
        <v>176</v>
      </c>
      <c r="G2304" s="1" t="s">
        <v>177</v>
      </c>
      <c r="H2304" s="1" t="s">
        <v>22</v>
      </c>
      <c r="I2304" s="1" t="s">
        <v>23</v>
      </c>
      <c r="L2304" s="1">
        <v>39.370078740157467</v>
      </c>
      <c r="M2304" s="1">
        <v>2.2499999999999991</v>
      </c>
    </row>
    <row r="2305" spans="1:13">
      <c r="D2305" s="1" t="s">
        <v>1014</v>
      </c>
      <c r="E2305" s="1" t="s">
        <v>1393</v>
      </c>
      <c r="H2305" s="1" t="s">
        <v>63</v>
      </c>
      <c r="I2305" s="1" t="s">
        <v>23</v>
      </c>
      <c r="M2305" s="1">
        <v>1000</v>
      </c>
    </row>
    <row r="2306" spans="1:13">
      <c r="D2306" s="1" t="s">
        <v>1014</v>
      </c>
      <c r="E2306" s="1" t="s">
        <v>1394</v>
      </c>
      <c r="H2306" s="1" t="s">
        <v>181</v>
      </c>
      <c r="I2306" s="1" t="s">
        <v>23</v>
      </c>
      <c r="J2306" s="1">
        <v>1</v>
      </c>
      <c r="K2306" s="1">
        <v>2</v>
      </c>
      <c r="M2306" s="1" t="s">
        <v>1395</v>
      </c>
    </row>
    <row r="2307" spans="1:13">
      <c r="D2307" s="1" t="s">
        <v>1014</v>
      </c>
      <c r="E2307" s="1" t="s">
        <v>1396</v>
      </c>
      <c r="H2307" s="1" t="s">
        <v>22</v>
      </c>
      <c r="I2307" s="1" t="s">
        <v>23</v>
      </c>
      <c r="J2307" s="1">
        <v>0</v>
      </c>
      <c r="K2307" s="1">
        <v>2</v>
      </c>
      <c r="L2307" s="1">
        <v>1</v>
      </c>
      <c r="M2307" s="1">
        <v>0.7</v>
      </c>
    </row>
    <row r="2308" spans="1:13">
      <c r="D2308" s="1" t="s">
        <v>1014</v>
      </c>
      <c r="E2308" s="1" t="s">
        <v>1397</v>
      </c>
      <c r="H2308" s="1" t="s">
        <v>22</v>
      </c>
      <c r="I2308" s="1" t="s">
        <v>23</v>
      </c>
      <c r="J2308" s="1">
        <v>0.5</v>
      </c>
      <c r="K2308" s="1">
        <v>2</v>
      </c>
      <c r="L2308" s="1">
        <v>1</v>
      </c>
      <c r="M2308" s="1">
        <v>1</v>
      </c>
    </row>
    <row r="2309" spans="1:13">
      <c r="D2309" s="1" t="s">
        <v>1398</v>
      </c>
      <c r="H2309" s="1" t="s">
        <v>25</v>
      </c>
      <c r="I2309" s="1" t="s">
        <v>23</v>
      </c>
      <c r="M2309" s="1" t="b">
        <v>0</v>
      </c>
    </row>
    <row r="2310" spans="1:13">
      <c r="D2310" s="1" t="s">
        <v>1399</v>
      </c>
      <c r="H2310" s="1" t="s">
        <v>22</v>
      </c>
      <c r="I2310" s="1" t="s">
        <v>23</v>
      </c>
      <c r="L2310" s="1">
        <v>1</v>
      </c>
      <c r="M2310" s="1">
        <v>1</v>
      </c>
    </row>
    <row r="2311" spans="1:13">
      <c r="D2311" s="1" t="s">
        <v>1400</v>
      </c>
      <c r="E2311" s="1" t="s">
        <v>1401</v>
      </c>
      <c r="H2311" s="1" t="s">
        <v>181</v>
      </c>
      <c r="I2311" s="1" t="s">
        <v>23</v>
      </c>
      <c r="J2311" s="1">
        <v>1</v>
      </c>
      <c r="K2311" s="1">
        <v>2</v>
      </c>
      <c r="M2311" s="1" t="s">
        <v>1402</v>
      </c>
    </row>
    <row r="2312" spans="1:13">
      <c r="D2312" s="1" t="s">
        <v>1400</v>
      </c>
      <c r="E2312" s="1" t="s">
        <v>1017</v>
      </c>
      <c r="F2312" s="1" t="s">
        <v>41</v>
      </c>
      <c r="G2312" s="1" t="s">
        <v>42</v>
      </c>
      <c r="H2312" s="1" t="s">
        <v>22</v>
      </c>
      <c r="I2312" s="1" t="s">
        <v>23</v>
      </c>
      <c r="J2312" s="1">
        <v>1.8000000000000002E-2</v>
      </c>
      <c r="K2312" s="1">
        <v>27</v>
      </c>
      <c r="L2312" s="1">
        <v>1.8</v>
      </c>
      <c r="M2312" s="1">
        <v>0.9</v>
      </c>
    </row>
    <row r="2313" spans="1:13">
      <c r="D2313" s="1" t="s">
        <v>1400</v>
      </c>
      <c r="E2313" s="1" t="s">
        <v>1018</v>
      </c>
      <c r="H2313" s="1" t="s">
        <v>25</v>
      </c>
      <c r="I2313" s="1" t="s">
        <v>23</v>
      </c>
      <c r="M2313" s="1" t="b">
        <v>0</v>
      </c>
    </row>
    <row r="2314" spans="1:13">
      <c r="D2314" s="1" t="s">
        <v>1400</v>
      </c>
      <c r="E2314" s="1" t="s">
        <v>1019</v>
      </c>
      <c r="F2314" s="1" t="s">
        <v>41</v>
      </c>
      <c r="G2314" s="1" t="s">
        <v>42</v>
      </c>
      <c r="H2314" s="1" t="s">
        <v>22</v>
      </c>
      <c r="I2314" s="1" t="s">
        <v>23</v>
      </c>
      <c r="L2314" s="1">
        <v>1.8</v>
      </c>
      <c r="M2314" s="1">
        <v>0.9</v>
      </c>
    </row>
    <row r="2315" spans="1:13">
      <c r="A2315" s="2" t="s">
        <v>1721</v>
      </c>
      <c r="B2315" s="3" t="s">
        <v>1739</v>
      </c>
      <c r="D2315" s="1" t="s">
        <v>1400</v>
      </c>
      <c r="E2315" s="1" t="s">
        <v>1022</v>
      </c>
      <c r="F2315" s="1" t="s">
        <v>143</v>
      </c>
      <c r="G2315" s="1" t="s">
        <v>144</v>
      </c>
      <c r="H2315" s="1" t="s">
        <v>22</v>
      </c>
      <c r="I2315" s="1" t="s">
        <v>23</v>
      </c>
      <c r="J2315" s="1">
        <v>0</v>
      </c>
      <c r="K2315" s="1">
        <v>9.9937434836636016E-3</v>
      </c>
      <c r="L2315" s="1">
        <v>5.6782633429906824</v>
      </c>
      <c r="M2315" s="1">
        <v>9.993743483663602E-5</v>
      </c>
    </row>
    <row r="2316" spans="1:13">
      <c r="D2316" s="1" t="s">
        <v>1400</v>
      </c>
      <c r="E2316" s="1" t="s">
        <v>163</v>
      </c>
      <c r="H2316" s="1" t="s">
        <v>22</v>
      </c>
      <c r="I2316" s="1" t="s">
        <v>23</v>
      </c>
      <c r="J2316" s="1">
        <v>0</v>
      </c>
      <c r="K2316" s="1">
        <v>1</v>
      </c>
      <c r="L2316" s="1">
        <v>0.1</v>
      </c>
      <c r="M2316" s="1">
        <v>0.2</v>
      </c>
    </row>
    <row r="2317" spans="1:13">
      <c r="D2317" s="1" t="s">
        <v>1400</v>
      </c>
      <c r="E2317" s="1" t="s">
        <v>1403</v>
      </c>
      <c r="H2317" s="1" t="s">
        <v>22</v>
      </c>
      <c r="I2317" s="1" t="s">
        <v>23</v>
      </c>
      <c r="J2317" s="1">
        <v>0.5</v>
      </c>
      <c r="K2317" s="1">
        <v>2</v>
      </c>
      <c r="L2317" s="1">
        <v>1</v>
      </c>
      <c r="M2317" s="1">
        <v>1</v>
      </c>
    </row>
    <row r="2318" spans="1:13">
      <c r="D2318" s="1" t="s">
        <v>1400</v>
      </c>
      <c r="E2318" s="1" t="s">
        <v>1404</v>
      </c>
      <c r="H2318" s="1" t="s">
        <v>25</v>
      </c>
      <c r="I2318" s="1" t="s">
        <v>23</v>
      </c>
      <c r="M2318" s="1" t="b">
        <v>1</v>
      </c>
    </row>
    <row r="2319" spans="1:13">
      <c r="D2319" s="1" t="s">
        <v>1400</v>
      </c>
      <c r="E2319" s="1" t="s">
        <v>1405</v>
      </c>
      <c r="H2319" s="1" t="s">
        <v>22</v>
      </c>
      <c r="I2319" s="1" t="s">
        <v>23</v>
      </c>
      <c r="J2319" s="1">
        <v>0.5</v>
      </c>
      <c r="K2319" s="1">
        <v>2</v>
      </c>
      <c r="L2319" s="1">
        <v>1</v>
      </c>
      <c r="M2319" s="1">
        <v>1</v>
      </c>
    </row>
    <row r="2320" spans="1:13">
      <c r="D2320" s="1" t="s">
        <v>1400</v>
      </c>
      <c r="E2320" s="1" t="s">
        <v>1406</v>
      </c>
      <c r="H2320" s="1" t="s">
        <v>25</v>
      </c>
      <c r="I2320" s="1" t="s">
        <v>23</v>
      </c>
      <c r="M2320" s="1" t="b">
        <v>1</v>
      </c>
    </row>
    <row r="2321" spans="4:13">
      <c r="D2321" s="1" t="s">
        <v>1400</v>
      </c>
      <c r="E2321" s="1" t="s">
        <v>1030</v>
      </c>
      <c r="H2321" s="1" t="s">
        <v>22</v>
      </c>
      <c r="I2321" s="1" t="s">
        <v>23</v>
      </c>
      <c r="J2321" s="1">
        <v>0.5</v>
      </c>
      <c r="K2321" s="1">
        <v>2</v>
      </c>
      <c r="L2321" s="1">
        <v>1</v>
      </c>
      <c r="M2321" s="1">
        <v>1</v>
      </c>
    </row>
    <row r="2322" spans="4:13">
      <c r="D2322" s="1" t="s">
        <v>1400</v>
      </c>
      <c r="E2322" s="1" t="s">
        <v>1031</v>
      </c>
      <c r="H2322" s="1" t="s">
        <v>25</v>
      </c>
      <c r="I2322" s="1" t="s">
        <v>23</v>
      </c>
      <c r="M2322" s="1" t="b">
        <v>1</v>
      </c>
    </row>
    <row r="2323" spans="4:13">
      <c r="D2323" s="1" t="s">
        <v>1400</v>
      </c>
      <c r="E2323" s="1" t="s">
        <v>1407</v>
      </c>
      <c r="H2323" s="1" t="s">
        <v>22</v>
      </c>
      <c r="I2323" s="1" t="s">
        <v>23</v>
      </c>
      <c r="J2323" s="1">
        <v>0.5</v>
      </c>
      <c r="K2323" s="1">
        <v>2</v>
      </c>
      <c r="L2323" s="1">
        <v>1</v>
      </c>
      <c r="M2323" s="1">
        <v>1</v>
      </c>
    </row>
    <row r="2324" spans="4:13">
      <c r="D2324" s="1" t="s">
        <v>1400</v>
      </c>
      <c r="E2324" s="1" t="s">
        <v>1408</v>
      </c>
      <c r="H2324" s="1" t="s">
        <v>25</v>
      </c>
      <c r="I2324" s="1" t="s">
        <v>23</v>
      </c>
      <c r="M2324" s="1" t="b">
        <v>1</v>
      </c>
    </row>
    <row r="2325" spans="4:13">
      <c r="D2325" s="1" t="s">
        <v>1400</v>
      </c>
      <c r="E2325" s="1" t="s">
        <v>1036</v>
      </c>
      <c r="H2325" s="1" t="s">
        <v>22</v>
      </c>
      <c r="I2325" s="1" t="s">
        <v>23</v>
      </c>
      <c r="J2325" s="1">
        <v>0.5</v>
      </c>
      <c r="K2325" s="1">
        <v>2</v>
      </c>
      <c r="L2325" s="1">
        <v>1</v>
      </c>
      <c r="M2325" s="1">
        <v>1</v>
      </c>
    </row>
    <row r="2326" spans="4:13">
      <c r="D2326" s="1" t="s">
        <v>1400</v>
      </c>
      <c r="E2326" s="1" t="s">
        <v>1037</v>
      </c>
      <c r="H2326" s="1" t="s">
        <v>25</v>
      </c>
      <c r="I2326" s="1" t="s">
        <v>23</v>
      </c>
      <c r="M2326" s="1" t="b">
        <v>1</v>
      </c>
    </row>
    <row r="2327" spans="4:13">
      <c r="D2327" s="1" t="s">
        <v>1400</v>
      </c>
      <c r="E2327" s="1" t="s">
        <v>1409</v>
      </c>
      <c r="H2327" s="1" t="s">
        <v>22</v>
      </c>
      <c r="I2327" s="1" t="s">
        <v>23</v>
      </c>
      <c r="J2327" s="1">
        <v>0.5</v>
      </c>
      <c r="K2327" s="1">
        <v>2</v>
      </c>
      <c r="L2327" s="1">
        <v>1</v>
      </c>
      <c r="M2327" s="1">
        <v>1</v>
      </c>
    </row>
    <row r="2328" spans="4:13">
      <c r="D2328" s="1" t="s">
        <v>1400</v>
      </c>
      <c r="E2328" s="1" t="s">
        <v>1410</v>
      </c>
      <c r="H2328" s="1" t="s">
        <v>25</v>
      </c>
      <c r="I2328" s="1" t="s">
        <v>23</v>
      </c>
      <c r="M2328" s="1" t="b">
        <v>1</v>
      </c>
    </row>
    <row r="2329" spans="4:13">
      <c r="D2329" s="1" t="s">
        <v>1400</v>
      </c>
      <c r="E2329" s="1" t="s">
        <v>1038</v>
      </c>
      <c r="H2329" s="1" t="s">
        <v>22</v>
      </c>
      <c r="I2329" s="1" t="s">
        <v>23</v>
      </c>
      <c r="J2329" s="1">
        <v>0.5</v>
      </c>
      <c r="K2329" s="1">
        <v>2</v>
      </c>
      <c r="L2329" s="1">
        <v>1</v>
      </c>
      <c r="M2329" s="1">
        <v>1</v>
      </c>
    </row>
    <row r="2330" spans="4:13">
      <c r="D2330" s="1" t="s">
        <v>1400</v>
      </c>
      <c r="E2330" s="1" t="s">
        <v>1411</v>
      </c>
      <c r="H2330" s="1" t="s">
        <v>22</v>
      </c>
      <c r="I2330" s="1" t="s">
        <v>23</v>
      </c>
      <c r="J2330" s="1">
        <v>0.5</v>
      </c>
      <c r="K2330" s="1">
        <v>2</v>
      </c>
      <c r="L2330" s="1">
        <v>1</v>
      </c>
      <c r="M2330" s="1">
        <v>1</v>
      </c>
    </row>
    <row r="2331" spans="4:13">
      <c r="D2331" s="1" t="s">
        <v>1400</v>
      </c>
      <c r="E2331" s="1" t="s">
        <v>1412</v>
      </c>
      <c r="H2331" s="1" t="s">
        <v>25</v>
      </c>
      <c r="I2331" s="1" t="s">
        <v>23</v>
      </c>
      <c r="M2331" s="1" t="b">
        <v>1</v>
      </c>
    </row>
    <row r="2332" spans="4:13">
      <c r="D2332" s="1" t="s">
        <v>1400</v>
      </c>
      <c r="E2332" s="1" t="s">
        <v>1413</v>
      </c>
      <c r="H2332" s="1" t="s">
        <v>22</v>
      </c>
      <c r="I2332" s="1" t="s">
        <v>29</v>
      </c>
      <c r="J2332" s="1">
        <v>0.1</v>
      </c>
      <c r="K2332" s="1">
        <v>10</v>
      </c>
      <c r="L2332" s="1">
        <v>5.05</v>
      </c>
    </row>
    <row r="2333" spans="4:13">
      <c r="D2333" s="1" t="s">
        <v>1400</v>
      </c>
      <c r="E2333" s="1" t="s">
        <v>1414</v>
      </c>
      <c r="H2333" s="1" t="s">
        <v>22</v>
      </c>
      <c r="I2333" s="1" t="s">
        <v>29</v>
      </c>
      <c r="J2333" s="1">
        <v>0.1</v>
      </c>
      <c r="K2333" s="1">
        <v>10</v>
      </c>
      <c r="L2333" s="1">
        <v>5.05</v>
      </c>
    </row>
    <row r="2334" spans="4:13">
      <c r="D2334" s="1" t="s">
        <v>1400</v>
      </c>
      <c r="E2334" s="1" t="s">
        <v>1049</v>
      </c>
      <c r="H2334" s="1" t="s">
        <v>22</v>
      </c>
      <c r="I2334" s="1" t="s">
        <v>29</v>
      </c>
      <c r="J2334" s="1">
        <v>0.1</v>
      </c>
      <c r="K2334" s="1">
        <v>10</v>
      </c>
      <c r="L2334" s="1">
        <v>5.05</v>
      </c>
    </row>
    <row r="2335" spans="4:13">
      <c r="D2335" s="1" t="s">
        <v>1400</v>
      </c>
      <c r="E2335" s="1" t="s">
        <v>1050</v>
      </c>
      <c r="H2335" s="1" t="s">
        <v>22</v>
      </c>
      <c r="I2335" s="1" t="s">
        <v>29</v>
      </c>
      <c r="J2335" s="1">
        <v>0.1</v>
      </c>
      <c r="K2335" s="1">
        <v>10</v>
      </c>
      <c r="L2335" s="1">
        <v>5.05</v>
      </c>
    </row>
    <row r="2336" spans="4:13">
      <c r="D2336" s="1" t="s">
        <v>1400</v>
      </c>
      <c r="E2336" s="1" t="s">
        <v>1052</v>
      </c>
      <c r="H2336" s="1" t="s">
        <v>22</v>
      </c>
      <c r="I2336" s="1" t="s">
        <v>29</v>
      </c>
      <c r="J2336" s="1">
        <v>0.1</v>
      </c>
      <c r="K2336" s="1">
        <v>10</v>
      </c>
      <c r="L2336" s="1">
        <v>5.05</v>
      </c>
    </row>
    <row r="2337" spans="1:13">
      <c r="D2337" s="1" t="s">
        <v>1400</v>
      </c>
      <c r="E2337" s="1" t="s">
        <v>1415</v>
      </c>
      <c r="H2337" s="1" t="s">
        <v>22</v>
      </c>
      <c r="I2337" s="1" t="s">
        <v>29</v>
      </c>
      <c r="J2337" s="1">
        <v>0.1</v>
      </c>
      <c r="K2337" s="1">
        <v>10</v>
      </c>
      <c r="L2337" s="1">
        <v>5.05</v>
      </c>
    </row>
    <row r="2338" spans="1:13">
      <c r="D2338" s="1" t="s">
        <v>1400</v>
      </c>
      <c r="E2338" s="1" t="s">
        <v>1416</v>
      </c>
      <c r="H2338" s="1" t="s">
        <v>22</v>
      </c>
      <c r="I2338" s="1" t="s">
        <v>29</v>
      </c>
      <c r="J2338" s="1">
        <v>0.1</v>
      </c>
      <c r="K2338" s="1">
        <v>10</v>
      </c>
      <c r="L2338" s="1">
        <v>5.05</v>
      </c>
    </row>
    <row r="2339" spans="1:13">
      <c r="A2339" s="2" t="s">
        <v>1721</v>
      </c>
      <c r="B2339" s="3" t="s">
        <v>1740</v>
      </c>
      <c r="D2339" s="1" t="s">
        <v>1400</v>
      </c>
      <c r="E2339" s="1" t="s">
        <v>1054</v>
      </c>
      <c r="F2339" s="1" t="s">
        <v>147</v>
      </c>
      <c r="G2339" s="1" t="s">
        <v>148</v>
      </c>
      <c r="H2339" s="1" t="s">
        <v>22</v>
      </c>
      <c r="I2339" s="1" t="s">
        <v>23</v>
      </c>
      <c r="J2339" s="1">
        <v>0</v>
      </c>
      <c r="K2339" s="1">
        <v>51182124.526996501</v>
      </c>
      <c r="L2339" s="1">
        <v>3.4121416351331</v>
      </c>
      <c r="M2339" s="1">
        <v>12000000.003700001</v>
      </c>
    </row>
    <row r="2340" spans="1:13">
      <c r="D2340" s="1" t="s">
        <v>1400</v>
      </c>
      <c r="E2340" s="1" t="s">
        <v>1055</v>
      </c>
      <c r="H2340" s="1" t="s">
        <v>25</v>
      </c>
      <c r="I2340" s="1" t="s">
        <v>23</v>
      </c>
      <c r="M2340" s="1" t="b">
        <v>1</v>
      </c>
    </row>
    <row r="2341" spans="1:13">
      <c r="D2341" s="1" t="s">
        <v>1400</v>
      </c>
      <c r="E2341" s="1" t="s">
        <v>1417</v>
      </c>
      <c r="H2341" s="1" t="s">
        <v>22</v>
      </c>
      <c r="I2341" s="1" t="s">
        <v>29</v>
      </c>
      <c r="J2341" s="1">
        <v>0</v>
      </c>
      <c r="K2341" s="1">
        <v>1</v>
      </c>
      <c r="L2341" s="1">
        <v>0.1</v>
      </c>
    </row>
    <row r="2342" spans="1:13">
      <c r="D2342" s="1" t="s">
        <v>1400</v>
      </c>
      <c r="E2342" s="1" t="s">
        <v>1418</v>
      </c>
      <c r="F2342" s="1" t="s">
        <v>41</v>
      </c>
      <c r="G2342" s="1" t="s">
        <v>42</v>
      </c>
      <c r="H2342" s="1" t="s">
        <v>22</v>
      </c>
      <c r="I2342" s="1" t="s">
        <v>29</v>
      </c>
      <c r="J2342" s="1">
        <v>-180</v>
      </c>
      <c r="K2342" s="1">
        <v>180</v>
      </c>
      <c r="L2342" s="1">
        <v>1.8</v>
      </c>
    </row>
    <row r="2343" spans="1:13">
      <c r="D2343" s="1" t="s">
        <v>1400</v>
      </c>
      <c r="E2343" s="1" t="s">
        <v>1419</v>
      </c>
      <c r="F2343" s="1" t="s">
        <v>35</v>
      </c>
      <c r="G2343" s="1" t="s">
        <v>36</v>
      </c>
      <c r="H2343" s="1" t="s">
        <v>22</v>
      </c>
      <c r="I2343" s="1" t="s">
        <v>29</v>
      </c>
      <c r="J2343" s="1">
        <v>-31.018000000000029</v>
      </c>
      <c r="K2343" s="1">
        <v>256.99999999999994</v>
      </c>
      <c r="L2343" s="1">
        <v>80.329999999999984</v>
      </c>
    </row>
    <row r="2344" spans="1:13">
      <c r="D2344" s="1" t="s">
        <v>1400</v>
      </c>
      <c r="E2344" s="1" t="s">
        <v>1420</v>
      </c>
      <c r="F2344" s="1" t="s">
        <v>35</v>
      </c>
      <c r="G2344" s="1" t="s">
        <v>36</v>
      </c>
      <c r="H2344" s="1" t="s">
        <v>22</v>
      </c>
      <c r="I2344" s="1" t="s">
        <v>29</v>
      </c>
      <c r="J2344" s="1">
        <v>-31.018000000000029</v>
      </c>
      <c r="K2344" s="1">
        <v>256.99999999999994</v>
      </c>
      <c r="L2344" s="1">
        <v>80.329999999999984</v>
      </c>
    </row>
    <row r="2345" spans="1:13">
      <c r="D2345" s="1" t="s">
        <v>1400</v>
      </c>
      <c r="E2345" s="1" t="s">
        <v>1421</v>
      </c>
      <c r="H2345" s="1" t="s">
        <v>22</v>
      </c>
      <c r="I2345" s="1" t="s">
        <v>29</v>
      </c>
      <c r="J2345" s="1">
        <v>0</v>
      </c>
      <c r="K2345" s="1">
        <v>3.66</v>
      </c>
      <c r="L2345" s="1">
        <v>0.5</v>
      </c>
    </row>
    <row r="2346" spans="1:13">
      <c r="D2346" s="1" t="s">
        <v>1400</v>
      </c>
      <c r="E2346" s="1" t="s">
        <v>1422</v>
      </c>
      <c r="F2346" s="1" t="s">
        <v>41</v>
      </c>
      <c r="G2346" s="1" t="s">
        <v>42</v>
      </c>
      <c r="H2346" s="1" t="s">
        <v>22</v>
      </c>
      <c r="I2346" s="1" t="s">
        <v>29</v>
      </c>
      <c r="J2346" s="1">
        <v>-180</v>
      </c>
      <c r="K2346" s="1">
        <v>180</v>
      </c>
      <c r="L2346" s="1">
        <v>1.8</v>
      </c>
    </row>
    <row r="2347" spans="1:13">
      <c r="D2347" s="1" t="s">
        <v>1400</v>
      </c>
      <c r="E2347" s="1" t="s">
        <v>1423</v>
      </c>
      <c r="F2347" s="1" t="s">
        <v>35</v>
      </c>
      <c r="G2347" s="1" t="s">
        <v>36</v>
      </c>
      <c r="H2347" s="1" t="s">
        <v>22</v>
      </c>
      <c r="I2347" s="1" t="s">
        <v>29</v>
      </c>
      <c r="J2347" s="1">
        <v>-31.018000000000029</v>
      </c>
      <c r="K2347" s="1">
        <v>256.99999999999994</v>
      </c>
      <c r="L2347" s="1">
        <v>80.329999999999984</v>
      </c>
    </row>
    <row r="2348" spans="1:13">
      <c r="D2348" s="1" t="s">
        <v>1400</v>
      </c>
      <c r="E2348" s="1" t="s">
        <v>1424</v>
      </c>
      <c r="F2348" s="1" t="s">
        <v>35</v>
      </c>
      <c r="G2348" s="1" t="s">
        <v>36</v>
      </c>
      <c r="H2348" s="1" t="s">
        <v>22</v>
      </c>
      <c r="I2348" s="1" t="s">
        <v>29</v>
      </c>
      <c r="J2348" s="1">
        <v>-31.018000000000029</v>
      </c>
      <c r="K2348" s="1">
        <v>256.99999999999994</v>
      </c>
      <c r="L2348" s="1">
        <v>80.329999999999984</v>
      </c>
    </row>
    <row r="2349" spans="1:13">
      <c r="D2349" s="1" t="s">
        <v>1400</v>
      </c>
      <c r="E2349" s="1" t="s">
        <v>1425</v>
      </c>
      <c r="H2349" s="1" t="s">
        <v>22</v>
      </c>
      <c r="I2349" s="1" t="s">
        <v>29</v>
      </c>
      <c r="J2349" s="1">
        <v>0</v>
      </c>
      <c r="K2349" s="1">
        <v>3.66</v>
      </c>
      <c r="L2349" s="1">
        <v>0.5</v>
      </c>
    </row>
    <row r="2350" spans="1:13">
      <c r="D2350" s="1" t="s">
        <v>1400</v>
      </c>
      <c r="E2350" s="1" t="s">
        <v>1426</v>
      </c>
      <c r="F2350" s="1" t="s">
        <v>41</v>
      </c>
      <c r="G2350" s="1" t="s">
        <v>42</v>
      </c>
      <c r="H2350" s="1" t="s">
        <v>22</v>
      </c>
      <c r="I2350" s="1" t="s">
        <v>29</v>
      </c>
      <c r="J2350" s="1">
        <v>-180</v>
      </c>
      <c r="K2350" s="1">
        <v>180</v>
      </c>
      <c r="L2350" s="1">
        <v>1.8</v>
      </c>
    </row>
    <row r="2351" spans="1:13">
      <c r="D2351" s="1" t="s">
        <v>1400</v>
      </c>
      <c r="E2351" s="1" t="s">
        <v>1427</v>
      </c>
      <c r="F2351" s="1" t="s">
        <v>35</v>
      </c>
      <c r="G2351" s="1" t="s">
        <v>36</v>
      </c>
      <c r="H2351" s="1" t="s">
        <v>22</v>
      </c>
      <c r="I2351" s="1" t="s">
        <v>29</v>
      </c>
      <c r="J2351" s="1">
        <v>-31.018000000000029</v>
      </c>
      <c r="K2351" s="1">
        <v>256.99999999999994</v>
      </c>
      <c r="L2351" s="1">
        <v>80.329999999999984</v>
      </c>
    </row>
    <row r="2352" spans="1:13">
      <c r="D2352" s="1" t="s">
        <v>1400</v>
      </c>
      <c r="E2352" s="1" t="s">
        <v>1428</v>
      </c>
      <c r="F2352" s="1" t="s">
        <v>35</v>
      </c>
      <c r="G2352" s="1" t="s">
        <v>36</v>
      </c>
      <c r="H2352" s="1" t="s">
        <v>22</v>
      </c>
      <c r="I2352" s="1" t="s">
        <v>29</v>
      </c>
      <c r="J2352" s="1">
        <v>-31.018000000000029</v>
      </c>
      <c r="K2352" s="1">
        <v>256.99999999999994</v>
      </c>
      <c r="L2352" s="1">
        <v>80.329999999999984</v>
      </c>
    </row>
    <row r="2353" spans="1:13">
      <c r="D2353" s="1" t="s">
        <v>1400</v>
      </c>
      <c r="E2353" s="1" t="s">
        <v>1429</v>
      </c>
      <c r="H2353" s="1" t="s">
        <v>22</v>
      </c>
      <c r="I2353" s="1" t="s">
        <v>29</v>
      </c>
      <c r="J2353" s="1">
        <v>0</v>
      </c>
      <c r="K2353" s="1">
        <v>3.66</v>
      </c>
      <c r="L2353" s="1">
        <v>0.5</v>
      </c>
    </row>
    <row r="2354" spans="1:13">
      <c r="D2354" s="1" t="s">
        <v>1400</v>
      </c>
      <c r="E2354" s="1" t="s">
        <v>1430</v>
      </c>
      <c r="F2354" s="1" t="s">
        <v>41</v>
      </c>
      <c r="G2354" s="1" t="s">
        <v>42</v>
      </c>
      <c r="H2354" s="1" t="s">
        <v>22</v>
      </c>
      <c r="I2354" s="1" t="s">
        <v>29</v>
      </c>
      <c r="J2354" s="1">
        <v>-180</v>
      </c>
      <c r="K2354" s="1">
        <v>180</v>
      </c>
      <c r="L2354" s="1">
        <v>1.8</v>
      </c>
    </row>
    <row r="2355" spans="1:13">
      <c r="D2355" s="1" t="s">
        <v>1400</v>
      </c>
      <c r="E2355" s="1" t="s">
        <v>1431</v>
      </c>
      <c r="F2355" s="1" t="s">
        <v>35</v>
      </c>
      <c r="G2355" s="1" t="s">
        <v>36</v>
      </c>
      <c r="H2355" s="1" t="s">
        <v>22</v>
      </c>
      <c r="I2355" s="1" t="s">
        <v>29</v>
      </c>
      <c r="J2355" s="1">
        <v>-31.018000000000029</v>
      </c>
      <c r="K2355" s="1">
        <v>256.99999999999994</v>
      </c>
      <c r="L2355" s="1">
        <v>80.329999999999984</v>
      </c>
    </row>
    <row r="2356" spans="1:13">
      <c r="D2356" s="1" t="s">
        <v>1400</v>
      </c>
      <c r="E2356" s="1" t="s">
        <v>1432</v>
      </c>
      <c r="F2356" s="1" t="s">
        <v>35</v>
      </c>
      <c r="G2356" s="1" t="s">
        <v>36</v>
      </c>
      <c r="H2356" s="1" t="s">
        <v>22</v>
      </c>
      <c r="I2356" s="1" t="s">
        <v>29</v>
      </c>
      <c r="J2356" s="1">
        <v>-31.018000000000029</v>
      </c>
      <c r="K2356" s="1">
        <v>256.99999999999994</v>
      </c>
      <c r="L2356" s="1">
        <v>80.329999999999984</v>
      </c>
    </row>
    <row r="2357" spans="1:13">
      <c r="D2357" s="1" t="s">
        <v>1400</v>
      </c>
      <c r="E2357" s="1" t="s">
        <v>1433</v>
      </c>
      <c r="H2357" s="1" t="s">
        <v>22</v>
      </c>
      <c r="I2357" s="1" t="s">
        <v>29</v>
      </c>
      <c r="J2357" s="1">
        <v>0</v>
      </c>
      <c r="K2357" s="1">
        <v>3.66</v>
      </c>
      <c r="L2357" s="1">
        <v>0.5</v>
      </c>
    </row>
    <row r="2358" spans="1:13">
      <c r="D2358" s="1" t="s">
        <v>1400</v>
      </c>
      <c r="E2358" s="1" t="s">
        <v>1434</v>
      </c>
      <c r="H2358" s="1" t="s">
        <v>22</v>
      </c>
      <c r="I2358" s="1" t="s">
        <v>29</v>
      </c>
      <c r="J2358" s="1">
        <v>-5</v>
      </c>
      <c r="K2358" s="1">
        <v>5</v>
      </c>
      <c r="L2358" s="1">
        <v>1</v>
      </c>
    </row>
    <row r="2359" spans="1:13">
      <c r="D2359" s="1" t="s">
        <v>1400</v>
      </c>
      <c r="E2359" s="1" t="s">
        <v>1435</v>
      </c>
      <c r="H2359" s="1" t="s">
        <v>22</v>
      </c>
      <c r="I2359" s="1" t="s">
        <v>29</v>
      </c>
      <c r="L2359" s="1">
        <v>1</v>
      </c>
    </row>
    <row r="2360" spans="1:13">
      <c r="A2360" s="2" t="s">
        <v>1721</v>
      </c>
      <c r="B2360" s="3" t="s">
        <v>1741</v>
      </c>
      <c r="D2360" s="1" t="s">
        <v>1400</v>
      </c>
      <c r="E2360" s="1" t="s">
        <v>1436</v>
      </c>
      <c r="H2360" s="1" t="s">
        <v>63</v>
      </c>
      <c r="I2360" s="1" t="s">
        <v>23</v>
      </c>
      <c r="M2360" s="1">
        <v>2</v>
      </c>
    </row>
    <row r="2361" spans="1:13">
      <c r="D2361" s="1" t="s">
        <v>1400</v>
      </c>
      <c r="E2361" s="1" t="s">
        <v>1437</v>
      </c>
      <c r="H2361" s="1" t="s">
        <v>181</v>
      </c>
      <c r="I2361" s="1" t="s">
        <v>23</v>
      </c>
      <c r="J2361" s="1">
        <v>1</v>
      </c>
      <c r="K2361" s="1">
        <v>2</v>
      </c>
      <c r="M2361" s="1" t="s">
        <v>1438</v>
      </c>
    </row>
    <row r="2362" spans="1:13">
      <c r="D2362" s="1" t="s">
        <v>1400</v>
      </c>
      <c r="E2362" s="1" t="s">
        <v>1056</v>
      </c>
      <c r="F2362" s="1" t="s">
        <v>56</v>
      </c>
      <c r="G2362" s="1" t="s">
        <v>57</v>
      </c>
      <c r="H2362" s="1" t="s">
        <v>22</v>
      </c>
      <c r="I2362" s="1" t="s">
        <v>23</v>
      </c>
      <c r="L2362" s="1">
        <v>1.4503773773020921E-4</v>
      </c>
      <c r="M2362" s="1">
        <v>0.72518868865104602</v>
      </c>
    </row>
    <row r="2363" spans="1:13">
      <c r="D2363" s="1" t="s">
        <v>1400</v>
      </c>
      <c r="E2363" s="1" t="s">
        <v>1057</v>
      </c>
      <c r="H2363" s="1" t="s">
        <v>25</v>
      </c>
      <c r="I2363" s="1" t="s">
        <v>23</v>
      </c>
      <c r="M2363" s="1" t="b">
        <v>0</v>
      </c>
    </row>
    <row r="2364" spans="1:13">
      <c r="D2364" s="1" t="s">
        <v>1400</v>
      </c>
      <c r="E2364" s="1" t="s">
        <v>1439</v>
      </c>
      <c r="F2364" s="1" t="s">
        <v>56</v>
      </c>
      <c r="G2364" s="1" t="s">
        <v>57</v>
      </c>
      <c r="H2364" s="1" t="s">
        <v>22</v>
      </c>
      <c r="I2364" s="1" t="s">
        <v>23</v>
      </c>
      <c r="L2364" s="1">
        <v>1.4503773773020921E-4</v>
      </c>
      <c r="M2364" s="1">
        <v>14.503773773020921</v>
      </c>
    </row>
    <row r="2365" spans="1:13">
      <c r="D2365" s="1" t="s">
        <v>1400</v>
      </c>
      <c r="E2365" s="1" t="s">
        <v>1440</v>
      </c>
      <c r="H2365" s="1" t="s">
        <v>25</v>
      </c>
      <c r="I2365" s="1" t="s">
        <v>23</v>
      </c>
      <c r="M2365" s="1" t="b">
        <v>0</v>
      </c>
    </row>
    <row r="2366" spans="1:13">
      <c r="D2366" s="1" t="s">
        <v>1400</v>
      </c>
      <c r="E2366" s="1" t="s">
        <v>1064</v>
      </c>
      <c r="F2366" s="1" t="s">
        <v>176</v>
      </c>
      <c r="G2366" s="1" t="s">
        <v>177</v>
      </c>
      <c r="H2366" s="1" t="s">
        <v>22</v>
      </c>
      <c r="I2366" s="1" t="s">
        <v>23</v>
      </c>
      <c r="L2366" s="1">
        <v>39.370078740157467</v>
      </c>
      <c r="M2366" s="1">
        <v>0</v>
      </c>
    </row>
    <row r="2367" spans="1:13">
      <c r="D2367" s="1" t="s">
        <v>1400</v>
      </c>
      <c r="E2367" s="1" t="s">
        <v>47</v>
      </c>
      <c r="H2367" s="1" t="s">
        <v>25</v>
      </c>
      <c r="I2367" s="1" t="s">
        <v>23</v>
      </c>
      <c r="M2367" s="1" t="b">
        <v>0</v>
      </c>
    </row>
    <row r="2368" spans="1:13">
      <c r="D2368" s="1" t="s">
        <v>1400</v>
      </c>
      <c r="E2368" s="1" t="s">
        <v>1069</v>
      </c>
      <c r="H2368" s="1" t="s">
        <v>25</v>
      </c>
      <c r="I2368" s="1" t="s">
        <v>23</v>
      </c>
      <c r="M2368" s="1" t="b">
        <v>0</v>
      </c>
    </row>
    <row r="2369" spans="1:13">
      <c r="D2369" s="1" t="s">
        <v>1400</v>
      </c>
      <c r="E2369" s="1" t="s">
        <v>920</v>
      </c>
      <c r="H2369" s="1" t="s">
        <v>22</v>
      </c>
      <c r="I2369" s="1" t="s">
        <v>23</v>
      </c>
      <c r="J2369" s="1">
        <v>0</v>
      </c>
      <c r="K2369" s="1">
        <v>1</v>
      </c>
      <c r="L2369" s="1">
        <v>1</v>
      </c>
      <c r="M2369" s="1">
        <v>1</v>
      </c>
    </row>
    <row r="2370" spans="1:13">
      <c r="D2370" s="1" t="s">
        <v>1400</v>
      </c>
      <c r="E2370" s="1" t="s">
        <v>921</v>
      </c>
      <c r="H2370" s="1" t="s">
        <v>22</v>
      </c>
      <c r="I2370" s="1" t="s">
        <v>23</v>
      </c>
      <c r="J2370" s="1">
        <v>0</v>
      </c>
      <c r="K2370" s="1">
        <v>1</v>
      </c>
      <c r="L2370" s="1">
        <v>1</v>
      </c>
      <c r="M2370" s="1">
        <v>0</v>
      </c>
    </row>
    <row r="2371" spans="1:13">
      <c r="D2371" s="1" t="s">
        <v>1400</v>
      </c>
      <c r="E2371" s="1" t="s">
        <v>1070</v>
      </c>
      <c r="F2371" s="1" t="s">
        <v>1071</v>
      </c>
      <c r="G2371" s="1" t="s">
        <v>1072</v>
      </c>
      <c r="H2371" s="1" t="s">
        <v>22</v>
      </c>
      <c r="I2371" s="1" t="s">
        <v>23</v>
      </c>
      <c r="J2371" s="1">
        <v>5.7778931654299819E-4</v>
      </c>
      <c r="K2371" s="1">
        <v>0.57778931654299814</v>
      </c>
      <c r="L2371" s="1">
        <v>0.57778931654299814</v>
      </c>
      <c r="M2371" s="1">
        <v>2.1672877263527863E-2</v>
      </c>
    </row>
    <row r="2372" spans="1:13">
      <c r="D2372" s="1" t="s">
        <v>1400</v>
      </c>
      <c r="E2372" s="1" t="s">
        <v>1074</v>
      </c>
      <c r="H2372" s="1" t="s">
        <v>25</v>
      </c>
      <c r="I2372" s="1" t="s">
        <v>23</v>
      </c>
      <c r="M2372" s="1" t="b">
        <v>0</v>
      </c>
    </row>
    <row r="2373" spans="1:13">
      <c r="D2373" s="1" t="s">
        <v>1400</v>
      </c>
      <c r="E2373" s="1" t="s">
        <v>1441</v>
      </c>
      <c r="H2373" s="1" t="s">
        <v>25</v>
      </c>
      <c r="I2373" s="1" t="s">
        <v>23</v>
      </c>
      <c r="M2373" s="1" t="b">
        <v>1</v>
      </c>
    </row>
    <row r="2374" spans="1:13">
      <c r="D2374" s="1" t="s">
        <v>1400</v>
      </c>
      <c r="E2374" s="1" t="s">
        <v>1442</v>
      </c>
      <c r="F2374" s="1" t="s">
        <v>118</v>
      </c>
      <c r="G2374" s="1" t="s">
        <v>119</v>
      </c>
      <c r="H2374" s="1" t="s">
        <v>22</v>
      </c>
      <c r="I2374" s="1" t="s">
        <v>29</v>
      </c>
      <c r="J2374" s="1">
        <v>2.2046226218499999E-6</v>
      </c>
      <c r="K2374" s="1">
        <v>22046.2262185</v>
      </c>
      <c r="L2374" s="1">
        <v>220.46226218500001</v>
      </c>
    </row>
    <row r="2375" spans="1:13">
      <c r="D2375" s="1" t="s">
        <v>1400</v>
      </c>
      <c r="E2375" s="1" t="s">
        <v>1076</v>
      </c>
      <c r="F2375" s="1" t="s">
        <v>118</v>
      </c>
      <c r="G2375" s="1" t="s">
        <v>119</v>
      </c>
      <c r="H2375" s="1" t="s">
        <v>22</v>
      </c>
      <c r="I2375" s="1" t="s">
        <v>23</v>
      </c>
      <c r="J2375" s="1">
        <v>0</v>
      </c>
      <c r="K2375" s="1">
        <v>4409.2452437000002</v>
      </c>
      <c r="L2375" s="1">
        <v>2.20462262185</v>
      </c>
      <c r="M2375" s="1">
        <v>440.92452437000003</v>
      </c>
    </row>
    <row r="2376" spans="1:13">
      <c r="D2376" s="1" t="s">
        <v>1400</v>
      </c>
      <c r="E2376" s="1" t="s">
        <v>1077</v>
      </c>
      <c r="H2376" s="1" t="s">
        <v>25</v>
      </c>
      <c r="I2376" s="1" t="s">
        <v>23</v>
      </c>
      <c r="M2376" s="1" t="b">
        <v>0</v>
      </c>
    </row>
    <row r="2377" spans="1:13">
      <c r="D2377" s="1" t="s">
        <v>1400</v>
      </c>
      <c r="E2377" s="1" t="s">
        <v>1079</v>
      </c>
      <c r="H2377" s="1" t="s">
        <v>25</v>
      </c>
      <c r="I2377" s="1" t="s">
        <v>23</v>
      </c>
      <c r="M2377" s="1" t="b">
        <v>0</v>
      </c>
    </row>
    <row r="2378" spans="1:13">
      <c r="D2378" s="1" t="s">
        <v>1400</v>
      </c>
      <c r="E2378" s="1" t="s">
        <v>1080</v>
      </c>
      <c r="H2378" s="1" t="s">
        <v>22</v>
      </c>
      <c r="I2378" s="1" t="s">
        <v>23</v>
      </c>
      <c r="J2378" s="1">
        <v>0</v>
      </c>
      <c r="K2378" s="1">
        <v>1</v>
      </c>
      <c r="L2378" s="1">
        <v>1</v>
      </c>
      <c r="M2378" s="1">
        <v>0.5</v>
      </c>
    </row>
    <row r="2379" spans="1:13">
      <c r="D2379" s="1" t="s">
        <v>1400</v>
      </c>
      <c r="E2379" s="1" t="s">
        <v>1082</v>
      </c>
      <c r="H2379" s="1" t="s">
        <v>22</v>
      </c>
      <c r="I2379" s="1" t="s">
        <v>23</v>
      </c>
      <c r="J2379" s="1">
        <v>0</v>
      </c>
      <c r="K2379" s="1">
        <v>2</v>
      </c>
      <c r="L2379" s="1">
        <v>1</v>
      </c>
      <c r="M2379" s="1">
        <v>0.99</v>
      </c>
    </row>
    <row r="2380" spans="1:13">
      <c r="A2380" s="2" t="s">
        <v>1721</v>
      </c>
      <c r="B2380" s="3" t="s">
        <v>1742</v>
      </c>
      <c r="D2380" s="1" t="s">
        <v>1400</v>
      </c>
      <c r="E2380" s="1" t="s">
        <v>1083</v>
      </c>
      <c r="H2380" s="1" t="s">
        <v>181</v>
      </c>
      <c r="I2380" s="1" t="s">
        <v>23</v>
      </c>
      <c r="J2380" s="1">
        <v>1</v>
      </c>
      <c r="K2380" s="1">
        <v>314</v>
      </c>
      <c r="M2380" s="1" t="s">
        <v>952</v>
      </c>
    </row>
    <row r="2381" spans="1:13">
      <c r="A2381" s="2" t="s">
        <v>1721</v>
      </c>
      <c r="B2381" s="3" t="s">
        <v>1743</v>
      </c>
      <c r="D2381" s="1" t="s">
        <v>1400</v>
      </c>
      <c r="E2381" s="1" t="s">
        <v>1086</v>
      </c>
      <c r="H2381" s="1" t="s">
        <v>181</v>
      </c>
      <c r="I2381" s="1" t="s">
        <v>23</v>
      </c>
      <c r="J2381" s="1">
        <v>1</v>
      </c>
      <c r="K2381" s="1">
        <v>26</v>
      </c>
      <c r="M2381" s="1" t="s">
        <v>1443</v>
      </c>
    </row>
    <row r="2382" spans="1:13">
      <c r="D2382" s="1" t="s">
        <v>1400</v>
      </c>
      <c r="E2382" s="1" t="s">
        <v>1089</v>
      </c>
      <c r="F2382" s="1" t="s">
        <v>35</v>
      </c>
      <c r="G2382" s="1" t="s">
        <v>36</v>
      </c>
      <c r="H2382" s="1" t="s">
        <v>22</v>
      </c>
      <c r="I2382" s="1" t="s">
        <v>29</v>
      </c>
      <c r="J2382" s="1">
        <v>-31.018000000000029</v>
      </c>
      <c r="K2382" s="1">
        <v>256.99999999999994</v>
      </c>
      <c r="L2382" s="1">
        <v>80.329999999999984</v>
      </c>
    </row>
    <row r="2383" spans="1:13">
      <c r="D2383" s="1" t="s">
        <v>1400</v>
      </c>
      <c r="E2383" s="1" t="s">
        <v>1091</v>
      </c>
      <c r="F2383" s="1" t="s">
        <v>35</v>
      </c>
      <c r="G2383" s="1" t="s">
        <v>36</v>
      </c>
      <c r="H2383" s="1" t="s">
        <v>22</v>
      </c>
      <c r="I2383" s="1" t="s">
        <v>29</v>
      </c>
      <c r="J2383" s="1">
        <v>-31.018000000000029</v>
      </c>
      <c r="K2383" s="1">
        <v>256.99999999999994</v>
      </c>
      <c r="L2383" s="1">
        <v>80.329999999999984</v>
      </c>
    </row>
    <row r="2384" spans="1:13">
      <c r="A2384" s="2" t="s">
        <v>1758</v>
      </c>
      <c r="B2384" s="3" t="s">
        <v>1797</v>
      </c>
      <c r="D2384" s="1" t="s">
        <v>1400</v>
      </c>
      <c r="E2384" s="1" t="s">
        <v>1296</v>
      </c>
      <c r="F2384" s="1" t="s">
        <v>41</v>
      </c>
      <c r="G2384" s="1" t="s">
        <v>42</v>
      </c>
      <c r="H2384" s="1" t="s">
        <v>22</v>
      </c>
      <c r="I2384" s="1" t="s">
        <v>65</v>
      </c>
      <c r="L2384" s="1">
        <v>1.8</v>
      </c>
    </row>
    <row r="2385" spans="1:12">
      <c r="D2385" s="1" t="s">
        <v>1400</v>
      </c>
      <c r="E2385" s="1" t="s">
        <v>1300</v>
      </c>
      <c r="F2385" s="1" t="s">
        <v>147</v>
      </c>
      <c r="G2385" s="1" t="s">
        <v>148</v>
      </c>
      <c r="H2385" s="1" t="s">
        <v>22</v>
      </c>
      <c r="I2385" s="1" t="s">
        <v>120</v>
      </c>
      <c r="L2385" s="1">
        <v>3.4121416351331</v>
      </c>
    </row>
    <row r="2386" spans="1:12">
      <c r="D2386" s="1" t="s">
        <v>1400</v>
      </c>
      <c r="E2386" s="1" t="s">
        <v>1302</v>
      </c>
      <c r="H2386" s="1" t="s">
        <v>22</v>
      </c>
      <c r="I2386" s="1" t="s">
        <v>65</v>
      </c>
      <c r="L2386" s="1">
        <v>1</v>
      </c>
    </row>
    <row r="2387" spans="1:12">
      <c r="D2387" s="1" t="s">
        <v>1400</v>
      </c>
      <c r="E2387" s="1" t="s">
        <v>1444</v>
      </c>
      <c r="F2387" s="1" t="s">
        <v>35</v>
      </c>
      <c r="G2387" s="1" t="s">
        <v>36</v>
      </c>
      <c r="H2387" s="1" t="s">
        <v>22</v>
      </c>
      <c r="I2387" s="1" t="s">
        <v>120</v>
      </c>
      <c r="J2387" s="1">
        <v>-457.87</v>
      </c>
      <c r="K2387" s="1">
        <v>-447.07</v>
      </c>
      <c r="L2387" s="1">
        <v>80.329999999999984</v>
      </c>
    </row>
    <row r="2388" spans="1:12">
      <c r="D2388" s="1" t="s">
        <v>1400</v>
      </c>
      <c r="E2388" s="1" t="s">
        <v>1445</v>
      </c>
      <c r="H2388" s="1" t="s">
        <v>22</v>
      </c>
      <c r="I2388" s="1" t="s">
        <v>65</v>
      </c>
      <c r="L2388" s="1">
        <v>1</v>
      </c>
    </row>
    <row r="2389" spans="1:12">
      <c r="D2389" s="1" t="s">
        <v>1400</v>
      </c>
      <c r="E2389" s="1" t="s">
        <v>1306</v>
      </c>
      <c r="H2389" s="1" t="s">
        <v>22</v>
      </c>
      <c r="I2389" s="1" t="s">
        <v>65</v>
      </c>
      <c r="L2389" s="1">
        <v>1</v>
      </c>
    </row>
    <row r="2390" spans="1:12">
      <c r="D2390" s="1" t="s">
        <v>1400</v>
      </c>
      <c r="E2390" s="1" t="s">
        <v>1446</v>
      </c>
      <c r="H2390" s="1" t="s">
        <v>22</v>
      </c>
      <c r="I2390" s="1" t="s">
        <v>65</v>
      </c>
      <c r="L2390" s="1">
        <v>1</v>
      </c>
    </row>
    <row r="2391" spans="1:12">
      <c r="D2391" s="1" t="s">
        <v>1400</v>
      </c>
      <c r="E2391" s="1" t="s">
        <v>1309</v>
      </c>
      <c r="H2391" s="1" t="s">
        <v>22</v>
      </c>
      <c r="I2391" s="1" t="s">
        <v>65</v>
      </c>
      <c r="L2391" s="1">
        <v>1</v>
      </c>
    </row>
    <row r="2392" spans="1:12">
      <c r="D2392" s="1" t="s">
        <v>1400</v>
      </c>
      <c r="E2392" s="1" t="s">
        <v>1447</v>
      </c>
      <c r="H2392" s="1" t="s">
        <v>22</v>
      </c>
      <c r="I2392" s="1" t="s">
        <v>65</v>
      </c>
      <c r="L2392" s="1">
        <v>1</v>
      </c>
    </row>
    <row r="2393" spans="1:12">
      <c r="D2393" s="1" t="s">
        <v>1400</v>
      </c>
      <c r="E2393" s="1" t="s">
        <v>1448</v>
      </c>
      <c r="H2393" s="1" t="s">
        <v>22</v>
      </c>
      <c r="I2393" s="1" t="s">
        <v>65</v>
      </c>
      <c r="L2393" s="1">
        <v>1</v>
      </c>
    </row>
    <row r="2394" spans="1:12">
      <c r="D2394" s="1" t="s">
        <v>1400</v>
      </c>
      <c r="E2394" s="1" t="s">
        <v>1317</v>
      </c>
      <c r="F2394" s="1" t="s">
        <v>879</v>
      </c>
      <c r="G2394" s="1" t="s">
        <v>880</v>
      </c>
      <c r="H2394" s="1" t="s">
        <v>22</v>
      </c>
      <c r="I2394" s="1" t="s">
        <v>65</v>
      </c>
      <c r="L2394" s="1">
        <v>10.76391041670972</v>
      </c>
    </row>
    <row r="2395" spans="1:12">
      <c r="D2395" s="1" t="s">
        <v>1400</v>
      </c>
      <c r="E2395" s="1" t="s">
        <v>1449</v>
      </c>
      <c r="F2395" s="1" t="s">
        <v>147</v>
      </c>
      <c r="G2395" s="1" t="s">
        <v>148</v>
      </c>
      <c r="H2395" s="1" t="s">
        <v>22</v>
      </c>
      <c r="I2395" s="1" t="s">
        <v>65</v>
      </c>
      <c r="L2395" s="1">
        <v>3.4121416351331</v>
      </c>
    </row>
    <row r="2396" spans="1:12">
      <c r="A2396" s="2" t="s">
        <v>1758</v>
      </c>
      <c r="B2396" s="3" t="s">
        <v>1798</v>
      </c>
      <c r="D2396" s="1" t="s">
        <v>1400</v>
      </c>
      <c r="E2396" s="1" t="s">
        <v>1322</v>
      </c>
      <c r="F2396" s="1" t="s">
        <v>56</v>
      </c>
      <c r="G2396" s="1" t="s">
        <v>57</v>
      </c>
      <c r="H2396" s="1" t="s">
        <v>22</v>
      </c>
      <c r="I2396" s="1" t="s">
        <v>65</v>
      </c>
      <c r="L2396" s="1">
        <v>1.4503773773020921E-4</v>
      </c>
    </row>
    <row r="2397" spans="1:12">
      <c r="D2397" s="1" t="s">
        <v>1400</v>
      </c>
      <c r="E2397" s="1" t="s">
        <v>1323</v>
      </c>
      <c r="F2397" s="1" t="s">
        <v>56</v>
      </c>
      <c r="G2397" s="1" t="s">
        <v>57</v>
      </c>
      <c r="H2397" s="1" t="s">
        <v>22</v>
      </c>
      <c r="I2397" s="1" t="s">
        <v>65</v>
      </c>
      <c r="L2397" s="1">
        <v>1.4503773773020921E-4</v>
      </c>
    </row>
    <row r="2398" spans="1:12">
      <c r="D2398" s="1" t="s">
        <v>1400</v>
      </c>
      <c r="E2398" s="1" t="s">
        <v>1324</v>
      </c>
      <c r="F2398" s="1" t="s">
        <v>56</v>
      </c>
      <c r="G2398" s="1" t="s">
        <v>57</v>
      </c>
      <c r="H2398" s="1" t="s">
        <v>22</v>
      </c>
      <c r="I2398" s="1" t="s">
        <v>65</v>
      </c>
      <c r="L2398" s="1">
        <v>1.4503773773020921E-4</v>
      </c>
    </row>
    <row r="2399" spans="1:12">
      <c r="D2399" s="1" t="s">
        <v>1400</v>
      </c>
      <c r="E2399" s="1" t="s">
        <v>1325</v>
      </c>
      <c r="F2399" s="1" t="s">
        <v>56</v>
      </c>
      <c r="G2399" s="1" t="s">
        <v>57</v>
      </c>
      <c r="H2399" s="1" t="s">
        <v>22</v>
      </c>
      <c r="I2399" s="1" t="s">
        <v>65</v>
      </c>
      <c r="L2399" s="1">
        <v>1.4503773773020921E-4</v>
      </c>
    </row>
    <row r="2400" spans="1:12">
      <c r="D2400" s="1" t="s">
        <v>1400</v>
      </c>
      <c r="E2400" s="1" t="s">
        <v>1326</v>
      </c>
      <c r="F2400" s="1" t="s">
        <v>56</v>
      </c>
      <c r="G2400" s="1" t="s">
        <v>57</v>
      </c>
      <c r="H2400" s="1" t="s">
        <v>22</v>
      </c>
      <c r="I2400" s="1" t="s">
        <v>65</v>
      </c>
      <c r="L2400" s="1">
        <v>1.4503773773020921E-4</v>
      </c>
    </row>
    <row r="2401" spans="1:13">
      <c r="D2401" s="1" t="s">
        <v>1400</v>
      </c>
      <c r="E2401" s="1" t="s">
        <v>1331</v>
      </c>
      <c r="F2401" s="1" t="s">
        <v>176</v>
      </c>
      <c r="G2401" s="1" t="s">
        <v>177</v>
      </c>
      <c r="H2401" s="1" t="s">
        <v>22</v>
      </c>
      <c r="I2401" s="1" t="s">
        <v>70</v>
      </c>
      <c r="J2401" s="1">
        <v>0</v>
      </c>
      <c r="L2401" s="1">
        <v>39.370078740157467</v>
      </c>
    </row>
    <row r="2402" spans="1:13">
      <c r="D2402" s="1" t="s">
        <v>1400</v>
      </c>
      <c r="E2402" s="1" t="s">
        <v>69</v>
      </c>
      <c r="H2402" s="1" t="s">
        <v>25</v>
      </c>
      <c r="I2402" s="1" t="s">
        <v>70</v>
      </c>
    </row>
    <row r="2403" spans="1:13">
      <c r="D2403" s="1" t="s">
        <v>1400</v>
      </c>
      <c r="E2403" s="1" t="s">
        <v>1450</v>
      </c>
      <c r="F2403" s="1" t="s">
        <v>176</v>
      </c>
      <c r="G2403" s="1" t="s">
        <v>177</v>
      </c>
      <c r="H2403" s="1" t="s">
        <v>22</v>
      </c>
      <c r="I2403" s="1" t="s">
        <v>65</v>
      </c>
      <c r="L2403" s="1">
        <v>39.370078740157467</v>
      </c>
    </row>
    <row r="2404" spans="1:13">
      <c r="D2404" s="1" t="s">
        <v>1400</v>
      </c>
      <c r="E2404" s="1" t="s">
        <v>991</v>
      </c>
      <c r="F2404" s="1" t="s">
        <v>118</v>
      </c>
      <c r="G2404" s="1" t="s">
        <v>119</v>
      </c>
      <c r="H2404" s="1" t="s">
        <v>22</v>
      </c>
      <c r="I2404" s="1" t="s">
        <v>65</v>
      </c>
      <c r="J2404" s="1">
        <v>0</v>
      </c>
      <c r="L2404" s="1">
        <v>2.20462262185</v>
      </c>
    </row>
    <row r="2405" spans="1:13">
      <c r="D2405" s="1" t="s">
        <v>1400</v>
      </c>
      <c r="E2405" s="1" t="s">
        <v>1451</v>
      </c>
      <c r="H2405" s="1" t="s">
        <v>22</v>
      </c>
      <c r="I2405" s="1" t="s">
        <v>65</v>
      </c>
      <c r="L2405" s="1">
        <v>1</v>
      </c>
    </row>
    <row r="2406" spans="1:13">
      <c r="D2406" s="1" t="s">
        <v>1400</v>
      </c>
      <c r="E2406" s="1" t="s">
        <v>1452</v>
      </c>
      <c r="H2406" s="1" t="s">
        <v>22</v>
      </c>
      <c r="I2406" s="1" t="s">
        <v>65</v>
      </c>
      <c r="L2406" s="1">
        <v>1</v>
      </c>
    </row>
    <row r="2407" spans="1:13">
      <c r="D2407" s="1" t="s">
        <v>1400</v>
      </c>
      <c r="E2407" s="1" t="s">
        <v>1453</v>
      </c>
      <c r="H2407" s="1" t="s">
        <v>22</v>
      </c>
      <c r="I2407" s="1" t="s">
        <v>65</v>
      </c>
      <c r="L2407" s="1">
        <v>1</v>
      </c>
    </row>
    <row r="2408" spans="1:13">
      <c r="D2408" s="1" t="s">
        <v>1400</v>
      </c>
      <c r="E2408" s="1" t="s">
        <v>1343</v>
      </c>
      <c r="F2408" s="1" t="s">
        <v>1344</v>
      </c>
      <c r="G2408" s="1" t="s">
        <v>1345</v>
      </c>
      <c r="H2408" s="1" t="s">
        <v>22</v>
      </c>
      <c r="I2408" s="1" t="s">
        <v>65</v>
      </c>
      <c r="L2408" s="1">
        <v>2.2369362919199998</v>
      </c>
    </row>
    <row r="2409" spans="1:13">
      <c r="D2409" s="1" t="s">
        <v>1400</v>
      </c>
      <c r="E2409" s="1" t="s">
        <v>1002</v>
      </c>
      <c r="F2409" s="1" t="s">
        <v>124</v>
      </c>
      <c r="G2409" s="1" t="s">
        <v>125</v>
      </c>
      <c r="H2409" s="1" t="s">
        <v>22</v>
      </c>
      <c r="I2409" s="1" t="s">
        <v>70</v>
      </c>
      <c r="L2409" s="1">
        <v>35.314666699999997</v>
      </c>
    </row>
    <row r="2410" spans="1:13">
      <c r="D2410" s="1" t="s">
        <v>1400</v>
      </c>
      <c r="E2410" s="1" t="s">
        <v>1348</v>
      </c>
      <c r="F2410" s="1" t="s">
        <v>176</v>
      </c>
      <c r="G2410" s="1" t="s">
        <v>177</v>
      </c>
      <c r="H2410" s="1" t="s">
        <v>22</v>
      </c>
      <c r="I2410" s="1" t="s">
        <v>23</v>
      </c>
      <c r="J2410" s="1">
        <v>3.9370078740157466E-2</v>
      </c>
      <c r="K2410" s="1">
        <v>3.9370078740157468</v>
      </c>
      <c r="L2410" s="1">
        <v>39.370078740157467</v>
      </c>
      <c r="M2410" s="1">
        <v>0.49999999999999983</v>
      </c>
    </row>
    <row r="2411" spans="1:13">
      <c r="A2411" s="2" t="s">
        <v>1721</v>
      </c>
      <c r="B2411" s="3" t="s">
        <v>1744</v>
      </c>
      <c r="D2411" s="1" t="s">
        <v>1400</v>
      </c>
      <c r="E2411" s="1" t="s">
        <v>1454</v>
      </c>
      <c r="H2411" s="1" t="s">
        <v>25</v>
      </c>
      <c r="I2411" s="1" t="s">
        <v>23</v>
      </c>
      <c r="M2411" s="1" t="b">
        <v>1</v>
      </c>
    </row>
    <row r="2412" spans="1:13">
      <c r="D2412" s="1" t="s">
        <v>1400</v>
      </c>
      <c r="E2412" s="1" t="s">
        <v>1455</v>
      </c>
      <c r="H2412" s="1" t="s">
        <v>25</v>
      </c>
      <c r="I2412" s="1" t="s">
        <v>23</v>
      </c>
      <c r="M2412" s="1" t="b">
        <v>0</v>
      </c>
    </row>
    <row r="2413" spans="1:13">
      <c r="D2413" s="1" t="s">
        <v>1400</v>
      </c>
      <c r="E2413" s="1" t="s">
        <v>1456</v>
      </c>
      <c r="H2413" s="1" t="s">
        <v>25</v>
      </c>
      <c r="I2413" s="1" t="s">
        <v>23</v>
      </c>
      <c r="M2413" s="1" t="b">
        <v>1</v>
      </c>
    </row>
    <row r="2414" spans="1:13">
      <c r="D2414" s="1" t="s">
        <v>1400</v>
      </c>
      <c r="E2414" s="1" t="s">
        <v>1354</v>
      </c>
      <c r="H2414" s="1" t="s">
        <v>22</v>
      </c>
      <c r="I2414" s="1" t="s">
        <v>23</v>
      </c>
      <c r="J2414" s="1">
        <v>0.5</v>
      </c>
      <c r="K2414" s="1">
        <v>2</v>
      </c>
      <c r="L2414" s="1">
        <v>1</v>
      </c>
      <c r="M2414" s="1">
        <v>1</v>
      </c>
    </row>
    <row r="2415" spans="1:13">
      <c r="A2415" s="2" t="s">
        <v>1721</v>
      </c>
      <c r="B2415" s="3" t="s">
        <v>1745</v>
      </c>
      <c r="D2415" s="1" t="s">
        <v>1400</v>
      </c>
      <c r="E2415" s="1" t="s">
        <v>1457</v>
      </c>
      <c r="F2415" s="1" t="s">
        <v>147</v>
      </c>
      <c r="G2415" s="1" t="s">
        <v>148</v>
      </c>
      <c r="H2415" s="1" t="s">
        <v>22</v>
      </c>
      <c r="I2415" s="1" t="s">
        <v>23</v>
      </c>
      <c r="L2415" s="1">
        <v>3.4121416351331</v>
      </c>
      <c r="M2415" s="1">
        <v>7908000.0046472568</v>
      </c>
    </row>
    <row r="2416" spans="1:13">
      <c r="A2416" s="2" t="s">
        <v>1721</v>
      </c>
      <c r="B2416" s="3" t="s">
        <v>1746</v>
      </c>
      <c r="D2416" s="1" t="s">
        <v>1400</v>
      </c>
      <c r="E2416" s="1" t="s">
        <v>1458</v>
      </c>
      <c r="F2416" s="1" t="s">
        <v>147</v>
      </c>
      <c r="G2416" s="1" t="s">
        <v>148</v>
      </c>
      <c r="H2416" s="1" t="s">
        <v>22</v>
      </c>
      <c r="I2416" s="1" t="s">
        <v>23</v>
      </c>
      <c r="L2416" s="1">
        <v>3.4121416351331</v>
      </c>
      <c r="M2416" s="1">
        <v>6372000.0037445985</v>
      </c>
    </row>
    <row r="2417" spans="1:13">
      <c r="D2417" s="1" t="s">
        <v>1400</v>
      </c>
      <c r="E2417" s="1" t="s">
        <v>1356</v>
      </c>
      <c r="H2417" s="1" t="s">
        <v>150</v>
      </c>
      <c r="I2417" s="1" t="s">
        <v>23</v>
      </c>
      <c r="M2417" s="1" t="s">
        <v>1459</v>
      </c>
    </row>
    <row r="2418" spans="1:13">
      <c r="A2418" s="2" t="s">
        <v>1721</v>
      </c>
      <c r="B2418" s="3" t="s">
        <v>1747</v>
      </c>
      <c r="D2418" s="1" t="s">
        <v>1400</v>
      </c>
      <c r="E2418" s="1" t="s">
        <v>1358</v>
      </c>
      <c r="F2418" s="1" t="s">
        <v>176</v>
      </c>
      <c r="G2418" s="1" t="s">
        <v>177</v>
      </c>
      <c r="H2418" s="1" t="s">
        <v>22</v>
      </c>
      <c r="I2418" s="1" t="s">
        <v>23</v>
      </c>
      <c r="J2418" s="1">
        <v>0.39370078740157466</v>
      </c>
      <c r="K2418" s="1">
        <v>393.70078740157464</v>
      </c>
      <c r="L2418" s="1">
        <v>39.370078740157467</v>
      </c>
      <c r="M2418" s="1">
        <v>40.499999999999986</v>
      </c>
    </row>
    <row r="2419" spans="1:13">
      <c r="A2419" s="2" t="s">
        <v>1721</v>
      </c>
      <c r="B2419" s="3" t="s">
        <v>1748</v>
      </c>
      <c r="D2419" s="1" t="s">
        <v>1400</v>
      </c>
      <c r="E2419" s="1" t="s">
        <v>1359</v>
      </c>
      <c r="F2419" s="1" t="s">
        <v>176</v>
      </c>
      <c r="G2419" s="1" t="s">
        <v>177</v>
      </c>
      <c r="H2419" s="1" t="s">
        <v>22</v>
      </c>
      <c r="I2419" s="1" t="s">
        <v>23</v>
      </c>
      <c r="J2419" s="1">
        <v>0</v>
      </c>
      <c r="L2419" s="1">
        <v>39.370078740157467</v>
      </c>
      <c r="M2419" s="1">
        <v>9.9999999999999964</v>
      </c>
    </row>
    <row r="2420" spans="1:13">
      <c r="D2420" s="1" t="s">
        <v>1400</v>
      </c>
      <c r="E2420" s="1" t="s">
        <v>1360</v>
      </c>
      <c r="H2420" s="1" t="s">
        <v>150</v>
      </c>
      <c r="I2420" s="1" t="s">
        <v>23</v>
      </c>
      <c r="M2420" s="1" t="s">
        <v>1460</v>
      </c>
    </row>
    <row r="2421" spans="1:13">
      <c r="A2421" s="2" t="s">
        <v>1721</v>
      </c>
      <c r="B2421" s="3" t="s">
        <v>1749</v>
      </c>
      <c r="D2421" s="1" t="s">
        <v>1400</v>
      </c>
      <c r="E2421" s="1" t="s">
        <v>1362</v>
      </c>
      <c r="F2421" s="1" t="s">
        <v>176</v>
      </c>
      <c r="G2421" s="1" t="s">
        <v>177</v>
      </c>
      <c r="H2421" s="1" t="s">
        <v>22</v>
      </c>
      <c r="I2421" s="1" t="s">
        <v>23</v>
      </c>
      <c r="J2421" s="1">
        <v>3.9370078740157468</v>
      </c>
      <c r="K2421" s="1">
        <v>393.70078740157464</v>
      </c>
      <c r="L2421" s="1">
        <v>39.370078740157467</v>
      </c>
      <c r="M2421" s="1">
        <v>164.49999999999994</v>
      </c>
    </row>
    <row r="2422" spans="1:13">
      <c r="D2422" s="1" t="s">
        <v>1400</v>
      </c>
      <c r="E2422" s="1" t="s">
        <v>1363</v>
      </c>
      <c r="H2422" s="1" t="s">
        <v>63</v>
      </c>
      <c r="I2422" s="1" t="s">
        <v>23</v>
      </c>
      <c r="M2422" s="1">
        <v>3</v>
      </c>
    </row>
    <row r="2423" spans="1:13">
      <c r="D2423" s="1" t="s">
        <v>1400</v>
      </c>
      <c r="E2423" s="1" t="s">
        <v>1364</v>
      </c>
      <c r="H2423" s="1" t="s">
        <v>63</v>
      </c>
      <c r="I2423" s="1" t="s">
        <v>23</v>
      </c>
      <c r="M2423" s="1">
        <v>1</v>
      </c>
    </row>
    <row r="2424" spans="1:13">
      <c r="D2424" s="1" t="s">
        <v>1400</v>
      </c>
      <c r="E2424" s="1" t="s">
        <v>1365</v>
      </c>
      <c r="H2424" s="1" t="s">
        <v>63</v>
      </c>
      <c r="I2424" s="1" t="s">
        <v>70</v>
      </c>
    </row>
    <row r="2425" spans="1:13">
      <c r="A2425" s="2" t="s">
        <v>1721</v>
      </c>
      <c r="B2425" s="3" t="s">
        <v>1750</v>
      </c>
      <c r="D2425" s="1" t="s">
        <v>1400</v>
      </c>
      <c r="E2425" s="1" t="s">
        <v>1366</v>
      </c>
      <c r="H2425" s="1" t="s">
        <v>63</v>
      </c>
      <c r="I2425" s="1" t="s">
        <v>23</v>
      </c>
      <c r="M2425" s="1">
        <v>322</v>
      </c>
    </row>
    <row r="2426" spans="1:13">
      <c r="A2426" s="2" t="s">
        <v>1721</v>
      </c>
      <c r="B2426" s="3" t="s">
        <v>1751</v>
      </c>
      <c r="D2426" s="1" t="s">
        <v>1400</v>
      </c>
      <c r="E2426" s="1" t="s">
        <v>1367</v>
      </c>
      <c r="H2426" s="1" t="s">
        <v>63</v>
      </c>
      <c r="I2426" s="1" t="s">
        <v>23</v>
      </c>
      <c r="M2426" s="1">
        <v>322</v>
      </c>
    </row>
    <row r="2427" spans="1:13">
      <c r="D2427" s="1" t="s">
        <v>1400</v>
      </c>
      <c r="E2427" s="1" t="s">
        <v>1368</v>
      </c>
      <c r="H2427" s="1" t="s">
        <v>63</v>
      </c>
      <c r="I2427" s="1" t="s">
        <v>23</v>
      </c>
      <c r="M2427" s="1">
        <v>0</v>
      </c>
    </row>
    <row r="2428" spans="1:13">
      <c r="D2428" s="1" t="s">
        <v>1400</v>
      </c>
      <c r="E2428" s="1" t="s">
        <v>1369</v>
      </c>
      <c r="H2428" s="1" t="s">
        <v>63</v>
      </c>
      <c r="I2428" s="1" t="s">
        <v>23</v>
      </c>
      <c r="M2428" s="1">
        <v>0</v>
      </c>
    </row>
    <row r="2429" spans="1:13">
      <c r="D2429" s="1" t="s">
        <v>1400</v>
      </c>
      <c r="E2429" s="1" t="s">
        <v>1372</v>
      </c>
      <c r="F2429" s="1" t="s">
        <v>176</v>
      </c>
      <c r="G2429" s="1" t="s">
        <v>177</v>
      </c>
      <c r="H2429" s="1" t="s">
        <v>22</v>
      </c>
      <c r="I2429" s="1" t="s">
        <v>23</v>
      </c>
      <c r="J2429" s="1">
        <v>3.9370078740157471E-3</v>
      </c>
      <c r="K2429" s="1">
        <v>3.1496062992125973</v>
      </c>
      <c r="L2429" s="1">
        <v>39.370078740157467</v>
      </c>
      <c r="M2429" s="1">
        <v>0.31496062992125973</v>
      </c>
    </row>
    <row r="2430" spans="1:13">
      <c r="D2430" s="1" t="s">
        <v>1400</v>
      </c>
      <c r="E2430" s="1" t="s">
        <v>1461</v>
      </c>
      <c r="F2430" s="1" t="s">
        <v>124</v>
      </c>
      <c r="G2430" s="1" t="s">
        <v>125</v>
      </c>
      <c r="H2430" s="1" t="s">
        <v>22</v>
      </c>
      <c r="I2430" s="1" t="s">
        <v>23</v>
      </c>
      <c r="L2430" s="1">
        <v>35.314666699999997</v>
      </c>
      <c r="M2430" s="1">
        <v>0</v>
      </c>
    </row>
    <row r="2431" spans="1:13">
      <c r="D2431" s="1" t="s">
        <v>1400</v>
      </c>
      <c r="E2431" s="1" t="s">
        <v>1393</v>
      </c>
      <c r="H2431" s="1" t="s">
        <v>63</v>
      </c>
      <c r="I2431" s="1" t="s">
        <v>23</v>
      </c>
      <c r="M2431" s="1">
        <v>150</v>
      </c>
    </row>
    <row r="2432" spans="1:13">
      <c r="D2432" s="1" t="s">
        <v>1400</v>
      </c>
      <c r="E2432" s="1" t="s">
        <v>1394</v>
      </c>
      <c r="H2432" s="1" t="s">
        <v>181</v>
      </c>
      <c r="I2432" s="1" t="s">
        <v>23</v>
      </c>
      <c r="J2432" s="1">
        <v>1</v>
      </c>
      <c r="K2432" s="1">
        <v>2</v>
      </c>
      <c r="M2432" s="1" t="s">
        <v>1395</v>
      </c>
    </row>
    <row r="2433" spans="1:13">
      <c r="D2433" s="1" t="s">
        <v>1462</v>
      </c>
      <c r="H2433" s="1" t="s">
        <v>25</v>
      </c>
      <c r="I2433" s="1" t="s">
        <v>23</v>
      </c>
      <c r="M2433" s="1" t="b">
        <v>0</v>
      </c>
    </row>
    <row r="2434" spans="1:13">
      <c r="D2434" s="1" t="s">
        <v>1463</v>
      </c>
      <c r="H2434" s="1" t="s">
        <v>22</v>
      </c>
      <c r="I2434" s="1" t="s">
        <v>23</v>
      </c>
      <c r="L2434" s="1">
        <v>1</v>
      </c>
      <c r="M2434" s="1">
        <v>0.92</v>
      </c>
    </row>
    <row r="2435" spans="1:13">
      <c r="D2435" s="1" t="s">
        <v>1464</v>
      </c>
      <c r="F2435" s="1" t="s">
        <v>41</v>
      </c>
      <c r="G2435" s="1" t="s">
        <v>42</v>
      </c>
      <c r="H2435" s="1" t="s">
        <v>22</v>
      </c>
      <c r="I2435" s="1" t="s">
        <v>23</v>
      </c>
      <c r="L2435" s="1">
        <v>1.8</v>
      </c>
      <c r="M2435" s="1">
        <v>9</v>
      </c>
    </row>
    <row r="2436" spans="1:13">
      <c r="D2436" s="1" t="s">
        <v>1465</v>
      </c>
      <c r="E2436" s="1" t="s">
        <v>1466</v>
      </c>
      <c r="H2436" s="1" t="s">
        <v>22</v>
      </c>
      <c r="I2436" s="1" t="s">
        <v>23</v>
      </c>
      <c r="L2436" s="1">
        <v>1</v>
      </c>
      <c r="M2436" s="1">
        <v>1.0214000000000001E-5</v>
      </c>
    </row>
    <row r="2437" spans="1:13">
      <c r="D2437" s="1" t="s">
        <v>1465</v>
      </c>
      <c r="E2437" s="1" t="s">
        <v>108</v>
      </c>
      <c r="F2437" s="1" t="s">
        <v>35</v>
      </c>
      <c r="G2437" s="1" t="s">
        <v>36</v>
      </c>
      <c r="H2437" s="1" t="s">
        <v>22</v>
      </c>
      <c r="I2437" s="1" t="s">
        <v>23</v>
      </c>
      <c r="J2437" s="1">
        <v>-459.67</v>
      </c>
      <c r="L2437" s="1">
        <v>80.329999999999984</v>
      </c>
      <c r="M2437" s="1">
        <v>49.999999999999943</v>
      </c>
    </row>
    <row r="2438" spans="1:13">
      <c r="D2438" s="1" t="s">
        <v>1465</v>
      </c>
      <c r="E2438" s="1" t="s">
        <v>111</v>
      </c>
      <c r="F2438" s="1" t="s">
        <v>56</v>
      </c>
      <c r="G2438" s="1" t="s">
        <v>57</v>
      </c>
      <c r="H2438" s="1" t="s">
        <v>22</v>
      </c>
      <c r="I2438" s="1" t="s">
        <v>23</v>
      </c>
      <c r="L2438" s="1">
        <v>1.4503773773020921E-4</v>
      </c>
      <c r="M2438" s="1">
        <v>7.2518868865104604E-3</v>
      </c>
    </row>
    <row r="2439" spans="1:13">
      <c r="D2439" s="1" t="s">
        <v>1465</v>
      </c>
      <c r="E2439" s="1" t="s">
        <v>47</v>
      </c>
      <c r="H2439" s="1" t="s">
        <v>25</v>
      </c>
      <c r="I2439" s="1" t="s">
        <v>23</v>
      </c>
      <c r="M2439" s="1" t="b">
        <v>0</v>
      </c>
    </row>
    <row r="2440" spans="1:13">
      <c r="D2440" s="1" t="s">
        <v>1465</v>
      </c>
      <c r="E2440" s="1" t="s">
        <v>1467</v>
      </c>
      <c r="H2440" s="1" t="s">
        <v>22</v>
      </c>
      <c r="I2440" s="1" t="s">
        <v>23</v>
      </c>
      <c r="L2440" s="1">
        <v>1</v>
      </c>
      <c r="M2440" s="1">
        <v>1.9381999999999999</v>
      </c>
    </row>
    <row r="2441" spans="1:13">
      <c r="D2441" s="1" t="s">
        <v>1465</v>
      </c>
      <c r="E2441" s="1" t="s">
        <v>112</v>
      </c>
      <c r="F2441" s="1" t="s">
        <v>56</v>
      </c>
      <c r="G2441" s="1" t="s">
        <v>57</v>
      </c>
      <c r="H2441" s="1" t="s">
        <v>22</v>
      </c>
      <c r="I2441" s="1" t="s">
        <v>29</v>
      </c>
      <c r="J2441" s="1">
        <v>4.9312830828271128</v>
      </c>
      <c r="K2441" s="1">
        <v>623.66227223989961</v>
      </c>
      <c r="L2441" s="1">
        <v>50.713895374744951</v>
      </c>
    </row>
    <row r="2442" spans="1:13">
      <c r="D2442" s="1" t="s">
        <v>1465</v>
      </c>
      <c r="E2442" s="1" t="s">
        <v>62</v>
      </c>
      <c r="H2442" s="1" t="s">
        <v>63</v>
      </c>
      <c r="I2442" s="1" t="s">
        <v>23</v>
      </c>
      <c r="M2442" s="1">
        <v>1</v>
      </c>
    </row>
    <row r="2443" spans="1:13">
      <c r="D2443" s="1" t="s">
        <v>1468</v>
      </c>
      <c r="E2443" s="1" t="s">
        <v>1469</v>
      </c>
      <c r="F2443" s="1" t="s">
        <v>1041</v>
      </c>
      <c r="G2443" s="1" t="s">
        <v>1042</v>
      </c>
      <c r="H2443" s="1" t="s">
        <v>22</v>
      </c>
      <c r="I2443" s="1" t="s">
        <v>23</v>
      </c>
      <c r="L2443" s="1">
        <v>0.17611018362408509</v>
      </c>
      <c r="M2443" s="1">
        <v>0</v>
      </c>
    </row>
    <row r="2444" spans="1:13">
      <c r="D2444" s="1" t="s">
        <v>1468</v>
      </c>
      <c r="E2444" s="1" t="s">
        <v>1470</v>
      </c>
      <c r="H2444" s="1" t="s">
        <v>22</v>
      </c>
      <c r="I2444" s="1" t="s">
        <v>23</v>
      </c>
      <c r="J2444" s="1">
        <v>0.5</v>
      </c>
      <c r="K2444" s="1">
        <v>2</v>
      </c>
      <c r="L2444" s="1">
        <v>1</v>
      </c>
      <c r="M2444" s="1">
        <v>1</v>
      </c>
    </row>
    <row r="2445" spans="1:13">
      <c r="D2445" s="1" t="s">
        <v>1468</v>
      </c>
      <c r="E2445" s="1" t="s">
        <v>1471</v>
      </c>
      <c r="F2445" s="1" t="s">
        <v>176</v>
      </c>
      <c r="G2445" s="1" t="s">
        <v>177</v>
      </c>
      <c r="H2445" s="1" t="s">
        <v>22</v>
      </c>
      <c r="I2445" s="1" t="s">
        <v>23</v>
      </c>
      <c r="J2445" s="1">
        <v>3.9370078740157466E-2</v>
      </c>
      <c r="K2445" s="1">
        <v>78.740157480314934</v>
      </c>
      <c r="L2445" s="1">
        <v>39.370078740157467</v>
      </c>
      <c r="M2445" s="1">
        <v>19.685039370078734</v>
      </c>
    </row>
    <row r="2446" spans="1:13">
      <c r="D2446" s="1" t="s">
        <v>1468</v>
      </c>
      <c r="E2446" s="1" t="s">
        <v>1472</v>
      </c>
      <c r="H2446" s="1" t="s">
        <v>25</v>
      </c>
      <c r="I2446" s="1" t="s">
        <v>23</v>
      </c>
      <c r="M2446" s="1" t="b">
        <v>0</v>
      </c>
    </row>
    <row r="2447" spans="1:13">
      <c r="D2447" s="1" t="s">
        <v>1468</v>
      </c>
      <c r="E2447" s="1" t="s">
        <v>1473</v>
      </c>
      <c r="F2447" s="1" t="s">
        <v>176</v>
      </c>
      <c r="G2447" s="1" t="s">
        <v>177</v>
      </c>
      <c r="H2447" s="1" t="s">
        <v>22</v>
      </c>
      <c r="I2447" s="1" t="s">
        <v>23</v>
      </c>
      <c r="J2447" s="1">
        <v>3.9370078740157466E-2</v>
      </c>
      <c r="K2447" s="1">
        <v>78.740157480314934</v>
      </c>
      <c r="L2447" s="1">
        <v>39.370078740157467</v>
      </c>
      <c r="M2447" s="1">
        <v>7.8740157480314936</v>
      </c>
    </row>
    <row r="2448" spans="1:13">
      <c r="A2448" s="2" t="s">
        <v>1721</v>
      </c>
      <c r="B2448" s="3" t="s">
        <v>1752</v>
      </c>
      <c r="D2448" s="1" t="s">
        <v>1468</v>
      </c>
      <c r="E2448" s="1" t="s">
        <v>1474</v>
      </c>
      <c r="H2448" s="1" t="s">
        <v>25</v>
      </c>
      <c r="I2448" s="1" t="s">
        <v>23</v>
      </c>
      <c r="M2448" s="1" t="b">
        <v>0</v>
      </c>
    </row>
    <row r="2449" spans="4:13">
      <c r="D2449" s="1" t="s">
        <v>1468</v>
      </c>
      <c r="E2449" s="1" t="s">
        <v>47</v>
      </c>
      <c r="H2449" s="1" t="s">
        <v>25</v>
      </c>
      <c r="I2449" s="1" t="s">
        <v>23</v>
      </c>
      <c r="M2449" s="1" t="b">
        <v>0</v>
      </c>
    </row>
    <row r="2450" spans="4:13">
      <c r="D2450" s="1" t="s">
        <v>1468</v>
      </c>
      <c r="E2450" s="1" t="s">
        <v>1475</v>
      </c>
      <c r="H2450" s="1" t="s">
        <v>25</v>
      </c>
      <c r="I2450" s="1" t="s">
        <v>23</v>
      </c>
      <c r="M2450" s="1" t="b">
        <v>1</v>
      </c>
    </row>
    <row r="2451" spans="4:13">
      <c r="D2451" s="1" t="s">
        <v>1468</v>
      </c>
      <c r="E2451" s="1" t="s">
        <v>1476</v>
      </c>
      <c r="F2451" s="1" t="s">
        <v>176</v>
      </c>
      <c r="G2451" s="1" t="s">
        <v>177</v>
      </c>
      <c r="H2451" s="1" t="s">
        <v>22</v>
      </c>
      <c r="I2451" s="1" t="s">
        <v>23</v>
      </c>
      <c r="J2451" s="1">
        <v>3.9370078740157466E-2</v>
      </c>
      <c r="L2451" s="1">
        <v>39.370078740157467</v>
      </c>
      <c r="M2451" s="1">
        <v>3.9370078740157468</v>
      </c>
    </row>
    <row r="2452" spans="4:13">
      <c r="D2452" s="1" t="s">
        <v>1468</v>
      </c>
      <c r="E2452" s="1" t="s">
        <v>1477</v>
      </c>
      <c r="F2452" s="1" t="s">
        <v>45</v>
      </c>
      <c r="G2452" s="1" t="s">
        <v>46</v>
      </c>
      <c r="H2452" s="1" t="s">
        <v>22</v>
      </c>
      <c r="I2452" s="1" t="s">
        <v>29</v>
      </c>
      <c r="J2452" s="1">
        <v>-6.3932502128443591</v>
      </c>
      <c r="K2452" s="1">
        <v>358.61435929656</v>
      </c>
      <c r="L2452" s="1">
        <v>114.79148749423418</v>
      </c>
    </row>
    <row r="2453" spans="4:13">
      <c r="D2453" s="1" t="s">
        <v>1468</v>
      </c>
      <c r="E2453" s="1" t="s">
        <v>1478</v>
      </c>
      <c r="F2453" s="1" t="s">
        <v>56</v>
      </c>
      <c r="G2453" s="1" t="s">
        <v>57</v>
      </c>
      <c r="H2453" s="1" t="s">
        <v>22</v>
      </c>
      <c r="I2453" s="1" t="s">
        <v>29</v>
      </c>
      <c r="J2453" s="1">
        <v>4.9312830828271128</v>
      </c>
      <c r="K2453" s="1">
        <v>623.66227223989961</v>
      </c>
      <c r="L2453" s="1">
        <v>50.713895374744951</v>
      </c>
    </row>
    <row r="2454" spans="4:13">
      <c r="D2454" s="1" t="s">
        <v>1468</v>
      </c>
      <c r="E2454" s="1" t="s">
        <v>1479</v>
      </c>
      <c r="F2454" s="1" t="s">
        <v>52</v>
      </c>
      <c r="G2454" s="1" t="s">
        <v>53</v>
      </c>
      <c r="H2454" s="1" t="s">
        <v>22</v>
      </c>
      <c r="I2454" s="1" t="s">
        <v>29</v>
      </c>
      <c r="J2454" s="1">
        <v>-793664.14386555995</v>
      </c>
      <c r="K2454" s="1">
        <v>-7.9366414386555992E-3</v>
      </c>
      <c r="L2454" s="1">
        <v>7936.6414386555998</v>
      </c>
    </row>
    <row r="2455" spans="4:13">
      <c r="D2455" s="1" t="s">
        <v>1468</v>
      </c>
      <c r="E2455" s="1" t="s">
        <v>1480</v>
      </c>
      <c r="F2455" s="1" t="s">
        <v>52</v>
      </c>
      <c r="G2455" s="1" t="s">
        <v>53</v>
      </c>
      <c r="H2455" s="1" t="s">
        <v>22</v>
      </c>
      <c r="I2455" s="1" t="s">
        <v>29</v>
      </c>
      <c r="J2455" s="1">
        <v>-793664.14386555995</v>
      </c>
      <c r="K2455" s="1">
        <v>-7.9366414386555992E-3</v>
      </c>
      <c r="L2455" s="1">
        <v>7936.6414386555998</v>
      </c>
    </row>
    <row r="2456" spans="4:13">
      <c r="D2456" s="1" t="s">
        <v>1468</v>
      </c>
      <c r="E2456" s="1" t="s">
        <v>1481</v>
      </c>
      <c r="F2456" s="1" t="s">
        <v>118</v>
      </c>
      <c r="G2456" s="1" t="s">
        <v>119</v>
      </c>
      <c r="H2456" s="1" t="s">
        <v>22</v>
      </c>
      <c r="I2456" s="1" t="s">
        <v>23</v>
      </c>
      <c r="J2456" s="1">
        <v>0</v>
      </c>
      <c r="L2456" s="1">
        <v>2.20462262185</v>
      </c>
      <c r="M2456" s="1">
        <v>5.5115565546249998</v>
      </c>
    </row>
    <row r="2457" spans="4:13">
      <c r="D2457" s="1" t="s">
        <v>1468</v>
      </c>
      <c r="E2457" s="1" t="s">
        <v>1482</v>
      </c>
      <c r="H2457" s="1" t="s">
        <v>25</v>
      </c>
      <c r="I2457" s="1" t="s">
        <v>23</v>
      </c>
      <c r="M2457" s="1" t="b">
        <v>0</v>
      </c>
    </row>
    <row r="2458" spans="4:13">
      <c r="D2458" s="1" t="s">
        <v>1468</v>
      </c>
      <c r="E2458" s="1" t="s">
        <v>1081</v>
      </c>
      <c r="H2458" s="1" t="s">
        <v>22</v>
      </c>
      <c r="I2458" s="1" t="s">
        <v>23</v>
      </c>
      <c r="L2458" s="1">
        <v>1</v>
      </c>
      <c r="M2458" s="1">
        <v>0.5</v>
      </c>
    </row>
    <row r="2459" spans="4:13">
      <c r="D2459" s="1" t="s">
        <v>1468</v>
      </c>
      <c r="E2459" s="1" t="s">
        <v>1483</v>
      </c>
      <c r="H2459" s="1" t="s">
        <v>22</v>
      </c>
      <c r="I2459" s="1" t="s">
        <v>23</v>
      </c>
      <c r="L2459" s="1">
        <v>1</v>
      </c>
      <c r="M2459" s="1">
        <v>1E-10</v>
      </c>
    </row>
    <row r="2460" spans="4:13">
      <c r="D2460" s="1" t="s">
        <v>1468</v>
      </c>
      <c r="E2460" s="1" t="s">
        <v>1298</v>
      </c>
      <c r="F2460" s="1" t="s">
        <v>147</v>
      </c>
      <c r="G2460" s="1" t="s">
        <v>148</v>
      </c>
      <c r="H2460" s="1" t="s">
        <v>22</v>
      </c>
      <c r="I2460" s="1" t="s">
        <v>65</v>
      </c>
      <c r="L2460" s="1">
        <v>3.4121416351331</v>
      </c>
    </row>
    <row r="2461" spans="4:13">
      <c r="D2461" s="1" t="s">
        <v>1468</v>
      </c>
      <c r="E2461" s="1" t="s">
        <v>1484</v>
      </c>
      <c r="F2461" s="1" t="s">
        <v>35</v>
      </c>
      <c r="G2461" s="1" t="s">
        <v>36</v>
      </c>
      <c r="H2461" s="1" t="s">
        <v>22</v>
      </c>
      <c r="I2461" s="1" t="s">
        <v>65</v>
      </c>
      <c r="J2461" s="1">
        <v>-459.67</v>
      </c>
      <c r="L2461" s="1">
        <v>80.329999999999984</v>
      </c>
    </row>
    <row r="2462" spans="4:13">
      <c r="D2462" s="1" t="s">
        <v>1468</v>
      </c>
      <c r="E2462" s="1" t="s">
        <v>1485</v>
      </c>
      <c r="F2462" s="1" t="s">
        <v>35</v>
      </c>
      <c r="G2462" s="1" t="s">
        <v>36</v>
      </c>
      <c r="H2462" s="1" t="s">
        <v>22</v>
      </c>
      <c r="I2462" s="1" t="s">
        <v>65</v>
      </c>
      <c r="J2462" s="1">
        <v>-459.67</v>
      </c>
      <c r="L2462" s="1">
        <v>80.329999999999984</v>
      </c>
    </row>
    <row r="2463" spans="4:13">
      <c r="D2463" s="1" t="s">
        <v>1468</v>
      </c>
      <c r="E2463" s="1" t="s">
        <v>1486</v>
      </c>
      <c r="F2463" s="1" t="s">
        <v>124</v>
      </c>
      <c r="G2463" s="1" t="s">
        <v>125</v>
      </c>
      <c r="H2463" s="1" t="s">
        <v>22</v>
      </c>
      <c r="I2463" s="1" t="s">
        <v>65</v>
      </c>
      <c r="L2463" s="1">
        <v>35.314666699999997</v>
      </c>
    </row>
    <row r="2464" spans="4:13">
      <c r="D2464" s="1" t="s">
        <v>1468</v>
      </c>
      <c r="E2464" s="1" t="s">
        <v>1487</v>
      </c>
      <c r="F2464" s="1" t="s">
        <v>124</v>
      </c>
      <c r="G2464" s="1" t="s">
        <v>125</v>
      </c>
      <c r="H2464" s="1" t="s">
        <v>22</v>
      </c>
      <c r="I2464" s="1" t="s">
        <v>65</v>
      </c>
      <c r="L2464" s="1">
        <v>35.314666699999997</v>
      </c>
    </row>
    <row r="2465" spans="4:13">
      <c r="D2465" s="1" t="s">
        <v>1468</v>
      </c>
      <c r="E2465" s="1" t="s">
        <v>1448</v>
      </c>
      <c r="H2465" s="1" t="s">
        <v>22</v>
      </c>
      <c r="I2465" s="1" t="s">
        <v>120</v>
      </c>
      <c r="L2465" s="1">
        <v>1</v>
      </c>
    </row>
    <row r="2466" spans="4:13">
      <c r="D2466" s="1" t="s">
        <v>1468</v>
      </c>
      <c r="E2466" s="1" t="s">
        <v>68</v>
      </c>
      <c r="F2466" s="1" t="s">
        <v>45</v>
      </c>
      <c r="G2466" s="1" t="s">
        <v>46</v>
      </c>
      <c r="H2466" s="1" t="s">
        <v>22</v>
      </c>
      <c r="I2466" s="1" t="s">
        <v>65</v>
      </c>
      <c r="L2466" s="1">
        <v>4.2992261378713571E-4</v>
      </c>
    </row>
    <row r="2467" spans="4:13">
      <c r="D2467" s="1" t="s">
        <v>1468</v>
      </c>
      <c r="E2467" s="1" t="s">
        <v>69</v>
      </c>
      <c r="H2467" s="1" t="s">
        <v>25</v>
      </c>
      <c r="I2467" s="1" t="s">
        <v>70</v>
      </c>
    </row>
    <row r="2468" spans="4:13">
      <c r="D2468" s="1" t="s">
        <v>1468</v>
      </c>
      <c r="E2468" s="1" t="s">
        <v>1450</v>
      </c>
      <c r="F2468" s="1" t="s">
        <v>176</v>
      </c>
      <c r="G2468" s="1" t="s">
        <v>177</v>
      </c>
      <c r="H2468" s="1" t="s">
        <v>22</v>
      </c>
      <c r="I2468" s="1" t="s">
        <v>65</v>
      </c>
      <c r="J2468" s="1">
        <v>0</v>
      </c>
      <c r="L2468" s="1">
        <v>39.370078740157467</v>
      </c>
    </row>
    <row r="2469" spans="4:13">
      <c r="D2469" s="1" t="s">
        <v>1468</v>
      </c>
      <c r="E2469" s="1" t="s">
        <v>117</v>
      </c>
      <c r="F2469" s="1" t="s">
        <v>118</v>
      </c>
      <c r="G2469" s="1" t="s">
        <v>119</v>
      </c>
      <c r="H2469" s="1" t="s">
        <v>22</v>
      </c>
      <c r="I2469" s="1" t="s">
        <v>65</v>
      </c>
      <c r="J2469" s="1">
        <v>0</v>
      </c>
      <c r="L2469" s="1">
        <v>2.20462262185</v>
      </c>
    </row>
    <row r="2470" spans="4:13">
      <c r="D2470" s="1" t="s">
        <v>1468</v>
      </c>
      <c r="E2470" s="1" t="s">
        <v>1488</v>
      </c>
      <c r="H2470" s="1" t="s">
        <v>22</v>
      </c>
      <c r="I2470" s="1" t="s">
        <v>65</v>
      </c>
      <c r="L2470" s="1">
        <v>1</v>
      </c>
    </row>
    <row r="2471" spans="4:13">
      <c r="D2471" s="1" t="s">
        <v>1468</v>
      </c>
      <c r="E2471" s="1" t="s">
        <v>123</v>
      </c>
      <c r="F2471" s="1" t="s">
        <v>124</v>
      </c>
      <c r="G2471" s="1" t="s">
        <v>125</v>
      </c>
      <c r="H2471" s="1" t="s">
        <v>22</v>
      </c>
      <c r="I2471" s="1" t="s">
        <v>70</v>
      </c>
      <c r="L2471" s="1">
        <v>35.314666699999997</v>
      </c>
    </row>
    <row r="2472" spans="4:13">
      <c r="D2472" s="1" t="s">
        <v>1468</v>
      </c>
      <c r="E2472" s="1" t="s">
        <v>77</v>
      </c>
      <c r="H2472" s="1" t="s">
        <v>22</v>
      </c>
      <c r="I2472" s="1" t="s">
        <v>65</v>
      </c>
      <c r="L2472" s="1">
        <v>1</v>
      </c>
    </row>
    <row r="2473" spans="4:13">
      <c r="D2473" s="1" t="s">
        <v>1489</v>
      </c>
      <c r="E2473" s="1" t="s">
        <v>1490</v>
      </c>
      <c r="F2473" s="1" t="s">
        <v>35</v>
      </c>
      <c r="G2473" s="1" t="s">
        <v>36</v>
      </c>
      <c r="H2473" s="1" t="s">
        <v>22</v>
      </c>
      <c r="I2473" s="1" t="s">
        <v>23</v>
      </c>
      <c r="J2473" s="1">
        <v>-459.67</v>
      </c>
      <c r="L2473" s="1">
        <v>80.329999999999984</v>
      </c>
      <c r="M2473" s="1">
        <v>94.999999999999943</v>
      </c>
    </row>
    <row r="2474" spans="4:13">
      <c r="D2474" s="1" t="s">
        <v>1489</v>
      </c>
      <c r="E2474" s="1" t="s">
        <v>1491</v>
      </c>
      <c r="F2474" s="1" t="s">
        <v>147</v>
      </c>
      <c r="G2474" s="1" t="s">
        <v>148</v>
      </c>
      <c r="H2474" s="1" t="s">
        <v>22</v>
      </c>
      <c r="I2474" s="1" t="s">
        <v>23</v>
      </c>
      <c r="L2474" s="1">
        <v>3.4121416351331</v>
      </c>
      <c r="M2474" s="1">
        <v>5400225.9588434007</v>
      </c>
    </row>
    <row r="2475" spans="4:13">
      <c r="D2475" s="1" t="s">
        <v>1489</v>
      </c>
      <c r="E2475" s="1" t="s">
        <v>1492</v>
      </c>
      <c r="F2475" s="1" t="s">
        <v>1493</v>
      </c>
      <c r="G2475" s="1" t="s">
        <v>1494</v>
      </c>
      <c r="H2475" s="1" t="s">
        <v>22</v>
      </c>
      <c r="I2475" s="1" t="s">
        <v>23</v>
      </c>
      <c r="L2475" s="1">
        <v>3.280839895013123</v>
      </c>
      <c r="M2475" s="1">
        <v>32.174048556430442</v>
      </c>
    </row>
    <row r="2476" spans="4:13">
      <c r="D2476" s="1" t="s">
        <v>1489</v>
      </c>
      <c r="E2476" s="1" t="s">
        <v>1495</v>
      </c>
      <c r="F2476" s="1" t="s">
        <v>56</v>
      </c>
      <c r="G2476" s="1" t="s">
        <v>57</v>
      </c>
      <c r="H2476" s="1" t="s">
        <v>22</v>
      </c>
      <c r="I2476" s="1" t="s">
        <v>23</v>
      </c>
      <c r="J2476" s="1">
        <v>0</v>
      </c>
      <c r="L2476" s="1">
        <v>14.503773773020921</v>
      </c>
      <c r="M2476" s="1">
        <v>14.695948775513449</v>
      </c>
    </row>
    <row r="2477" spans="4:13">
      <c r="D2477" s="1" t="s">
        <v>1489</v>
      </c>
      <c r="E2477" s="1" t="s">
        <v>1496</v>
      </c>
      <c r="H2477" s="1" t="s">
        <v>181</v>
      </c>
      <c r="I2477" s="1" t="s">
        <v>23</v>
      </c>
      <c r="J2477" s="1">
        <v>1</v>
      </c>
      <c r="K2477" s="1">
        <v>2</v>
      </c>
      <c r="M2477" s="1" t="s">
        <v>1497</v>
      </c>
    </row>
    <row r="2478" spans="4:13">
      <c r="D2478" s="1" t="s">
        <v>1489</v>
      </c>
      <c r="E2478" s="1" t="s">
        <v>1498</v>
      </c>
      <c r="H2478" s="1" t="s">
        <v>181</v>
      </c>
      <c r="I2478" s="1" t="s">
        <v>23</v>
      </c>
      <c r="J2478" s="1">
        <v>1</v>
      </c>
      <c r="K2478" s="1">
        <v>2</v>
      </c>
      <c r="M2478" s="1" t="s">
        <v>1499</v>
      </c>
    </row>
    <row r="2479" spans="4:13">
      <c r="D2479" s="1" t="s">
        <v>1500</v>
      </c>
      <c r="H2479" s="1" t="s">
        <v>25</v>
      </c>
      <c r="I2479" s="1" t="s">
        <v>23</v>
      </c>
      <c r="M2479" s="1" t="b">
        <v>1</v>
      </c>
    </row>
    <row r="2480" spans="4:13">
      <c r="D2480" s="1" t="s">
        <v>1474</v>
      </c>
      <c r="H2480" s="1" t="s">
        <v>25</v>
      </c>
      <c r="I2480" s="1" t="s">
        <v>23</v>
      </c>
      <c r="M2480" s="1" t="b">
        <v>0</v>
      </c>
    </row>
    <row r="2481" spans="4:13">
      <c r="D2481" s="1" t="s">
        <v>1501</v>
      </c>
      <c r="H2481" s="1" t="s">
        <v>25</v>
      </c>
      <c r="I2481" s="1" t="s">
        <v>23</v>
      </c>
      <c r="M2481" s="1" t="b">
        <v>0</v>
      </c>
    </row>
    <row r="2482" spans="4:13">
      <c r="D2482" s="1" t="s">
        <v>1502</v>
      </c>
      <c r="H2482" s="1" t="s">
        <v>25</v>
      </c>
      <c r="I2482" s="1" t="s">
        <v>23</v>
      </c>
      <c r="M2482" s="1" t="b">
        <v>1</v>
      </c>
    </row>
    <row r="2483" spans="4:13">
      <c r="D2483" s="1" t="s">
        <v>1503</v>
      </c>
      <c r="H2483" s="1" t="s">
        <v>25</v>
      </c>
      <c r="I2483" s="1" t="s">
        <v>23</v>
      </c>
      <c r="M2483" s="1" t="b">
        <v>1</v>
      </c>
    </row>
    <row r="2484" spans="4:13">
      <c r="D2484" s="1" t="s">
        <v>1504</v>
      </c>
      <c r="H2484" s="1" t="s">
        <v>25</v>
      </c>
      <c r="I2484" s="1" t="s">
        <v>23</v>
      </c>
      <c r="M2484" s="1" t="b">
        <v>1</v>
      </c>
    </row>
    <row r="2485" spans="4:13">
      <c r="D2485" s="1" t="s">
        <v>1505</v>
      </c>
      <c r="H2485" s="1" t="s">
        <v>25</v>
      </c>
      <c r="I2485" s="1" t="s">
        <v>23</v>
      </c>
      <c r="M2485" s="1" t="b">
        <v>0</v>
      </c>
    </row>
    <row r="2486" spans="4:13">
      <c r="D2486" s="1" t="s">
        <v>1506</v>
      </c>
      <c r="E2486" s="1" t="s">
        <v>47</v>
      </c>
      <c r="H2486" s="1" t="s">
        <v>25</v>
      </c>
      <c r="I2486" s="1" t="s">
        <v>23</v>
      </c>
      <c r="M2486" s="1" t="b">
        <v>0</v>
      </c>
    </row>
    <row r="2487" spans="4:13">
      <c r="D2487" s="1" t="s">
        <v>1506</v>
      </c>
      <c r="E2487" s="1" t="s">
        <v>1507</v>
      </c>
      <c r="H2487" s="1" t="s">
        <v>25</v>
      </c>
      <c r="I2487" s="1" t="s">
        <v>23</v>
      </c>
      <c r="M2487" s="1" t="b">
        <v>0</v>
      </c>
    </row>
    <row r="2488" spans="4:13">
      <c r="D2488" s="1" t="s">
        <v>1506</v>
      </c>
      <c r="E2488" s="1" t="s">
        <v>1508</v>
      </c>
      <c r="H2488" s="1" t="s">
        <v>25</v>
      </c>
      <c r="I2488" s="1" t="s">
        <v>23</v>
      </c>
      <c r="M2488" s="1" t="b">
        <v>0</v>
      </c>
    </row>
    <row r="2489" spans="4:13">
      <c r="D2489" s="1" t="s">
        <v>1506</v>
      </c>
      <c r="E2489" s="1" t="s">
        <v>62</v>
      </c>
      <c r="H2489" s="1" t="s">
        <v>63</v>
      </c>
      <c r="I2489" s="1" t="s">
        <v>23</v>
      </c>
      <c r="M2489" s="1">
        <v>1</v>
      </c>
    </row>
    <row r="2490" spans="4:13">
      <c r="D2490" s="1" t="s">
        <v>1509</v>
      </c>
      <c r="E2490" s="1" t="s">
        <v>47</v>
      </c>
      <c r="H2490" s="1" t="s">
        <v>25</v>
      </c>
      <c r="I2490" s="1" t="s">
        <v>23</v>
      </c>
      <c r="M2490" s="1" t="b">
        <v>0</v>
      </c>
    </row>
    <row r="2491" spans="4:13">
      <c r="D2491" s="1" t="s">
        <v>1509</v>
      </c>
      <c r="E2491" s="1" t="s">
        <v>1507</v>
      </c>
      <c r="H2491" s="1" t="s">
        <v>25</v>
      </c>
      <c r="I2491" s="1" t="s">
        <v>23</v>
      </c>
      <c r="M2491" s="1" t="b">
        <v>0</v>
      </c>
    </row>
    <row r="2492" spans="4:13">
      <c r="D2492" s="1" t="s">
        <v>1509</v>
      </c>
      <c r="E2492" s="1" t="s">
        <v>1508</v>
      </c>
      <c r="H2492" s="1" t="s">
        <v>25</v>
      </c>
      <c r="I2492" s="1" t="s">
        <v>23</v>
      </c>
      <c r="M2492" s="1" t="b">
        <v>0</v>
      </c>
    </row>
    <row r="2493" spans="4:13">
      <c r="D2493" s="1" t="s">
        <v>1509</v>
      </c>
      <c r="E2493" s="1" t="s">
        <v>62</v>
      </c>
      <c r="H2493" s="1" t="s">
        <v>63</v>
      </c>
      <c r="I2493" s="1" t="s">
        <v>23</v>
      </c>
      <c r="M2493" s="1">
        <v>1</v>
      </c>
    </row>
    <row r="2494" spans="4:13">
      <c r="D2494" s="1" t="s">
        <v>1510</v>
      </c>
      <c r="E2494" s="1" t="s">
        <v>47</v>
      </c>
      <c r="H2494" s="1" t="s">
        <v>25</v>
      </c>
      <c r="I2494" s="1" t="s">
        <v>23</v>
      </c>
      <c r="M2494" s="1" t="b">
        <v>0</v>
      </c>
    </row>
    <row r="2495" spans="4:13">
      <c r="D2495" s="1" t="s">
        <v>1510</v>
      </c>
      <c r="E2495" s="1" t="s">
        <v>1507</v>
      </c>
      <c r="H2495" s="1" t="s">
        <v>25</v>
      </c>
      <c r="I2495" s="1" t="s">
        <v>23</v>
      </c>
      <c r="M2495" s="1" t="b">
        <v>0</v>
      </c>
    </row>
    <row r="2496" spans="4:13">
      <c r="D2496" s="1" t="s">
        <v>1510</v>
      </c>
      <c r="E2496" s="1" t="s">
        <v>1508</v>
      </c>
      <c r="H2496" s="1" t="s">
        <v>25</v>
      </c>
      <c r="I2496" s="1" t="s">
        <v>23</v>
      </c>
      <c r="M2496" s="1" t="b">
        <v>0</v>
      </c>
    </row>
    <row r="2497" spans="1:13">
      <c r="D2497" s="1" t="s">
        <v>1510</v>
      </c>
      <c r="E2497" s="1" t="s">
        <v>62</v>
      </c>
      <c r="H2497" s="1" t="s">
        <v>63</v>
      </c>
      <c r="I2497" s="1" t="s">
        <v>23</v>
      </c>
      <c r="M2497" s="1">
        <v>1</v>
      </c>
    </row>
    <row r="2498" spans="1:13">
      <c r="D2498" s="1" t="s">
        <v>1511</v>
      </c>
      <c r="E2498" s="1" t="s">
        <v>47</v>
      </c>
      <c r="H2498" s="1" t="s">
        <v>25</v>
      </c>
      <c r="I2498" s="1" t="s">
        <v>23</v>
      </c>
      <c r="M2498" s="1" t="b">
        <v>0</v>
      </c>
    </row>
    <row r="2499" spans="1:13">
      <c r="D2499" s="1" t="s">
        <v>1511</v>
      </c>
      <c r="E2499" s="1" t="s">
        <v>1507</v>
      </c>
      <c r="H2499" s="1" t="s">
        <v>25</v>
      </c>
      <c r="I2499" s="1" t="s">
        <v>23</v>
      </c>
      <c r="M2499" s="1" t="b">
        <v>0</v>
      </c>
    </row>
    <row r="2500" spans="1:13">
      <c r="D2500" s="1" t="s">
        <v>1511</v>
      </c>
      <c r="E2500" s="1" t="s">
        <v>1508</v>
      </c>
      <c r="H2500" s="1" t="s">
        <v>25</v>
      </c>
      <c r="I2500" s="1" t="s">
        <v>23</v>
      </c>
      <c r="M2500" s="1" t="b">
        <v>0</v>
      </c>
    </row>
    <row r="2501" spans="1:13">
      <c r="D2501" s="1" t="s">
        <v>1511</v>
      </c>
      <c r="E2501" s="1" t="s">
        <v>62</v>
      </c>
      <c r="H2501" s="1" t="s">
        <v>63</v>
      </c>
      <c r="I2501" s="1" t="s">
        <v>23</v>
      </c>
      <c r="M2501" s="1">
        <v>1</v>
      </c>
    </row>
    <row r="2502" spans="1:13">
      <c r="D2502" s="1" t="s">
        <v>1512</v>
      </c>
      <c r="E2502" s="1" t="s">
        <v>1513</v>
      </c>
      <c r="H2502" s="1" t="s">
        <v>25</v>
      </c>
      <c r="I2502" s="1" t="s">
        <v>23</v>
      </c>
      <c r="M2502" s="1" t="b">
        <v>1</v>
      </c>
    </row>
    <row r="2503" spans="1:13">
      <c r="D2503" s="1" t="s">
        <v>1512</v>
      </c>
      <c r="E2503" s="1" t="s">
        <v>871</v>
      </c>
      <c r="H2503" s="1" t="s">
        <v>25</v>
      </c>
      <c r="I2503" s="1" t="s">
        <v>23</v>
      </c>
      <c r="M2503" s="1" t="b">
        <v>0</v>
      </c>
    </row>
    <row r="2504" spans="1:13">
      <c r="D2504" s="1" t="s">
        <v>1512</v>
      </c>
      <c r="E2504" s="1" t="s">
        <v>872</v>
      </c>
      <c r="F2504" s="1" t="s">
        <v>147</v>
      </c>
      <c r="G2504" s="1" t="s">
        <v>148</v>
      </c>
      <c r="H2504" s="1" t="s">
        <v>22</v>
      </c>
      <c r="I2504" s="1" t="s">
        <v>23</v>
      </c>
      <c r="J2504" s="1">
        <v>0</v>
      </c>
      <c r="K2504" s="1">
        <v>34121416.351331003</v>
      </c>
      <c r="L2504" s="1">
        <v>3.4121416351331</v>
      </c>
      <c r="M2504" s="1">
        <v>1706.07081756655</v>
      </c>
    </row>
    <row r="2505" spans="1:13">
      <c r="D2505" s="1" t="s">
        <v>1512</v>
      </c>
      <c r="E2505" s="1" t="s">
        <v>1514</v>
      </c>
      <c r="H2505" s="1" t="s">
        <v>25</v>
      </c>
      <c r="I2505" s="1" t="s">
        <v>23</v>
      </c>
      <c r="M2505" s="1" t="b">
        <v>1</v>
      </c>
    </row>
    <row r="2506" spans="1:13">
      <c r="D2506" s="1" t="s">
        <v>1512</v>
      </c>
      <c r="E2506" s="1" t="s">
        <v>1515</v>
      </c>
      <c r="F2506" s="1" t="s">
        <v>147</v>
      </c>
      <c r="G2506" s="1" t="s">
        <v>148</v>
      </c>
      <c r="H2506" s="1" t="s">
        <v>22</v>
      </c>
      <c r="I2506" s="1" t="s">
        <v>23</v>
      </c>
      <c r="J2506" s="1">
        <v>0</v>
      </c>
      <c r="K2506" s="1">
        <v>34121416351.331001</v>
      </c>
      <c r="L2506" s="1">
        <v>3.4121416351331</v>
      </c>
      <c r="M2506" s="1">
        <v>0</v>
      </c>
    </row>
    <row r="2507" spans="1:13">
      <c r="D2507" s="1" t="s">
        <v>1512</v>
      </c>
      <c r="E2507" s="1" t="s">
        <v>1516</v>
      </c>
      <c r="F2507" s="1" t="s">
        <v>1517</v>
      </c>
      <c r="G2507" s="1" t="s">
        <v>1517</v>
      </c>
      <c r="H2507" s="1" t="s">
        <v>22</v>
      </c>
      <c r="I2507" s="1" t="s">
        <v>23</v>
      </c>
      <c r="J2507" s="1">
        <v>0</v>
      </c>
      <c r="K2507" s="1">
        <v>1000</v>
      </c>
      <c r="L2507" s="1">
        <v>1</v>
      </c>
      <c r="M2507" s="1">
        <v>460</v>
      </c>
    </row>
    <row r="2508" spans="1:13">
      <c r="D2508" s="1" t="s">
        <v>1512</v>
      </c>
      <c r="E2508" s="1" t="s">
        <v>906</v>
      </c>
      <c r="H2508" s="1" t="s">
        <v>22</v>
      </c>
      <c r="I2508" s="1" t="s">
        <v>23</v>
      </c>
      <c r="J2508" s="1">
        <v>0.5</v>
      </c>
      <c r="K2508" s="1">
        <v>2</v>
      </c>
      <c r="L2508" s="1">
        <v>1</v>
      </c>
      <c r="M2508" s="1">
        <v>1</v>
      </c>
    </row>
    <row r="2509" spans="1:13">
      <c r="D2509" s="1" t="s">
        <v>1512</v>
      </c>
      <c r="E2509" s="1" t="s">
        <v>907</v>
      </c>
      <c r="H2509" s="1" t="s">
        <v>25</v>
      </c>
      <c r="I2509" s="1" t="s">
        <v>23</v>
      </c>
      <c r="M2509" s="1" t="b">
        <v>1</v>
      </c>
    </row>
    <row r="2510" spans="1:13">
      <c r="D2510" s="1" t="s">
        <v>1512</v>
      </c>
      <c r="E2510" s="1" t="s">
        <v>914</v>
      </c>
      <c r="H2510" s="1" t="s">
        <v>22</v>
      </c>
      <c r="I2510" s="1" t="s">
        <v>29</v>
      </c>
      <c r="J2510" s="1">
        <v>0.1</v>
      </c>
      <c r="K2510" s="1">
        <v>10</v>
      </c>
      <c r="L2510" s="1">
        <v>5.05</v>
      </c>
    </row>
    <row r="2511" spans="1:13">
      <c r="D2511" s="1" t="s">
        <v>1512</v>
      </c>
      <c r="E2511" s="1" t="s">
        <v>1518</v>
      </c>
      <c r="H2511" s="1" t="s">
        <v>22</v>
      </c>
      <c r="I2511" s="1" t="s">
        <v>29</v>
      </c>
      <c r="J2511" s="1">
        <v>9.9999999999999995E-7</v>
      </c>
      <c r="K2511" s="1">
        <v>1000000</v>
      </c>
      <c r="L2511" s="1">
        <v>13500</v>
      </c>
    </row>
    <row r="2512" spans="1:13">
      <c r="A2512" s="2" t="s">
        <v>1721</v>
      </c>
      <c r="B2512" s="3" t="s">
        <v>1753</v>
      </c>
      <c r="D2512" s="1" t="s">
        <v>1512</v>
      </c>
      <c r="E2512" s="1" t="s">
        <v>1519</v>
      </c>
      <c r="H2512" s="1" t="s">
        <v>25</v>
      </c>
      <c r="I2512" s="1" t="s">
        <v>23</v>
      </c>
      <c r="M2512" s="1" t="b">
        <v>1</v>
      </c>
    </row>
    <row r="2513" spans="1:13">
      <c r="A2513" s="2" t="s">
        <v>1721</v>
      </c>
      <c r="B2513" s="3" t="s">
        <v>1754</v>
      </c>
      <c r="D2513" s="1" t="s">
        <v>1512</v>
      </c>
      <c r="E2513" s="1" t="s">
        <v>1520</v>
      </c>
      <c r="H2513" s="1" t="s">
        <v>22</v>
      </c>
      <c r="I2513" s="1" t="s">
        <v>23</v>
      </c>
      <c r="J2513" s="1">
        <v>0</v>
      </c>
      <c r="K2513" s="1">
        <v>1</v>
      </c>
      <c r="L2513" s="1">
        <v>1</v>
      </c>
      <c r="M2513" s="1">
        <v>0.95779999999999998</v>
      </c>
    </row>
    <row r="2514" spans="1:13">
      <c r="D2514" s="1" t="s">
        <v>1512</v>
      </c>
      <c r="E2514" s="1" t="s">
        <v>47</v>
      </c>
      <c r="H2514" s="1" t="s">
        <v>25</v>
      </c>
      <c r="I2514" s="1" t="s">
        <v>23</v>
      </c>
      <c r="M2514" s="1" t="b">
        <v>0</v>
      </c>
    </row>
    <row r="2515" spans="1:13">
      <c r="D2515" s="1" t="s">
        <v>1512</v>
      </c>
      <c r="E2515" s="1" t="s">
        <v>920</v>
      </c>
      <c r="H2515" s="1" t="s">
        <v>22</v>
      </c>
      <c r="I2515" s="1" t="s">
        <v>23</v>
      </c>
      <c r="J2515" s="1">
        <v>-1</v>
      </c>
      <c r="K2515" s="1">
        <v>1</v>
      </c>
      <c r="L2515" s="1">
        <v>1</v>
      </c>
      <c r="M2515" s="1">
        <v>0</v>
      </c>
    </row>
    <row r="2516" spans="1:13">
      <c r="D2516" s="1" t="s">
        <v>1512</v>
      </c>
      <c r="E2516" s="1" t="s">
        <v>921</v>
      </c>
      <c r="H2516" s="1" t="s">
        <v>22</v>
      </c>
      <c r="I2516" s="1" t="s">
        <v>23</v>
      </c>
      <c r="J2516" s="1">
        <v>0</v>
      </c>
      <c r="K2516" s="1">
        <v>1</v>
      </c>
      <c r="L2516" s="1">
        <v>1</v>
      </c>
      <c r="M2516" s="1">
        <v>0</v>
      </c>
    </row>
    <row r="2517" spans="1:13">
      <c r="D2517" s="1" t="s">
        <v>1512</v>
      </c>
      <c r="E2517" s="1" t="s">
        <v>1521</v>
      </c>
      <c r="H2517" s="1" t="s">
        <v>25</v>
      </c>
      <c r="I2517" s="1" t="s">
        <v>23</v>
      </c>
      <c r="M2517" s="1" t="b">
        <v>0</v>
      </c>
    </row>
    <row r="2518" spans="1:13">
      <c r="D2518" s="1" t="s">
        <v>1512</v>
      </c>
      <c r="E2518" s="1" t="s">
        <v>1522</v>
      </c>
      <c r="F2518" s="1" t="s">
        <v>147</v>
      </c>
      <c r="G2518" s="1" t="s">
        <v>148</v>
      </c>
      <c r="H2518" s="1" t="s">
        <v>22</v>
      </c>
      <c r="I2518" s="1" t="s">
        <v>23</v>
      </c>
      <c r="J2518" s="1">
        <v>0</v>
      </c>
      <c r="K2518" s="1">
        <v>34121416351.331001</v>
      </c>
      <c r="L2518" s="1">
        <v>3.4121416351331</v>
      </c>
      <c r="M2518" s="1">
        <v>1706070.8175665501</v>
      </c>
    </row>
    <row r="2519" spans="1:13">
      <c r="D2519" s="1" t="s">
        <v>1512</v>
      </c>
      <c r="E2519" s="1" t="s">
        <v>1523</v>
      </c>
      <c r="H2519" s="1" t="s">
        <v>22</v>
      </c>
      <c r="I2519" s="1" t="s">
        <v>29</v>
      </c>
      <c r="J2519" s="1">
        <v>0.01</v>
      </c>
      <c r="K2519" s="1">
        <v>100</v>
      </c>
      <c r="L2519" s="1">
        <v>50.005000000000003</v>
      </c>
    </row>
    <row r="2520" spans="1:13">
      <c r="D2520" s="1" t="s">
        <v>1512</v>
      </c>
      <c r="E2520" s="1" t="s">
        <v>1524</v>
      </c>
      <c r="H2520" s="1" t="s">
        <v>22</v>
      </c>
      <c r="I2520" s="1" t="s">
        <v>23</v>
      </c>
      <c r="J2520" s="1">
        <v>0</v>
      </c>
      <c r="K2520" s="1">
        <v>100</v>
      </c>
      <c r="L2520" s="1">
        <v>1</v>
      </c>
      <c r="M2520" s="1">
        <v>1</v>
      </c>
    </row>
    <row r="2521" spans="1:13">
      <c r="D2521" s="1" t="s">
        <v>1512</v>
      </c>
      <c r="E2521" s="1" t="s">
        <v>1525</v>
      </c>
      <c r="H2521" s="1" t="s">
        <v>25</v>
      </c>
      <c r="I2521" s="1" t="s">
        <v>23</v>
      </c>
      <c r="M2521" s="1" t="b">
        <v>1</v>
      </c>
    </row>
    <row r="2522" spans="1:13">
      <c r="D2522" s="1" t="s">
        <v>1512</v>
      </c>
      <c r="E2522" s="1" t="s">
        <v>949</v>
      </c>
      <c r="H2522" s="1" t="s">
        <v>181</v>
      </c>
      <c r="I2522" s="1" t="s">
        <v>23</v>
      </c>
      <c r="J2522" s="1">
        <v>1</v>
      </c>
      <c r="K2522" s="1">
        <v>26</v>
      </c>
      <c r="M2522" s="1" t="s">
        <v>1526</v>
      </c>
    </row>
    <row r="2523" spans="1:13">
      <c r="D2523" s="1" t="s">
        <v>1512</v>
      </c>
      <c r="E2523" s="1" t="s">
        <v>951</v>
      </c>
      <c r="H2523" s="1" t="s">
        <v>181</v>
      </c>
      <c r="I2523" s="1" t="s">
        <v>23</v>
      </c>
      <c r="J2523" s="1">
        <v>1</v>
      </c>
      <c r="K2523" s="1">
        <v>14</v>
      </c>
      <c r="M2523" s="1" t="s">
        <v>1527</v>
      </c>
    </row>
    <row r="2524" spans="1:13">
      <c r="D2524" s="1" t="s">
        <v>1512</v>
      </c>
      <c r="E2524" s="1" t="s">
        <v>1528</v>
      </c>
      <c r="H2524" s="1" t="s">
        <v>181</v>
      </c>
      <c r="I2524" s="1" t="s">
        <v>23</v>
      </c>
      <c r="J2524" s="1">
        <v>1</v>
      </c>
      <c r="K2524" s="1">
        <v>874</v>
      </c>
      <c r="M2524" s="1" t="s">
        <v>950</v>
      </c>
    </row>
    <row r="2525" spans="1:13">
      <c r="D2525" s="1" t="s">
        <v>1512</v>
      </c>
      <c r="E2525" s="1" t="s">
        <v>1529</v>
      </c>
      <c r="H2525" s="1" t="s">
        <v>25</v>
      </c>
      <c r="I2525" s="1" t="s">
        <v>23</v>
      </c>
      <c r="M2525" s="1" t="b">
        <v>0</v>
      </c>
    </row>
    <row r="2526" spans="1:13">
      <c r="D2526" s="1" t="s">
        <v>1512</v>
      </c>
      <c r="E2526" s="1" t="s">
        <v>1530</v>
      </c>
      <c r="F2526" s="1" t="s">
        <v>874</v>
      </c>
      <c r="G2526" s="1" t="s">
        <v>874</v>
      </c>
      <c r="H2526" s="1" t="s">
        <v>22</v>
      </c>
      <c r="I2526" s="1" t="s">
        <v>23</v>
      </c>
      <c r="J2526" s="1">
        <v>0</v>
      </c>
      <c r="K2526" s="1">
        <v>1000000</v>
      </c>
      <c r="L2526" s="1">
        <v>1</v>
      </c>
      <c r="M2526" s="1">
        <v>3000</v>
      </c>
    </row>
    <row r="2527" spans="1:13">
      <c r="D2527" s="1" t="s">
        <v>1512</v>
      </c>
      <c r="E2527" s="1" t="s">
        <v>1531</v>
      </c>
      <c r="F2527" s="1" t="s">
        <v>874</v>
      </c>
      <c r="G2527" s="1" t="s">
        <v>874</v>
      </c>
      <c r="H2527" s="1" t="s">
        <v>22</v>
      </c>
      <c r="I2527" s="1" t="s">
        <v>23</v>
      </c>
      <c r="J2527" s="1">
        <v>0</v>
      </c>
      <c r="K2527" s="1">
        <v>1000000</v>
      </c>
      <c r="L2527" s="1">
        <v>1</v>
      </c>
      <c r="M2527" s="1">
        <v>3000</v>
      </c>
    </row>
    <row r="2528" spans="1:13">
      <c r="D2528" s="1" t="s">
        <v>1512</v>
      </c>
      <c r="E2528" s="1" t="s">
        <v>1532</v>
      </c>
      <c r="F2528" s="1" t="s">
        <v>874</v>
      </c>
      <c r="G2528" s="1" t="s">
        <v>874</v>
      </c>
      <c r="H2528" s="1" t="s">
        <v>22</v>
      </c>
      <c r="I2528" s="1" t="s">
        <v>23</v>
      </c>
      <c r="J2528" s="1">
        <v>0</v>
      </c>
      <c r="K2528" s="1">
        <v>1000000</v>
      </c>
      <c r="L2528" s="1">
        <v>1</v>
      </c>
      <c r="M2528" s="1">
        <v>10000</v>
      </c>
    </row>
    <row r="2529" spans="1:12">
      <c r="D2529" s="1" t="s">
        <v>1512</v>
      </c>
      <c r="E2529" s="1" t="s">
        <v>1533</v>
      </c>
      <c r="F2529" s="1" t="s">
        <v>200</v>
      </c>
      <c r="G2529" s="1" t="s">
        <v>200</v>
      </c>
      <c r="H2529" s="1" t="s">
        <v>22</v>
      </c>
      <c r="I2529" s="1" t="s">
        <v>65</v>
      </c>
      <c r="L2529" s="1">
        <v>1</v>
      </c>
    </row>
    <row r="2530" spans="1:12">
      <c r="D2530" s="1" t="s">
        <v>1512</v>
      </c>
      <c r="E2530" s="1" t="s">
        <v>1534</v>
      </c>
      <c r="F2530" s="1" t="s">
        <v>1535</v>
      </c>
      <c r="G2530" s="1" t="s">
        <v>1535</v>
      </c>
      <c r="H2530" s="1" t="s">
        <v>22</v>
      </c>
      <c r="I2530" s="1" t="s">
        <v>65</v>
      </c>
      <c r="L2530" s="1">
        <v>1</v>
      </c>
    </row>
    <row r="2531" spans="1:12">
      <c r="A2531" s="2" t="s">
        <v>1758</v>
      </c>
      <c r="B2531" s="3" t="s">
        <v>1799</v>
      </c>
      <c r="D2531" s="1" t="s">
        <v>1512</v>
      </c>
      <c r="E2531" s="1" t="s">
        <v>1536</v>
      </c>
      <c r="F2531" s="1" t="s">
        <v>147</v>
      </c>
      <c r="G2531" s="1" t="s">
        <v>148</v>
      </c>
      <c r="H2531" s="1" t="s">
        <v>22</v>
      </c>
      <c r="I2531" s="1" t="s">
        <v>65</v>
      </c>
      <c r="L2531" s="1">
        <v>3.4121416351331</v>
      </c>
    </row>
    <row r="2532" spans="1:12">
      <c r="D2532" s="1" t="s">
        <v>1512</v>
      </c>
      <c r="E2532" s="1" t="s">
        <v>967</v>
      </c>
      <c r="F2532" s="1" t="s">
        <v>147</v>
      </c>
      <c r="G2532" s="1" t="s">
        <v>148</v>
      </c>
      <c r="H2532" s="1" t="s">
        <v>22</v>
      </c>
      <c r="I2532" s="1" t="s">
        <v>120</v>
      </c>
      <c r="L2532" s="1">
        <v>3.4121416351331</v>
      </c>
    </row>
    <row r="2533" spans="1:12">
      <c r="D2533" s="1" t="s">
        <v>1512</v>
      </c>
      <c r="E2533" s="1" t="s">
        <v>1537</v>
      </c>
      <c r="F2533" s="1">
        <v>1</v>
      </c>
      <c r="G2533" s="1">
        <v>1</v>
      </c>
      <c r="H2533" s="1" t="s">
        <v>22</v>
      </c>
      <c r="I2533" s="1" t="s">
        <v>65</v>
      </c>
      <c r="L2533" s="1">
        <v>1</v>
      </c>
    </row>
    <row r="2534" spans="1:12">
      <c r="D2534" s="1" t="s">
        <v>1512</v>
      </c>
      <c r="E2534" s="1" t="s">
        <v>1538</v>
      </c>
      <c r="F2534" s="1" t="s">
        <v>147</v>
      </c>
      <c r="G2534" s="1" t="s">
        <v>148</v>
      </c>
      <c r="H2534" s="1" t="s">
        <v>22</v>
      </c>
      <c r="I2534" s="1" t="s">
        <v>65</v>
      </c>
      <c r="L2534" s="1">
        <v>3.4121416351331</v>
      </c>
    </row>
    <row r="2535" spans="1:12">
      <c r="D2535" s="1" t="s">
        <v>1512</v>
      </c>
      <c r="E2535" s="1" t="s">
        <v>1539</v>
      </c>
      <c r="H2535" s="1" t="s">
        <v>22</v>
      </c>
      <c r="I2535" s="1" t="s">
        <v>65</v>
      </c>
      <c r="L2535" s="1">
        <v>1</v>
      </c>
    </row>
    <row r="2536" spans="1:12">
      <c r="D2536" s="1" t="s">
        <v>1512</v>
      </c>
      <c r="E2536" s="1" t="s">
        <v>1540</v>
      </c>
      <c r="F2536" s="1" t="s">
        <v>874</v>
      </c>
      <c r="G2536" s="1" t="s">
        <v>874</v>
      </c>
      <c r="H2536" s="1" t="s">
        <v>22</v>
      </c>
      <c r="I2536" s="1" t="s">
        <v>65</v>
      </c>
      <c r="L2536" s="1">
        <v>1</v>
      </c>
    </row>
    <row r="2537" spans="1:12">
      <c r="D2537" s="1" t="s">
        <v>1512</v>
      </c>
      <c r="E2537" s="1" t="s">
        <v>1541</v>
      </c>
      <c r="F2537" s="1" t="s">
        <v>1542</v>
      </c>
      <c r="G2537" s="1" t="s">
        <v>1543</v>
      </c>
      <c r="H2537" s="1" t="s">
        <v>22</v>
      </c>
      <c r="I2537" s="1" t="s">
        <v>65</v>
      </c>
      <c r="L2537" s="1">
        <v>0.73756103316999999</v>
      </c>
    </row>
    <row r="2538" spans="1:12">
      <c r="D2538" s="1" t="s">
        <v>1512</v>
      </c>
      <c r="E2538" s="1" t="s">
        <v>990</v>
      </c>
      <c r="H2538" s="1" t="s">
        <v>22</v>
      </c>
      <c r="I2538" s="1" t="s">
        <v>65</v>
      </c>
      <c r="L2538" s="1">
        <v>1</v>
      </c>
    </row>
    <row r="2539" spans="1:12">
      <c r="D2539" s="1" t="s">
        <v>1512</v>
      </c>
      <c r="E2539" s="1" t="s">
        <v>1544</v>
      </c>
      <c r="F2539" s="1">
        <v>1</v>
      </c>
      <c r="G2539" s="1">
        <v>1</v>
      </c>
      <c r="H2539" s="1" t="s">
        <v>22</v>
      </c>
      <c r="I2539" s="1" t="s">
        <v>65</v>
      </c>
      <c r="J2539" s="1">
        <v>0</v>
      </c>
      <c r="L2539" s="1">
        <v>1</v>
      </c>
    </row>
    <row r="2540" spans="1:12">
      <c r="D2540" s="1" t="s">
        <v>1512</v>
      </c>
      <c r="E2540" s="1" t="s">
        <v>1545</v>
      </c>
      <c r="H2540" s="1" t="s">
        <v>63</v>
      </c>
      <c r="I2540" s="1" t="s">
        <v>65</v>
      </c>
    </row>
    <row r="2541" spans="1:12">
      <c r="D2541" s="1" t="s">
        <v>1512</v>
      </c>
      <c r="E2541" s="1" t="s">
        <v>1546</v>
      </c>
      <c r="H2541" s="1" t="s">
        <v>22</v>
      </c>
      <c r="I2541" s="1" t="s">
        <v>65</v>
      </c>
      <c r="L2541" s="1">
        <v>1</v>
      </c>
    </row>
    <row r="2542" spans="1:12">
      <c r="D2542" s="1" t="s">
        <v>1512</v>
      </c>
      <c r="E2542" s="1" t="s">
        <v>69</v>
      </c>
      <c r="H2542" s="1" t="s">
        <v>25</v>
      </c>
      <c r="I2542" s="1" t="s">
        <v>70</v>
      </c>
    </row>
    <row r="2543" spans="1:12">
      <c r="A2543" s="2" t="s">
        <v>1758</v>
      </c>
      <c r="B2543" s="3" t="s">
        <v>1800</v>
      </c>
      <c r="D2543" s="1" t="s">
        <v>1512</v>
      </c>
      <c r="E2543" s="1" t="s">
        <v>1547</v>
      </c>
      <c r="F2543" s="1" t="s">
        <v>147</v>
      </c>
      <c r="G2543" s="1" t="s">
        <v>148</v>
      </c>
      <c r="H2543" s="1" t="s">
        <v>22</v>
      </c>
      <c r="I2543" s="1" t="s">
        <v>65</v>
      </c>
      <c r="L2543" s="1">
        <v>3.4121416351331</v>
      </c>
    </row>
    <row r="2544" spans="1:12">
      <c r="A2544" s="2" t="s">
        <v>1758</v>
      </c>
      <c r="B2544" s="3" t="s">
        <v>1801</v>
      </c>
      <c r="D2544" s="1" t="s">
        <v>1512</v>
      </c>
      <c r="E2544" s="1" t="s">
        <v>1548</v>
      </c>
      <c r="F2544" s="1" t="s">
        <v>147</v>
      </c>
      <c r="G2544" s="1" t="s">
        <v>148</v>
      </c>
      <c r="H2544" s="1" t="s">
        <v>22</v>
      </c>
      <c r="I2544" s="1" t="s">
        <v>65</v>
      </c>
      <c r="L2544" s="1">
        <v>3.4121416351331</v>
      </c>
    </row>
    <row r="2545" spans="4:13">
      <c r="D2545" s="1" t="s">
        <v>1549</v>
      </c>
      <c r="E2545" s="1" t="s">
        <v>105</v>
      </c>
      <c r="H2545" s="1" t="s">
        <v>22</v>
      </c>
      <c r="I2545" s="1" t="s">
        <v>29</v>
      </c>
      <c r="J2545" s="1">
        <v>0</v>
      </c>
      <c r="K2545" s="1">
        <v>10000</v>
      </c>
      <c r="L2545" s="1">
        <v>5000</v>
      </c>
    </row>
    <row r="2546" spans="4:13">
      <c r="D2546" s="1" t="s">
        <v>1549</v>
      </c>
      <c r="E2546" s="1" t="s">
        <v>106</v>
      </c>
      <c r="H2546" s="1" t="s">
        <v>25</v>
      </c>
      <c r="I2546" s="1" t="s">
        <v>23</v>
      </c>
      <c r="M2546" s="1" t="b">
        <v>0</v>
      </c>
    </row>
    <row r="2547" spans="4:13">
      <c r="D2547" s="1" t="s">
        <v>1549</v>
      </c>
      <c r="E2547" s="1" t="s">
        <v>107</v>
      </c>
      <c r="H2547" s="1" t="s">
        <v>22</v>
      </c>
      <c r="I2547" s="1" t="s">
        <v>23</v>
      </c>
      <c r="L2547" s="1">
        <v>1</v>
      </c>
      <c r="M2547" s="1">
        <v>20</v>
      </c>
    </row>
    <row r="2548" spans="4:13">
      <c r="D2548" s="1" t="s">
        <v>1549</v>
      </c>
      <c r="E2548" s="1" t="s">
        <v>109</v>
      </c>
      <c r="H2548" s="1" t="s">
        <v>22</v>
      </c>
      <c r="I2548" s="1" t="s">
        <v>23</v>
      </c>
      <c r="L2548" s="1">
        <v>1</v>
      </c>
      <c r="M2548" s="1">
        <v>1</v>
      </c>
    </row>
    <row r="2549" spans="4:13">
      <c r="D2549" s="1" t="s">
        <v>1549</v>
      </c>
      <c r="E2549" s="1" t="s">
        <v>110</v>
      </c>
      <c r="H2549" s="1" t="s">
        <v>25</v>
      </c>
      <c r="I2549" s="1" t="s">
        <v>23</v>
      </c>
      <c r="M2549" s="1" t="b">
        <v>1</v>
      </c>
    </row>
    <row r="2550" spans="4:13">
      <c r="D2550" s="1" t="s">
        <v>1549</v>
      </c>
      <c r="E2550" s="1" t="s">
        <v>111</v>
      </c>
      <c r="F2550" s="1" t="s">
        <v>56</v>
      </c>
      <c r="G2550" s="1" t="s">
        <v>57</v>
      </c>
      <c r="H2550" s="1" t="s">
        <v>22</v>
      </c>
      <c r="I2550" s="1" t="s">
        <v>23</v>
      </c>
      <c r="L2550" s="1">
        <v>1.4503773773020921E-4</v>
      </c>
      <c r="M2550" s="1">
        <v>7.2518868865104604E-3</v>
      </c>
    </row>
    <row r="2551" spans="4:13">
      <c r="D2551" s="1" t="s">
        <v>1549</v>
      </c>
      <c r="E2551" s="1" t="s">
        <v>47</v>
      </c>
      <c r="H2551" s="1" t="s">
        <v>25</v>
      </c>
      <c r="I2551" s="1" t="s">
        <v>23</v>
      </c>
      <c r="M2551" s="1" t="b">
        <v>0</v>
      </c>
    </row>
    <row r="2552" spans="4:13">
      <c r="D2552" s="1" t="s">
        <v>1549</v>
      </c>
      <c r="E2552" s="1" t="s">
        <v>112</v>
      </c>
      <c r="F2552" s="1" t="s">
        <v>56</v>
      </c>
      <c r="G2552" s="1" t="s">
        <v>57</v>
      </c>
      <c r="H2552" s="1" t="s">
        <v>22</v>
      </c>
      <c r="I2552" s="1" t="s">
        <v>29</v>
      </c>
      <c r="J2552" s="1">
        <v>4.9312830828271128</v>
      </c>
      <c r="K2552" s="1">
        <v>623.66227223989961</v>
      </c>
      <c r="L2552" s="1">
        <v>50.713895374744951</v>
      </c>
    </row>
    <row r="2553" spans="4:13">
      <c r="D2553" s="1" t="s">
        <v>1549</v>
      </c>
      <c r="E2553" s="1" t="s">
        <v>62</v>
      </c>
      <c r="H2553" s="1" t="s">
        <v>63</v>
      </c>
      <c r="I2553" s="1" t="s">
        <v>23</v>
      </c>
      <c r="M2553" s="1">
        <v>1</v>
      </c>
    </row>
    <row r="2554" spans="4:13">
      <c r="D2554" s="1" t="s">
        <v>1549</v>
      </c>
      <c r="E2554" s="1" t="s">
        <v>113</v>
      </c>
      <c r="H2554" s="1" t="s">
        <v>22</v>
      </c>
      <c r="I2554" s="1" t="s">
        <v>65</v>
      </c>
      <c r="L2554" s="1">
        <v>1</v>
      </c>
    </row>
    <row r="2555" spans="4:13">
      <c r="D2555" s="1" t="s">
        <v>1549</v>
      </c>
      <c r="E2555" s="1" t="s">
        <v>114</v>
      </c>
      <c r="H2555" s="1" t="s">
        <v>22</v>
      </c>
      <c r="I2555" s="1" t="s">
        <v>70</v>
      </c>
      <c r="L2555" s="1">
        <v>1</v>
      </c>
    </row>
    <row r="2556" spans="4:13">
      <c r="D2556" s="1" t="s">
        <v>1549</v>
      </c>
      <c r="E2556" s="1" t="s">
        <v>115</v>
      </c>
      <c r="F2556" s="1" t="s">
        <v>56</v>
      </c>
      <c r="G2556" s="1" t="s">
        <v>57</v>
      </c>
      <c r="H2556" s="1" t="s">
        <v>22</v>
      </c>
      <c r="I2556" s="1" t="s">
        <v>65</v>
      </c>
      <c r="L2556" s="1">
        <v>1.4503773773020921E-4</v>
      </c>
    </row>
    <row r="2557" spans="4:13">
      <c r="D2557" s="1" t="s">
        <v>1549</v>
      </c>
      <c r="E2557" s="1" t="s">
        <v>116</v>
      </c>
      <c r="H2557" s="1" t="s">
        <v>25</v>
      </c>
      <c r="I2557" s="1" t="s">
        <v>65</v>
      </c>
    </row>
    <row r="2558" spans="4:13">
      <c r="D2558" s="1" t="s">
        <v>1549</v>
      </c>
      <c r="E2558" s="1" t="s">
        <v>69</v>
      </c>
      <c r="H2558" s="1" t="s">
        <v>25</v>
      </c>
      <c r="I2558" s="1" t="s">
        <v>70</v>
      </c>
    </row>
    <row r="2559" spans="4:13">
      <c r="D2559" s="1" t="s">
        <v>1549</v>
      </c>
      <c r="E2559" s="1" t="s">
        <v>71</v>
      </c>
      <c r="F2559" s="1" t="s">
        <v>52</v>
      </c>
      <c r="G2559" s="1" t="s">
        <v>53</v>
      </c>
      <c r="H2559" s="1" t="s">
        <v>22</v>
      </c>
      <c r="I2559" s="1" t="s">
        <v>65</v>
      </c>
      <c r="L2559" s="1">
        <v>7936.6414386555998</v>
      </c>
    </row>
    <row r="2560" spans="4:13">
      <c r="D2560" s="1" t="s">
        <v>1549</v>
      </c>
      <c r="E2560" s="1" t="s">
        <v>117</v>
      </c>
      <c r="F2560" s="1" t="s">
        <v>118</v>
      </c>
      <c r="G2560" s="1" t="s">
        <v>119</v>
      </c>
      <c r="H2560" s="1" t="s">
        <v>22</v>
      </c>
      <c r="I2560" s="1" t="s">
        <v>120</v>
      </c>
      <c r="J2560" s="1">
        <v>0</v>
      </c>
      <c r="L2560" s="1">
        <v>2.20462262185</v>
      </c>
    </row>
    <row r="2561" spans="4:13">
      <c r="D2561" s="1" t="s">
        <v>1549</v>
      </c>
      <c r="E2561" s="1" t="s">
        <v>121</v>
      </c>
      <c r="H2561" s="1" t="s">
        <v>22</v>
      </c>
      <c r="I2561" s="1" t="s">
        <v>120</v>
      </c>
      <c r="L2561" s="1">
        <v>1</v>
      </c>
    </row>
    <row r="2562" spans="4:13">
      <c r="D2562" s="1" t="s">
        <v>1549</v>
      </c>
      <c r="E2562" s="1" t="s">
        <v>122</v>
      </c>
      <c r="F2562" s="1" t="s">
        <v>56</v>
      </c>
      <c r="G2562" s="1" t="s">
        <v>57</v>
      </c>
      <c r="H2562" s="1" t="s">
        <v>22</v>
      </c>
      <c r="I2562" s="1" t="s">
        <v>65</v>
      </c>
      <c r="L2562" s="1">
        <v>1.4503773773020921E-4</v>
      </c>
    </row>
    <row r="2563" spans="4:13">
      <c r="D2563" s="1" t="s">
        <v>1549</v>
      </c>
      <c r="E2563" s="1" t="s">
        <v>123</v>
      </c>
      <c r="F2563" s="1" t="s">
        <v>124</v>
      </c>
      <c r="G2563" s="1" t="s">
        <v>125</v>
      </c>
      <c r="H2563" s="1" t="s">
        <v>22</v>
      </c>
      <c r="I2563" s="1" t="s">
        <v>120</v>
      </c>
      <c r="L2563" s="1">
        <v>35.314666699999997</v>
      </c>
    </row>
    <row r="2564" spans="4:13">
      <c r="D2564" s="1" t="s">
        <v>1549</v>
      </c>
      <c r="E2564" s="1" t="s">
        <v>126</v>
      </c>
      <c r="H2564" s="1" t="s">
        <v>22</v>
      </c>
      <c r="I2564" s="1" t="s">
        <v>65</v>
      </c>
      <c r="L2564" s="1">
        <v>1</v>
      </c>
    </row>
    <row r="2565" spans="4:13">
      <c r="D2565" s="1" t="s">
        <v>1549</v>
      </c>
      <c r="E2565" s="1" t="s">
        <v>127</v>
      </c>
      <c r="H2565" s="1" t="s">
        <v>25</v>
      </c>
      <c r="I2565" s="1" t="s">
        <v>23</v>
      </c>
      <c r="M2565" s="1" t="b">
        <v>1</v>
      </c>
    </row>
    <row r="2566" spans="4:13">
      <c r="D2566" s="1" t="s">
        <v>1549</v>
      </c>
      <c r="E2566" s="1" t="s">
        <v>128</v>
      </c>
      <c r="H2566" s="1" t="s">
        <v>25</v>
      </c>
      <c r="I2566" s="1" t="s">
        <v>23</v>
      </c>
      <c r="M2566" s="1" t="b">
        <v>0</v>
      </c>
    </row>
    <row r="2567" spans="4:13">
      <c r="D2567" s="1" t="s">
        <v>1550</v>
      </c>
      <c r="E2567" s="1" t="s">
        <v>28</v>
      </c>
      <c r="H2567" s="1" t="s">
        <v>22</v>
      </c>
      <c r="I2567" s="1" t="s">
        <v>29</v>
      </c>
      <c r="J2567" s="1">
        <v>34000</v>
      </c>
      <c r="K2567" s="1">
        <v>4300000</v>
      </c>
      <c r="L2567" s="1">
        <v>349660</v>
      </c>
    </row>
    <row r="2568" spans="4:13">
      <c r="D2568" s="1" t="s">
        <v>1550</v>
      </c>
      <c r="E2568" s="1" t="s">
        <v>30</v>
      </c>
      <c r="H2568" s="1" t="s">
        <v>22</v>
      </c>
      <c r="I2568" s="1" t="s">
        <v>29</v>
      </c>
      <c r="J2568" s="1">
        <v>-3.94</v>
      </c>
      <c r="K2568" s="1">
        <v>3.66</v>
      </c>
      <c r="L2568" s="1">
        <v>1</v>
      </c>
    </row>
    <row r="2569" spans="4:13">
      <c r="D2569" s="1" t="s">
        <v>1550</v>
      </c>
      <c r="E2569" s="1" t="s">
        <v>31</v>
      </c>
      <c r="H2569" s="1" t="s">
        <v>22</v>
      </c>
      <c r="I2569" s="1" t="s">
        <v>29</v>
      </c>
      <c r="J2569" s="1">
        <v>0</v>
      </c>
      <c r="K2569" s="1">
        <v>100</v>
      </c>
      <c r="L2569" s="1">
        <v>1</v>
      </c>
    </row>
    <row r="2570" spans="4:13">
      <c r="D2570" s="1" t="s">
        <v>1550</v>
      </c>
      <c r="E2570" s="1" t="s">
        <v>32</v>
      </c>
      <c r="H2570" s="1" t="s">
        <v>22</v>
      </c>
      <c r="I2570" s="1" t="s">
        <v>29</v>
      </c>
      <c r="J2570" s="1">
        <v>-3.94</v>
      </c>
      <c r="K2570" s="1">
        <v>3.66</v>
      </c>
      <c r="L2570" s="1">
        <v>1</v>
      </c>
    </row>
    <row r="2571" spans="4:13">
      <c r="D2571" s="1" t="s">
        <v>1550</v>
      </c>
      <c r="E2571" s="1" t="s">
        <v>33</v>
      </c>
      <c r="H2571" s="1" t="s">
        <v>25</v>
      </c>
      <c r="I2571" s="1" t="s">
        <v>23</v>
      </c>
      <c r="M2571" s="1" t="b">
        <v>0</v>
      </c>
    </row>
    <row r="2572" spans="4:13">
      <c r="D2572" s="1" t="s">
        <v>1550</v>
      </c>
      <c r="E2572" s="1" t="s">
        <v>34</v>
      </c>
      <c r="F2572" s="1" t="s">
        <v>35</v>
      </c>
      <c r="G2572" s="1" t="s">
        <v>36</v>
      </c>
      <c r="H2572" s="1" t="s">
        <v>22</v>
      </c>
      <c r="I2572" s="1" t="s">
        <v>23</v>
      </c>
      <c r="J2572" s="1">
        <v>-459.67</v>
      </c>
      <c r="K2572" s="1">
        <v>980.32999999999993</v>
      </c>
      <c r="L2572" s="1">
        <v>80.329999999999984</v>
      </c>
      <c r="M2572" s="1">
        <v>67.999999999999943</v>
      </c>
    </row>
    <row r="2573" spans="4:13">
      <c r="D2573" s="1" t="s">
        <v>1550</v>
      </c>
      <c r="E2573" s="1" t="s">
        <v>37</v>
      </c>
      <c r="H2573" s="1" t="s">
        <v>25</v>
      </c>
      <c r="I2573" s="1" t="s">
        <v>23</v>
      </c>
      <c r="M2573" s="1" t="b">
        <v>0</v>
      </c>
    </row>
    <row r="2574" spans="4:13">
      <c r="D2574" s="1" t="s">
        <v>1550</v>
      </c>
      <c r="E2574" s="1" t="s">
        <v>38</v>
      </c>
      <c r="F2574" s="1" t="s">
        <v>35</v>
      </c>
      <c r="G2574" s="1" t="s">
        <v>36</v>
      </c>
      <c r="H2574" s="1" t="s">
        <v>22</v>
      </c>
      <c r="I2574" s="1" t="s">
        <v>23</v>
      </c>
      <c r="J2574" s="1">
        <v>-99.670000000000016</v>
      </c>
      <c r="K2574" s="1">
        <v>980.32999999999993</v>
      </c>
      <c r="L2574" s="1">
        <v>80.329999999999984</v>
      </c>
      <c r="M2574" s="1">
        <v>13.999999999999943</v>
      </c>
    </row>
    <row r="2575" spans="4:13">
      <c r="D2575" s="1" t="s">
        <v>1550</v>
      </c>
      <c r="E2575" s="1" t="s">
        <v>39</v>
      </c>
      <c r="H2575" s="1" t="s">
        <v>25</v>
      </c>
      <c r="I2575" s="1" t="s">
        <v>23</v>
      </c>
      <c r="M2575" s="1" t="b">
        <v>0</v>
      </c>
    </row>
    <row r="2576" spans="4:13">
      <c r="D2576" s="1" t="s">
        <v>1550</v>
      </c>
      <c r="E2576" s="1" t="s">
        <v>40</v>
      </c>
      <c r="F2576" s="1" t="s">
        <v>41</v>
      </c>
      <c r="G2576" s="1" t="s">
        <v>42</v>
      </c>
      <c r="H2576" s="1" t="s">
        <v>22</v>
      </c>
      <c r="I2576" s="1" t="s">
        <v>23</v>
      </c>
      <c r="J2576" s="1">
        <v>-900</v>
      </c>
      <c r="K2576" s="1">
        <v>900</v>
      </c>
      <c r="L2576" s="1">
        <v>1.8</v>
      </c>
      <c r="M2576" s="1">
        <v>9</v>
      </c>
    </row>
    <row r="2577" spans="4:13">
      <c r="D2577" s="1" t="s">
        <v>1550</v>
      </c>
      <c r="E2577" s="1" t="s">
        <v>43</v>
      </c>
      <c r="H2577" s="1" t="s">
        <v>25</v>
      </c>
      <c r="I2577" s="1" t="s">
        <v>23</v>
      </c>
      <c r="M2577" s="1" t="b">
        <v>0</v>
      </c>
    </row>
    <row r="2578" spans="4:13">
      <c r="D2578" s="1" t="s">
        <v>1550</v>
      </c>
      <c r="E2578" s="1" t="s">
        <v>44</v>
      </c>
      <c r="F2578" s="1" t="s">
        <v>45</v>
      </c>
      <c r="G2578" s="1" t="s">
        <v>46</v>
      </c>
      <c r="H2578" s="1" t="s">
        <v>22</v>
      </c>
      <c r="I2578" s="1" t="s">
        <v>23</v>
      </c>
      <c r="J2578" s="1">
        <v>-85.984522757427143</v>
      </c>
      <c r="K2578" s="1">
        <v>8598.4522757427148</v>
      </c>
      <c r="L2578" s="1">
        <v>114.79148749423418</v>
      </c>
      <c r="M2578" s="1">
        <v>128.97678413614071</v>
      </c>
    </row>
    <row r="2579" spans="4:13">
      <c r="D2579" s="1" t="s">
        <v>1550</v>
      </c>
      <c r="E2579" s="1" t="s">
        <v>47</v>
      </c>
      <c r="H2579" s="1" t="s">
        <v>25</v>
      </c>
      <c r="I2579" s="1" t="s">
        <v>23</v>
      </c>
      <c r="M2579" s="1" t="b">
        <v>0</v>
      </c>
    </row>
    <row r="2580" spans="4:13">
      <c r="D2580" s="1" t="s">
        <v>1550</v>
      </c>
      <c r="E2580" s="1" t="s">
        <v>48</v>
      </c>
      <c r="H2580" s="1" t="s">
        <v>25</v>
      </c>
      <c r="I2580" s="1" t="s">
        <v>23</v>
      </c>
      <c r="M2580" s="1" t="b">
        <v>0</v>
      </c>
    </row>
    <row r="2581" spans="4:13">
      <c r="D2581" s="1" t="s">
        <v>1550</v>
      </c>
      <c r="E2581" s="1" t="s">
        <v>49</v>
      </c>
      <c r="H2581" s="1" t="s">
        <v>25</v>
      </c>
      <c r="I2581" s="1" t="s">
        <v>23</v>
      </c>
      <c r="M2581" s="1" t="b">
        <v>0</v>
      </c>
    </row>
    <row r="2582" spans="4:13">
      <c r="D2582" s="1" t="s">
        <v>1550</v>
      </c>
      <c r="E2582" s="1" t="s">
        <v>50</v>
      </c>
      <c r="H2582" s="1" t="s">
        <v>25</v>
      </c>
      <c r="I2582" s="1" t="s">
        <v>23</v>
      </c>
      <c r="M2582" s="1" t="b">
        <v>0</v>
      </c>
    </row>
    <row r="2583" spans="4:13">
      <c r="D2583" s="1" t="s">
        <v>1550</v>
      </c>
      <c r="E2583" s="1" t="s">
        <v>51</v>
      </c>
      <c r="F2583" s="1" t="s">
        <v>52</v>
      </c>
      <c r="G2583" s="1" t="s">
        <v>53</v>
      </c>
      <c r="H2583" s="1" t="s">
        <v>22</v>
      </c>
      <c r="I2583" s="1" t="s">
        <v>23</v>
      </c>
      <c r="J2583" s="1">
        <v>0</v>
      </c>
      <c r="K2583" s="1">
        <v>7936641438.6555996</v>
      </c>
      <c r="L2583" s="1">
        <v>7936.6414386555998</v>
      </c>
      <c r="M2583" s="1">
        <v>7936.6414386555998</v>
      </c>
    </row>
    <row r="2584" spans="4:13">
      <c r="D2584" s="1" t="s">
        <v>1550</v>
      </c>
      <c r="E2584" s="1" t="s">
        <v>54</v>
      </c>
      <c r="H2584" s="1" t="s">
        <v>25</v>
      </c>
      <c r="I2584" s="1" t="s">
        <v>23</v>
      </c>
      <c r="M2584" s="1" t="b">
        <v>0</v>
      </c>
    </row>
    <row r="2585" spans="4:13">
      <c r="D2585" s="1" t="s">
        <v>1550</v>
      </c>
      <c r="E2585" s="1" t="s">
        <v>55</v>
      </c>
      <c r="F2585" s="1" t="s">
        <v>56</v>
      </c>
      <c r="G2585" s="1" t="s">
        <v>57</v>
      </c>
      <c r="H2585" s="1" t="s">
        <v>22</v>
      </c>
      <c r="I2585" s="1" t="s">
        <v>23</v>
      </c>
      <c r="J2585" s="1">
        <v>0</v>
      </c>
      <c r="K2585" s="1">
        <v>9427.4529524635982</v>
      </c>
      <c r="L2585" s="1">
        <v>50.713895374744951</v>
      </c>
      <c r="M2585" s="1">
        <v>50.763208205573221</v>
      </c>
    </row>
    <row r="2586" spans="4:13">
      <c r="D2586" s="1" t="s">
        <v>1550</v>
      </c>
      <c r="E2586" s="1" t="s">
        <v>58</v>
      </c>
      <c r="H2586" s="1" t="s">
        <v>25</v>
      </c>
      <c r="I2586" s="1" t="s">
        <v>23</v>
      </c>
      <c r="M2586" s="1" t="b">
        <v>0</v>
      </c>
    </row>
    <row r="2587" spans="4:13">
      <c r="D2587" s="1" t="s">
        <v>1550</v>
      </c>
      <c r="E2587" s="1" t="s">
        <v>59</v>
      </c>
      <c r="F2587" s="1" t="s">
        <v>60</v>
      </c>
      <c r="G2587" s="1" t="s">
        <v>61</v>
      </c>
      <c r="H2587" s="1" t="s">
        <v>22</v>
      </c>
      <c r="I2587" s="1" t="s">
        <v>23</v>
      </c>
      <c r="J2587" s="1">
        <v>-9.5538358650799999</v>
      </c>
      <c r="K2587" s="1">
        <v>9.5538358650799999</v>
      </c>
      <c r="L2587" s="1">
        <v>0.23884589662700001</v>
      </c>
      <c r="M2587" s="1">
        <v>0.23884589662700001</v>
      </c>
    </row>
    <row r="2588" spans="4:13">
      <c r="D2588" s="1" t="s">
        <v>1550</v>
      </c>
      <c r="E2588" s="1" t="s">
        <v>62</v>
      </c>
      <c r="H2588" s="1" t="s">
        <v>63</v>
      </c>
      <c r="I2588" s="1" t="s">
        <v>23</v>
      </c>
      <c r="M2588" s="1">
        <v>1</v>
      </c>
    </row>
    <row r="2589" spans="4:13">
      <c r="D2589" s="1" t="s">
        <v>1550</v>
      </c>
      <c r="E2589" s="1" t="s">
        <v>64</v>
      </c>
      <c r="F2589" s="1" t="s">
        <v>35</v>
      </c>
      <c r="G2589" s="1" t="s">
        <v>36</v>
      </c>
      <c r="H2589" s="1" t="s">
        <v>22</v>
      </c>
      <c r="I2589" s="1" t="s">
        <v>65</v>
      </c>
      <c r="J2589" s="1">
        <v>-459.67</v>
      </c>
      <c r="L2589" s="1">
        <v>80.329999999999984</v>
      </c>
    </row>
    <row r="2590" spans="4:13">
      <c r="D2590" s="1" t="s">
        <v>1550</v>
      </c>
      <c r="E2590" s="1" t="s">
        <v>66</v>
      </c>
      <c r="F2590" s="1" t="s">
        <v>35</v>
      </c>
      <c r="G2590" s="1" t="s">
        <v>36</v>
      </c>
      <c r="H2590" s="1" t="s">
        <v>22</v>
      </c>
      <c r="I2590" s="1" t="s">
        <v>65</v>
      </c>
      <c r="J2590" s="1">
        <v>-459.67</v>
      </c>
      <c r="L2590" s="1">
        <v>80.329999999999984</v>
      </c>
    </row>
    <row r="2591" spans="4:13">
      <c r="D2591" s="1" t="s">
        <v>1550</v>
      </c>
      <c r="E2591" s="1" t="s">
        <v>67</v>
      </c>
      <c r="F2591" s="1" t="s">
        <v>41</v>
      </c>
      <c r="G2591" s="1" t="s">
        <v>42</v>
      </c>
      <c r="H2591" s="1" t="s">
        <v>22</v>
      </c>
      <c r="I2591" s="1" t="s">
        <v>65</v>
      </c>
      <c r="L2591" s="1">
        <v>1.8</v>
      </c>
    </row>
    <row r="2592" spans="4:13">
      <c r="D2592" s="1" t="s">
        <v>1550</v>
      </c>
      <c r="E2592" s="1" t="s">
        <v>68</v>
      </c>
      <c r="F2592" s="1" t="s">
        <v>45</v>
      </c>
      <c r="G2592" s="1" t="s">
        <v>46</v>
      </c>
      <c r="H2592" s="1" t="s">
        <v>22</v>
      </c>
      <c r="I2592" s="1" t="s">
        <v>65</v>
      </c>
      <c r="L2592" s="1">
        <v>4.2992261378713571E-4</v>
      </c>
    </row>
    <row r="2593" spans="4:13">
      <c r="D2593" s="1" t="s">
        <v>1550</v>
      </c>
      <c r="E2593" s="1" t="s">
        <v>69</v>
      </c>
      <c r="H2593" s="1" t="s">
        <v>25</v>
      </c>
      <c r="I2593" s="1" t="s">
        <v>70</v>
      </c>
    </row>
    <row r="2594" spans="4:13">
      <c r="D2594" s="1" t="s">
        <v>1550</v>
      </c>
      <c r="E2594" s="1" t="s">
        <v>71</v>
      </c>
      <c r="F2594" s="1" t="s">
        <v>52</v>
      </c>
      <c r="G2594" s="1" t="s">
        <v>53</v>
      </c>
      <c r="H2594" s="1" t="s">
        <v>22</v>
      </c>
      <c r="I2594" s="1" t="s">
        <v>65</v>
      </c>
      <c r="L2594" s="1">
        <v>7936.6414386555998</v>
      </c>
    </row>
    <row r="2595" spans="4:13">
      <c r="D2595" s="1" t="s">
        <v>1550</v>
      </c>
      <c r="E2595" s="1" t="s">
        <v>72</v>
      </c>
      <c r="F2595" s="1" t="s">
        <v>56</v>
      </c>
      <c r="G2595" s="1" t="s">
        <v>57</v>
      </c>
      <c r="H2595" s="1" t="s">
        <v>22</v>
      </c>
      <c r="I2595" s="1" t="s">
        <v>65</v>
      </c>
      <c r="J2595" s="1">
        <v>0</v>
      </c>
      <c r="L2595" s="1">
        <v>14.503773773020921</v>
      </c>
    </row>
    <row r="2596" spans="4:13">
      <c r="D2596" s="1" t="s">
        <v>1550</v>
      </c>
      <c r="E2596" s="1" t="s">
        <v>73</v>
      </c>
      <c r="F2596" s="1" t="s">
        <v>60</v>
      </c>
      <c r="G2596" s="1" t="s">
        <v>61</v>
      </c>
      <c r="H2596" s="1" t="s">
        <v>22</v>
      </c>
      <c r="I2596" s="1" t="s">
        <v>65</v>
      </c>
      <c r="L2596" s="1">
        <v>2.38845896627E-4</v>
      </c>
    </row>
    <row r="2597" spans="4:13">
      <c r="D2597" s="1" t="s">
        <v>1550</v>
      </c>
      <c r="E2597" s="1" t="s">
        <v>74</v>
      </c>
      <c r="F2597" s="1" t="s">
        <v>75</v>
      </c>
      <c r="G2597" s="1" t="s">
        <v>76</v>
      </c>
      <c r="H2597" s="1" t="s">
        <v>22</v>
      </c>
      <c r="I2597" s="1" t="s">
        <v>65</v>
      </c>
      <c r="J2597" s="1">
        <v>0</v>
      </c>
      <c r="L2597" s="1">
        <v>16.018463521800001</v>
      </c>
    </row>
    <row r="2598" spans="4:13">
      <c r="D2598" s="1" t="s">
        <v>1550</v>
      </c>
      <c r="E2598" s="1" t="s">
        <v>77</v>
      </c>
      <c r="H2598" s="1" t="s">
        <v>22</v>
      </c>
      <c r="I2598" s="1" t="s">
        <v>65</v>
      </c>
      <c r="L2598" s="1">
        <v>1</v>
      </c>
    </row>
    <row r="2599" spans="4:13">
      <c r="D2599" s="1" t="s">
        <v>1550</v>
      </c>
      <c r="E2599" s="1" t="s">
        <v>78</v>
      </c>
      <c r="H2599" s="1" t="s">
        <v>25</v>
      </c>
      <c r="I2599" s="1" t="s">
        <v>23</v>
      </c>
      <c r="M2599" s="1" t="b">
        <v>0</v>
      </c>
    </row>
    <row r="2600" spans="4:13">
      <c r="D2600" s="1" t="s">
        <v>1550</v>
      </c>
      <c r="E2600" s="1" t="s">
        <v>79</v>
      </c>
      <c r="F2600" s="1" t="s">
        <v>75</v>
      </c>
      <c r="G2600" s="1" t="s">
        <v>76</v>
      </c>
      <c r="H2600" s="1" t="s">
        <v>22</v>
      </c>
      <c r="I2600" s="1" t="s">
        <v>23</v>
      </c>
      <c r="J2600" s="1">
        <v>0</v>
      </c>
      <c r="K2600" s="1">
        <v>96.110781130800007</v>
      </c>
      <c r="L2600" s="1">
        <v>16.018463521800001</v>
      </c>
      <c r="M2600" s="1">
        <v>1.6018463521800002</v>
      </c>
    </row>
    <row r="2601" spans="4:13">
      <c r="D2601" s="1" t="s">
        <v>1550</v>
      </c>
      <c r="E2601" s="1" t="s">
        <v>80</v>
      </c>
      <c r="H2601" s="1" t="s">
        <v>25</v>
      </c>
      <c r="I2601" s="1" t="s">
        <v>23</v>
      </c>
      <c r="M2601" s="1" t="b">
        <v>0</v>
      </c>
    </row>
    <row r="2602" spans="4:13">
      <c r="D2602" s="1" t="s">
        <v>1550</v>
      </c>
      <c r="E2602" s="1" t="s">
        <v>81</v>
      </c>
      <c r="H2602" s="1" t="s">
        <v>25</v>
      </c>
      <c r="I2602" s="1" t="s">
        <v>23</v>
      </c>
      <c r="M2602" s="1" t="b">
        <v>0</v>
      </c>
    </row>
    <row r="2603" spans="4:13">
      <c r="D2603" s="1" t="s">
        <v>1550</v>
      </c>
      <c r="E2603" s="1" t="s">
        <v>82</v>
      </c>
      <c r="H2603" s="1" t="s">
        <v>22</v>
      </c>
      <c r="I2603" s="1" t="s">
        <v>23</v>
      </c>
      <c r="J2603" s="1">
        <v>-1</v>
      </c>
      <c r="K2603" s="1">
        <v>3</v>
      </c>
      <c r="L2603" s="1">
        <v>1</v>
      </c>
      <c r="M2603" s="1">
        <v>1.01</v>
      </c>
    </row>
    <row r="2604" spans="4:13">
      <c r="D2604" s="1" t="s">
        <v>1551</v>
      </c>
      <c r="E2604" s="1" t="s">
        <v>99</v>
      </c>
      <c r="H2604" s="1" t="s">
        <v>25</v>
      </c>
      <c r="I2604" s="1" t="s">
        <v>23</v>
      </c>
      <c r="M2604" s="1" t="b">
        <v>0</v>
      </c>
    </row>
    <row r="2605" spans="4:13">
      <c r="D2605" s="1" t="s">
        <v>1551</v>
      </c>
      <c r="E2605" s="1" t="s">
        <v>47</v>
      </c>
      <c r="H2605" s="1" t="s">
        <v>25</v>
      </c>
      <c r="I2605" s="1" t="s">
        <v>23</v>
      </c>
      <c r="M2605" s="1" t="b">
        <v>0</v>
      </c>
    </row>
    <row r="2606" spans="4:13">
      <c r="D2606" s="1" t="s">
        <v>1551</v>
      </c>
      <c r="E2606" s="1" t="s">
        <v>100</v>
      </c>
      <c r="H2606" s="1" t="s">
        <v>22</v>
      </c>
      <c r="I2606" s="1" t="s">
        <v>23</v>
      </c>
      <c r="L2606" s="1">
        <v>1</v>
      </c>
      <c r="M2606" s="1">
        <v>10</v>
      </c>
    </row>
    <row r="2607" spans="4:13">
      <c r="D2607" s="1" t="s">
        <v>1551</v>
      </c>
      <c r="E2607" s="1" t="s">
        <v>101</v>
      </c>
      <c r="H2607" s="1" t="s">
        <v>22</v>
      </c>
      <c r="I2607" s="1" t="s">
        <v>23</v>
      </c>
      <c r="L2607" s="1">
        <v>1</v>
      </c>
      <c r="M2607" s="1">
        <v>0</v>
      </c>
    </row>
    <row r="2608" spans="4:13">
      <c r="D2608" s="1" t="s">
        <v>1551</v>
      </c>
      <c r="E2608" s="1" t="s">
        <v>102</v>
      </c>
      <c r="H2608" s="1" t="s">
        <v>22</v>
      </c>
      <c r="I2608" s="1" t="s">
        <v>23</v>
      </c>
      <c r="L2608" s="1">
        <v>1</v>
      </c>
      <c r="M2608" s="1">
        <v>0.1</v>
      </c>
    </row>
    <row r="2609" spans="4:13">
      <c r="D2609" s="1" t="s">
        <v>1551</v>
      </c>
      <c r="E2609" s="1" t="s">
        <v>103</v>
      </c>
      <c r="H2609" s="1" t="s">
        <v>22</v>
      </c>
      <c r="I2609" s="1" t="s">
        <v>29</v>
      </c>
      <c r="J2609" s="1">
        <v>0</v>
      </c>
      <c r="K2609" s="1">
        <v>10</v>
      </c>
      <c r="L2609" s="1">
        <v>5</v>
      </c>
    </row>
    <row r="2610" spans="4:13">
      <c r="D2610" s="1" t="s">
        <v>1552</v>
      </c>
      <c r="H2610" s="1" t="s">
        <v>25</v>
      </c>
      <c r="I2610" s="1" t="s">
        <v>23</v>
      </c>
      <c r="M2610" s="1" t="b">
        <v>1</v>
      </c>
    </row>
    <row r="2611" spans="4:13">
      <c r="D2611" s="1" t="s">
        <v>1553</v>
      </c>
      <c r="E2611" s="1" t="s">
        <v>99</v>
      </c>
      <c r="H2611" s="1" t="s">
        <v>25</v>
      </c>
      <c r="I2611" s="1" t="s">
        <v>23</v>
      </c>
      <c r="M2611" s="1" t="b">
        <v>1</v>
      </c>
    </row>
    <row r="2612" spans="4:13">
      <c r="D2612" s="1" t="s">
        <v>1553</v>
      </c>
      <c r="E2612" s="1" t="s">
        <v>47</v>
      </c>
      <c r="H2612" s="1" t="s">
        <v>25</v>
      </c>
      <c r="I2612" s="1" t="s">
        <v>23</v>
      </c>
      <c r="M2612" s="1" t="b">
        <v>0</v>
      </c>
    </row>
    <row r="2613" spans="4:13">
      <c r="D2613" s="1" t="s">
        <v>1553</v>
      </c>
      <c r="E2613" s="1" t="s">
        <v>102</v>
      </c>
      <c r="H2613" s="1" t="s">
        <v>22</v>
      </c>
      <c r="I2613" s="1" t="s">
        <v>23</v>
      </c>
      <c r="L2613" s="1">
        <v>1</v>
      </c>
      <c r="M2613" s="1">
        <v>0</v>
      </c>
    </row>
    <row r="2614" spans="4:13">
      <c r="D2614" s="1" t="s">
        <v>1554</v>
      </c>
      <c r="E2614" s="1" t="s">
        <v>1555</v>
      </c>
      <c r="F2614" s="1" t="s">
        <v>147</v>
      </c>
      <c r="G2614" s="1" t="s">
        <v>148</v>
      </c>
      <c r="H2614" s="1" t="s">
        <v>22</v>
      </c>
      <c r="I2614" s="1" t="s">
        <v>23</v>
      </c>
      <c r="L2614" s="1">
        <v>3.4121416351331</v>
      </c>
      <c r="M2614" s="1">
        <v>3412.1416351331</v>
      </c>
    </row>
    <row r="2615" spans="4:13">
      <c r="D2615" s="1" t="s">
        <v>1554</v>
      </c>
      <c r="E2615" s="1" t="s">
        <v>1556</v>
      </c>
      <c r="H2615" s="1" t="s">
        <v>25</v>
      </c>
      <c r="I2615" s="1" t="s">
        <v>23</v>
      </c>
      <c r="M2615" s="1" t="b">
        <v>0</v>
      </c>
    </row>
    <row r="2616" spans="4:13">
      <c r="D2616" s="1" t="s">
        <v>1554</v>
      </c>
      <c r="E2616" s="1" t="s">
        <v>1557</v>
      </c>
      <c r="H2616" s="1" t="s">
        <v>22</v>
      </c>
      <c r="I2616" s="1" t="s">
        <v>29</v>
      </c>
      <c r="J2616" s="1">
        <v>-1000000</v>
      </c>
      <c r="K2616" s="1">
        <v>1000000</v>
      </c>
      <c r="L2616" s="1">
        <v>1000</v>
      </c>
    </row>
    <row r="2617" spans="4:13">
      <c r="D2617" s="1" t="s">
        <v>1554</v>
      </c>
      <c r="E2617" s="1" t="s">
        <v>1558</v>
      </c>
      <c r="F2617" s="1" t="s">
        <v>35</v>
      </c>
      <c r="G2617" s="1" t="s">
        <v>36</v>
      </c>
      <c r="H2617" s="1" t="s">
        <v>22</v>
      </c>
      <c r="I2617" s="1" t="s">
        <v>23</v>
      </c>
      <c r="J2617" s="1">
        <v>-459.67</v>
      </c>
      <c r="L2617" s="1">
        <v>80.329999999999984</v>
      </c>
      <c r="M2617" s="1">
        <v>40.999999999999943</v>
      </c>
    </row>
    <row r="2618" spans="4:13">
      <c r="D2618" s="1" t="s">
        <v>1554</v>
      </c>
      <c r="E2618" s="1" t="s">
        <v>33</v>
      </c>
      <c r="H2618" s="1" t="s">
        <v>25</v>
      </c>
      <c r="I2618" s="1" t="s">
        <v>23</v>
      </c>
      <c r="M2618" s="1" t="b">
        <v>0</v>
      </c>
    </row>
    <row r="2619" spans="4:13">
      <c r="D2619" s="1" t="s">
        <v>1559</v>
      </c>
      <c r="E2619" s="1" t="s">
        <v>1555</v>
      </c>
      <c r="F2619" s="1" t="s">
        <v>147</v>
      </c>
      <c r="G2619" s="1" t="s">
        <v>148</v>
      </c>
      <c r="H2619" s="1" t="s">
        <v>22</v>
      </c>
      <c r="I2619" s="1" t="s">
        <v>23</v>
      </c>
      <c r="L2619" s="1">
        <v>3.4121416351331</v>
      </c>
      <c r="M2619" s="1">
        <v>3412.1416351331</v>
      </c>
    </row>
    <row r="2620" spans="4:13">
      <c r="D2620" s="1" t="s">
        <v>1559</v>
      </c>
      <c r="E2620" s="1" t="s">
        <v>1556</v>
      </c>
      <c r="H2620" s="1" t="s">
        <v>25</v>
      </c>
      <c r="I2620" s="1" t="s">
        <v>23</v>
      </c>
      <c r="M2620" s="1" t="b">
        <v>1</v>
      </c>
    </row>
    <row r="2621" spans="4:13">
      <c r="D2621" s="1" t="s">
        <v>1559</v>
      </c>
      <c r="E2621" s="1" t="s">
        <v>1558</v>
      </c>
      <c r="F2621" s="1" t="s">
        <v>35</v>
      </c>
      <c r="G2621" s="1" t="s">
        <v>36</v>
      </c>
      <c r="H2621" s="1" t="s">
        <v>22</v>
      </c>
      <c r="I2621" s="1" t="s">
        <v>23</v>
      </c>
      <c r="J2621" s="1">
        <v>-459.67</v>
      </c>
      <c r="L2621" s="1">
        <v>80.329999999999984</v>
      </c>
      <c r="M2621" s="1">
        <v>40.999999999999943</v>
      </c>
    </row>
    <row r="2622" spans="4:13">
      <c r="D2622" s="1" t="s">
        <v>1559</v>
      </c>
      <c r="E2622" s="1" t="s">
        <v>33</v>
      </c>
      <c r="H2622" s="1" t="s">
        <v>25</v>
      </c>
      <c r="I2622" s="1" t="s">
        <v>23</v>
      </c>
      <c r="M2622" s="1" t="b">
        <v>0</v>
      </c>
    </row>
    <row r="2623" spans="4:13">
      <c r="D2623" s="1" t="s">
        <v>1559</v>
      </c>
      <c r="E2623" s="1" t="s">
        <v>47</v>
      </c>
      <c r="H2623" s="1" t="s">
        <v>25</v>
      </c>
      <c r="I2623" s="1" t="s">
        <v>23</v>
      </c>
      <c r="M2623" s="1" t="b">
        <v>0</v>
      </c>
    </row>
    <row r="2624" spans="4:13">
      <c r="D2624" s="1" t="s">
        <v>1560</v>
      </c>
      <c r="E2624" s="1" t="s">
        <v>1555</v>
      </c>
      <c r="F2624" s="1" t="s">
        <v>147</v>
      </c>
      <c r="G2624" s="1" t="s">
        <v>148</v>
      </c>
      <c r="H2624" s="1" t="s">
        <v>22</v>
      </c>
      <c r="I2624" s="1" t="s">
        <v>23</v>
      </c>
      <c r="L2624" s="1">
        <v>3.4121416351331</v>
      </c>
      <c r="M2624" s="1">
        <v>3412.1416351331</v>
      </c>
    </row>
    <row r="2625" spans="4:13">
      <c r="D2625" s="1" t="s">
        <v>1560</v>
      </c>
      <c r="E2625" s="1" t="s">
        <v>1556</v>
      </c>
      <c r="H2625" s="1" t="s">
        <v>25</v>
      </c>
      <c r="I2625" s="1" t="s">
        <v>23</v>
      </c>
      <c r="M2625" s="1" t="b">
        <v>1</v>
      </c>
    </row>
    <row r="2626" spans="4:13">
      <c r="D2626" s="1" t="s">
        <v>1560</v>
      </c>
      <c r="E2626" s="1" t="s">
        <v>1558</v>
      </c>
      <c r="F2626" s="1" t="s">
        <v>35</v>
      </c>
      <c r="G2626" s="1" t="s">
        <v>36</v>
      </c>
      <c r="H2626" s="1" t="s">
        <v>22</v>
      </c>
      <c r="I2626" s="1" t="s">
        <v>23</v>
      </c>
      <c r="J2626" s="1">
        <v>-459.67</v>
      </c>
      <c r="L2626" s="1">
        <v>80.329999999999984</v>
      </c>
      <c r="M2626" s="1">
        <v>40.999999999999943</v>
      </c>
    </row>
    <row r="2627" spans="4:13">
      <c r="D2627" s="1" t="s">
        <v>1560</v>
      </c>
      <c r="E2627" s="1" t="s">
        <v>33</v>
      </c>
      <c r="H2627" s="1" t="s">
        <v>25</v>
      </c>
      <c r="I2627" s="1" t="s">
        <v>23</v>
      </c>
      <c r="M2627" s="1" t="b">
        <v>0</v>
      </c>
    </row>
    <row r="2628" spans="4:13">
      <c r="D2628" s="1" t="s">
        <v>1560</v>
      </c>
      <c r="E2628" s="1" t="s">
        <v>47</v>
      </c>
      <c r="H2628" s="1" t="s">
        <v>25</v>
      </c>
      <c r="I2628" s="1" t="s">
        <v>23</v>
      </c>
      <c r="M2628" s="1" t="b">
        <v>0</v>
      </c>
    </row>
    <row r="2629" spans="4:13">
      <c r="D2629" s="1" t="s">
        <v>1561</v>
      </c>
      <c r="E2629" s="1" t="s">
        <v>1562</v>
      </c>
      <c r="H2629" s="1" t="s">
        <v>22</v>
      </c>
      <c r="I2629" s="1" t="s">
        <v>23</v>
      </c>
      <c r="J2629" s="1">
        <v>0</v>
      </c>
      <c r="K2629" s="1">
        <v>1</v>
      </c>
      <c r="L2629" s="1">
        <v>1</v>
      </c>
      <c r="M2629" s="1">
        <v>0.5</v>
      </c>
    </row>
    <row r="2630" spans="4:13">
      <c r="D2630" s="1" t="s">
        <v>1561</v>
      </c>
      <c r="E2630" s="1" t="s">
        <v>47</v>
      </c>
      <c r="H2630" s="1" t="s">
        <v>25</v>
      </c>
      <c r="I2630" s="1" t="s">
        <v>23</v>
      </c>
      <c r="M2630" s="1" t="b">
        <v>0</v>
      </c>
    </row>
    <row r="2631" spans="4:13">
      <c r="D2631" s="1" t="s">
        <v>1561</v>
      </c>
      <c r="E2631" s="1" t="s">
        <v>1508</v>
      </c>
      <c r="H2631" s="1" t="s">
        <v>25</v>
      </c>
      <c r="I2631" s="1" t="s">
        <v>23</v>
      </c>
      <c r="M2631" s="1" t="b">
        <v>0</v>
      </c>
    </row>
    <row r="2632" spans="4:13">
      <c r="D2632" s="1" t="s">
        <v>1561</v>
      </c>
      <c r="E2632" s="1" t="s">
        <v>1563</v>
      </c>
      <c r="H2632" s="1" t="s">
        <v>25</v>
      </c>
      <c r="I2632" s="1" t="s">
        <v>23</v>
      </c>
      <c r="M2632" s="1" t="b">
        <v>0</v>
      </c>
    </row>
    <row r="2633" spans="4:13">
      <c r="D2633" s="1" t="s">
        <v>1561</v>
      </c>
      <c r="E2633" s="1" t="s">
        <v>1564</v>
      </c>
      <c r="F2633" s="1" t="s">
        <v>52</v>
      </c>
      <c r="G2633" s="1" t="s">
        <v>53</v>
      </c>
      <c r="H2633" s="1" t="s">
        <v>22</v>
      </c>
      <c r="I2633" s="1" t="s">
        <v>23</v>
      </c>
      <c r="L2633" s="1">
        <v>7936.6414386555998</v>
      </c>
      <c r="M2633" s="1">
        <v>0</v>
      </c>
    </row>
    <row r="2634" spans="4:13">
      <c r="D2634" s="1" t="s">
        <v>1561</v>
      </c>
      <c r="E2634" s="1" t="s">
        <v>1565</v>
      </c>
      <c r="F2634" s="1" t="s">
        <v>52</v>
      </c>
      <c r="G2634" s="1" t="s">
        <v>53</v>
      </c>
      <c r="H2634" s="1" t="s">
        <v>22</v>
      </c>
      <c r="I2634" s="1" t="s">
        <v>23</v>
      </c>
      <c r="L2634" s="1">
        <v>7936.6414386555998</v>
      </c>
      <c r="M2634" s="1">
        <v>0</v>
      </c>
    </row>
    <row r="2635" spans="4:13">
      <c r="D2635" s="1" t="s">
        <v>1561</v>
      </c>
      <c r="E2635" s="1" t="s">
        <v>1566</v>
      </c>
      <c r="F2635" s="1" t="s">
        <v>56</v>
      </c>
      <c r="G2635" s="1" t="s">
        <v>57</v>
      </c>
      <c r="H2635" s="1" t="s">
        <v>22</v>
      </c>
      <c r="I2635" s="1" t="s">
        <v>29</v>
      </c>
      <c r="J2635" s="1">
        <v>4.9312830828271128</v>
      </c>
      <c r="K2635" s="1">
        <v>623.66227223989961</v>
      </c>
      <c r="L2635" s="1">
        <v>50.713895374744951</v>
      </c>
    </row>
    <row r="2636" spans="4:13">
      <c r="D2636" s="1" t="s">
        <v>1561</v>
      </c>
      <c r="E2636" s="1" t="s">
        <v>1567</v>
      </c>
      <c r="F2636" s="1" t="s">
        <v>52</v>
      </c>
      <c r="G2636" s="1" t="s">
        <v>53</v>
      </c>
      <c r="H2636" s="1" t="s">
        <v>22</v>
      </c>
      <c r="I2636" s="1" t="s">
        <v>29</v>
      </c>
      <c r="J2636" s="1">
        <v>-793664.14386555995</v>
      </c>
      <c r="K2636" s="1">
        <v>0</v>
      </c>
      <c r="L2636" s="1">
        <v>7936.6414386555998</v>
      </c>
    </row>
    <row r="2637" spans="4:13">
      <c r="D2637" s="1" t="s">
        <v>1561</v>
      </c>
      <c r="E2637" s="1" t="s">
        <v>1568</v>
      </c>
      <c r="F2637" s="1" t="s">
        <v>52</v>
      </c>
      <c r="G2637" s="1" t="s">
        <v>53</v>
      </c>
      <c r="H2637" s="1" t="s">
        <v>22</v>
      </c>
      <c r="I2637" s="1" t="s">
        <v>29</v>
      </c>
      <c r="J2637" s="1">
        <v>-793664.14386555995</v>
      </c>
      <c r="K2637" s="1">
        <v>0</v>
      </c>
      <c r="L2637" s="1">
        <v>7936.6414386555998</v>
      </c>
    </row>
    <row r="2638" spans="4:13">
      <c r="D2638" s="1" t="s">
        <v>1561</v>
      </c>
      <c r="E2638" s="1" t="s">
        <v>62</v>
      </c>
      <c r="H2638" s="1" t="s">
        <v>63</v>
      </c>
      <c r="I2638" s="1" t="s">
        <v>23</v>
      </c>
      <c r="M2638" s="1">
        <v>1</v>
      </c>
    </row>
    <row r="2639" spans="4:13">
      <c r="D2639" s="1" t="s">
        <v>1569</v>
      </c>
      <c r="E2639" s="1" t="s">
        <v>1562</v>
      </c>
      <c r="H2639" s="1" t="s">
        <v>22</v>
      </c>
      <c r="I2639" s="1" t="s">
        <v>23</v>
      </c>
      <c r="J2639" s="1">
        <v>0</v>
      </c>
      <c r="K2639" s="1">
        <v>1</v>
      </c>
      <c r="L2639" s="1">
        <v>1</v>
      </c>
      <c r="M2639" s="1">
        <v>0.01</v>
      </c>
    </row>
    <row r="2640" spans="4:13">
      <c r="D2640" s="1" t="s">
        <v>1569</v>
      </c>
      <c r="E2640" s="1" t="s">
        <v>47</v>
      </c>
      <c r="H2640" s="1" t="s">
        <v>25</v>
      </c>
      <c r="I2640" s="1" t="s">
        <v>23</v>
      </c>
      <c r="M2640" s="1" t="b">
        <v>0</v>
      </c>
    </row>
    <row r="2641" spans="4:13">
      <c r="D2641" s="1" t="s">
        <v>1569</v>
      </c>
      <c r="E2641" s="1" t="s">
        <v>1508</v>
      </c>
      <c r="H2641" s="1" t="s">
        <v>25</v>
      </c>
      <c r="I2641" s="1" t="s">
        <v>23</v>
      </c>
      <c r="M2641" s="1" t="b">
        <v>1</v>
      </c>
    </row>
    <row r="2642" spans="4:13">
      <c r="D2642" s="1" t="s">
        <v>1569</v>
      </c>
      <c r="E2642" s="1" t="s">
        <v>1563</v>
      </c>
      <c r="H2642" s="1" t="s">
        <v>25</v>
      </c>
      <c r="I2642" s="1" t="s">
        <v>23</v>
      </c>
      <c r="M2642" s="1" t="b">
        <v>0</v>
      </c>
    </row>
    <row r="2643" spans="4:13">
      <c r="D2643" s="1" t="s">
        <v>1569</v>
      </c>
      <c r="E2643" s="1" t="s">
        <v>1564</v>
      </c>
      <c r="F2643" s="1" t="s">
        <v>52</v>
      </c>
      <c r="G2643" s="1" t="s">
        <v>53</v>
      </c>
      <c r="H2643" s="1" t="s">
        <v>22</v>
      </c>
      <c r="I2643" s="1" t="s">
        <v>23</v>
      </c>
      <c r="L2643" s="1">
        <v>7936.6414386555998</v>
      </c>
      <c r="M2643" s="1">
        <v>0</v>
      </c>
    </row>
    <row r="2644" spans="4:13">
      <c r="D2644" s="1" t="s">
        <v>1569</v>
      </c>
      <c r="E2644" s="1" t="s">
        <v>1565</v>
      </c>
      <c r="F2644" s="1" t="s">
        <v>52</v>
      </c>
      <c r="G2644" s="1" t="s">
        <v>53</v>
      </c>
      <c r="H2644" s="1" t="s">
        <v>22</v>
      </c>
      <c r="I2644" s="1" t="s">
        <v>23</v>
      </c>
      <c r="L2644" s="1">
        <v>7936.6414386555998</v>
      </c>
      <c r="M2644" s="1">
        <v>0</v>
      </c>
    </row>
    <row r="2645" spans="4:13">
      <c r="D2645" s="1" t="s">
        <v>1569</v>
      </c>
      <c r="E2645" s="1" t="s">
        <v>1566</v>
      </c>
      <c r="F2645" s="1" t="s">
        <v>56</v>
      </c>
      <c r="G2645" s="1" t="s">
        <v>57</v>
      </c>
      <c r="H2645" s="1" t="s">
        <v>22</v>
      </c>
      <c r="I2645" s="1" t="s">
        <v>29</v>
      </c>
      <c r="J2645" s="1">
        <v>4.9312830828271128</v>
      </c>
      <c r="K2645" s="1">
        <v>623.66227223989961</v>
      </c>
      <c r="L2645" s="1">
        <v>50.713895374744951</v>
      </c>
    </row>
    <row r="2646" spans="4:13">
      <c r="D2646" s="1" t="s">
        <v>1569</v>
      </c>
      <c r="E2646" s="1" t="s">
        <v>1567</v>
      </c>
      <c r="F2646" s="1" t="s">
        <v>52</v>
      </c>
      <c r="G2646" s="1" t="s">
        <v>53</v>
      </c>
      <c r="H2646" s="1" t="s">
        <v>22</v>
      </c>
      <c r="I2646" s="1" t="s">
        <v>29</v>
      </c>
      <c r="J2646" s="1">
        <v>-793664.14386555995</v>
      </c>
      <c r="K2646" s="1">
        <v>0</v>
      </c>
      <c r="L2646" s="1">
        <v>7936.6414386555998</v>
      </c>
    </row>
    <row r="2647" spans="4:13">
      <c r="D2647" s="1" t="s">
        <v>1569</v>
      </c>
      <c r="E2647" s="1" t="s">
        <v>1568</v>
      </c>
      <c r="F2647" s="1" t="s">
        <v>52</v>
      </c>
      <c r="G2647" s="1" t="s">
        <v>53</v>
      </c>
      <c r="H2647" s="1" t="s">
        <v>22</v>
      </c>
      <c r="I2647" s="1" t="s">
        <v>29</v>
      </c>
      <c r="J2647" s="1">
        <v>-793664.14386555995</v>
      </c>
      <c r="K2647" s="1">
        <v>0</v>
      </c>
      <c r="L2647" s="1">
        <v>7936.6414386555998</v>
      </c>
    </row>
    <row r="2648" spans="4:13">
      <c r="D2648" s="1" t="s">
        <v>1569</v>
      </c>
      <c r="E2648" s="1" t="s">
        <v>62</v>
      </c>
      <c r="H2648" s="1" t="s">
        <v>63</v>
      </c>
      <c r="I2648" s="1" t="s">
        <v>23</v>
      </c>
      <c r="M2648" s="1">
        <v>1</v>
      </c>
    </row>
    <row r="2649" spans="4:13">
      <c r="D2649" s="1" t="s">
        <v>1570</v>
      </c>
      <c r="E2649" s="1" t="s">
        <v>1562</v>
      </c>
      <c r="H2649" s="1" t="s">
        <v>22</v>
      </c>
      <c r="I2649" s="1" t="s">
        <v>23</v>
      </c>
      <c r="J2649" s="1">
        <v>0</v>
      </c>
      <c r="K2649" s="1">
        <v>1</v>
      </c>
      <c r="L2649" s="1">
        <v>1</v>
      </c>
      <c r="M2649" s="1">
        <v>0.01</v>
      </c>
    </row>
    <row r="2650" spans="4:13">
      <c r="D2650" s="1" t="s">
        <v>1570</v>
      </c>
      <c r="E2650" s="1" t="s">
        <v>47</v>
      </c>
      <c r="H2650" s="1" t="s">
        <v>25</v>
      </c>
      <c r="I2650" s="1" t="s">
        <v>23</v>
      </c>
      <c r="M2650" s="1" t="b">
        <v>0</v>
      </c>
    </row>
    <row r="2651" spans="4:13">
      <c r="D2651" s="1" t="s">
        <v>1570</v>
      </c>
      <c r="E2651" s="1" t="s">
        <v>1508</v>
      </c>
      <c r="H2651" s="1" t="s">
        <v>25</v>
      </c>
      <c r="I2651" s="1" t="s">
        <v>23</v>
      </c>
      <c r="M2651" s="1" t="b">
        <v>0</v>
      </c>
    </row>
    <row r="2652" spans="4:13">
      <c r="D2652" s="1" t="s">
        <v>1570</v>
      </c>
      <c r="E2652" s="1" t="s">
        <v>1563</v>
      </c>
      <c r="H2652" s="1" t="s">
        <v>25</v>
      </c>
      <c r="I2652" s="1" t="s">
        <v>23</v>
      </c>
      <c r="M2652" s="1" t="b">
        <v>0</v>
      </c>
    </row>
    <row r="2653" spans="4:13">
      <c r="D2653" s="1" t="s">
        <v>1570</v>
      </c>
      <c r="E2653" s="1" t="s">
        <v>1564</v>
      </c>
      <c r="F2653" s="1" t="s">
        <v>52</v>
      </c>
      <c r="G2653" s="1" t="s">
        <v>53</v>
      </c>
      <c r="H2653" s="1" t="s">
        <v>22</v>
      </c>
      <c r="I2653" s="1" t="s">
        <v>23</v>
      </c>
      <c r="L2653" s="1">
        <v>7936.6414386555998</v>
      </c>
      <c r="M2653" s="1">
        <v>0</v>
      </c>
    </row>
    <row r="2654" spans="4:13">
      <c r="D2654" s="1" t="s">
        <v>1570</v>
      </c>
      <c r="E2654" s="1" t="s">
        <v>1565</v>
      </c>
      <c r="F2654" s="1" t="s">
        <v>52</v>
      </c>
      <c r="G2654" s="1" t="s">
        <v>53</v>
      </c>
      <c r="H2654" s="1" t="s">
        <v>22</v>
      </c>
      <c r="I2654" s="1" t="s">
        <v>23</v>
      </c>
      <c r="L2654" s="1">
        <v>7936.6414386555998</v>
      </c>
      <c r="M2654" s="1">
        <v>0</v>
      </c>
    </row>
    <row r="2655" spans="4:13">
      <c r="D2655" s="1" t="s">
        <v>1570</v>
      </c>
      <c r="E2655" s="1" t="s">
        <v>1566</v>
      </c>
      <c r="F2655" s="1" t="s">
        <v>56</v>
      </c>
      <c r="G2655" s="1" t="s">
        <v>57</v>
      </c>
      <c r="H2655" s="1" t="s">
        <v>22</v>
      </c>
      <c r="I2655" s="1" t="s">
        <v>29</v>
      </c>
      <c r="J2655" s="1">
        <v>4.9312830828271128</v>
      </c>
      <c r="K2655" s="1">
        <v>623.66227223989961</v>
      </c>
      <c r="L2655" s="1">
        <v>50.713895374744951</v>
      </c>
    </row>
    <row r="2656" spans="4:13">
      <c r="D2656" s="1" t="s">
        <v>1570</v>
      </c>
      <c r="E2656" s="1" t="s">
        <v>1567</v>
      </c>
      <c r="F2656" s="1" t="s">
        <v>52</v>
      </c>
      <c r="G2656" s="1" t="s">
        <v>53</v>
      </c>
      <c r="H2656" s="1" t="s">
        <v>22</v>
      </c>
      <c r="I2656" s="1" t="s">
        <v>29</v>
      </c>
      <c r="J2656" s="1">
        <v>-793664.14386555995</v>
      </c>
      <c r="K2656" s="1">
        <v>0</v>
      </c>
      <c r="L2656" s="1">
        <v>7936.6414386555998</v>
      </c>
    </row>
    <row r="2657" spans="4:13">
      <c r="D2657" s="1" t="s">
        <v>1570</v>
      </c>
      <c r="E2657" s="1" t="s">
        <v>1568</v>
      </c>
      <c r="F2657" s="1" t="s">
        <v>52</v>
      </c>
      <c r="G2657" s="1" t="s">
        <v>53</v>
      </c>
      <c r="H2657" s="1" t="s">
        <v>22</v>
      </c>
      <c r="I2657" s="1" t="s">
        <v>29</v>
      </c>
      <c r="J2657" s="1">
        <v>-793664.14386555995</v>
      </c>
      <c r="K2657" s="1">
        <v>0</v>
      </c>
      <c r="L2657" s="1">
        <v>7936.6414386555998</v>
      </c>
    </row>
    <row r="2658" spans="4:13">
      <c r="D2658" s="1" t="s">
        <v>1570</v>
      </c>
      <c r="E2658" s="1" t="s">
        <v>62</v>
      </c>
      <c r="H2658" s="1" t="s">
        <v>63</v>
      </c>
      <c r="I2658" s="1" t="s">
        <v>23</v>
      </c>
      <c r="M2658" s="1">
        <v>1</v>
      </c>
    </row>
    <row r="2659" spans="4:13">
      <c r="D2659" s="1" t="s">
        <v>1571</v>
      </c>
      <c r="E2659" s="1" t="s">
        <v>1572</v>
      </c>
      <c r="H2659" s="1" t="s">
        <v>25</v>
      </c>
      <c r="I2659" s="1" t="s">
        <v>23</v>
      </c>
      <c r="M2659" s="1" t="b">
        <v>0</v>
      </c>
    </row>
    <row r="2660" spans="4:13">
      <c r="D2660" s="1" t="s">
        <v>1571</v>
      </c>
      <c r="E2660" s="1" t="s">
        <v>1573</v>
      </c>
      <c r="F2660" s="1" t="s">
        <v>147</v>
      </c>
      <c r="G2660" s="1" t="s">
        <v>148</v>
      </c>
      <c r="H2660" s="1" t="s">
        <v>22</v>
      </c>
      <c r="I2660" s="1" t="s">
        <v>23</v>
      </c>
      <c r="L2660" s="1">
        <v>3.4121416351331</v>
      </c>
      <c r="M2660" s="1">
        <v>12000000.007063219</v>
      </c>
    </row>
    <row r="2661" spans="4:13">
      <c r="D2661" s="1" t="s">
        <v>1571</v>
      </c>
      <c r="E2661" s="1" t="s">
        <v>1574</v>
      </c>
      <c r="H2661" s="1" t="s">
        <v>25</v>
      </c>
      <c r="I2661" s="1" t="s">
        <v>23</v>
      </c>
      <c r="M2661" s="1" t="b">
        <v>0</v>
      </c>
    </row>
    <row r="2662" spans="4:13">
      <c r="D2662" s="1" t="s">
        <v>1571</v>
      </c>
      <c r="E2662" s="1" t="s">
        <v>1575</v>
      </c>
      <c r="F2662" s="1" t="s">
        <v>147</v>
      </c>
      <c r="G2662" s="1" t="s">
        <v>148</v>
      </c>
      <c r="H2662" s="1" t="s">
        <v>22</v>
      </c>
      <c r="I2662" s="1" t="s">
        <v>23</v>
      </c>
      <c r="L2662" s="1">
        <v>3.4121416351331</v>
      </c>
      <c r="M2662" s="1">
        <v>0</v>
      </c>
    </row>
    <row r="2663" spans="4:13">
      <c r="D2663" s="1" t="s">
        <v>1571</v>
      </c>
      <c r="E2663" s="1" t="s">
        <v>1576</v>
      </c>
      <c r="H2663" s="1" t="s">
        <v>25</v>
      </c>
      <c r="I2663" s="1" t="s">
        <v>23</v>
      </c>
      <c r="M2663" s="1" t="b">
        <v>0</v>
      </c>
    </row>
    <row r="2664" spans="4:13">
      <c r="D2664" s="1" t="s">
        <v>1571</v>
      </c>
      <c r="E2664" s="1" t="s">
        <v>1577</v>
      </c>
      <c r="H2664" s="1" t="s">
        <v>25</v>
      </c>
      <c r="I2664" s="1" t="s">
        <v>23</v>
      </c>
      <c r="M2664" s="1" t="b">
        <v>0</v>
      </c>
    </row>
    <row r="2665" spans="4:13">
      <c r="D2665" s="1" t="s">
        <v>1571</v>
      </c>
      <c r="E2665" s="1" t="s">
        <v>1578</v>
      </c>
      <c r="H2665" s="1" t="s">
        <v>22</v>
      </c>
      <c r="I2665" s="1" t="s">
        <v>23</v>
      </c>
      <c r="L2665" s="1">
        <v>1</v>
      </c>
      <c r="M2665" s="1">
        <v>0.88</v>
      </c>
    </row>
    <row r="2666" spans="4:13">
      <c r="D2666" s="1" t="s">
        <v>1571</v>
      </c>
      <c r="E2666" s="1" t="s">
        <v>1579</v>
      </c>
      <c r="H2666" s="1" t="s">
        <v>25</v>
      </c>
      <c r="I2666" s="1" t="s">
        <v>23</v>
      </c>
      <c r="M2666" s="1" t="b">
        <v>1</v>
      </c>
    </row>
    <row r="2667" spans="4:13">
      <c r="D2667" s="1" t="s">
        <v>1571</v>
      </c>
      <c r="E2667" s="1" t="s">
        <v>1580</v>
      </c>
      <c r="H2667" s="1" t="s">
        <v>25</v>
      </c>
      <c r="I2667" s="1" t="s">
        <v>23</v>
      </c>
      <c r="M2667" s="1" t="b">
        <v>0</v>
      </c>
    </row>
    <row r="2668" spans="4:13">
      <c r="D2668" s="1" t="s">
        <v>1571</v>
      </c>
      <c r="E2668" s="1" t="s">
        <v>1581</v>
      </c>
      <c r="H2668" s="1" t="s">
        <v>25</v>
      </c>
      <c r="I2668" s="1" t="s">
        <v>23</v>
      </c>
      <c r="M2668" s="1" t="b">
        <v>0</v>
      </c>
    </row>
    <row r="2669" spans="4:13">
      <c r="D2669" s="1" t="s">
        <v>1571</v>
      </c>
      <c r="E2669" s="1" t="s">
        <v>1582</v>
      </c>
      <c r="F2669" s="1" t="s">
        <v>147</v>
      </c>
      <c r="G2669" s="1" t="s">
        <v>148</v>
      </c>
      <c r="H2669" s="1" t="s">
        <v>22</v>
      </c>
      <c r="I2669" s="1" t="s">
        <v>23</v>
      </c>
      <c r="L2669" s="1">
        <v>3.4121416351331</v>
      </c>
      <c r="M2669" s="1">
        <v>0</v>
      </c>
    </row>
    <row r="2670" spans="4:13">
      <c r="D2670" s="1" t="s">
        <v>1571</v>
      </c>
      <c r="E2670" s="1" t="s">
        <v>1583</v>
      </c>
      <c r="H2670" s="1" t="s">
        <v>25</v>
      </c>
      <c r="I2670" s="1" t="s">
        <v>23</v>
      </c>
      <c r="M2670" s="1" t="b">
        <v>0</v>
      </c>
    </row>
    <row r="2671" spans="4:13">
      <c r="D2671" s="1" t="s">
        <v>1571</v>
      </c>
      <c r="E2671" s="1" t="s">
        <v>1584</v>
      </c>
      <c r="F2671" s="1" t="s">
        <v>147</v>
      </c>
      <c r="G2671" s="1" t="s">
        <v>148</v>
      </c>
      <c r="H2671" s="1" t="s">
        <v>22</v>
      </c>
      <c r="I2671" s="1" t="s">
        <v>23</v>
      </c>
      <c r="L2671" s="1">
        <v>3.4121416351331</v>
      </c>
      <c r="M2671" s="1">
        <v>0</v>
      </c>
    </row>
    <row r="2672" spans="4:13">
      <c r="D2672" s="1" t="s">
        <v>1571</v>
      </c>
      <c r="E2672" s="1" t="s">
        <v>1585</v>
      </c>
      <c r="H2672" s="1" t="s">
        <v>25</v>
      </c>
      <c r="I2672" s="1" t="s">
        <v>23</v>
      </c>
      <c r="M2672" s="1" t="b">
        <v>0</v>
      </c>
    </row>
    <row r="2673" spans="1:13">
      <c r="D2673" s="1" t="s">
        <v>1571</v>
      </c>
      <c r="E2673" s="1" t="s">
        <v>1586</v>
      </c>
      <c r="F2673" s="1" t="s">
        <v>147</v>
      </c>
      <c r="G2673" s="1" t="s">
        <v>148</v>
      </c>
      <c r="H2673" s="1" t="s">
        <v>22</v>
      </c>
      <c r="I2673" s="1" t="s">
        <v>23</v>
      </c>
      <c r="L2673" s="1">
        <v>3.4121416351331</v>
      </c>
      <c r="M2673" s="1">
        <v>0</v>
      </c>
    </row>
    <row r="2674" spans="1:13">
      <c r="D2674" s="1" t="s">
        <v>1571</v>
      </c>
      <c r="E2674" s="1" t="s">
        <v>1587</v>
      </c>
      <c r="H2674" s="1" t="s">
        <v>25</v>
      </c>
      <c r="I2674" s="1" t="s">
        <v>23</v>
      </c>
      <c r="M2674" s="1" t="b">
        <v>0</v>
      </c>
    </row>
    <row r="2675" spans="1:13">
      <c r="D2675" s="1" t="s">
        <v>1571</v>
      </c>
      <c r="E2675" s="1" t="s">
        <v>1588</v>
      </c>
      <c r="F2675" s="1" t="s">
        <v>147</v>
      </c>
      <c r="G2675" s="1" t="s">
        <v>148</v>
      </c>
      <c r="H2675" s="1" t="s">
        <v>22</v>
      </c>
      <c r="I2675" s="1" t="s">
        <v>23</v>
      </c>
      <c r="L2675" s="1">
        <v>3.4121416351331</v>
      </c>
      <c r="M2675" s="1">
        <v>0</v>
      </c>
    </row>
    <row r="2676" spans="1:13">
      <c r="A2676" s="2" t="s">
        <v>1758</v>
      </c>
      <c r="B2676" s="3" t="s">
        <v>1802</v>
      </c>
      <c r="D2676" s="1" t="s">
        <v>1571</v>
      </c>
      <c r="E2676" s="1" t="s">
        <v>1589</v>
      </c>
      <c r="H2676" s="1" t="s">
        <v>22</v>
      </c>
      <c r="I2676" s="1" t="s">
        <v>65</v>
      </c>
      <c r="L2676" s="1">
        <v>1</v>
      </c>
    </row>
    <row r="2677" spans="1:13">
      <c r="D2677" s="1" t="s">
        <v>1571</v>
      </c>
      <c r="E2677" s="1" t="s">
        <v>1590</v>
      </c>
      <c r="H2677" s="1" t="s">
        <v>22</v>
      </c>
      <c r="I2677" s="1" t="s">
        <v>65</v>
      </c>
      <c r="L2677" s="1">
        <v>1</v>
      </c>
    </row>
    <row r="2678" spans="1:13">
      <c r="D2678" s="1" t="s">
        <v>1571</v>
      </c>
      <c r="E2678" s="1" t="s">
        <v>1591</v>
      </c>
      <c r="F2678" s="1" t="s">
        <v>147</v>
      </c>
      <c r="G2678" s="1" t="s">
        <v>148</v>
      </c>
      <c r="H2678" s="1" t="s">
        <v>22</v>
      </c>
      <c r="I2678" s="1" t="s">
        <v>65</v>
      </c>
      <c r="L2678" s="1">
        <v>3.4121416351331</v>
      </c>
    </row>
    <row r="2679" spans="1:13">
      <c r="D2679" s="1" t="s">
        <v>1571</v>
      </c>
      <c r="E2679" s="1" t="s">
        <v>1592</v>
      </c>
      <c r="F2679" s="1" t="s">
        <v>147</v>
      </c>
      <c r="G2679" s="1" t="s">
        <v>148</v>
      </c>
      <c r="H2679" s="1" t="s">
        <v>22</v>
      </c>
      <c r="I2679" s="1" t="s">
        <v>120</v>
      </c>
      <c r="L2679" s="1">
        <v>3.4121416351331</v>
      </c>
    </row>
    <row r="2680" spans="1:13">
      <c r="B2680" s="3" t="s">
        <v>1706</v>
      </c>
      <c r="D2680" s="1" t="s">
        <v>1571</v>
      </c>
      <c r="E2680" s="1" t="s">
        <v>1593</v>
      </c>
      <c r="F2680" s="1" t="s">
        <v>147</v>
      </c>
      <c r="G2680" s="1" t="s">
        <v>148</v>
      </c>
      <c r="H2680" s="1" t="s">
        <v>22</v>
      </c>
      <c r="I2680" s="1" t="s">
        <v>65</v>
      </c>
      <c r="L2680" s="1">
        <v>3.4121416351331</v>
      </c>
    </row>
    <row r="2681" spans="1:13">
      <c r="A2681" s="2" t="s">
        <v>1758</v>
      </c>
      <c r="B2681" s="3" t="s">
        <v>1803</v>
      </c>
      <c r="D2681" s="1" t="s">
        <v>1571</v>
      </c>
      <c r="E2681" s="1" t="s">
        <v>1594</v>
      </c>
      <c r="H2681" s="1" t="s">
        <v>22</v>
      </c>
      <c r="I2681" s="1" t="s">
        <v>65</v>
      </c>
      <c r="L2681" s="1">
        <v>1</v>
      </c>
    </row>
    <row r="2682" spans="1:13">
      <c r="D2682" s="1" t="s">
        <v>1571</v>
      </c>
      <c r="E2682" s="1" t="s">
        <v>1595</v>
      </c>
      <c r="H2682" s="1" t="s">
        <v>22</v>
      </c>
      <c r="I2682" s="1" t="s">
        <v>65</v>
      </c>
      <c r="L2682" s="1">
        <v>1</v>
      </c>
    </row>
    <row r="2683" spans="1:13">
      <c r="D2683" s="1" t="s">
        <v>1571</v>
      </c>
      <c r="E2683" s="1" t="s">
        <v>1596</v>
      </c>
      <c r="F2683" s="1" t="s">
        <v>147</v>
      </c>
      <c r="G2683" s="1" t="s">
        <v>148</v>
      </c>
      <c r="H2683" s="1" t="s">
        <v>22</v>
      </c>
      <c r="I2683" s="1" t="s">
        <v>65</v>
      </c>
      <c r="L2683" s="1">
        <v>3.4121416351331</v>
      </c>
    </row>
    <row r="2684" spans="1:13">
      <c r="D2684" s="1" t="s">
        <v>1571</v>
      </c>
      <c r="E2684" s="1" t="s">
        <v>1597</v>
      </c>
      <c r="F2684" s="1" t="s">
        <v>147</v>
      </c>
      <c r="G2684" s="1" t="s">
        <v>148</v>
      </c>
      <c r="H2684" s="1" t="s">
        <v>22</v>
      </c>
      <c r="I2684" s="1" t="s">
        <v>120</v>
      </c>
      <c r="L2684" s="1">
        <v>3.4121416351331</v>
      </c>
    </row>
    <row r="2685" spans="1:13">
      <c r="D2685" s="1" t="s">
        <v>1571</v>
      </c>
      <c r="E2685" s="1" t="s">
        <v>1598</v>
      </c>
      <c r="F2685" s="1" t="s">
        <v>147</v>
      </c>
      <c r="G2685" s="1" t="s">
        <v>148</v>
      </c>
      <c r="H2685" s="1" t="s">
        <v>22</v>
      </c>
      <c r="I2685" s="1" t="s">
        <v>65</v>
      </c>
      <c r="L2685" s="1">
        <v>3.4121416351331</v>
      </c>
    </row>
    <row r="2686" spans="1:13">
      <c r="D2686" s="1" t="s">
        <v>1571</v>
      </c>
      <c r="E2686" s="1" t="s">
        <v>1599</v>
      </c>
      <c r="H2686" s="1" t="s">
        <v>25</v>
      </c>
      <c r="I2686" s="1" t="s">
        <v>120</v>
      </c>
    </row>
    <row r="2687" spans="1:13">
      <c r="D2687" s="1" t="s">
        <v>1571</v>
      </c>
      <c r="E2687" s="1" t="s">
        <v>1600</v>
      </c>
      <c r="H2687" s="1" t="s">
        <v>25</v>
      </c>
      <c r="I2687" s="1" t="s">
        <v>120</v>
      </c>
    </row>
    <row r="2688" spans="1:13">
      <c r="A2688" s="2" t="s">
        <v>1758</v>
      </c>
      <c r="B2688" s="3" t="s">
        <v>1804</v>
      </c>
      <c r="D2688" s="1" t="s">
        <v>1571</v>
      </c>
      <c r="E2688" s="1" t="s">
        <v>1601</v>
      </c>
      <c r="H2688" s="1" t="s">
        <v>22</v>
      </c>
      <c r="I2688" s="1" t="s">
        <v>65</v>
      </c>
      <c r="L2688" s="1">
        <v>1</v>
      </c>
    </row>
    <row r="2689" spans="1:13">
      <c r="D2689" s="1" t="s">
        <v>1571</v>
      </c>
      <c r="E2689" s="1" t="s">
        <v>1602</v>
      </c>
      <c r="F2689" s="1" t="s">
        <v>118</v>
      </c>
      <c r="G2689" s="1" t="s">
        <v>119</v>
      </c>
      <c r="H2689" s="1" t="s">
        <v>22</v>
      </c>
      <c r="I2689" s="1" t="s">
        <v>65</v>
      </c>
      <c r="J2689" s="1">
        <v>0</v>
      </c>
      <c r="L2689" s="1">
        <v>2.20462262185</v>
      </c>
    </row>
    <row r="2690" spans="1:13">
      <c r="D2690" s="1" t="s">
        <v>1571</v>
      </c>
      <c r="E2690" s="1" t="s">
        <v>1603</v>
      </c>
      <c r="F2690" s="1" t="s">
        <v>118</v>
      </c>
      <c r="G2690" s="1" t="s">
        <v>119</v>
      </c>
      <c r="H2690" s="1" t="s">
        <v>22</v>
      </c>
      <c r="I2690" s="1" t="s">
        <v>120</v>
      </c>
      <c r="J2690" s="1">
        <v>0</v>
      </c>
      <c r="L2690" s="1">
        <v>2.20462262185</v>
      </c>
    </row>
    <row r="2691" spans="1:13">
      <c r="D2691" s="1" t="s">
        <v>1571</v>
      </c>
      <c r="E2691" s="1" t="s">
        <v>1604</v>
      </c>
      <c r="H2691" s="1" t="s">
        <v>150</v>
      </c>
      <c r="I2691" s="1" t="s">
        <v>120</v>
      </c>
    </row>
    <row r="2692" spans="1:13">
      <c r="D2692" s="1" t="s">
        <v>1571</v>
      </c>
      <c r="E2692" s="1" t="s">
        <v>1605</v>
      </c>
      <c r="H2692" s="1" t="s">
        <v>63</v>
      </c>
      <c r="I2692" s="1" t="s">
        <v>120</v>
      </c>
    </row>
    <row r="2693" spans="1:13">
      <c r="D2693" s="1" t="s">
        <v>1571</v>
      </c>
      <c r="E2693" s="1" t="s">
        <v>1606</v>
      </c>
      <c r="H2693" s="1" t="s">
        <v>22</v>
      </c>
      <c r="I2693" s="1" t="s">
        <v>120</v>
      </c>
      <c r="L2693" s="1">
        <v>1</v>
      </c>
    </row>
    <row r="2694" spans="1:13">
      <c r="D2694" s="1" t="s">
        <v>1571</v>
      </c>
      <c r="E2694" s="1" t="s">
        <v>1607</v>
      </c>
      <c r="H2694" s="1" t="s">
        <v>22</v>
      </c>
      <c r="I2694" s="1" t="s">
        <v>120</v>
      </c>
      <c r="L2694" s="1">
        <v>1</v>
      </c>
    </row>
    <row r="2695" spans="1:13">
      <c r="D2695" s="1" t="s">
        <v>1571</v>
      </c>
      <c r="E2695" s="1" t="s">
        <v>1608</v>
      </c>
      <c r="F2695" s="1" t="s">
        <v>147</v>
      </c>
      <c r="G2695" s="1" t="s">
        <v>148</v>
      </c>
      <c r="H2695" s="1" t="s">
        <v>22</v>
      </c>
      <c r="I2695" s="1" t="s">
        <v>120</v>
      </c>
      <c r="L2695" s="1">
        <v>3.4121416351331</v>
      </c>
    </row>
    <row r="2696" spans="1:13">
      <c r="D2696" s="1" t="s">
        <v>1571</v>
      </c>
      <c r="E2696" s="1" t="s">
        <v>1609</v>
      </c>
      <c r="F2696" s="1" t="s">
        <v>147</v>
      </c>
      <c r="G2696" s="1" t="s">
        <v>148</v>
      </c>
      <c r="H2696" s="1" t="s">
        <v>22</v>
      </c>
      <c r="I2696" s="1" t="s">
        <v>120</v>
      </c>
      <c r="L2696" s="1">
        <v>3.4121416351331</v>
      </c>
    </row>
    <row r="2697" spans="1:13">
      <c r="D2697" s="1" t="s">
        <v>1571</v>
      </c>
      <c r="E2697" s="1" t="s">
        <v>1610</v>
      </c>
      <c r="F2697" s="1" t="s">
        <v>147</v>
      </c>
      <c r="G2697" s="1" t="s">
        <v>148</v>
      </c>
      <c r="H2697" s="1" t="s">
        <v>22</v>
      </c>
      <c r="I2697" s="1" t="s">
        <v>120</v>
      </c>
      <c r="L2697" s="1">
        <v>3.4121416351331</v>
      </c>
    </row>
    <row r="2698" spans="1:13">
      <c r="D2698" s="1" t="s">
        <v>1571</v>
      </c>
      <c r="E2698" s="1" t="s">
        <v>1611</v>
      </c>
      <c r="F2698" s="1" t="s">
        <v>147</v>
      </c>
      <c r="G2698" s="1" t="s">
        <v>148</v>
      </c>
      <c r="H2698" s="1" t="s">
        <v>22</v>
      </c>
      <c r="I2698" s="1" t="s">
        <v>65</v>
      </c>
      <c r="L2698" s="1">
        <v>3.4121416351331</v>
      </c>
    </row>
    <row r="2699" spans="1:13">
      <c r="D2699" s="1" t="s">
        <v>1571</v>
      </c>
      <c r="E2699" s="1" t="s">
        <v>1612</v>
      </c>
      <c r="F2699" s="1" t="s">
        <v>147</v>
      </c>
      <c r="G2699" s="1" t="s">
        <v>148</v>
      </c>
      <c r="H2699" s="1" t="s">
        <v>22</v>
      </c>
      <c r="I2699" s="1" t="s">
        <v>120</v>
      </c>
      <c r="L2699" s="1">
        <v>3.4121416351331</v>
      </c>
    </row>
    <row r="2700" spans="1:13">
      <c r="A2700" s="2" t="s">
        <v>1758</v>
      </c>
      <c r="B2700" s="3" t="s">
        <v>1805</v>
      </c>
      <c r="D2700" s="1" t="s">
        <v>1571</v>
      </c>
      <c r="E2700" s="1" t="s">
        <v>1613</v>
      </c>
      <c r="F2700" s="1" t="s">
        <v>147</v>
      </c>
      <c r="G2700" s="1" t="s">
        <v>148</v>
      </c>
      <c r="H2700" s="1" t="s">
        <v>22</v>
      </c>
      <c r="I2700" s="1" t="s">
        <v>65</v>
      </c>
      <c r="L2700" s="1">
        <v>3.4121416351331</v>
      </c>
    </row>
    <row r="2701" spans="1:13">
      <c r="D2701" s="1" t="s">
        <v>1614</v>
      </c>
      <c r="H2701" s="1" t="s">
        <v>25</v>
      </c>
      <c r="I2701" s="1" t="s">
        <v>23</v>
      </c>
      <c r="M2701" s="1" t="b">
        <v>0</v>
      </c>
    </row>
    <row r="2702" spans="1:13">
      <c r="D2702" s="1" t="s">
        <v>1615</v>
      </c>
      <c r="H2702" s="1" t="s">
        <v>25</v>
      </c>
      <c r="I2702" s="1" t="s">
        <v>23</v>
      </c>
      <c r="M2702" s="1" t="b">
        <v>1</v>
      </c>
    </row>
    <row r="2703" spans="1:13">
      <c r="D2703" s="1" t="s">
        <v>1616</v>
      </c>
      <c r="E2703" s="1" t="s">
        <v>1617</v>
      </c>
      <c r="H2703" s="1" t="s">
        <v>22</v>
      </c>
      <c r="I2703" s="1" t="s">
        <v>23</v>
      </c>
      <c r="L2703" s="1">
        <v>1</v>
      </c>
      <c r="M2703" s="1">
        <v>1</v>
      </c>
    </row>
    <row r="2704" spans="1:13">
      <c r="D2704" s="1" t="s">
        <v>1616</v>
      </c>
      <c r="E2704" s="1" t="s">
        <v>1618</v>
      </c>
      <c r="H2704" s="1" t="s">
        <v>181</v>
      </c>
      <c r="I2704" s="1" t="s">
        <v>23</v>
      </c>
      <c r="J2704" s="1">
        <v>1</v>
      </c>
      <c r="K2704" s="1">
        <v>11</v>
      </c>
      <c r="M2704" s="1" t="s">
        <v>950</v>
      </c>
    </row>
    <row r="2705" spans="1:13">
      <c r="D2705" s="1" t="s">
        <v>1616</v>
      </c>
      <c r="E2705" s="1" t="s">
        <v>1619</v>
      </c>
      <c r="F2705" s="1" t="s">
        <v>1535</v>
      </c>
      <c r="G2705" s="1" t="s">
        <v>1535</v>
      </c>
      <c r="H2705" s="1" t="s">
        <v>22</v>
      </c>
      <c r="I2705" s="1" t="s">
        <v>23</v>
      </c>
      <c r="J2705" s="1">
        <v>0</v>
      </c>
      <c r="K2705" s="1">
        <v>1000</v>
      </c>
      <c r="L2705" s="1">
        <v>1</v>
      </c>
      <c r="M2705" s="1">
        <v>50</v>
      </c>
    </row>
    <row r="2706" spans="1:13">
      <c r="D2706" s="1" t="s">
        <v>1616</v>
      </c>
      <c r="E2706" s="1" t="s">
        <v>1620</v>
      </c>
      <c r="H2706" s="1" t="s">
        <v>22</v>
      </c>
      <c r="I2706" s="1" t="s">
        <v>23</v>
      </c>
      <c r="J2706" s="1">
        <v>0</v>
      </c>
      <c r="K2706" s="1">
        <v>1</v>
      </c>
      <c r="L2706" s="1">
        <v>1</v>
      </c>
      <c r="M2706" s="1">
        <v>0.95</v>
      </c>
    </row>
    <row r="2707" spans="1:13">
      <c r="D2707" s="1" t="s">
        <v>1616</v>
      </c>
      <c r="E2707" s="1" t="s">
        <v>1621</v>
      </c>
      <c r="F2707" s="1">
        <v>1</v>
      </c>
      <c r="G2707" s="1">
        <v>1</v>
      </c>
      <c r="H2707" s="1" t="s">
        <v>22</v>
      </c>
      <c r="I2707" s="1" t="s">
        <v>29</v>
      </c>
      <c r="J2707" s="1">
        <v>0.01</v>
      </c>
      <c r="K2707" s="1">
        <v>1</v>
      </c>
      <c r="L2707" s="1">
        <v>0.95</v>
      </c>
    </row>
    <row r="2708" spans="1:13">
      <c r="D2708" s="1" t="s">
        <v>1616</v>
      </c>
      <c r="E2708" s="1" t="s">
        <v>1622</v>
      </c>
      <c r="F2708" s="1" t="s">
        <v>147</v>
      </c>
      <c r="G2708" s="1" t="s">
        <v>148</v>
      </c>
      <c r="H2708" s="1" t="s">
        <v>22</v>
      </c>
      <c r="I2708" s="1" t="s">
        <v>23</v>
      </c>
      <c r="J2708" s="1">
        <v>0</v>
      </c>
      <c r="K2708" s="1">
        <v>34121416351.331001</v>
      </c>
      <c r="L2708" s="1">
        <v>3.4121416351331</v>
      </c>
      <c r="M2708" s="1">
        <v>750671.15972928202</v>
      </c>
    </row>
    <row r="2709" spans="1:13">
      <c r="D2709" s="1" t="s">
        <v>1616</v>
      </c>
      <c r="E2709" s="1" t="s">
        <v>1623</v>
      </c>
      <c r="H2709" s="1" t="s">
        <v>181</v>
      </c>
      <c r="I2709" s="1" t="s">
        <v>23</v>
      </c>
      <c r="J2709" s="1">
        <v>1</v>
      </c>
      <c r="K2709" s="1">
        <v>24</v>
      </c>
      <c r="M2709" s="1" t="s">
        <v>1624</v>
      </c>
    </row>
    <row r="2710" spans="1:13">
      <c r="D2710" s="1" t="s">
        <v>1616</v>
      </c>
      <c r="E2710" s="1" t="s">
        <v>1625</v>
      </c>
      <c r="H2710" s="1" t="s">
        <v>181</v>
      </c>
      <c r="I2710" s="1" t="s">
        <v>23</v>
      </c>
      <c r="J2710" s="1">
        <v>1</v>
      </c>
      <c r="K2710" s="1">
        <v>4</v>
      </c>
      <c r="M2710" s="1" t="s">
        <v>950</v>
      </c>
    </row>
    <row r="2711" spans="1:13">
      <c r="D2711" s="1" t="s">
        <v>1616</v>
      </c>
      <c r="E2711" s="1" t="s">
        <v>1626</v>
      </c>
      <c r="H2711" s="1" t="s">
        <v>181</v>
      </c>
      <c r="I2711" s="1" t="s">
        <v>23</v>
      </c>
      <c r="J2711" s="1">
        <v>1</v>
      </c>
      <c r="K2711" s="1">
        <v>4</v>
      </c>
      <c r="M2711" s="1" t="s">
        <v>1627</v>
      </c>
    </row>
    <row r="2712" spans="1:13">
      <c r="D2712" s="1" t="s">
        <v>1616</v>
      </c>
      <c r="E2712" s="1" t="s">
        <v>1628</v>
      </c>
      <c r="H2712" s="1" t="s">
        <v>181</v>
      </c>
      <c r="I2712" s="1" t="s">
        <v>23</v>
      </c>
      <c r="J2712" s="1">
        <v>1</v>
      </c>
      <c r="K2712" s="1">
        <v>25</v>
      </c>
      <c r="M2712" s="1" t="s">
        <v>1629</v>
      </c>
    </row>
    <row r="2713" spans="1:13">
      <c r="D2713" s="1" t="s">
        <v>1616</v>
      </c>
      <c r="E2713" s="1" t="s">
        <v>1630</v>
      </c>
      <c r="H2713" s="1" t="s">
        <v>181</v>
      </c>
      <c r="I2713" s="1" t="s">
        <v>23</v>
      </c>
      <c r="J2713" s="1">
        <v>1</v>
      </c>
      <c r="K2713" s="1">
        <v>2</v>
      </c>
      <c r="M2713" s="1" t="s">
        <v>1631</v>
      </c>
    </row>
    <row r="2714" spans="1:13">
      <c r="D2714" s="1" t="s">
        <v>1616</v>
      </c>
      <c r="E2714" s="1" t="s">
        <v>1632</v>
      </c>
      <c r="H2714" s="1" t="s">
        <v>181</v>
      </c>
      <c r="I2714" s="1" t="s">
        <v>23</v>
      </c>
      <c r="J2714" s="1">
        <v>1</v>
      </c>
      <c r="K2714" s="1">
        <v>3</v>
      </c>
      <c r="M2714" s="1" t="s">
        <v>1633</v>
      </c>
    </row>
    <row r="2715" spans="1:13">
      <c r="D2715" s="1" t="s">
        <v>1616</v>
      </c>
      <c r="E2715" s="1" t="s">
        <v>1634</v>
      </c>
      <c r="H2715" s="1" t="s">
        <v>181</v>
      </c>
      <c r="I2715" s="1" t="s">
        <v>23</v>
      </c>
      <c r="J2715" s="1">
        <v>1</v>
      </c>
      <c r="K2715" s="1">
        <v>11</v>
      </c>
      <c r="M2715" s="1" t="s">
        <v>1635</v>
      </c>
    </row>
    <row r="2716" spans="1:13">
      <c r="D2716" s="1" t="s">
        <v>1616</v>
      </c>
      <c r="E2716" s="1" t="s">
        <v>906</v>
      </c>
      <c r="H2716" s="1" t="s">
        <v>22</v>
      </c>
      <c r="I2716" s="1" t="s">
        <v>23</v>
      </c>
      <c r="J2716" s="1">
        <v>0.5</v>
      </c>
      <c r="K2716" s="1">
        <v>2</v>
      </c>
      <c r="L2716" s="1">
        <v>1</v>
      </c>
      <c r="M2716" s="1">
        <v>1</v>
      </c>
    </row>
    <row r="2717" spans="1:13">
      <c r="D2717" s="1" t="s">
        <v>1616</v>
      </c>
      <c r="E2717" s="1" t="s">
        <v>907</v>
      </c>
      <c r="H2717" s="1" t="s">
        <v>25</v>
      </c>
      <c r="I2717" s="1" t="s">
        <v>23</v>
      </c>
      <c r="M2717" s="1" t="b">
        <v>1</v>
      </c>
    </row>
    <row r="2718" spans="1:13">
      <c r="D2718" s="1" t="s">
        <v>1616</v>
      </c>
      <c r="E2718" s="1" t="s">
        <v>1636</v>
      </c>
      <c r="F2718" s="1" t="s">
        <v>176</v>
      </c>
      <c r="G2718" s="1" t="s">
        <v>177</v>
      </c>
      <c r="H2718" s="1" t="s">
        <v>22</v>
      </c>
      <c r="I2718" s="1" t="s">
        <v>23</v>
      </c>
      <c r="J2718" s="1">
        <v>0</v>
      </c>
      <c r="K2718" s="1">
        <v>393700.78740157466</v>
      </c>
      <c r="L2718" s="1">
        <v>39.370078740157467</v>
      </c>
      <c r="M2718" s="1">
        <v>39370.078740157471</v>
      </c>
    </row>
    <row r="2719" spans="1:13">
      <c r="D2719" s="1" t="s">
        <v>1616</v>
      </c>
      <c r="E2719" s="1" t="s">
        <v>914</v>
      </c>
      <c r="H2719" s="1" t="s">
        <v>22</v>
      </c>
      <c r="I2719" s="1" t="s">
        <v>29</v>
      </c>
      <c r="J2719" s="1">
        <v>0.1</v>
      </c>
      <c r="K2719" s="1">
        <v>10</v>
      </c>
      <c r="L2719" s="1">
        <v>5.05</v>
      </c>
    </row>
    <row r="2720" spans="1:13">
      <c r="A2720" s="2" t="s">
        <v>1721</v>
      </c>
      <c r="B2720" s="3" t="s">
        <v>1755</v>
      </c>
      <c r="D2720" s="1" t="s">
        <v>1616</v>
      </c>
      <c r="E2720" s="1" t="s">
        <v>1519</v>
      </c>
      <c r="H2720" s="1" t="s">
        <v>25</v>
      </c>
      <c r="I2720" s="1" t="s">
        <v>23</v>
      </c>
      <c r="M2720" s="1" t="b">
        <v>1</v>
      </c>
    </row>
    <row r="2721" spans="1:13">
      <c r="D2721" s="1" t="s">
        <v>1616</v>
      </c>
      <c r="E2721" s="1" t="s">
        <v>1637</v>
      </c>
      <c r="F2721" s="1" t="s">
        <v>200</v>
      </c>
      <c r="G2721" s="1" t="s">
        <v>200</v>
      </c>
      <c r="H2721" s="1" t="s">
        <v>22</v>
      </c>
      <c r="I2721" s="1" t="s">
        <v>29</v>
      </c>
      <c r="J2721" s="1">
        <v>0.01</v>
      </c>
      <c r="K2721" s="1">
        <v>250000</v>
      </c>
      <c r="L2721" s="1">
        <v>500</v>
      </c>
    </row>
    <row r="2722" spans="1:13">
      <c r="D2722" s="1" t="s">
        <v>1616</v>
      </c>
      <c r="E2722" s="1" t="s">
        <v>1638</v>
      </c>
      <c r="F2722" s="1" t="s">
        <v>200</v>
      </c>
      <c r="G2722" s="1" t="s">
        <v>200</v>
      </c>
      <c r="H2722" s="1" t="s">
        <v>22</v>
      </c>
      <c r="I2722" s="1" t="s">
        <v>23</v>
      </c>
      <c r="J2722" s="1">
        <v>0</v>
      </c>
      <c r="K2722" s="1">
        <v>1000000</v>
      </c>
      <c r="L2722" s="1">
        <v>1</v>
      </c>
      <c r="M2722" s="1">
        <v>500</v>
      </c>
    </row>
    <row r="2723" spans="1:13">
      <c r="A2723" s="2" t="s">
        <v>1721</v>
      </c>
      <c r="B2723" s="3" t="s">
        <v>1756</v>
      </c>
      <c r="D2723" s="1" t="s">
        <v>1616</v>
      </c>
      <c r="E2723" s="1" t="s">
        <v>1520</v>
      </c>
      <c r="H2723" s="1" t="s">
        <v>22</v>
      </c>
      <c r="I2723" s="1" t="s">
        <v>23</v>
      </c>
      <c r="J2723" s="1">
        <v>0</v>
      </c>
      <c r="K2723" s="1">
        <v>1</v>
      </c>
      <c r="L2723" s="1">
        <v>1</v>
      </c>
      <c r="M2723" s="1">
        <v>0.97750000000000004</v>
      </c>
    </row>
    <row r="2724" spans="1:13">
      <c r="D2724" s="1" t="s">
        <v>1616</v>
      </c>
      <c r="E2724" s="1" t="s">
        <v>1639</v>
      </c>
      <c r="H2724" s="1" t="s">
        <v>22</v>
      </c>
      <c r="I2724" s="1" t="s">
        <v>29</v>
      </c>
      <c r="J2724" s="1">
        <v>0.01</v>
      </c>
      <c r="K2724" s="1">
        <v>1</v>
      </c>
      <c r="L2724" s="1">
        <v>0.95</v>
      </c>
    </row>
    <row r="2725" spans="1:13">
      <c r="D2725" s="1" t="s">
        <v>1616</v>
      </c>
      <c r="E2725" s="1" t="s">
        <v>1640</v>
      </c>
      <c r="H2725" s="1" t="s">
        <v>22</v>
      </c>
      <c r="I2725" s="1" t="s">
        <v>23</v>
      </c>
      <c r="J2725" s="1">
        <v>0</v>
      </c>
      <c r="K2725" s="1">
        <v>1</v>
      </c>
      <c r="L2725" s="1">
        <v>1</v>
      </c>
      <c r="M2725" s="1">
        <v>0.95</v>
      </c>
    </row>
    <row r="2726" spans="1:13">
      <c r="D2726" s="1" t="s">
        <v>1616</v>
      </c>
      <c r="E2726" s="1" t="s">
        <v>47</v>
      </c>
      <c r="H2726" s="1" t="s">
        <v>25</v>
      </c>
      <c r="I2726" s="1" t="s">
        <v>23</v>
      </c>
      <c r="M2726" s="1" t="b">
        <v>0</v>
      </c>
    </row>
    <row r="2727" spans="1:13">
      <c r="D2727" s="1" t="s">
        <v>1616</v>
      </c>
      <c r="E2727" s="1" t="s">
        <v>920</v>
      </c>
      <c r="H2727" s="1" t="s">
        <v>22</v>
      </c>
      <c r="I2727" s="1" t="s">
        <v>23</v>
      </c>
      <c r="J2727" s="1">
        <v>-1</v>
      </c>
      <c r="K2727" s="1">
        <v>1</v>
      </c>
      <c r="L2727" s="1">
        <v>1</v>
      </c>
      <c r="M2727" s="1">
        <v>0</v>
      </c>
    </row>
    <row r="2728" spans="1:13">
      <c r="D2728" s="1" t="s">
        <v>1616</v>
      </c>
      <c r="E2728" s="1" t="s">
        <v>921</v>
      </c>
      <c r="H2728" s="1" t="s">
        <v>22</v>
      </c>
      <c r="I2728" s="1" t="s">
        <v>23</v>
      </c>
      <c r="J2728" s="1">
        <v>0</v>
      </c>
      <c r="K2728" s="1">
        <v>1</v>
      </c>
      <c r="L2728" s="1">
        <v>1</v>
      </c>
      <c r="M2728" s="1">
        <v>0</v>
      </c>
    </row>
    <row r="2729" spans="1:13">
      <c r="D2729" s="1" t="s">
        <v>1616</v>
      </c>
      <c r="E2729" s="1" t="s">
        <v>1641</v>
      </c>
      <c r="H2729" s="1" t="s">
        <v>22</v>
      </c>
      <c r="I2729" s="1" t="s">
        <v>23</v>
      </c>
      <c r="J2729" s="1">
        <v>0</v>
      </c>
      <c r="K2729" s="1">
        <v>1</v>
      </c>
      <c r="L2729" s="1">
        <v>1</v>
      </c>
      <c r="M2729" s="1">
        <v>1</v>
      </c>
    </row>
    <row r="2730" spans="1:13">
      <c r="D2730" s="1" t="s">
        <v>1616</v>
      </c>
      <c r="E2730" s="1" t="s">
        <v>1642</v>
      </c>
      <c r="H2730" s="1" t="s">
        <v>25</v>
      </c>
      <c r="I2730" s="1" t="s">
        <v>23</v>
      </c>
      <c r="M2730" s="1" t="b">
        <v>0</v>
      </c>
    </row>
    <row r="2731" spans="1:13">
      <c r="D2731" s="1" t="s">
        <v>1616</v>
      </c>
      <c r="E2731" s="1" t="s">
        <v>1643</v>
      </c>
      <c r="F2731" s="1" t="s">
        <v>147</v>
      </c>
      <c r="G2731" s="1" t="s">
        <v>148</v>
      </c>
      <c r="H2731" s="1" t="s">
        <v>22</v>
      </c>
      <c r="I2731" s="1" t="s">
        <v>23</v>
      </c>
      <c r="J2731" s="1">
        <v>0</v>
      </c>
      <c r="K2731" s="1">
        <v>34121416351.331001</v>
      </c>
      <c r="L2731" s="1">
        <v>3.4121416351331</v>
      </c>
      <c r="M2731" s="1">
        <v>6824.2832702661999</v>
      </c>
    </row>
    <row r="2732" spans="1:13">
      <c r="D2732" s="1" t="s">
        <v>1616</v>
      </c>
      <c r="E2732" s="1" t="s">
        <v>1644</v>
      </c>
      <c r="F2732" s="1" t="s">
        <v>1535</v>
      </c>
      <c r="G2732" s="1" t="s">
        <v>1535</v>
      </c>
      <c r="H2732" s="1" t="s">
        <v>22</v>
      </c>
      <c r="I2732" s="1" t="s">
        <v>65</v>
      </c>
      <c r="L2732" s="1">
        <v>1</v>
      </c>
    </row>
    <row r="2733" spans="1:13">
      <c r="A2733" s="2" t="s">
        <v>1758</v>
      </c>
      <c r="B2733" s="3" t="s">
        <v>1806</v>
      </c>
      <c r="D2733" s="1" t="s">
        <v>1616</v>
      </c>
      <c r="E2733" s="1" t="s">
        <v>1645</v>
      </c>
      <c r="F2733" s="1" t="s">
        <v>147</v>
      </c>
      <c r="G2733" s="1" t="s">
        <v>148</v>
      </c>
      <c r="H2733" s="1" t="s">
        <v>22</v>
      </c>
      <c r="I2733" s="1" t="s">
        <v>65</v>
      </c>
      <c r="L2733" s="1">
        <v>3.4121416351331</v>
      </c>
    </row>
    <row r="2734" spans="1:13">
      <c r="D2734" s="1" t="s">
        <v>1616</v>
      </c>
      <c r="E2734" s="1" t="s">
        <v>1646</v>
      </c>
      <c r="F2734" s="1" t="s">
        <v>1517</v>
      </c>
      <c r="G2734" s="1" t="s">
        <v>1517</v>
      </c>
      <c r="H2734" s="1" t="s">
        <v>22</v>
      </c>
      <c r="I2734" s="1" t="s">
        <v>70</v>
      </c>
      <c r="L2734" s="1">
        <v>1</v>
      </c>
    </row>
    <row r="2735" spans="1:13">
      <c r="D2735" s="1" t="s">
        <v>1616</v>
      </c>
      <c r="E2735" s="1" t="s">
        <v>990</v>
      </c>
      <c r="H2735" s="1" t="s">
        <v>22</v>
      </c>
      <c r="I2735" s="1" t="s">
        <v>65</v>
      </c>
      <c r="L2735" s="1">
        <v>1</v>
      </c>
    </row>
    <row r="2736" spans="1:13">
      <c r="D2736" s="1" t="s">
        <v>1616</v>
      </c>
      <c r="E2736" s="1" t="s">
        <v>1647</v>
      </c>
      <c r="F2736" s="1" t="s">
        <v>200</v>
      </c>
      <c r="G2736" s="1" t="s">
        <v>200</v>
      </c>
      <c r="H2736" s="1" t="s">
        <v>22</v>
      </c>
      <c r="I2736" s="1" t="s">
        <v>65</v>
      </c>
      <c r="L2736" s="1">
        <v>1</v>
      </c>
    </row>
    <row r="2737" spans="1:13">
      <c r="D2737" s="1" t="s">
        <v>1616</v>
      </c>
      <c r="E2737" s="1" t="s">
        <v>1648</v>
      </c>
      <c r="F2737" s="1" t="s">
        <v>200</v>
      </c>
      <c r="G2737" s="1" t="s">
        <v>200</v>
      </c>
      <c r="H2737" s="1" t="s">
        <v>22</v>
      </c>
      <c r="I2737" s="1" t="s">
        <v>65</v>
      </c>
      <c r="L2737" s="1">
        <v>1</v>
      </c>
    </row>
    <row r="2738" spans="1:13">
      <c r="D2738" s="1" t="s">
        <v>1616</v>
      </c>
      <c r="E2738" s="1" t="s">
        <v>1649</v>
      </c>
      <c r="F2738" s="1">
        <v>1</v>
      </c>
      <c r="G2738" s="1">
        <v>1</v>
      </c>
      <c r="H2738" s="1" t="s">
        <v>22</v>
      </c>
      <c r="I2738" s="1" t="s">
        <v>65</v>
      </c>
      <c r="J2738" s="1">
        <v>0</v>
      </c>
      <c r="L2738" s="1">
        <v>1</v>
      </c>
    </row>
    <row r="2739" spans="1:13">
      <c r="D2739" s="1" t="s">
        <v>1616</v>
      </c>
      <c r="E2739" s="1" t="s">
        <v>69</v>
      </c>
      <c r="H2739" s="1" t="s">
        <v>25</v>
      </c>
      <c r="I2739" s="1" t="s">
        <v>70</v>
      </c>
    </row>
    <row r="2740" spans="1:13">
      <c r="D2740" s="1" t="s">
        <v>1616</v>
      </c>
      <c r="E2740" s="1" t="s">
        <v>1650</v>
      </c>
      <c r="F2740" s="1" t="s">
        <v>147</v>
      </c>
      <c r="G2740" s="1" t="s">
        <v>148</v>
      </c>
      <c r="H2740" s="1" t="s">
        <v>22</v>
      </c>
      <c r="I2740" s="1" t="s">
        <v>65</v>
      </c>
      <c r="L2740" s="1">
        <v>3.4121416351331</v>
      </c>
    </row>
    <row r="2741" spans="1:13">
      <c r="A2741" s="2" t="s">
        <v>1758</v>
      </c>
      <c r="B2741" s="3" t="s">
        <v>1807</v>
      </c>
      <c r="D2741" s="1" t="s">
        <v>1616</v>
      </c>
      <c r="E2741" s="1" t="s">
        <v>1651</v>
      </c>
      <c r="F2741" s="1" t="s">
        <v>147</v>
      </c>
      <c r="G2741" s="1" t="s">
        <v>148</v>
      </c>
      <c r="H2741" s="1" t="s">
        <v>22</v>
      </c>
      <c r="I2741" s="1" t="s">
        <v>65</v>
      </c>
      <c r="L2741" s="1">
        <v>3.4121416351331</v>
      </c>
    </row>
    <row r="2742" spans="1:13">
      <c r="D2742" s="1" t="s">
        <v>1616</v>
      </c>
      <c r="E2742" s="1" t="s">
        <v>1652</v>
      </c>
      <c r="F2742" s="1">
        <v>1</v>
      </c>
      <c r="G2742" s="1">
        <v>1</v>
      </c>
      <c r="H2742" s="1" t="s">
        <v>22</v>
      </c>
      <c r="I2742" s="1" t="s">
        <v>65</v>
      </c>
      <c r="L2742" s="1">
        <v>1</v>
      </c>
    </row>
    <row r="2743" spans="1:13">
      <c r="D2743" s="1" t="s">
        <v>1653</v>
      </c>
      <c r="E2743" s="1" t="s">
        <v>1470</v>
      </c>
      <c r="H2743" s="1" t="s">
        <v>22</v>
      </c>
      <c r="I2743" s="1" t="s">
        <v>23</v>
      </c>
      <c r="J2743" s="1">
        <v>0.5</v>
      </c>
      <c r="K2743" s="1">
        <v>2</v>
      </c>
      <c r="L2743" s="1">
        <v>1</v>
      </c>
      <c r="M2743" s="1">
        <v>1</v>
      </c>
    </row>
    <row r="2744" spans="1:13">
      <c r="D2744" s="1" t="s">
        <v>1653</v>
      </c>
      <c r="E2744" s="1" t="s">
        <v>47</v>
      </c>
      <c r="H2744" s="1" t="s">
        <v>25</v>
      </c>
      <c r="I2744" s="1" t="s">
        <v>23</v>
      </c>
      <c r="M2744" s="1" t="b">
        <v>0</v>
      </c>
    </row>
    <row r="2745" spans="1:13">
      <c r="D2745" s="1" t="s">
        <v>1653</v>
      </c>
      <c r="E2745" s="1" t="s">
        <v>920</v>
      </c>
      <c r="H2745" s="1" t="s">
        <v>22</v>
      </c>
      <c r="I2745" s="1" t="s">
        <v>23</v>
      </c>
      <c r="L2745" s="1">
        <v>1</v>
      </c>
      <c r="M2745" s="1">
        <v>0</v>
      </c>
    </row>
    <row r="2746" spans="1:13">
      <c r="D2746" s="1" t="s">
        <v>1653</v>
      </c>
      <c r="E2746" s="1" t="s">
        <v>921</v>
      </c>
      <c r="H2746" s="1" t="s">
        <v>22</v>
      </c>
      <c r="I2746" s="1" t="s">
        <v>23</v>
      </c>
      <c r="J2746" s="1">
        <v>0</v>
      </c>
      <c r="K2746" s="1">
        <v>1</v>
      </c>
      <c r="L2746" s="1">
        <v>1</v>
      </c>
      <c r="M2746" s="1">
        <v>0</v>
      </c>
    </row>
    <row r="2747" spans="1:13">
      <c r="D2747" s="1" t="s">
        <v>1653</v>
      </c>
      <c r="E2747" s="1" t="s">
        <v>1654</v>
      </c>
      <c r="H2747" s="1" t="s">
        <v>22</v>
      </c>
      <c r="I2747" s="1" t="s">
        <v>23</v>
      </c>
      <c r="J2747" s="1">
        <v>0</v>
      </c>
      <c r="K2747" s="1">
        <v>1</v>
      </c>
      <c r="L2747" s="1">
        <v>1</v>
      </c>
      <c r="M2747" s="1">
        <v>1</v>
      </c>
    </row>
    <row r="2748" spans="1:13">
      <c r="D2748" s="1" t="s">
        <v>1653</v>
      </c>
      <c r="E2748" s="1" t="s">
        <v>1655</v>
      </c>
      <c r="F2748" s="1" t="s">
        <v>45</v>
      </c>
      <c r="G2748" s="1" t="s">
        <v>46</v>
      </c>
      <c r="H2748" s="1" t="s">
        <v>22</v>
      </c>
      <c r="I2748" s="1" t="s">
        <v>29</v>
      </c>
      <c r="J2748" s="1">
        <v>-6.3932502128443591</v>
      </c>
      <c r="K2748" s="1">
        <v>358.61435929656</v>
      </c>
      <c r="L2748" s="1">
        <v>114.79148749423418</v>
      </c>
    </row>
    <row r="2749" spans="1:13">
      <c r="D2749" s="1" t="s">
        <v>1653</v>
      </c>
      <c r="E2749" s="1" t="s">
        <v>1298</v>
      </c>
      <c r="F2749" s="1" t="s">
        <v>147</v>
      </c>
      <c r="G2749" s="1" t="s">
        <v>148</v>
      </c>
      <c r="H2749" s="1" t="s">
        <v>22</v>
      </c>
      <c r="I2749" s="1" t="s">
        <v>65</v>
      </c>
      <c r="L2749" s="1">
        <v>3.4121416351331</v>
      </c>
    </row>
    <row r="2750" spans="1:13">
      <c r="D2750" s="1" t="s">
        <v>1653</v>
      </c>
      <c r="E2750" s="1" t="s">
        <v>69</v>
      </c>
      <c r="H2750" s="1" t="s">
        <v>25</v>
      </c>
      <c r="I2750" s="1" t="s">
        <v>70</v>
      </c>
    </row>
    <row r="2751" spans="1:13">
      <c r="D2751" s="1" t="s">
        <v>1653</v>
      </c>
      <c r="E2751" s="1" t="s">
        <v>117</v>
      </c>
      <c r="F2751" s="1" t="s">
        <v>118</v>
      </c>
      <c r="G2751" s="1" t="s">
        <v>119</v>
      </c>
      <c r="H2751" s="1" t="s">
        <v>22</v>
      </c>
      <c r="I2751" s="1" t="s">
        <v>65</v>
      </c>
      <c r="J2751" s="1">
        <v>0</v>
      </c>
      <c r="L2751" s="1">
        <v>2.20462262185</v>
      </c>
    </row>
    <row r="2752" spans="1:13">
      <c r="D2752" s="1" t="s">
        <v>1653</v>
      </c>
      <c r="E2752" s="1" t="s">
        <v>1656</v>
      </c>
      <c r="H2752" s="1" t="s">
        <v>63</v>
      </c>
      <c r="I2752" s="1" t="s">
        <v>120</v>
      </c>
    </row>
    <row r="2753" spans="4:12">
      <c r="D2753" s="1" t="s">
        <v>1653</v>
      </c>
      <c r="E2753" s="1" t="s">
        <v>1657</v>
      </c>
      <c r="F2753" s="1" t="s">
        <v>35</v>
      </c>
      <c r="G2753" s="1" t="s">
        <v>36</v>
      </c>
      <c r="H2753" s="1" t="s">
        <v>22</v>
      </c>
      <c r="I2753" s="1" t="s">
        <v>65</v>
      </c>
      <c r="J2753" s="1">
        <v>-457.87</v>
      </c>
      <c r="K2753" s="1">
        <v>17540.330000000002</v>
      </c>
      <c r="L2753" s="1">
        <v>80.329999999999984</v>
      </c>
    </row>
    <row r="2754" spans="4:12">
      <c r="D2754" s="1" t="s">
        <v>1653</v>
      </c>
      <c r="E2754" s="1" t="s">
        <v>1658</v>
      </c>
      <c r="F2754" s="1" t="s">
        <v>35</v>
      </c>
      <c r="G2754" s="1" t="s">
        <v>36</v>
      </c>
      <c r="H2754" s="1" t="s">
        <v>22</v>
      </c>
      <c r="I2754" s="1" t="s">
        <v>65</v>
      </c>
      <c r="J2754" s="1">
        <v>-457.87</v>
      </c>
      <c r="K2754" s="1">
        <v>17540.330000000002</v>
      </c>
      <c r="L2754" s="1">
        <v>80.329999999999984</v>
      </c>
    </row>
    <row r="2755" spans="4:12">
      <c r="D2755" s="1" t="s">
        <v>1653</v>
      </c>
      <c r="E2755" s="1" t="s">
        <v>1659</v>
      </c>
      <c r="F2755" s="1" t="s">
        <v>1660</v>
      </c>
      <c r="G2755" s="1" t="s">
        <v>1661</v>
      </c>
      <c r="H2755" s="1" t="s">
        <v>22</v>
      </c>
      <c r="I2755" s="1" t="s">
        <v>65</v>
      </c>
      <c r="J2755" s="1">
        <v>0</v>
      </c>
      <c r="K2755" s="1">
        <v>194.03202999999999</v>
      </c>
      <c r="L2755" s="1">
        <v>1.9403203E-3</v>
      </c>
    </row>
    <row r="2756" spans="4:12">
      <c r="D2756" s="1" t="s">
        <v>1653</v>
      </c>
      <c r="E2756" s="1" t="s">
        <v>1662</v>
      </c>
      <c r="F2756" s="1" t="s">
        <v>41</v>
      </c>
      <c r="G2756" s="1" t="s">
        <v>42</v>
      </c>
      <c r="H2756" s="1" t="s">
        <v>22</v>
      </c>
      <c r="I2756" s="1" t="s">
        <v>65</v>
      </c>
      <c r="L2756" s="1">
        <v>1.8</v>
      </c>
    </row>
    <row r="2757" spans="4:12">
      <c r="D2757" s="1" t="s">
        <v>1653</v>
      </c>
      <c r="E2757" s="1" t="s">
        <v>1663</v>
      </c>
      <c r="F2757" s="1" t="s">
        <v>45</v>
      </c>
      <c r="G2757" s="1" t="s">
        <v>46</v>
      </c>
      <c r="H2757" s="1" t="s">
        <v>22</v>
      </c>
      <c r="I2757" s="1" t="s">
        <v>65</v>
      </c>
      <c r="J2757" s="1">
        <v>-4299226.1378713567</v>
      </c>
      <c r="K2757" s="1">
        <v>4299226.1378713567</v>
      </c>
      <c r="L2757" s="1">
        <v>429.92261378713573</v>
      </c>
    </row>
    <row r="2758" spans="4:12">
      <c r="D2758" s="1" t="s">
        <v>1653</v>
      </c>
      <c r="E2758" s="1" t="s">
        <v>1664</v>
      </c>
      <c r="F2758" s="1" t="s">
        <v>56</v>
      </c>
      <c r="G2758" s="1" t="s">
        <v>57</v>
      </c>
      <c r="H2758" s="1" t="s">
        <v>22</v>
      </c>
      <c r="I2758" s="1" t="s">
        <v>65</v>
      </c>
      <c r="J2758" s="1">
        <v>0</v>
      </c>
      <c r="K2758" s="1">
        <v>14503.773773020921</v>
      </c>
      <c r="L2758" s="1">
        <v>14.503773773020921</v>
      </c>
    </row>
    <row r="2759" spans="4:12">
      <c r="D2759" s="1" t="s">
        <v>1653</v>
      </c>
      <c r="E2759" s="1" t="s">
        <v>1665</v>
      </c>
      <c r="H2759" s="1" t="s">
        <v>63</v>
      </c>
      <c r="I2759" s="1" t="s">
        <v>120</v>
      </c>
    </row>
    <row r="2760" spans="4:12">
      <c r="D2760" s="1" t="s">
        <v>1653</v>
      </c>
      <c r="E2760" s="1" t="s">
        <v>1666</v>
      </c>
      <c r="H2760" s="1" t="s">
        <v>22</v>
      </c>
      <c r="I2760" s="1" t="s">
        <v>65</v>
      </c>
      <c r="L2760" s="1">
        <v>1</v>
      </c>
    </row>
    <row r="2761" spans="4:12">
      <c r="D2761" s="1" t="s">
        <v>1653</v>
      </c>
      <c r="E2761" s="1" t="s">
        <v>1667</v>
      </c>
      <c r="F2761" s="1" t="s">
        <v>35</v>
      </c>
      <c r="G2761" s="1" t="s">
        <v>36</v>
      </c>
      <c r="H2761" s="1" t="s">
        <v>22</v>
      </c>
      <c r="I2761" s="1" t="s">
        <v>65</v>
      </c>
      <c r="J2761" s="1">
        <v>-457.87</v>
      </c>
      <c r="K2761" s="1">
        <v>17540.330000000002</v>
      </c>
      <c r="L2761" s="1">
        <v>80.329999999999984</v>
      </c>
    </row>
    <row r="2762" spans="4:12">
      <c r="D2762" s="1" t="s">
        <v>1653</v>
      </c>
      <c r="E2762" s="1" t="s">
        <v>1668</v>
      </c>
      <c r="F2762" s="1" t="s">
        <v>35</v>
      </c>
      <c r="G2762" s="1" t="s">
        <v>36</v>
      </c>
      <c r="H2762" s="1" t="s">
        <v>22</v>
      </c>
      <c r="I2762" s="1" t="s">
        <v>65</v>
      </c>
      <c r="J2762" s="1">
        <v>-457.87</v>
      </c>
      <c r="K2762" s="1">
        <v>17540.330000000002</v>
      </c>
      <c r="L2762" s="1">
        <v>80.329999999999984</v>
      </c>
    </row>
    <row r="2763" spans="4:12">
      <c r="D2763" s="1" t="s">
        <v>1653</v>
      </c>
      <c r="E2763" s="1" t="s">
        <v>1669</v>
      </c>
      <c r="F2763" s="1" t="s">
        <v>1660</v>
      </c>
      <c r="G2763" s="1" t="s">
        <v>1661</v>
      </c>
      <c r="H2763" s="1" t="s">
        <v>22</v>
      </c>
      <c r="I2763" s="1" t="s">
        <v>65</v>
      </c>
      <c r="J2763" s="1">
        <v>0</v>
      </c>
      <c r="K2763" s="1">
        <v>194.03202999999999</v>
      </c>
      <c r="L2763" s="1">
        <v>1.9403203E-3</v>
      </c>
    </row>
    <row r="2764" spans="4:12">
      <c r="D2764" s="1" t="s">
        <v>1653</v>
      </c>
      <c r="E2764" s="1" t="s">
        <v>1670</v>
      </c>
      <c r="F2764" s="1" t="s">
        <v>41</v>
      </c>
      <c r="G2764" s="1" t="s">
        <v>42</v>
      </c>
      <c r="H2764" s="1" t="s">
        <v>22</v>
      </c>
      <c r="I2764" s="1" t="s">
        <v>65</v>
      </c>
      <c r="L2764" s="1">
        <v>1.8</v>
      </c>
    </row>
    <row r="2765" spans="4:12">
      <c r="D2765" s="1" t="s">
        <v>1653</v>
      </c>
      <c r="E2765" s="1" t="s">
        <v>1671</v>
      </c>
      <c r="F2765" s="1" t="s">
        <v>45</v>
      </c>
      <c r="G2765" s="1" t="s">
        <v>46</v>
      </c>
      <c r="H2765" s="1" t="s">
        <v>22</v>
      </c>
      <c r="I2765" s="1" t="s">
        <v>65</v>
      </c>
      <c r="J2765" s="1">
        <v>-4299226.1378713567</v>
      </c>
      <c r="K2765" s="1">
        <v>4299226.1378713567</v>
      </c>
      <c r="L2765" s="1">
        <v>429.92261378713573</v>
      </c>
    </row>
    <row r="2766" spans="4:12">
      <c r="D2766" s="1" t="s">
        <v>1653</v>
      </c>
      <c r="E2766" s="1" t="s">
        <v>1672</v>
      </c>
      <c r="F2766" s="1" t="s">
        <v>56</v>
      </c>
      <c r="G2766" s="1" t="s">
        <v>57</v>
      </c>
      <c r="H2766" s="1" t="s">
        <v>22</v>
      </c>
      <c r="I2766" s="1" t="s">
        <v>65</v>
      </c>
      <c r="J2766" s="1">
        <v>0</v>
      </c>
      <c r="K2766" s="1">
        <v>14503.773773020921</v>
      </c>
      <c r="L2766" s="1">
        <v>14.503773773020921</v>
      </c>
    </row>
    <row r="2767" spans="4:12">
      <c r="D2767" s="1" t="s">
        <v>1653</v>
      </c>
      <c r="E2767" s="1" t="s">
        <v>1673</v>
      </c>
      <c r="H2767" s="1" t="s">
        <v>63</v>
      </c>
      <c r="I2767" s="1" t="s">
        <v>120</v>
      </c>
    </row>
    <row r="2768" spans="4:12">
      <c r="D2768" s="1" t="s">
        <v>1653</v>
      </c>
      <c r="E2768" s="1" t="s">
        <v>1674</v>
      </c>
      <c r="H2768" s="1" t="s">
        <v>22</v>
      </c>
      <c r="I2768" s="1" t="s">
        <v>65</v>
      </c>
      <c r="L2768" s="1">
        <v>1</v>
      </c>
    </row>
    <row r="2769" spans="4:13">
      <c r="D2769" s="1" t="s">
        <v>1653</v>
      </c>
      <c r="E2769" s="1" t="s">
        <v>123</v>
      </c>
      <c r="F2769" s="1" t="s">
        <v>124</v>
      </c>
      <c r="G2769" s="1" t="s">
        <v>125</v>
      </c>
      <c r="H2769" s="1" t="s">
        <v>22</v>
      </c>
      <c r="I2769" s="1" t="s">
        <v>70</v>
      </c>
      <c r="L2769" s="1">
        <v>35.314666699999997</v>
      </c>
    </row>
    <row r="2770" spans="4:13">
      <c r="D2770" s="1" t="s">
        <v>1653</v>
      </c>
      <c r="E2770" s="1" t="s">
        <v>1675</v>
      </c>
      <c r="F2770" s="1" t="s">
        <v>124</v>
      </c>
      <c r="G2770" s="1" t="s">
        <v>125</v>
      </c>
      <c r="H2770" s="1" t="s">
        <v>22</v>
      </c>
      <c r="I2770" s="1" t="s">
        <v>23</v>
      </c>
      <c r="L2770" s="1">
        <v>35.314666699999997</v>
      </c>
      <c r="M2770" s="1">
        <v>3.5314666699999997E-2</v>
      </c>
    </row>
    <row r="2771" spans="4:13">
      <c r="D2771" s="1" t="s">
        <v>1653</v>
      </c>
      <c r="E2771" s="1" t="s">
        <v>1676</v>
      </c>
      <c r="H2771" s="1" t="s">
        <v>22</v>
      </c>
      <c r="I2771" s="1" t="s">
        <v>23</v>
      </c>
      <c r="L2771" s="1">
        <v>1</v>
      </c>
      <c r="M2771" s="1">
        <v>0.95</v>
      </c>
    </row>
    <row r="2772" spans="4:13">
      <c r="D2772" s="1" t="s">
        <v>1677</v>
      </c>
      <c r="E2772" s="1" t="s">
        <v>1470</v>
      </c>
      <c r="H2772" s="1" t="s">
        <v>22</v>
      </c>
      <c r="I2772" s="1" t="s">
        <v>23</v>
      </c>
      <c r="J2772" s="1">
        <v>0.5</v>
      </c>
      <c r="K2772" s="1">
        <v>2</v>
      </c>
      <c r="L2772" s="1">
        <v>1</v>
      </c>
      <c r="M2772" s="1">
        <v>1</v>
      </c>
    </row>
    <row r="2773" spans="4:13">
      <c r="D2773" s="1" t="s">
        <v>1677</v>
      </c>
      <c r="E2773" s="1" t="s">
        <v>47</v>
      </c>
      <c r="H2773" s="1" t="s">
        <v>25</v>
      </c>
      <c r="I2773" s="1" t="s">
        <v>23</v>
      </c>
      <c r="M2773" s="1" t="b">
        <v>0</v>
      </c>
    </row>
    <row r="2774" spans="4:13">
      <c r="D2774" s="1" t="s">
        <v>1677</v>
      </c>
      <c r="E2774" s="1" t="s">
        <v>920</v>
      </c>
      <c r="H2774" s="1" t="s">
        <v>22</v>
      </c>
      <c r="I2774" s="1" t="s">
        <v>23</v>
      </c>
      <c r="L2774" s="1">
        <v>1</v>
      </c>
      <c r="M2774" s="1">
        <v>0</v>
      </c>
    </row>
    <row r="2775" spans="4:13">
      <c r="D2775" s="1" t="s">
        <v>1677</v>
      </c>
      <c r="E2775" s="1" t="s">
        <v>921</v>
      </c>
      <c r="H2775" s="1" t="s">
        <v>22</v>
      </c>
      <c r="I2775" s="1" t="s">
        <v>23</v>
      </c>
      <c r="J2775" s="1">
        <v>0</v>
      </c>
      <c r="K2775" s="1">
        <v>1</v>
      </c>
      <c r="L2775" s="1">
        <v>1</v>
      </c>
      <c r="M2775" s="1">
        <v>0</v>
      </c>
    </row>
    <row r="2776" spans="4:13">
      <c r="D2776" s="1" t="s">
        <v>1677</v>
      </c>
      <c r="E2776" s="1" t="s">
        <v>1654</v>
      </c>
      <c r="H2776" s="1" t="s">
        <v>22</v>
      </c>
      <c r="I2776" s="1" t="s">
        <v>23</v>
      </c>
      <c r="J2776" s="1">
        <v>0</v>
      </c>
      <c r="K2776" s="1">
        <v>1</v>
      </c>
      <c r="L2776" s="1">
        <v>1</v>
      </c>
      <c r="M2776" s="1">
        <v>1</v>
      </c>
    </row>
    <row r="2777" spans="4:13">
      <c r="D2777" s="1" t="s">
        <v>1677</v>
      </c>
      <c r="E2777" s="1" t="s">
        <v>1655</v>
      </c>
      <c r="F2777" s="1" t="s">
        <v>45</v>
      </c>
      <c r="G2777" s="1" t="s">
        <v>46</v>
      </c>
      <c r="H2777" s="1" t="s">
        <v>22</v>
      </c>
      <c r="I2777" s="1" t="s">
        <v>29</v>
      </c>
      <c r="J2777" s="1">
        <v>-6.3932502128443591</v>
      </c>
      <c r="K2777" s="1">
        <v>358.61435929656</v>
      </c>
      <c r="L2777" s="1">
        <v>114.79148749423418</v>
      </c>
    </row>
    <row r="2778" spans="4:13">
      <c r="D2778" s="1" t="s">
        <v>1677</v>
      </c>
      <c r="E2778" s="1" t="s">
        <v>1298</v>
      </c>
      <c r="F2778" s="1" t="s">
        <v>147</v>
      </c>
      <c r="G2778" s="1" t="s">
        <v>148</v>
      </c>
      <c r="H2778" s="1" t="s">
        <v>22</v>
      </c>
      <c r="I2778" s="1" t="s">
        <v>65</v>
      </c>
      <c r="L2778" s="1">
        <v>3.4121416351331</v>
      </c>
    </row>
    <row r="2779" spans="4:13">
      <c r="D2779" s="1" t="s">
        <v>1677</v>
      </c>
      <c r="E2779" s="1" t="s">
        <v>69</v>
      </c>
      <c r="H2779" s="1" t="s">
        <v>25</v>
      </c>
      <c r="I2779" s="1" t="s">
        <v>70</v>
      </c>
    </row>
    <row r="2780" spans="4:13">
      <c r="D2780" s="1" t="s">
        <v>1677</v>
      </c>
      <c r="E2780" s="1" t="s">
        <v>117</v>
      </c>
      <c r="F2780" s="1" t="s">
        <v>118</v>
      </c>
      <c r="G2780" s="1" t="s">
        <v>119</v>
      </c>
      <c r="H2780" s="1" t="s">
        <v>22</v>
      </c>
      <c r="I2780" s="1" t="s">
        <v>65</v>
      </c>
      <c r="J2780" s="1">
        <v>0</v>
      </c>
      <c r="L2780" s="1">
        <v>2.20462262185</v>
      </c>
    </row>
    <row r="2781" spans="4:13">
      <c r="D2781" s="1" t="s">
        <v>1677</v>
      </c>
      <c r="E2781" s="1" t="s">
        <v>1656</v>
      </c>
      <c r="H2781" s="1" t="s">
        <v>63</v>
      </c>
      <c r="I2781" s="1" t="s">
        <v>120</v>
      </c>
    </row>
    <row r="2782" spans="4:13">
      <c r="D2782" s="1" t="s">
        <v>1677</v>
      </c>
      <c r="E2782" s="1" t="s">
        <v>1657</v>
      </c>
      <c r="F2782" s="1" t="s">
        <v>35</v>
      </c>
      <c r="G2782" s="1" t="s">
        <v>36</v>
      </c>
      <c r="H2782" s="1" t="s">
        <v>22</v>
      </c>
      <c r="I2782" s="1" t="s">
        <v>65</v>
      </c>
      <c r="J2782" s="1">
        <v>-457.87</v>
      </c>
      <c r="K2782" s="1">
        <v>17540.330000000002</v>
      </c>
      <c r="L2782" s="1">
        <v>80.329999999999984</v>
      </c>
    </row>
    <row r="2783" spans="4:13">
      <c r="D2783" s="1" t="s">
        <v>1677</v>
      </c>
      <c r="E2783" s="1" t="s">
        <v>1658</v>
      </c>
      <c r="F2783" s="1" t="s">
        <v>35</v>
      </c>
      <c r="G2783" s="1" t="s">
        <v>36</v>
      </c>
      <c r="H2783" s="1" t="s">
        <v>22</v>
      </c>
      <c r="I2783" s="1" t="s">
        <v>65</v>
      </c>
      <c r="J2783" s="1">
        <v>-457.87</v>
      </c>
      <c r="K2783" s="1">
        <v>17540.330000000002</v>
      </c>
      <c r="L2783" s="1">
        <v>80.329999999999984</v>
      </c>
    </row>
    <row r="2784" spans="4:13">
      <c r="D2784" s="1" t="s">
        <v>1677</v>
      </c>
      <c r="E2784" s="1" t="s">
        <v>1659</v>
      </c>
      <c r="F2784" s="1" t="s">
        <v>1660</v>
      </c>
      <c r="G2784" s="1" t="s">
        <v>1661</v>
      </c>
      <c r="H2784" s="1" t="s">
        <v>22</v>
      </c>
      <c r="I2784" s="1" t="s">
        <v>65</v>
      </c>
      <c r="J2784" s="1">
        <v>0</v>
      </c>
      <c r="K2784" s="1">
        <v>194.03202999999999</v>
      </c>
      <c r="L2784" s="1">
        <v>1.9403203E-3</v>
      </c>
    </row>
    <row r="2785" spans="4:13">
      <c r="D2785" s="1" t="s">
        <v>1677</v>
      </c>
      <c r="E2785" s="1" t="s">
        <v>1662</v>
      </c>
      <c r="F2785" s="1" t="s">
        <v>41</v>
      </c>
      <c r="G2785" s="1" t="s">
        <v>42</v>
      </c>
      <c r="H2785" s="1" t="s">
        <v>22</v>
      </c>
      <c r="I2785" s="1" t="s">
        <v>65</v>
      </c>
      <c r="L2785" s="1">
        <v>1.8</v>
      </c>
    </row>
    <row r="2786" spans="4:13">
      <c r="D2786" s="1" t="s">
        <v>1677</v>
      </c>
      <c r="E2786" s="1" t="s">
        <v>1663</v>
      </c>
      <c r="F2786" s="1" t="s">
        <v>45</v>
      </c>
      <c r="G2786" s="1" t="s">
        <v>46</v>
      </c>
      <c r="H2786" s="1" t="s">
        <v>22</v>
      </c>
      <c r="I2786" s="1" t="s">
        <v>65</v>
      </c>
      <c r="J2786" s="1">
        <v>-4299226.1378713567</v>
      </c>
      <c r="K2786" s="1">
        <v>4299226.1378713567</v>
      </c>
      <c r="L2786" s="1">
        <v>429.92261378713573</v>
      </c>
    </row>
    <row r="2787" spans="4:13">
      <c r="D2787" s="1" t="s">
        <v>1677</v>
      </c>
      <c r="E2787" s="1" t="s">
        <v>1664</v>
      </c>
      <c r="F2787" s="1" t="s">
        <v>56</v>
      </c>
      <c r="G2787" s="1" t="s">
        <v>57</v>
      </c>
      <c r="H2787" s="1" t="s">
        <v>22</v>
      </c>
      <c r="I2787" s="1" t="s">
        <v>65</v>
      </c>
      <c r="J2787" s="1">
        <v>0</v>
      </c>
      <c r="K2787" s="1">
        <v>14503.773773020921</v>
      </c>
      <c r="L2787" s="1">
        <v>14.503773773020921</v>
      </c>
    </row>
    <row r="2788" spans="4:13">
      <c r="D2788" s="1" t="s">
        <v>1677</v>
      </c>
      <c r="E2788" s="1" t="s">
        <v>1665</v>
      </c>
      <c r="H2788" s="1" t="s">
        <v>63</v>
      </c>
      <c r="I2788" s="1" t="s">
        <v>120</v>
      </c>
    </row>
    <row r="2789" spans="4:13">
      <c r="D2789" s="1" t="s">
        <v>1677</v>
      </c>
      <c r="E2789" s="1" t="s">
        <v>1666</v>
      </c>
      <c r="H2789" s="1" t="s">
        <v>22</v>
      </c>
      <c r="I2789" s="1" t="s">
        <v>65</v>
      </c>
      <c r="L2789" s="1">
        <v>1</v>
      </c>
    </row>
    <row r="2790" spans="4:13">
      <c r="D2790" s="1" t="s">
        <v>1677</v>
      </c>
      <c r="E2790" s="1" t="s">
        <v>1667</v>
      </c>
      <c r="F2790" s="1" t="s">
        <v>35</v>
      </c>
      <c r="G2790" s="1" t="s">
        <v>36</v>
      </c>
      <c r="H2790" s="1" t="s">
        <v>22</v>
      </c>
      <c r="I2790" s="1" t="s">
        <v>65</v>
      </c>
      <c r="J2790" s="1">
        <v>-457.87</v>
      </c>
      <c r="K2790" s="1">
        <v>17540.330000000002</v>
      </c>
      <c r="L2790" s="1">
        <v>80.329999999999984</v>
      </c>
    </row>
    <row r="2791" spans="4:13">
      <c r="D2791" s="1" t="s">
        <v>1677</v>
      </c>
      <c r="E2791" s="1" t="s">
        <v>1668</v>
      </c>
      <c r="F2791" s="1" t="s">
        <v>35</v>
      </c>
      <c r="G2791" s="1" t="s">
        <v>36</v>
      </c>
      <c r="H2791" s="1" t="s">
        <v>22</v>
      </c>
      <c r="I2791" s="1" t="s">
        <v>65</v>
      </c>
      <c r="J2791" s="1">
        <v>-457.87</v>
      </c>
      <c r="K2791" s="1">
        <v>17540.330000000002</v>
      </c>
      <c r="L2791" s="1">
        <v>80.329999999999984</v>
      </c>
    </row>
    <row r="2792" spans="4:13">
      <c r="D2792" s="1" t="s">
        <v>1677</v>
      </c>
      <c r="E2792" s="1" t="s">
        <v>1669</v>
      </c>
      <c r="F2792" s="1" t="s">
        <v>1660</v>
      </c>
      <c r="G2792" s="1" t="s">
        <v>1661</v>
      </c>
      <c r="H2792" s="1" t="s">
        <v>22</v>
      </c>
      <c r="I2792" s="1" t="s">
        <v>65</v>
      </c>
      <c r="J2792" s="1">
        <v>0</v>
      </c>
      <c r="K2792" s="1">
        <v>194.03202999999999</v>
      </c>
      <c r="L2792" s="1">
        <v>1.9403203E-3</v>
      </c>
    </row>
    <row r="2793" spans="4:13">
      <c r="D2793" s="1" t="s">
        <v>1677</v>
      </c>
      <c r="E2793" s="1" t="s">
        <v>1670</v>
      </c>
      <c r="F2793" s="1" t="s">
        <v>41</v>
      </c>
      <c r="G2793" s="1" t="s">
        <v>42</v>
      </c>
      <c r="H2793" s="1" t="s">
        <v>22</v>
      </c>
      <c r="I2793" s="1" t="s">
        <v>65</v>
      </c>
      <c r="L2793" s="1">
        <v>1.8</v>
      </c>
    </row>
    <row r="2794" spans="4:13">
      <c r="D2794" s="1" t="s">
        <v>1677</v>
      </c>
      <c r="E2794" s="1" t="s">
        <v>1671</v>
      </c>
      <c r="F2794" s="1" t="s">
        <v>45</v>
      </c>
      <c r="G2794" s="1" t="s">
        <v>46</v>
      </c>
      <c r="H2794" s="1" t="s">
        <v>22</v>
      </c>
      <c r="I2794" s="1" t="s">
        <v>65</v>
      </c>
      <c r="J2794" s="1">
        <v>-4299226.1378713567</v>
      </c>
      <c r="K2794" s="1">
        <v>4299226.1378713567</v>
      </c>
      <c r="L2794" s="1">
        <v>429.92261378713573</v>
      </c>
    </row>
    <row r="2795" spans="4:13">
      <c r="D2795" s="1" t="s">
        <v>1677</v>
      </c>
      <c r="E2795" s="1" t="s">
        <v>1672</v>
      </c>
      <c r="F2795" s="1" t="s">
        <v>56</v>
      </c>
      <c r="G2795" s="1" t="s">
        <v>57</v>
      </c>
      <c r="H2795" s="1" t="s">
        <v>22</v>
      </c>
      <c r="I2795" s="1" t="s">
        <v>65</v>
      </c>
      <c r="J2795" s="1">
        <v>0</v>
      </c>
      <c r="K2795" s="1">
        <v>14503.773773020921</v>
      </c>
      <c r="L2795" s="1">
        <v>14.503773773020921</v>
      </c>
    </row>
    <row r="2796" spans="4:13">
      <c r="D2796" s="1" t="s">
        <v>1677</v>
      </c>
      <c r="E2796" s="1" t="s">
        <v>1673</v>
      </c>
      <c r="H2796" s="1" t="s">
        <v>63</v>
      </c>
      <c r="I2796" s="1" t="s">
        <v>120</v>
      </c>
    </row>
    <row r="2797" spans="4:13">
      <c r="D2797" s="1" t="s">
        <v>1677</v>
      </c>
      <c r="E2797" s="1" t="s">
        <v>1674</v>
      </c>
      <c r="H2797" s="1" t="s">
        <v>22</v>
      </c>
      <c r="I2797" s="1" t="s">
        <v>65</v>
      </c>
      <c r="L2797" s="1">
        <v>1</v>
      </c>
    </row>
    <row r="2798" spans="4:13">
      <c r="D2798" s="1" t="s">
        <v>1677</v>
      </c>
      <c r="E2798" s="1" t="s">
        <v>123</v>
      </c>
      <c r="F2798" s="1" t="s">
        <v>124</v>
      </c>
      <c r="G2798" s="1" t="s">
        <v>125</v>
      </c>
      <c r="H2798" s="1" t="s">
        <v>22</v>
      </c>
      <c r="I2798" s="1" t="s">
        <v>70</v>
      </c>
      <c r="L2798" s="1">
        <v>35.314666699999997</v>
      </c>
    </row>
    <row r="2799" spans="4:13">
      <c r="D2799" s="1" t="s">
        <v>1677</v>
      </c>
      <c r="E2799" s="1" t="s">
        <v>1675</v>
      </c>
      <c r="F2799" s="1" t="s">
        <v>124</v>
      </c>
      <c r="G2799" s="1" t="s">
        <v>125</v>
      </c>
      <c r="H2799" s="1" t="s">
        <v>22</v>
      </c>
      <c r="I2799" s="1" t="s">
        <v>23</v>
      </c>
      <c r="L2799" s="1">
        <v>35.314666699999997</v>
      </c>
      <c r="M2799" s="1">
        <v>3.5314666699999997E-2</v>
      </c>
    </row>
    <row r="2800" spans="4:13">
      <c r="D2800" s="1" t="s">
        <v>1677</v>
      </c>
      <c r="E2800" s="1" t="s">
        <v>1676</v>
      </c>
      <c r="H2800" s="1" t="s">
        <v>22</v>
      </c>
      <c r="I2800" s="1" t="s">
        <v>23</v>
      </c>
      <c r="L2800" s="1">
        <v>1</v>
      </c>
      <c r="M2800" s="1">
        <v>0.95</v>
      </c>
    </row>
    <row r="2801" spans="4:13">
      <c r="D2801" s="1" t="s">
        <v>1678</v>
      </c>
      <c r="E2801" s="1" t="s">
        <v>1470</v>
      </c>
      <c r="H2801" s="1" t="s">
        <v>22</v>
      </c>
      <c r="I2801" s="1" t="s">
        <v>23</v>
      </c>
      <c r="J2801" s="1">
        <v>0.5</v>
      </c>
      <c r="K2801" s="1">
        <v>2</v>
      </c>
      <c r="L2801" s="1">
        <v>1</v>
      </c>
      <c r="M2801" s="1">
        <v>1</v>
      </c>
    </row>
    <row r="2802" spans="4:13">
      <c r="D2802" s="1" t="s">
        <v>1678</v>
      </c>
      <c r="E2802" s="1" t="s">
        <v>47</v>
      </c>
      <c r="H2802" s="1" t="s">
        <v>25</v>
      </c>
      <c r="I2802" s="1" t="s">
        <v>23</v>
      </c>
      <c r="M2802" s="1" t="b">
        <v>0</v>
      </c>
    </row>
    <row r="2803" spans="4:13">
      <c r="D2803" s="1" t="s">
        <v>1678</v>
      </c>
      <c r="E2803" s="1" t="s">
        <v>920</v>
      </c>
      <c r="H2803" s="1" t="s">
        <v>22</v>
      </c>
      <c r="I2803" s="1" t="s">
        <v>23</v>
      </c>
      <c r="L2803" s="1">
        <v>1</v>
      </c>
      <c r="M2803" s="1">
        <v>0</v>
      </c>
    </row>
    <row r="2804" spans="4:13">
      <c r="D2804" s="1" t="s">
        <v>1678</v>
      </c>
      <c r="E2804" s="1" t="s">
        <v>921</v>
      </c>
      <c r="H2804" s="1" t="s">
        <v>22</v>
      </c>
      <c r="I2804" s="1" t="s">
        <v>23</v>
      </c>
      <c r="J2804" s="1">
        <v>0</v>
      </c>
      <c r="K2804" s="1">
        <v>1</v>
      </c>
      <c r="L2804" s="1">
        <v>1</v>
      </c>
      <c r="M2804" s="1">
        <v>0</v>
      </c>
    </row>
    <row r="2805" spans="4:13">
      <c r="D2805" s="1" t="s">
        <v>1678</v>
      </c>
      <c r="E2805" s="1" t="s">
        <v>1654</v>
      </c>
      <c r="H2805" s="1" t="s">
        <v>22</v>
      </c>
      <c r="I2805" s="1" t="s">
        <v>23</v>
      </c>
      <c r="J2805" s="1">
        <v>0</v>
      </c>
      <c r="K2805" s="1">
        <v>1</v>
      </c>
      <c r="L2805" s="1">
        <v>1</v>
      </c>
      <c r="M2805" s="1">
        <v>1</v>
      </c>
    </row>
    <row r="2806" spans="4:13">
      <c r="D2806" s="1" t="s">
        <v>1678</v>
      </c>
      <c r="E2806" s="1" t="s">
        <v>1655</v>
      </c>
      <c r="F2806" s="1" t="s">
        <v>45</v>
      </c>
      <c r="G2806" s="1" t="s">
        <v>46</v>
      </c>
      <c r="H2806" s="1" t="s">
        <v>22</v>
      </c>
      <c r="I2806" s="1" t="s">
        <v>29</v>
      </c>
      <c r="J2806" s="1">
        <v>-6.3932502128443591</v>
      </c>
      <c r="K2806" s="1">
        <v>358.61435929656</v>
      </c>
      <c r="L2806" s="1">
        <v>114.79148749423418</v>
      </c>
    </row>
    <row r="2807" spans="4:13">
      <c r="D2807" s="1" t="s">
        <v>1678</v>
      </c>
      <c r="E2807" s="1" t="s">
        <v>1298</v>
      </c>
      <c r="F2807" s="1" t="s">
        <v>147</v>
      </c>
      <c r="G2807" s="1" t="s">
        <v>148</v>
      </c>
      <c r="H2807" s="1" t="s">
        <v>22</v>
      </c>
      <c r="I2807" s="1" t="s">
        <v>65</v>
      </c>
      <c r="L2807" s="1">
        <v>3.4121416351331</v>
      </c>
    </row>
    <row r="2808" spans="4:13">
      <c r="D2808" s="1" t="s">
        <v>1678</v>
      </c>
      <c r="E2808" s="1" t="s">
        <v>69</v>
      </c>
      <c r="H2808" s="1" t="s">
        <v>25</v>
      </c>
      <c r="I2808" s="1" t="s">
        <v>70</v>
      </c>
    </row>
    <row r="2809" spans="4:13">
      <c r="D2809" s="1" t="s">
        <v>1678</v>
      </c>
      <c r="E2809" s="1" t="s">
        <v>117</v>
      </c>
      <c r="F2809" s="1" t="s">
        <v>118</v>
      </c>
      <c r="G2809" s="1" t="s">
        <v>119</v>
      </c>
      <c r="H2809" s="1" t="s">
        <v>22</v>
      </c>
      <c r="I2809" s="1" t="s">
        <v>65</v>
      </c>
      <c r="J2809" s="1">
        <v>0</v>
      </c>
      <c r="L2809" s="1">
        <v>2.20462262185</v>
      </c>
    </row>
    <row r="2810" spans="4:13">
      <c r="D2810" s="1" t="s">
        <v>1678</v>
      </c>
      <c r="E2810" s="1" t="s">
        <v>1656</v>
      </c>
      <c r="H2810" s="1" t="s">
        <v>63</v>
      </c>
      <c r="I2810" s="1" t="s">
        <v>120</v>
      </c>
    </row>
    <row r="2811" spans="4:13">
      <c r="D2811" s="1" t="s">
        <v>1678</v>
      </c>
      <c r="E2811" s="1" t="s">
        <v>1657</v>
      </c>
      <c r="F2811" s="1" t="s">
        <v>35</v>
      </c>
      <c r="G2811" s="1" t="s">
        <v>36</v>
      </c>
      <c r="H2811" s="1" t="s">
        <v>22</v>
      </c>
      <c r="I2811" s="1" t="s">
        <v>65</v>
      </c>
      <c r="J2811" s="1">
        <v>-457.87</v>
      </c>
      <c r="K2811" s="1">
        <v>17540.330000000002</v>
      </c>
      <c r="L2811" s="1">
        <v>80.329999999999984</v>
      </c>
    </row>
    <row r="2812" spans="4:13">
      <c r="D2812" s="1" t="s">
        <v>1678</v>
      </c>
      <c r="E2812" s="1" t="s">
        <v>1658</v>
      </c>
      <c r="F2812" s="1" t="s">
        <v>35</v>
      </c>
      <c r="G2812" s="1" t="s">
        <v>36</v>
      </c>
      <c r="H2812" s="1" t="s">
        <v>22</v>
      </c>
      <c r="I2812" s="1" t="s">
        <v>65</v>
      </c>
      <c r="J2812" s="1">
        <v>-457.87</v>
      </c>
      <c r="K2812" s="1">
        <v>17540.330000000002</v>
      </c>
      <c r="L2812" s="1">
        <v>80.329999999999984</v>
      </c>
    </row>
    <row r="2813" spans="4:13">
      <c r="D2813" s="1" t="s">
        <v>1678</v>
      </c>
      <c r="E2813" s="1" t="s">
        <v>1659</v>
      </c>
      <c r="F2813" s="1" t="s">
        <v>1660</v>
      </c>
      <c r="G2813" s="1" t="s">
        <v>1661</v>
      </c>
      <c r="H2813" s="1" t="s">
        <v>22</v>
      </c>
      <c r="I2813" s="1" t="s">
        <v>65</v>
      </c>
      <c r="J2813" s="1">
        <v>0</v>
      </c>
      <c r="K2813" s="1">
        <v>194.03202999999999</v>
      </c>
      <c r="L2813" s="1">
        <v>1.9403203E-3</v>
      </c>
    </row>
    <row r="2814" spans="4:13">
      <c r="D2814" s="1" t="s">
        <v>1678</v>
      </c>
      <c r="E2814" s="1" t="s">
        <v>1662</v>
      </c>
      <c r="F2814" s="1" t="s">
        <v>41</v>
      </c>
      <c r="G2814" s="1" t="s">
        <v>42</v>
      </c>
      <c r="H2814" s="1" t="s">
        <v>22</v>
      </c>
      <c r="I2814" s="1" t="s">
        <v>65</v>
      </c>
      <c r="L2814" s="1">
        <v>1.8</v>
      </c>
    </row>
    <row r="2815" spans="4:13">
      <c r="D2815" s="1" t="s">
        <v>1678</v>
      </c>
      <c r="E2815" s="1" t="s">
        <v>1663</v>
      </c>
      <c r="F2815" s="1" t="s">
        <v>45</v>
      </c>
      <c r="G2815" s="1" t="s">
        <v>46</v>
      </c>
      <c r="H2815" s="1" t="s">
        <v>22</v>
      </c>
      <c r="I2815" s="1" t="s">
        <v>65</v>
      </c>
      <c r="J2815" s="1">
        <v>-4299226.1378713567</v>
      </c>
      <c r="K2815" s="1">
        <v>4299226.1378713567</v>
      </c>
      <c r="L2815" s="1">
        <v>429.92261378713573</v>
      </c>
    </row>
    <row r="2816" spans="4:13">
      <c r="D2816" s="1" t="s">
        <v>1678</v>
      </c>
      <c r="E2816" s="1" t="s">
        <v>1664</v>
      </c>
      <c r="F2816" s="1" t="s">
        <v>56</v>
      </c>
      <c r="G2816" s="1" t="s">
        <v>57</v>
      </c>
      <c r="H2816" s="1" t="s">
        <v>22</v>
      </c>
      <c r="I2816" s="1" t="s">
        <v>65</v>
      </c>
      <c r="J2816" s="1">
        <v>0</v>
      </c>
      <c r="K2816" s="1">
        <v>14503.773773020921</v>
      </c>
      <c r="L2816" s="1">
        <v>14.503773773020921</v>
      </c>
    </row>
    <row r="2817" spans="4:13">
      <c r="D2817" s="1" t="s">
        <v>1678</v>
      </c>
      <c r="E2817" s="1" t="s">
        <v>1665</v>
      </c>
      <c r="H2817" s="1" t="s">
        <v>63</v>
      </c>
      <c r="I2817" s="1" t="s">
        <v>120</v>
      </c>
    </row>
    <row r="2818" spans="4:13">
      <c r="D2818" s="1" t="s">
        <v>1678</v>
      </c>
      <c r="E2818" s="1" t="s">
        <v>1666</v>
      </c>
      <c r="H2818" s="1" t="s">
        <v>22</v>
      </c>
      <c r="I2818" s="1" t="s">
        <v>65</v>
      </c>
      <c r="L2818" s="1">
        <v>1</v>
      </c>
    </row>
    <row r="2819" spans="4:13">
      <c r="D2819" s="1" t="s">
        <v>1678</v>
      </c>
      <c r="E2819" s="1" t="s">
        <v>1667</v>
      </c>
      <c r="F2819" s="1" t="s">
        <v>35</v>
      </c>
      <c r="G2819" s="1" t="s">
        <v>36</v>
      </c>
      <c r="H2819" s="1" t="s">
        <v>22</v>
      </c>
      <c r="I2819" s="1" t="s">
        <v>65</v>
      </c>
      <c r="J2819" s="1">
        <v>-457.87</v>
      </c>
      <c r="K2819" s="1">
        <v>17540.330000000002</v>
      </c>
      <c r="L2819" s="1">
        <v>80.329999999999984</v>
      </c>
    </row>
    <row r="2820" spans="4:13">
      <c r="D2820" s="1" t="s">
        <v>1678</v>
      </c>
      <c r="E2820" s="1" t="s">
        <v>1668</v>
      </c>
      <c r="F2820" s="1" t="s">
        <v>35</v>
      </c>
      <c r="G2820" s="1" t="s">
        <v>36</v>
      </c>
      <c r="H2820" s="1" t="s">
        <v>22</v>
      </c>
      <c r="I2820" s="1" t="s">
        <v>65</v>
      </c>
      <c r="J2820" s="1">
        <v>-457.87</v>
      </c>
      <c r="K2820" s="1">
        <v>17540.330000000002</v>
      </c>
      <c r="L2820" s="1">
        <v>80.329999999999984</v>
      </c>
    </row>
    <row r="2821" spans="4:13">
      <c r="D2821" s="1" t="s">
        <v>1678</v>
      </c>
      <c r="E2821" s="1" t="s">
        <v>1669</v>
      </c>
      <c r="F2821" s="1" t="s">
        <v>1660</v>
      </c>
      <c r="G2821" s="1" t="s">
        <v>1661</v>
      </c>
      <c r="H2821" s="1" t="s">
        <v>22</v>
      </c>
      <c r="I2821" s="1" t="s">
        <v>65</v>
      </c>
      <c r="J2821" s="1">
        <v>0</v>
      </c>
      <c r="K2821" s="1">
        <v>194.03202999999999</v>
      </c>
      <c r="L2821" s="1">
        <v>1.9403203E-3</v>
      </c>
    </row>
    <row r="2822" spans="4:13">
      <c r="D2822" s="1" t="s">
        <v>1678</v>
      </c>
      <c r="E2822" s="1" t="s">
        <v>1670</v>
      </c>
      <c r="F2822" s="1" t="s">
        <v>41</v>
      </c>
      <c r="G2822" s="1" t="s">
        <v>42</v>
      </c>
      <c r="H2822" s="1" t="s">
        <v>22</v>
      </c>
      <c r="I2822" s="1" t="s">
        <v>65</v>
      </c>
      <c r="L2822" s="1">
        <v>1.8</v>
      </c>
    </row>
    <row r="2823" spans="4:13">
      <c r="D2823" s="1" t="s">
        <v>1678</v>
      </c>
      <c r="E2823" s="1" t="s">
        <v>1671</v>
      </c>
      <c r="F2823" s="1" t="s">
        <v>45</v>
      </c>
      <c r="G2823" s="1" t="s">
        <v>46</v>
      </c>
      <c r="H2823" s="1" t="s">
        <v>22</v>
      </c>
      <c r="I2823" s="1" t="s">
        <v>65</v>
      </c>
      <c r="J2823" s="1">
        <v>-4299226.1378713567</v>
      </c>
      <c r="K2823" s="1">
        <v>4299226.1378713567</v>
      </c>
      <c r="L2823" s="1">
        <v>429.92261378713573</v>
      </c>
    </row>
    <row r="2824" spans="4:13">
      <c r="D2824" s="1" t="s">
        <v>1678</v>
      </c>
      <c r="E2824" s="1" t="s">
        <v>1672</v>
      </c>
      <c r="F2824" s="1" t="s">
        <v>56</v>
      </c>
      <c r="G2824" s="1" t="s">
        <v>57</v>
      </c>
      <c r="H2824" s="1" t="s">
        <v>22</v>
      </c>
      <c r="I2824" s="1" t="s">
        <v>65</v>
      </c>
      <c r="J2824" s="1">
        <v>0</v>
      </c>
      <c r="K2824" s="1">
        <v>14503.773773020921</v>
      </c>
      <c r="L2824" s="1">
        <v>14.503773773020921</v>
      </c>
    </row>
    <row r="2825" spans="4:13">
      <c r="D2825" s="1" t="s">
        <v>1678</v>
      </c>
      <c r="E2825" s="1" t="s">
        <v>1673</v>
      </c>
      <c r="H2825" s="1" t="s">
        <v>63</v>
      </c>
      <c r="I2825" s="1" t="s">
        <v>120</v>
      </c>
    </row>
    <row r="2826" spans="4:13">
      <c r="D2826" s="1" t="s">
        <v>1678</v>
      </c>
      <c r="E2826" s="1" t="s">
        <v>1674</v>
      </c>
      <c r="H2826" s="1" t="s">
        <v>22</v>
      </c>
      <c r="I2826" s="1" t="s">
        <v>65</v>
      </c>
      <c r="L2826" s="1">
        <v>1</v>
      </c>
    </row>
    <row r="2827" spans="4:13">
      <c r="D2827" s="1" t="s">
        <v>1678</v>
      </c>
      <c r="E2827" s="1" t="s">
        <v>123</v>
      </c>
      <c r="F2827" s="1" t="s">
        <v>124</v>
      </c>
      <c r="G2827" s="1" t="s">
        <v>125</v>
      </c>
      <c r="H2827" s="1" t="s">
        <v>22</v>
      </c>
      <c r="I2827" s="1" t="s">
        <v>70</v>
      </c>
      <c r="L2827" s="1">
        <v>35.314666699999997</v>
      </c>
    </row>
    <row r="2828" spans="4:13">
      <c r="D2828" s="1" t="s">
        <v>1678</v>
      </c>
      <c r="E2828" s="1" t="s">
        <v>1675</v>
      </c>
      <c r="F2828" s="1" t="s">
        <v>124</v>
      </c>
      <c r="G2828" s="1" t="s">
        <v>125</v>
      </c>
      <c r="H2828" s="1" t="s">
        <v>22</v>
      </c>
      <c r="I2828" s="1" t="s">
        <v>23</v>
      </c>
      <c r="L2828" s="1">
        <v>35.314666699999997</v>
      </c>
      <c r="M2828" s="1">
        <v>3.5314666699999997E-2</v>
      </c>
    </row>
    <row r="2829" spans="4:13">
      <c r="D2829" s="1" t="s">
        <v>1678</v>
      </c>
      <c r="E2829" s="1" t="s">
        <v>1676</v>
      </c>
      <c r="H2829" s="1" t="s">
        <v>22</v>
      </c>
      <c r="I2829" s="1" t="s">
        <v>23</v>
      </c>
      <c r="L2829" s="1">
        <v>1</v>
      </c>
      <c r="M2829" s="1">
        <v>0.95</v>
      </c>
    </row>
    <row r="2830" spans="4:13">
      <c r="D2830" s="1" t="s">
        <v>1679</v>
      </c>
      <c r="E2830" s="1" t="s">
        <v>28</v>
      </c>
      <c r="H2830" s="1" t="s">
        <v>22</v>
      </c>
      <c r="I2830" s="1" t="s">
        <v>29</v>
      </c>
      <c r="J2830" s="1">
        <v>34000</v>
      </c>
      <c r="K2830" s="1">
        <v>4300000</v>
      </c>
      <c r="L2830" s="1">
        <v>349660</v>
      </c>
    </row>
    <row r="2831" spans="4:13">
      <c r="D2831" s="1" t="s">
        <v>1679</v>
      </c>
      <c r="E2831" s="1" t="s">
        <v>30</v>
      </c>
      <c r="H2831" s="1" t="s">
        <v>22</v>
      </c>
      <c r="I2831" s="1" t="s">
        <v>29</v>
      </c>
      <c r="J2831" s="1">
        <v>-3.94</v>
      </c>
      <c r="K2831" s="1">
        <v>3.66</v>
      </c>
      <c r="L2831" s="1">
        <v>1</v>
      </c>
    </row>
    <row r="2832" spans="4:13">
      <c r="D2832" s="1" t="s">
        <v>1679</v>
      </c>
      <c r="E2832" s="1" t="s">
        <v>31</v>
      </c>
      <c r="H2832" s="1" t="s">
        <v>22</v>
      </c>
      <c r="I2832" s="1" t="s">
        <v>29</v>
      </c>
      <c r="J2832" s="1">
        <v>0</v>
      </c>
      <c r="K2832" s="1">
        <v>100</v>
      </c>
      <c r="L2832" s="1">
        <v>1</v>
      </c>
    </row>
    <row r="2833" spans="4:13">
      <c r="D2833" s="1" t="s">
        <v>1679</v>
      </c>
      <c r="E2833" s="1" t="s">
        <v>32</v>
      </c>
      <c r="H2833" s="1" t="s">
        <v>22</v>
      </c>
      <c r="I2833" s="1" t="s">
        <v>29</v>
      </c>
      <c r="J2833" s="1">
        <v>-3.94</v>
      </c>
      <c r="K2833" s="1">
        <v>3.66</v>
      </c>
      <c r="L2833" s="1">
        <v>1</v>
      </c>
    </row>
    <row r="2834" spans="4:13">
      <c r="D2834" s="1" t="s">
        <v>1679</v>
      </c>
      <c r="E2834" s="1" t="s">
        <v>33</v>
      </c>
      <c r="H2834" s="1" t="s">
        <v>25</v>
      </c>
      <c r="I2834" s="1" t="s">
        <v>23</v>
      </c>
      <c r="M2834" s="1" t="b">
        <v>0</v>
      </c>
    </row>
    <row r="2835" spans="4:13">
      <c r="D2835" s="1" t="s">
        <v>1679</v>
      </c>
      <c r="E2835" s="1" t="s">
        <v>34</v>
      </c>
      <c r="F2835" s="1" t="s">
        <v>35</v>
      </c>
      <c r="G2835" s="1" t="s">
        <v>36</v>
      </c>
      <c r="H2835" s="1" t="s">
        <v>22</v>
      </c>
      <c r="I2835" s="1" t="s">
        <v>23</v>
      </c>
      <c r="J2835" s="1">
        <v>-459.67</v>
      </c>
      <c r="K2835" s="1">
        <v>980.32999999999993</v>
      </c>
      <c r="L2835" s="1">
        <v>80.329999999999984</v>
      </c>
      <c r="M2835" s="1">
        <v>67.999999999999943</v>
      </c>
    </row>
    <row r="2836" spans="4:13">
      <c r="D2836" s="1" t="s">
        <v>1679</v>
      </c>
      <c r="E2836" s="1" t="s">
        <v>37</v>
      </c>
      <c r="H2836" s="1" t="s">
        <v>25</v>
      </c>
      <c r="I2836" s="1" t="s">
        <v>23</v>
      </c>
      <c r="M2836" s="1" t="b">
        <v>0</v>
      </c>
    </row>
    <row r="2837" spans="4:13">
      <c r="D2837" s="1" t="s">
        <v>1679</v>
      </c>
      <c r="E2837" s="1" t="s">
        <v>38</v>
      </c>
      <c r="F2837" s="1" t="s">
        <v>35</v>
      </c>
      <c r="G2837" s="1" t="s">
        <v>36</v>
      </c>
      <c r="H2837" s="1" t="s">
        <v>22</v>
      </c>
      <c r="I2837" s="1" t="s">
        <v>23</v>
      </c>
      <c r="J2837" s="1">
        <v>-99.670000000000016</v>
      </c>
      <c r="K2837" s="1">
        <v>980.32999999999993</v>
      </c>
      <c r="L2837" s="1">
        <v>80.329999999999984</v>
      </c>
      <c r="M2837" s="1">
        <v>13.999999999999943</v>
      </c>
    </row>
    <row r="2838" spans="4:13">
      <c r="D2838" s="1" t="s">
        <v>1679</v>
      </c>
      <c r="E2838" s="1" t="s">
        <v>39</v>
      </c>
      <c r="H2838" s="1" t="s">
        <v>25</v>
      </c>
      <c r="I2838" s="1" t="s">
        <v>23</v>
      </c>
      <c r="M2838" s="1" t="b">
        <v>0</v>
      </c>
    </row>
    <row r="2839" spans="4:13">
      <c r="D2839" s="1" t="s">
        <v>1679</v>
      </c>
      <c r="E2839" s="1" t="s">
        <v>40</v>
      </c>
      <c r="F2839" s="1" t="s">
        <v>41</v>
      </c>
      <c r="G2839" s="1" t="s">
        <v>42</v>
      </c>
      <c r="H2839" s="1" t="s">
        <v>22</v>
      </c>
      <c r="I2839" s="1" t="s">
        <v>23</v>
      </c>
      <c r="J2839" s="1">
        <v>-900</v>
      </c>
      <c r="K2839" s="1">
        <v>900</v>
      </c>
      <c r="L2839" s="1">
        <v>1.8</v>
      </c>
      <c r="M2839" s="1">
        <v>9</v>
      </c>
    </row>
    <row r="2840" spans="4:13">
      <c r="D2840" s="1" t="s">
        <v>1679</v>
      </c>
      <c r="E2840" s="1" t="s">
        <v>43</v>
      </c>
      <c r="H2840" s="1" t="s">
        <v>25</v>
      </c>
      <c r="I2840" s="1" t="s">
        <v>23</v>
      </c>
      <c r="M2840" s="1" t="b">
        <v>0</v>
      </c>
    </row>
    <row r="2841" spans="4:13">
      <c r="D2841" s="1" t="s">
        <v>1679</v>
      </c>
      <c r="E2841" s="1" t="s">
        <v>44</v>
      </c>
      <c r="F2841" s="1" t="s">
        <v>45</v>
      </c>
      <c r="G2841" s="1" t="s">
        <v>46</v>
      </c>
      <c r="H2841" s="1" t="s">
        <v>22</v>
      </c>
      <c r="I2841" s="1" t="s">
        <v>23</v>
      </c>
      <c r="J2841" s="1">
        <v>-85.984522757427143</v>
      </c>
      <c r="K2841" s="1">
        <v>8598.4522757427148</v>
      </c>
      <c r="L2841" s="1">
        <v>114.79148749423418</v>
      </c>
      <c r="M2841" s="1">
        <v>128.97678413614071</v>
      </c>
    </row>
    <row r="2842" spans="4:13">
      <c r="D2842" s="1" t="s">
        <v>1679</v>
      </c>
      <c r="E2842" s="1" t="s">
        <v>47</v>
      </c>
      <c r="H2842" s="1" t="s">
        <v>25</v>
      </c>
      <c r="I2842" s="1" t="s">
        <v>23</v>
      </c>
      <c r="M2842" s="1" t="b">
        <v>0</v>
      </c>
    </row>
    <row r="2843" spans="4:13">
      <c r="D2843" s="1" t="s">
        <v>1679</v>
      </c>
      <c r="E2843" s="1" t="s">
        <v>48</v>
      </c>
      <c r="H2843" s="1" t="s">
        <v>25</v>
      </c>
      <c r="I2843" s="1" t="s">
        <v>23</v>
      </c>
      <c r="M2843" s="1" t="b">
        <v>0</v>
      </c>
    </row>
    <row r="2844" spans="4:13">
      <c r="D2844" s="1" t="s">
        <v>1679</v>
      </c>
      <c r="E2844" s="1" t="s">
        <v>49</v>
      </c>
      <c r="H2844" s="1" t="s">
        <v>25</v>
      </c>
      <c r="I2844" s="1" t="s">
        <v>23</v>
      </c>
      <c r="M2844" s="1" t="b">
        <v>0</v>
      </c>
    </row>
    <row r="2845" spans="4:13">
      <c r="D2845" s="1" t="s">
        <v>1679</v>
      </c>
      <c r="E2845" s="1" t="s">
        <v>50</v>
      </c>
      <c r="H2845" s="1" t="s">
        <v>25</v>
      </c>
      <c r="I2845" s="1" t="s">
        <v>23</v>
      </c>
      <c r="M2845" s="1" t="b">
        <v>0</v>
      </c>
    </row>
    <row r="2846" spans="4:13">
      <c r="D2846" s="1" t="s">
        <v>1679</v>
      </c>
      <c r="E2846" s="1" t="s">
        <v>51</v>
      </c>
      <c r="F2846" s="1" t="s">
        <v>52</v>
      </c>
      <c r="G2846" s="1" t="s">
        <v>53</v>
      </c>
      <c r="H2846" s="1" t="s">
        <v>22</v>
      </c>
      <c r="I2846" s="1" t="s">
        <v>23</v>
      </c>
      <c r="J2846" s="1">
        <v>0</v>
      </c>
      <c r="K2846" s="1">
        <v>7936641438.6555996</v>
      </c>
      <c r="L2846" s="1">
        <v>7936.6414386555998</v>
      </c>
      <c r="M2846" s="1">
        <v>7936.6414386555998</v>
      </c>
    </row>
    <row r="2847" spans="4:13">
      <c r="D2847" s="1" t="s">
        <v>1679</v>
      </c>
      <c r="E2847" s="1" t="s">
        <v>54</v>
      </c>
      <c r="H2847" s="1" t="s">
        <v>25</v>
      </c>
      <c r="I2847" s="1" t="s">
        <v>23</v>
      </c>
      <c r="M2847" s="1" t="b">
        <v>0</v>
      </c>
    </row>
    <row r="2848" spans="4:13">
      <c r="D2848" s="1" t="s">
        <v>1679</v>
      </c>
      <c r="E2848" s="1" t="s">
        <v>55</v>
      </c>
      <c r="F2848" s="1" t="s">
        <v>56</v>
      </c>
      <c r="G2848" s="1" t="s">
        <v>57</v>
      </c>
      <c r="H2848" s="1" t="s">
        <v>22</v>
      </c>
      <c r="I2848" s="1" t="s">
        <v>23</v>
      </c>
      <c r="J2848" s="1">
        <v>0</v>
      </c>
      <c r="K2848" s="1">
        <v>9427.4529524635982</v>
      </c>
      <c r="L2848" s="1">
        <v>50.713895374744951</v>
      </c>
      <c r="M2848" s="1">
        <v>50.763208205573221</v>
      </c>
    </row>
    <row r="2849" spans="4:13">
      <c r="D2849" s="1" t="s">
        <v>1679</v>
      </c>
      <c r="E2849" s="1" t="s">
        <v>58</v>
      </c>
      <c r="H2849" s="1" t="s">
        <v>25</v>
      </c>
      <c r="I2849" s="1" t="s">
        <v>23</v>
      </c>
      <c r="M2849" s="1" t="b">
        <v>0</v>
      </c>
    </row>
    <row r="2850" spans="4:13">
      <c r="D2850" s="1" t="s">
        <v>1679</v>
      </c>
      <c r="E2850" s="1" t="s">
        <v>59</v>
      </c>
      <c r="F2850" s="1" t="s">
        <v>60</v>
      </c>
      <c r="G2850" s="1" t="s">
        <v>61</v>
      </c>
      <c r="H2850" s="1" t="s">
        <v>22</v>
      </c>
      <c r="I2850" s="1" t="s">
        <v>23</v>
      </c>
      <c r="J2850" s="1">
        <v>-9.5538358650799999</v>
      </c>
      <c r="K2850" s="1">
        <v>9.5538358650799999</v>
      </c>
      <c r="L2850" s="1">
        <v>0.23884589662700001</v>
      </c>
      <c r="M2850" s="1">
        <v>0.23884589662700001</v>
      </c>
    </row>
    <row r="2851" spans="4:13">
      <c r="D2851" s="1" t="s">
        <v>1679</v>
      </c>
      <c r="E2851" s="1" t="s">
        <v>62</v>
      </c>
      <c r="H2851" s="1" t="s">
        <v>63</v>
      </c>
      <c r="I2851" s="1" t="s">
        <v>23</v>
      </c>
      <c r="M2851" s="1">
        <v>1</v>
      </c>
    </row>
    <row r="2852" spans="4:13">
      <c r="D2852" s="1" t="s">
        <v>1679</v>
      </c>
      <c r="E2852" s="1" t="s">
        <v>64</v>
      </c>
      <c r="F2852" s="1" t="s">
        <v>35</v>
      </c>
      <c r="G2852" s="1" t="s">
        <v>36</v>
      </c>
      <c r="H2852" s="1" t="s">
        <v>22</v>
      </c>
      <c r="I2852" s="1" t="s">
        <v>65</v>
      </c>
      <c r="J2852" s="1">
        <v>-459.67</v>
      </c>
      <c r="L2852" s="1">
        <v>80.329999999999984</v>
      </c>
    </row>
    <row r="2853" spans="4:13">
      <c r="D2853" s="1" t="s">
        <v>1679</v>
      </c>
      <c r="E2853" s="1" t="s">
        <v>66</v>
      </c>
      <c r="F2853" s="1" t="s">
        <v>35</v>
      </c>
      <c r="G2853" s="1" t="s">
        <v>36</v>
      </c>
      <c r="H2853" s="1" t="s">
        <v>22</v>
      </c>
      <c r="I2853" s="1" t="s">
        <v>65</v>
      </c>
      <c r="J2853" s="1">
        <v>-459.67</v>
      </c>
      <c r="L2853" s="1">
        <v>80.329999999999984</v>
      </c>
    </row>
    <row r="2854" spans="4:13">
      <c r="D2854" s="1" t="s">
        <v>1679</v>
      </c>
      <c r="E2854" s="1" t="s">
        <v>67</v>
      </c>
      <c r="F2854" s="1" t="s">
        <v>41</v>
      </c>
      <c r="G2854" s="1" t="s">
        <v>42</v>
      </c>
      <c r="H2854" s="1" t="s">
        <v>22</v>
      </c>
      <c r="I2854" s="1" t="s">
        <v>65</v>
      </c>
      <c r="L2854" s="1">
        <v>1.8</v>
      </c>
    </row>
    <row r="2855" spans="4:13">
      <c r="D2855" s="1" t="s">
        <v>1679</v>
      </c>
      <c r="E2855" s="1" t="s">
        <v>68</v>
      </c>
      <c r="F2855" s="1" t="s">
        <v>45</v>
      </c>
      <c r="G2855" s="1" t="s">
        <v>46</v>
      </c>
      <c r="H2855" s="1" t="s">
        <v>22</v>
      </c>
      <c r="I2855" s="1" t="s">
        <v>65</v>
      </c>
      <c r="L2855" s="1">
        <v>4.2992261378713571E-4</v>
      </c>
    </row>
    <row r="2856" spans="4:13">
      <c r="D2856" s="1" t="s">
        <v>1679</v>
      </c>
      <c r="E2856" s="1" t="s">
        <v>69</v>
      </c>
      <c r="H2856" s="1" t="s">
        <v>25</v>
      </c>
      <c r="I2856" s="1" t="s">
        <v>70</v>
      </c>
    </row>
    <row r="2857" spans="4:13">
      <c r="D2857" s="1" t="s">
        <v>1679</v>
      </c>
      <c r="E2857" s="1" t="s">
        <v>71</v>
      </c>
      <c r="F2857" s="1" t="s">
        <v>52</v>
      </c>
      <c r="G2857" s="1" t="s">
        <v>53</v>
      </c>
      <c r="H2857" s="1" t="s">
        <v>22</v>
      </c>
      <c r="I2857" s="1" t="s">
        <v>65</v>
      </c>
      <c r="L2857" s="1">
        <v>7936.6414386555998</v>
      </c>
    </row>
    <row r="2858" spans="4:13">
      <c r="D2858" s="1" t="s">
        <v>1679</v>
      </c>
      <c r="E2858" s="1" t="s">
        <v>72</v>
      </c>
      <c r="F2858" s="1" t="s">
        <v>56</v>
      </c>
      <c r="G2858" s="1" t="s">
        <v>57</v>
      </c>
      <c r="H2858" s="1" t="s">
        <v>22</v>
      </c>
      <c r="I2858" s="1" t="s">
        <v>65</v>
      </c>
      <c r="J2858" s="1">
        <v>0</v>
      </c>
      <c r="L2858" s="1">
        <v>14.503773773020921</v>
      </c>
    </row>
    <row r="2859" spans="4:13">
      <c r="D2859" s="1" t="s">
        <v>1679</v>
      </c>
      <c r="E2859" s="1" t="s">
        <v>73</v>
      </c>
      <c r="F2859" s="1" t="s">
        <v>60</v>
      </c>
      <c r="G2859" s="1" t="s">
        <v>61</v>
      </c>
      <c r="H2859" s="1" t="s">
        <v>22</v>
      </c>
      <c r="I2859" s="1" t="s">
        <v>65</v>
      </c>
      <c r="L2859" s="1">
        <v>2.38845896627E-4</v>
      </c>
    </row>
    <row r="2860" spans="4:13">
      <c r="D2860" s="1" t="s">
        <v>1679</v>
      </c>
      <c r="E2860" s="1" t="s">
        <v>74</v>
      </c>
      <c r="F2860" s="1" t="s">
        <v>75</v>
      </c>
      <c r="G2860" s="1" t="s">
        <v>76</v>
      </c>
      <c r="H2860" s="1" t="s">
        <v>22</v>
      </c>
      <c r="I2860" s="1" t="s">
        <v>65</v>
      </c>
      <c r="J2860" s="1">
        <v>0</v>
      </c>
      <c r="L2860" s="1">
        <v>16.018463521800001</v>
      </c>
    </row>
    <row r="2861" spans="4:13">
      <c r="D2861" s="1" t="s">
        <v>1679</v>
      </c>
      <c r="E2861" s="1" t="s">
        <v>77</v>
      </c>
      <c r="H2861" s="1" t="s">
        <v>22</v>
      </c>
      <c r="I2861" s="1" t="s">
        <v>65</v>
      </c>
      <c r="L2861" s="1">
        <v>1</v>
      </c>
    </row>
    <row r="2862" spans="4:13">
      <c r="D2862" s="1" t="s">
        <v>1679</v>
      </c>
      <c r="E2862" s="1" t="s">
        <v>78</v>
      </c>
      <c r="H2862" s="1" t="s">
        <v>25</v>
      </c>
      <c r="I2862" s="1" t="s">
        <v>23</v>
      </c>
      <c r="M2862" s="1" t="b">
        <v>0</v>
      </c>
    </row>
    <row r="2863" spans="4:13">
      <c r="D2863" s="1" t="s">
        <v>1679</v>
      </c>
      <c r="E2863" s="1" t="s">
        <v>79</v>
      </c>
      <c r="F2863" s="1" t="s">
        <v>75</v>
      </c>
      <c r="G2863" s="1" t="s">
        <v>76</v>
      </c>
      <c r="H2863" s="1" t="s">
        <v>22</v>
      </c>
      <c r="I2863" s="1" t="s">
        <v>23</v>
      </c>
      <c r="J2863" s="1">
        <v>0</v>
      </c>
      <c r="K2863" s="1">
        <v>96.110781130800007</v>
      </c>
      <c r="L2863" s="1">
        <v>16.018463521800001</v>
      </c>
      <c r="M2863" s="1">
        <v>1.6018463521800002</v>
      </c>
    </row>
    <row r="2864" spans="4:13">
      <c r="D2864" s="1" t="s">
        <v>1679</v>
      </c>
      <c r="E2864" s="1" t="s">
        <v>80</v>
      </c>
      <c r="H2864" s="1" t="s">
        <v>25</v>
      </c>
      <c r="I2864" s="1" t="s">
        <v>23</v>
      </c>
      <c r="M2864" s="1" t="b">
        <v>0</v>
      </c>
    </row>
    <row r="2865" spans="4:13">
      <c r="D2865" s="1" t="s">
        <v>1679</v>
      </c>
      <c r="E2865" s="1" t="s">
        <v>81</v>
      </c>
      <c r="H2865" s="1" t="s">
        <v>25</v>
      </c>
      <c r="I2865" s="1" t="s">
        <v>23</v>
      </c>
      <c r="M2865" s="1" t="b">
        <v>1</v>
      </c>
    </row>
    <row r="2866" spans="4:13">
      <c r="D2866" s="1" t="s">
        <v>1679</v>
      </c>
      <c r="E2866" s="1" t="s">
        <v>82</v>
      </c>
      <c r="H2866" s="1" t="s">
        <v>22</v>
      </c>
      <c r="I2866" s="1" t="s">
        <v>23</v>
      </c>
      <c r="J2866" s="1">
        <v>-1</v>
      </c>
      <c r="K2866" s="1">
        <v>3</v>
      </c>
      <c r="L2866" s="1">
        <v>1</v>
      </c>
      <c r="M2866" s="1">
        <v>1.0000100000000001</v>
      </c>
    </row>
    <row r="2870" spans="4:13">
      <c r="D2870" s="1" t="s">
        <v>1680</v>
      </c>
    </row>
    <row r="2871" spans="4:13">
      <c r="D2871" s="1" t="s">
        <v>1681</v>
      </c>
    </row>
    <row r="2872" spans="4:13">
      <c r="D2872" s="1" t="s">
        <v>1682</v>
      </c>
    </row>
    <row r="2873" spans="4:13">
      <c r="D2873" s="1" t="s">
        <v>1683</v>
      </c>
    </row>
    <row r="2874" spans="4:13">
      <c r="D2874" s="1" t="s">
        <v>1684</v>
      </c>
    </row>
    <row r="2875" spans="4:13">
      <c r="D2875" s="1" t="s">
        <v>1685</v>
      </c>
    </row>
    <row r="2877" spans="4:13">
      <c r="D2877" s="1" t="s">
        <v>1686</v>
      </c>
    </row>
    <row r="2878" spans="4:13">
      <c r="D2878" s="1" t="s">
        <v>1687</v>
      </c>
    </row>
    <row r="2879" spans="4:13">
      <c r="D2879" s="1" t="s">
        <v>1688</v>
      </c>
    </row>
    <row r="2881" spans="4:4">
      <c r="D2881" s="1" t="s">
        <v>1689</v>
      </c>
    </row>
    <row r="2882" spans="4:4">
      <c r="D2882" s="1" t="s">
        <v>1690</v>
      </c>
    </row>
    <row r="2883" spans="4:4">
      <c r="D2883" s="1" t="s">
        <v>1691</v>
      </c>
    </row>
    <row r="2885" spans="4:4">
      <c r="D2885" s="1" t="s">
        <v>1692</v>
      </c>
    </row>
    <row r="2886" spans="4:4">
      <c r="D2886" s="1" t="s">
        <v>1693</v>
      </c>
    </row>
    <row r="2887" spans="4:4">
      <c r="D2887" s="1" t="s">
        <v>1694</v>
      </c>
    </row>
    <row r="2891" spans="4:4">
      <c r="D2891" s="1" t="s">
        <v>1695</v>
      </c>
    </row>
    <row r="2892" spans="4:4">
      <c r="D2892" s="1" t="s">
        <v>1712</v>
      </c>
    </row>
  </sheetData>
  <autoFilter ref="A4:M2866" xr:uid="{00000000-0001-0000-0000-000000000000}"/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CB_BoltUIToolbox">
              <controlPr defaultSize="0" autoFill="0" autoLine="0" autoPict="0">
                <anchor moveWithCells="1">
                  <from>
                    <xdr:col>3</xdr:col>
                    <xdr:colOff>184150</xdr:colOff>
                    <xdr:row>1</xdr:row>
                    <xdr:rowOff>209550</xdr:rowOff>
                  </from>
                  <to>
                    <xdr:col>4</xdr:col>
                    <xdr:colOff>298450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D_BoltUIToolbox">
              <controlPr defaultSize="0" autoLine="0" autoPict="0">
                <anchor moveWithCells="1">
                  <from>
                    <xdr:col>4</xdr:col>
                    <xdr:colOff>69850</xdr:colOff>
                    <xdr:row>2</xdr:row>
                    <xdr:rowOff>12700</xdr:rowOff>
                  </from>
                  <to>
                    <xdr:col>4</xdr:col>
                    <xdr:colOff>1231900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T_BoltUIToolbox">
              <controlPr defaultSize="0" print="0" disabled="1" autoFill="0" autoPict="0" macro="[0]!Basic_Click">
                <anchor moveWithCells="1" sizeWithCells="1">
                  <from>
                    <xdr:col>4</xdr:col>
                    <xdr:colOff>1498600</xdr:colOff>
                    <xdr:row>2</xdr:row>
                    <xdr:rowOff>19050</xdr:rowOff>
                  </from>
                  <to>
                    <xdr:col>4</xdr:col>
                    <xdr:colOff>2171700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DBBDE-1B56-42EB-8568-48BBA83E8905}">
  <sheetPr codeName="Sheet6"/>
  <dimension ref="A1:R2892"/>
  <sheetViews>
    <sheetView tabSelected="1" workbookViewId="0">
      <pane xSplit="13" topLeftCell="N1" activePane="topRight" state="frozen"/>
      <selection pane="topRight" activeCell="N1" sqref="N1:N1048576"/>
    </sheetView>
  </sheetViews>
  <sheetFormatPr defaultColWidth="8.90625" defaultRowHeight="14.5"/>
  <cols>
    <col min="1" max="1" width="8.453125" style="2" customWidth="1"/>
    <col min="2" max="2" width="12.7265625" style="3" customWidth="1"/>
    <col min="3" max="3" width="3.36328125" style="2" customWidth="1"/>
    <col min="4" max="4" width="16.08984375" style="1" customWidth="1"/>
    <col min="5" max="5" width="33.6328125" style="1" customWidth="1"/>
    <col min="6" max="6" width="12.6328125" style="1" hidden="1" customWidth="1"/>
    <col min="7" max="7" width="16.08984375" style="1" customWidth="1"/>
    <col min="8" max="8" width="11.7265625" style="1" hidden="1" customWidth="1"/>
    <col min="9" max="9" width="18.7265625" style="1" customWidth="1"/>
    <col min="10" max="10" width="11.6328125" style="1" hidden="1" customWidth="1"/>
    <col min="11" max="11" width="12.26953125" style="1" hidden="1" customWidth="1"/>
    <col min="12" max="12" width="10.26953125" style="1" hidden="1" customWidth="1"/>
    <col min="13" max="13" width="14.6328125" style="1" customWidth="1"/>
    <col min="14" max="14" width="0" style="1" hidden="1" customWidth="1"/>
    <col min="15" max="16384" width="8.90625" style="1"/>
  </cols>
  <sheetData>
    <row r="1" spans="1:18" s="2" customFormat="1" ht="18" customHeight="1">
      <c r="A1" s="6" t="s">
        <v>19</v>
      </c>
      <c r="B1" s="2" t="s">
        <v>15</v>
      </c>
      <c r="D1" s="9">
        <v>44663</v>
      </c>
      <c r="E1" s="2" t="s">
        <v>1809</v>
      </c>
      <c r="F1" s="2" t="s">
        <v>18</v>
      </c>
      <c r="G1" s="2" t="s">
        <v>1810</v>
      </c>
      <c r="I1" s="2" t="s">
        <v>11</v>
      </c>
      <c r="M1" s="2">
        <f>COUNTIF(status_columns,"Solved")</f>
        <v>1</v>
      </c>
    </row>
    <row r="2" spans="1:18" s="3" customFormat="1" ht="18" customHeight="1">
      <c r="A2" s="2"/>
      <c r="B2" s="5" t="s">
        <v>14</v>
      </c>
      <c r="C2" s="8" t="s">
        <v>20</v>
      </c>
      <c r="E2" s="3" t="s">
        <v>17</v>
      </c>
      <c r="I2" s="3" t="s">
        <v>12</v>
      </c>
      <c r="M2" s="3">
        <f>COUNTIF(status_columns,"Not converged")</f>
        <v>0</v>
      </c>
      <c r="O2" s="3" t="s">
        <v>1707</v>
      </c>
      <c r="P2" s="3" t="s">
        <v>1708</v>
      </c>
      <c r="Q2" s="3" t="s">
        <v>1709</v>
      </c>
      <c r="R2" s="3" t="s">
        <v>1710</v>
      </c>
    </row>
    <row r="3" spans="1:18" s="2" customFormat="1" ht="18" customHeight="1">
      <c r="B3" s="3"/>
      <c r="C3" s="7" t="s">
        <v>1696</v>
      </c>
      <c r="I3" s="2" t="s">
        <v>13</v>
      </c>
      <c r="M3" s="2">
        <f>COLUMNS(status_columns)-M2-M1</f>
        <v>4</v>
      </c>
    </row>
    <row r="4" spans="1:18" s="4" customFormat="1">
      <c r="A4" s="2"/>
      <c r="B4" s="3"/>
      <c r="C4" s="2"/>
      <c r="D4" s="4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8</v>
      </c>
      <c r="M4" s="4" t="s">
        <v>9</v>
      </c>
      <c r="N4" s="10" t="s">
        <v>1811</v>
      </c>
      <c r="O4" s="10" t="s">
        <v>1847</v>
      </c>
      <c r="P4" s="10" t="s">
        <v>1847</v>
      </c>
      <c r="Q4" s="10" t="s">
        <v>1847</v>
      </c>
      <c r="R4" s="10" t="s">
        <v>1847</v>
      </c>
    </row>
    <row r="5" spans="1:18">
      <c r="D5" s="1" t="s">
        <v>21</v>
      </c>
      <c r="H5" s="1" t="s">
        <v>22</v>
      </c>
      <c r="I5" s="1" t="s">
        <v>23</v>
      </c>
      <c r="L5" s="1">
        <v>1</v>
      </c>
      <c r="M5" s="1">
        <v>0.5</v>
      </c>
      <c r="N5" s="1">
        <v>0.5</v>
      </c>
      <c r="O5" s="11"/>
      <c r="P5" s="11"/>
      <c r="Q5" s="11"/>
      <c r="R5" s="11"/>
    </row>
    <row r="6" spans="1:18">
      <c r="D6" s="1" t="s">
        <v>24</v>
      </c>
      <c r="H6" s="1" t="s">
        <v>25</v>
      </c>
      <c r="I6" s="1" t="s">
        <v>23</v>
      </c>
      <c r="M6" s="1" t="b">
        <v>0</v>
      </c>
      <c r="N6" s="1">
        <v>0</v>
      </c>
      <c r="O6" s="11"/>
      <c r="P6" s="11"/>
      <c r="Q6" s="11"/>
      <c r="R6" s="11"/>
    </row>
    <row r="7" spans="1:18">
      <c r="D7" s="1" t="s">
        <v>26</v>
      </c>
      <c r="H7" s="1" t="s">
        <v>22</v>
      </c>
      <c r="I7" s="1" t="s">
        <v>23</v>
      </c>
      <c r="L7" s="1">
        <v>1</v>
      </c>
      <c r="M7" s="1">
        <v>0.97</v>
      </c>
      <c r="N7" s="1">
        <v>0.97</v>
      </c>
      <c r="O7" s="11"/>
      <c r="P7" s="11"/>
      <c r="Q7" s="11"/>
      <c r="R7" s="11"/>
    </row>
    <row r="8" spans="1:18">
      <c r="D8" s="1" t="s">
        <v>27</v>
      </c>
      <c r="E8" s="1" t="s">
        <v>28</v>
      </c>
      <c r="H8" s="1" t="s">
        <v>22</v>
      </c>
      <c r="I8" s="1" t="s">
        <v>29</v>
      </c>
      <c r="J8" s="1">
        <v>34000</v>
      </c>
      <c r="K8" s="1">
        <v>4300000</v>
      </c>
      <c r="L8" s="1">
        <v>349660</v>
      </c>
      <c r="N8" s="1">
        <v>350000</v>
      </c>
      <c r="O8" s="11"/>
      <c r="P8" s="11"/>
      <c r="Q8" s="11"/>
      <c r="R8" s="11"/>
    </row>
    <row r="9" spans="1:18">
      <c r="D9" s="1" t="s">
        <v>27</v>
      </c>
      <c r="E9" s="1" t="s">
        <v>30</v>
      </c>
      <c r="H9" s="1" t="s">
        <v>22</v>
      </c>
      <c r="I9" s="1" t="s">
        <v>29</v>
      </c>
      <c r="J9" s="1">
        <v>-3.94</v>
      </c>
      <c r="K9" s="1">
        <v>3.66</v>
      </c>
      <c r="L9" s="1">
        <v>1</v>
      </c>
      <c r="N9" s="1">
        <v>1.01</v>
      </c>
      <c r="O9" s="11"/>
      <c r="P9" s="11"/>
      <c r="Q9" s="11"/>
      <c r="R9" s="11"/>
    </row>
    <row r="10" spans="1:18">
      <c r="D10" s="1" t="s">
        <v>27</v>
      </c>
      <c r="E10" s="1" t="s">
        <v>31</v>
      </c>
      <c r="H10" s="1" t="s">
        <v>22</v>
      </c>
      <c r="I10" s="1" t="s">
        <v>29</v>
      </c>
      <c r="J10" s="1">
        <v>0</v>
      </c>
      <c r="K10" s="1">
        <v>100</v>
      </c>
      <c r="L10" s="1">
        <v>1</v>
      </c>
      <c r="N10" s="1">
        <v>0</v>
      </c>
      <c r="O10" s="11"/>
      <c r="P10" s="11"/>
      <c r="Q10" s="11"/>
      <c r="R10" s="11"/>
    </row>
    <row r="11" spans="1:18">
      <c r="D11" s="1" t="s">
        <v>27</v>
      </c>
      <c r="E11" s="1" t="s">
        <v>32</v>
      </c>
      <c r="H11" s="1" t="s">
        <v>22</v>
      </c>
      <c r="I11" s="1" t="s">
        <v>29</v>
      </c>
      <c r="J11" s="1">
        <v>-3.94</v>
      </c>
      <c r="K11" s="1">
        <v>3.66</v>
      </c>
      <c r="L11" s="1">
        <v>1</v>
      </c>
      <c r="N11" s="1">
        <v>1.01</v>
      </c>
      <c r="O11" s="11"/>
      <c r="P11" s="11"/>
      <c r="Q11" s="11"/>
      <c r="R11" s="11"/>
    </row>
    <row r="12" spans="1:18">
      <c r="D12" s="1" t="s">
        <v>27</v>
      </c>
      <c r="E12" s="1" t="s">
        <v>33</v>
      </c>
      <c r="H12" s="1" t="s">
        <v>25</v>
      </c>
      <c r="I12" s="1" t="s">
        <v>23</v>
      </c>
      <c r="M12" s="1" t="b">
        <v>0</v>
      </c>
      <c r="N12" s="1">
        <v>0</v>
      </c>
      <c r="O12" s="11"/>
      <c r="P12" s="11"/>
      <c r="Q12" s="11"/>
      <c r="R12" s="11"/>
    </row>
    <row r="13" spans="1:18">
      <c r="D13" s="1" t="s">
        <v>27</v>
      </c>
      <c r="E13" s="1" t="s">
        <v>34</v>
      </c>
      <c r="F13" s="1" t="s">
        <v>35</v>
      </c>
      <c r="G13" s="1" t="s">
        <v>36</v>
      </c>
      <c r="H13" s="1" t="s">
        <v>22</v>
      </c>
      <c r="I13" s="1" t="s">
        <v>23</v>
      </c>
      <c r="J13" s="1">
        <v>-459.67</v>
      </c>
      <c r="K13" s="1">
        <v>980.32999999999993</v>
      </c>
      <c r="L13" s="1">
        <v>80.329999999999984</v>
      </c>
      <c r="M13" s="1">
        <v>67.999999999999943</v>
      </c>
      <c r="N13" s="1">
        <v>67.999999999999943</v>
      </c>
      <c r="O13" s="11"/>
      <c r="P13" s="11"/>
      <c r="Q13" s="11"/>
      <c r="R13" s="11"/>
    </row>
    <row r="14" spans="1:18">
      <c r="D14" s="1" t="s">
        <v>27</v>
      </c>
      <c r="E14" s="1" t="s">
        <v>37</v>
      </c>
      <c r="H14" s="1" t="s">
        <v>25</v>
      </c>
      <c r="I14" s="1" t="s">
        <v>23</v>
      </c>
      <c r="M14" s="1" t="b">
        <v>0</v>
      </c>
      <c r="N14" s="1">
        <v>0</v>
      </c>
      <c r="O14" s="11"/>
      <c r="P14" s="11"/>
      <c r="Q14" s="11"/>
      <c r="R14" s="11"/>
    </row>
    <row r="15" spans="1:18">
      <c r="D15" s="1" t="s">
        <v>27</v>
      </c>
      <c r="E15" s="1" t="s">
        <v>38</v>
      </c>
      <c r="F15" s="1" t="s">
        <v>35</v>
      </c>
      <c r="G15" s="1" t="s">
        <v>36</v>
      </c>
      <c r="H15" s="1" t="s">
        <v>22</v>
      </c>
      <c r="I15" s="1" t="s">
        <v>23</v>
      </c>
      <c r="J15" s="1">
        <v>-99.670000000000016</v>
      </c>
      <c r="K15" s="1">
        <v>980.32999999999993</v>
      </c>
      <c r="L15" s="1">
        <v>80.329999999999984</v>
      </c>
      <c r="M15" s="1">
        <v>13.999999999999943</v>
      </c>
      <c r="N15" s="1">
        <v>13.999999999999943</v>
      </c>
      <c r="O15" s="11"/>
      <c r="P15" s="11"/>
      <c r="Q15" s="11"/>
      <c r="R15" s="11"/>
    </row>
    <row r="16" spans="1:18">
      <c r="D16" s="1" t="s">
        <v>27</v>
      </c>
      <c r="E16" s="1" t="s">
        <v>39</v>
      </c>
      <c r="H16" s="1" t="s">
        <v>25</v>
      </c>
      <c r="I16" s="1" t="s">
        <v>23</v>
      </c>
      <c r="M16" s="1" t="b">
        <v>0</v>
      </c>
      <c r="N16" s="1">
        <v>0</v>
      </c>
      <c r="O16" s="11"/>
      <c r="P16" s="11"/>
      <c r="Q16" s="11"/>
      <c r="R16" s="11"/>
    </row>
    <row r="17" spans="1:18">
      <c r="D17" s="1" t="s">
        <v>27</v>
      </c>
      <c r="E17" s="1" t="s">
        <v>40</v>
      </c>
      <c r="F17" s="1" t="s">
        <v>41</v>
      </c>
      <c r="G17" s="1" t="s">
        <v>42</v>
      </c>
      <c r="H17" s="1" t="s">
        <v>22</v>
      </c>
      <c r="I17" s="1" t="s">
        <v>23</v>
      </c>
      <c r="J17" s="1">
        <v>-900</v>
      </c>
      <c r="K17" s="1">
        <v>900</v>
      </c>
      <c r="L17" s="1">
        <v>1.8</v>
      </c>
      <c r="M17" s="1">
        <v>9</v>
      </c>
      <c r="N17" s="1">
        <v>9</v>
      </c>
      <c r="O17" s="11"/>
      <c r="P17" s="11"/>
      <c r="Q17" s="11"/>
      <c r="R17" s="11"/>
    </row>
    <row r="18" spans="1:18">
      <c r="D18" s="1" t="s">
        <v>27</v>
      </c>
      <c r="E18" s="1" t="s">
        <v>43</v>
      </c>
      <c r="H18" s="1" t="s">
        <v>25</v>
      </c>
      <c r="I18" s="1" t="s">
        <v>23</v>
      </c>
      <c r="M18" s="1" t="b">
        <v>0</v>
      </c>
      <c r="N18" s="1">
        <v>0</v>
      </c>
      <c r="O18" s="11"/>
      <c r="P18" s="11"/>
      <c r="Q18" s="11"/>
      <c r="R18" s="11"/>
    </row>
    <row r="19" spans="1:18">
      <c r="D19" s="1" t="s">
        <v>27</v>
      </c>
      <c r="E19" s="1" t="s">
        <v>44</v>
      </c>
      <c r="F19" s="1" t="s">
        <v>45</v>
      </c>
      <c r="G19" s="1" t="s">
        <v>46</v>
      </c>
      <c r="H19" s="1" t="s">
        <v>22</v>
      </c>
      <c r="I19" s="1" t="s">
        <v>23</v>
      </c>
      <c r="J19" s="1">
        <v>-85.984522757427143</v>
      </c>
      <c r="K19" s="1">
        <v>8598.4522757427148</v>
      </c>
      <c r="L19" s="1">
        <v>114.79148749423418</v>
      </c>
      <c r="M19" s="1">
        <v>128.97678413614071</v>
      </c>
      <c r="N19" s="1">
        <v>128.97678413614071</v>
      </c>
      <c r="O19" s="11"/>
      <c r="P19" s="11"/>
      <c r="Q19" s="11"/>
      <c r="R19" s="11"/>
    </row>
    <row r="20" spans="1:18">
      <c r="D20" s="1" t="s">
        <v>27</v>
      </c>
      <c r="E20" s="1" t="s">
        <v>47</v>
      </c>
      <c r="H20" s="1" t="s">
        <v>25</v>
      </c>
      <c r="I20" s="1" t="s">
        <v>23</v>
      </c>
      <c r="M20" s="1" t="b">
        <v>0</v>
      </c>
      <c r="N20" s="1">
        <v>0</v>
      </c>
      <c r="O20" s="11"/>
      <c r="P20" s="11"/>
      <c r="Q20" s="11"/>
      <c r="R20" s="11"/>
    </row>
    <row r="21" spans="1:18">
      <c r="D21" s="1" t="s">
        <v>27</v>
      </c>
      <c r="E21" s="1" t="s">
        <v>48</v>
      </c>
      <c r="H21" s="1" t="s">
        <v>25</v>
      </c>
      <c r="I21" s="1" t="s">
        <v>23</v>
      </c>
      <c r="M21" s="1" t="b">
        <v>0</v>
      </c>
      <c r="N21" s="1">
        <v>0</v>
      </c>
      <c r="O21" s="11"/>
      <c r="P21" s="11"/>
      <c r="Q21" s="11"/>
      <c r="R21" s="11"/>
    </row>
    <row r="22" spans="1:18">
      <c r="D22" s="1" t="s">
        <v>27</v>
      </c>
      <c r="E22" s="1" t="s">
        <v>49</v>
      </c>
      <c r="H22" s="1" t="s">
        <v>25</v>
      </c>
      <c r="I22" s="1" t="s">
        <v>23</v>
      </c>
      <c r="M22" s="1" t="b">
        <v>0</v>
      </c>
      <c r="N22" s="1">
        <v>0</v>
      </c>
      <c r="O22" s="11"/>
      <c r="P22" s="11"/>
      <c r="Q22" s="11"/>
      <c r="R22" s="11"/>
    </row>
    <row r="23" spans="1:18">
      <c r="D23" s="1" t="s">
        <v>27</v>
      </c>
      <c r="E23" s="1" t="s">
        <v>50</v>
      </c>
      <c r="H23" s="1" t="s">
        <v>25</v>
      </c>
      <c r="I23" s="1" t="s">
        <v>23</v>
      </c>
      <c r="M23" s="1" t="b">
        <v>0</v>
      </c>
      <c r="N23" s="1">
        <v>0</v>
      </c>
      <c r="O23" s="11"/>
      <c r="P23" s="11"/>
      <c r="Q23" s="11"/>
      <c r="R23" s="11"/>
    </row>
    <row r="24" spans="1:18">
      <c r="D24" s="1" t="s">
        <v>27</v>
      </c>
      <c r="E24" s="1" t="s">
        <v>51</v>
      </c>
      <c r="F24" s="1" t="s">
        <v>52</v>
      </c>
      <c r="G24" s="1" t="s">
        <v>53</v>
      </c>
      <c r="H24" s="1" t="s">
        <v>22</v>
      </c>
      <c r="I24" s="1" t="s">
        <v>23</v>
      </c>
      <c r="J24" s="1">
        <v>0</v>
      </c>
      <c r="K24" s="1">
        <v>7936641438.6555996</v>
      </c>
      <c r="L24" s="1">
        <v>7936.6414386555998</v>
      </c>
      <c r="M24" s="1">
        <v>7936.6414386555998</v>
      </c>
      <c r="N24" s="1">
        <v>7936.6414386555998</v>
      </c>
      <c r="O24" s="11"/>
      <c r="P24" s="11"/>
      <c r="Q24" s="11"/>
      <c r="R24" s="11"/>
    </row>
    <row r="25" spans="1:18">
      <c r="D25" s="1" t="s">
        <v>27</v>
      </c>
      <c r="E25" s="1" t="s">
        <v>54</v>
      </c>
      <c r="H25" s="1" t="s">
        <v>25</v>
      </c>
      <c r="I25" s="1" t="s">
        <v>23</v>
      </c>
      <c r="M25" s="1" t="b">
        <v>0</v>
      </c>
      <c r="N25" s="1">
        <v>0</v>
      </c>
      <c r="O25" s="11"/>
      <c r="P25" s="11"/>
      <c r="Q25" s="11"/>
      <c r="R25" s="11"/>
    </row>
    <row r="26" spans="1:18">
      <c r="D26" s="1" t="s">
        <v>27</v>
      </c>
      <c r="E26" s="1" t="s">
        <v>55</v>
      </c>
      <c r="F26" s="1" t="s">
        <v>56</v>
      </c>
      <c r="G26" s="1" t="s">
        <v>57</v>
      </c>
      <c r="H26" s="1" t="s">
        <v>22</v>
      </c>
      <c r="I26" s="1" t="s">
        <v>23</v>
      </c>
      <c r="J26" s="1">
        <v>0</v>
      </c>
      <c r="K26" s="1">
        <v>9427.4529524635982</v>
      </c>
      <c r="L26" s="1">
        <v>50.713895374744951</v>
      </c>
      <c r="M26" s="1">
        <v>50.763208205573221</v>
      </c>
      <c r="N26" s="1">
        <v>50.763208205573221</v>
      </c>
      <c r="O26" s="11"/>
      <c r="P26" s="11"/>
      <c r="Q26" s="11"/>
      <c r="R26" s="11"/>
    </row>
    <row r="27" spans="1:18">
      <c r="D27" s="1" t="s">
        <v>27</v>
      </c>
      <c r="E27" s="1" t="s">
        <v>58</v>
      </c>
      <c r="H27" s="1" t="s">
        <v>25</v>
      </c>
      <c r="I27" s="1" t="s">
        <v>23</v>
      </c>
      <c r="M27" s="1" t="b">
        <v>0</v>
      </c>
      <c r="N27" s="1">
        <v>0</v>
      </c>
      <c r="O27" s="11"/>
      <c r="P27" s="11"/>
      <c r="Q27" s="11"/>
      <c r="R27" s="11"/>
    </row>
    <row r="28" spans="1:18">
      <c r="D28" s="1" t="s">
        <v>27</v>
      </c>
      <c r="E28" s="1" t="s">
        <v>59</v>
      </c>
      <c r="F28" s="1" t="s">
        <v>60</v>
      </c>
      <c r="G28" s="1" t="s">
        <v>61</v>
      </c>
      <c r="H28" s="1" t="s">
        <v>22</v>
      </c>
      <c r="I28" s="1" t="s">
        <v>23</v>
      </c>
      <c r="J28" s="1">
        <v>-9.5538358650799999</v>
      </c>
      <c r="K28" s="1">
        <v>9.5538358650799999</v>
      </c>
      <c r="L28" s="1">
        <v>0.23884589662700001</v>
      </c>
      <c r="M28" s="1">
        <v>0.23884589662700001</v>
      </c>
      <c r="N28" s="1">
        <v>0.23884589662700001</v>
      </c>
      <c r="O28" s="11"/>
      <c r="P28" s="11"/>
      <c r="Q28" s="11"/>
      <c r="R28" s="11"/>
    </row>
    <row r="29" spans="1:18">
      <c r="D29" s="1" t="s">
        <v>27</v>
      </c>
      <c r="E29" s="1" t="s">
        <v>62</v>
      </c>
      <c r="H29" s="1" t="s">
        <v>63</v>
      </c>
      <c r="I29" s="1" t="s">
        <v>23</v>
      </c>
      <c r="M29" s="1">
        <v>1</v>
      </c>
      <c r="N29" s="1">
        <v>1</v>
      </c>
      <c r="O29" s="11"/>
      <c r="P29" s="11"/>
      <c r="Q29" s="11"/>
      <c r="R29" s="11"/>
    </row>
    <row r="30" spans="1:18">
      <c r="A30" s="2" t="s">
        <v>1759</v>
      </c>
      <c r="B30" s="3" t="s">
        <v>1757</v>
      </c>
      <c r="D30" s="1" t="s">
        <v>27</v>
      </c>
      <c r="E30" s="1" t="s">
        <v>64</v>
      </c>
      <c r="F30" s="1" t="s">
        <v>35</v>
      </c>
      <c r="G30" s="1" t="s">
        <v>36</v>
      </c>
      <c r="H30" s="1" t="s">
        <v>22</v>
      </c>
      <c r="I30" s="1" t="s">
        <v>65</v>
      </c>
      <c r="J30" s="1">
        <v>-459.67</v>
      </c>
      <c r="L30" s="1">
        <v>80.329999999999984</v>
      </c>
      <c r="N30" s="1">
        <v>40.791179653592451</v>
      </c>
      <c r="O30" s="11"/>
      <c r="P30" s="11"/>
      <c r="Q30" s="11"/>
      <c r="R30" s="11"/>
    </row>
    <row r="31" spans="1:18">
      <c r="A31" s="2" t="s">
        <v>1759</v>
      </c>
      <c r="B31" s="3" t="s">
        <v>1760</v>
      </c>
      <c r="D31" s="1" t="s">
        <v>27</v>
      </c>
      <c r="E31" s="1" t="s">
        <v>66</v>
      </c>
      <c r="F31" s="1" t="s">
        <v>35</v>
      </c>
      <c r="G31" s="1" t="s">
        <v>36</v>
      </c>
      <c r="H31" s="1" t="s">
        <v>22</v>
      </c>
      <c r="I31" s="1" t="s">
        <v>65</v>
      </c>
      <c r="J31" s="1">
        <v>-459.67</v>
      </c>
      <c r="L31" s="1">
        <v>80.329999999999984</v>
      </c>
      <c r="N31" s="1">
        <v>40.791179653592451</v>
      </c>
      <c r="O31" s="11"/>
      <c r="P31" s="11"/>
      <c r="Q31" s="11"/>
      <c r="R31" s="11"/>
    </row>
    <row r="32" spans="1:18">
      <c r="D32" s="1" t="s">
        <v>27</v>
      </c>
      <c r="E32" s="1" t="s">
        <v>67</v>
      </c>
      <c r="F32" s="1" t="s">
        <v>41</v>
      </c>
      <c r="G32" s="1" t="s">
        <v>42</v>
      </c>
      <c r="H32" s="1" t="s">
        <v>22</v>
      </c>
      <c r="I32" s="1" t="s">
        <v>65</v>
      </c>
      <c r="L32" s="1">
        <v>1.8</v>
      </c>
      <c r="N32" s="1">
        <v>0</v>
      </c>
      <c r="O32" s="11"/>
      <c r="P32" s="11"/>
      <c r="Q32" s="11"/>
      <c r="R32" s="11"/>
    </row>
    <row r="33" spans="1:18">
      <c r="A33" s="2" t="s">
        <v>1759</v>
      </c>
      <c r="B33" s="3" t="s">
        <v>1761</v>
      </c>
      <c r="D33" s="1" t="s">
        <v>27</v>
      </c>
      <c r="E33" s="1" t="s">
        <v>68</v>
      </c>
      <c r="F33" s="1" t="s">
        <v>45</v>
      </c>
      <c r="G33" s="1" t="s">
        <v>46</v>
      </c>
      <c r="H33" s="1" t="s">
        <v>22</v>
      </c>
      <c r="I33" s="1" t="s">
        <v>65</v>
      </c>
      <c r="L33" s="1">
        <v>4.2992261378713571E-4</v>
      </c>
      <c r="N33" s="1">
        <v>108.31491489189477</v>
      </c>
      <c r="O33" s="11"/>
      <c r="P33" s="11"/>
      <c r="Q33" s="11"/>
      <c r="R33" s="11"/>
    </row>
    <row r="34" spans="1:18">
      <c r="D34" s="1" t="s">
        <v>27</v>
      </c>
      <c r="E34" s="1" t="s">
        <v>69</v>
      </c>
      <c r="H34" s="1" t="s">
        <v>25</v>
      </c>
      <c r="I34" s="1" t="s">
        <v>70</v>
      </c>
      <c r="N34" s="1">
        <v>0</v>
      </c>
      <c r="O34" s="11"/>
      <c r="P34" s="11"/>
      <c r="Q34" s="11"/>
      <c r="R34" s="11"/>
    </row>
    <row r="35" spans="1:18">
      <c r="A35" s="2" t="s">
        <v>1759</v>
      </c>
      <c r="B35" s="3" t="s">
        <v>1762</v>
      </c>
      <c r="D35" s="1" t="s">
        <v>27</v>
      </c>
      <c r="E35" s="1" t="s">
        <v>71</v>
      </c>
      <c r="F35" s="1" t="s">
        <v>52</v>
      </c>
      <c r="G35" s="1" t="s">
        <v>53</v>
      </c>
      <c r="H35" s="1" t="s">
        <v>22</v>
      </c>
      <c r="I35" s="1" t="s">
        <v>65</v>
      </c>
      <c r="L35" s="1">
        <v>7936.6414386555998</v>
      </c>
      <c r="N35" s="1">
        <v>167734.2151113626</v>
      </c>
      <c r="O35" s="11"/>
      <c r="P35" s="11"/>
      <c r="Q35" s="11"/>
      <c r="R35" s="11"/>
    </row>
    <row r="36" spans="1:18">
      <c r="A36" s="2" t="s">
        <v>1759</v>
      </c>
      <c r="B36" s="3" t="s">
        <v>1763</v>
      </c>
      <c r="D36" s="1" t="s">
        <v>27</v>
      </c>
      <c r="E36" s="1" t="s">
        <v>72</v>
      </c>
      <c r="F36" s="1" t="s">
        <v>56</v>
      </c>
      <c r="G36" s="1" t="s">
        <v>57</v>
      </c>
      <c r="H36" s="1" t="s">
        <v>22</v>
      </c>
      <c r="I36" s="1" t="s">
        <v>65</v>
      </c>
      <c r="J36" s="1">
        <v>0</v>
      </c>
      <c r="L36" s="1">
        <v>14.503773773020921</v>
      </c>
      <c r="N36" s="1">
        <v>50.509497124265998</v>
      </c>
      <c r="O36" s="11"/>
      <c r="P36" s="11"/>
      <c r="Q36" s="11"/>
      <c r="R36" s="11"/>
    </row>
    <row r="37" spans="1:18">
      <c r="D37" s="1" t="s">
        <v>27</v>
      </c>
      <c r="E37" s="1" t="s">
        <v>73</v>
      </c>
      <c r="F37" s="1" t="s">
        <v>60</v>
      </c>
      <c r="G37" s="1" t="s">
        <v>61</v>
      </c>
      <c r="H37" s="1" t="s">
        <v>22</v>
      </c>
      <c r="I37" s="1" t="s">
        <v>65</v>
      </c>
      <c r="L37" s="1">
        <v>2.38845896627E-4</v>
      </c>
      <c r="N37" s="1">
        <v>0.22071372102299158</v>
      </c>
      <c r="O37" s="11"/>
      <c r="P37" s="11"/>
      <c r="Q37" s="11"/>
      <c r="R37" s="11"/>
    </row>
    <row r="38" spans="1:18">
      <c r="D38" s="1" t="s">
        <v>27</v>
      </c>
      <c r="E38" s="1" t="s">
        <v>74</v>
      </c>
      <c r="F38" s="1" t="s">
        <v>75</v>
      </c>
      <c r="G38" s="1" t="s">
        <v>76</v>
      </c>
      <c r="H38" s="1" t="s">
        <v>22</v>
      </c>
      <c r="I38" s="1" t="s">
        <v>65</v>
      </c>
      <c r="J38" s="1">
        <v>0</v>
      </c>
      <c r="L38" s="1">
        <v>16.018463521800001</v>
      </c>
      <c r="N38" s="1">
        <v>0.93235969543294706</v>
      </c>
      <c r="O38" s="11"/>
      <c r="P38" s="11"/>
      <c r="Q38" s="11"/>
      <c r="R38" s="11"/>
    </row>
    <row r="39" spans="1:18">
      <c r="D39" s="1" t="s">
        <v>27</v>
      </c>
      <c r="E39" s="1" t="s">
        <v>77</v>
      </c>
      <c r="H39" s="1" t="s">
        <v>22</v>
      </c>
      <c r="I39" s="1" t="s">
        <v>65</v>
      </c>
      <c r="L39" s="1">
        <v>1</v>
      </c>
      <c r="N39" s="1">
        <v>0.99311498100391271</v>
      </c>
      <c r="O39" s="11"/>
      <c r="P39" s="11"/>
      <c r="Q39" s="11"/>
      <c r="R39" s="11"/>
    </row>
    <row r="40" spans="1:18">
      <c r="D40" s="1" t="s">
        <v>27</v>
      </c>
      <c r="E40" s="1" t="s">
        <v>78</v>
      </c>
      <c r="H40" s="1" t="s">
        <v>25</v>
      </c>
      <c r="I40" s="1" t="s">
        <v>23</v>
      </c>
      <c r="M40" s="1" t="b">
        <v>0</v>
      </c>
      <c r="N40" s="1">
        <v>0</v>
      </c>
      <c r="O40" s="11"/>
      <c r="P40" s="11"/>
      <c r="Q40" s="11"/>
      <c r="R40" s="11"/>
    </row>
    <row r="41" spans="1:18">
      <c r="D41" s="1" t="s">
        <v>27</v>
      </c>
      <c r="E41" s="1" t="s">
        <v>79</v>
      </c>
      <c r="F41" s="1" t="s">
        <v>75</v>
      </c>
      <c r="G41" s="1" t="s">
        <v>76</v>
      </c>
      <c r="H41" s="1" t="s">
        <v>22</v>
      </c>
      <c r="I41" s="1" t="s">
        <v>23</v>
      </c>
      <c r="J41" s="1">
        <v>0</v>
      </c>
      <c r="K41" s="1">
        <v>96.110781130800007</v>
      </c>
      <c r="L41" s="1">
        <v>16.018463521800001</v>
      </c>
      <c r="M41" s="1">
        <v>1.6018463521800002</v>
      </c>
      <c r="N41" s="1">
        <v>1.6018463521800002</v>
      </c>
      <c r="O41" s="11"/>
      <c r="P41" s="11"/>
      <c r="Q41" s="11"/>
      <c r="R41" s="11"/>
    </row>
    <row r="42" spans="1:18">
      <c r="D42" s="1" t="s">
        <v>27</v>
      </c>
      <c r="E42" s="1" t="s">
        <v>80</v>
      </c>
      <c r="H42" s="1" t="s">
        <v>25</v>
      </c>
      <c r="I42" s="1" t="s">
        <v>23</v>
      </c>
      <c r="M42" s="1" t="b">
        <v>0</v>
      </c>
      <c r="N42" s="1">
        <v>0</v>
      </c>
      <c r="O42" s="11"/>
      <c r="P42" s="11"/>
      <c r="Q42" s="11"/>
      <c r="R42" s="11"/>
    </row>
    <row r="43" spans="1:18">
      <c r="D43" s="1" t="s">
        <v>27</v>
      </c>
      <c r="E43" s="1" t="s">
        <v>81</v>
      </c>
      <c r="H43" s="1" t="s">
        <v>25</v>
      </c>
      <c r="I43" s="1" t="s">
        <v>23</v>
      </c>
      <c r="M43" s="1" t="b">
        <v>0</v>
      </c>
      <c r="N43" s="1">
        <v>0</v>
      </c>
      <c r="O43" s="11"/>
      <c r="P43" s="11"/>
      <c r="Q43" s="11"/>
      <c r="R43" s="11"/>
    </row>
    <row r="44" spans="1:18">
      <c r="D44" s="1" t="s">
        <v>27</v>
      </c>
      <c r="E44" s="1" t="s">
        <v>82</v>
      </c>
      <c r="H44" s="1" t="s">
        <v>22</v>
      </c>
      <c r="I44" s="1" t="s">
        <v>23</v>
      </c>
      <c r="J44" s="1">
        <v>-1</v>
      </c>
      <c r="K44" s="1">
        <v>3</v>
      </c>
      <c r="L44" s="1">
        <v>1</v>
      </c>
      <c r="M44" s="1">
        <v>1.01</v>
      </c>
      <c r="N44" s="1">
        <v>1.01</v>
      </c>
      <c r="O44" s="11"/>
      <c r="P44" s="11"/>
      <c r="Q44" s="11"/>
      <c r="R44" s="11"/>
    </row>
    <row r="45" spans="1:18">
      <c r="D45" s="1" t="s">
        <v>83</v>
      </c>
      <c r="E45" s="1" t="s">
        <v>28</v>
      </c>
      <c r="H45" s="1" t="s">
        <v>22</v>
      </c>
      <c r="I45" s="1" t="s">
        <v>29</v>
      </c>
      <c r="J45" s="1">
        <v>34000</v>
      </c>
      <c r="K45" s="1">
        <v>4300000</v>
      </c>
      <c r="L45" s="1">
        <v>349660</v>
      </c>
      <c r="N45" s="1">
        <v>350000</v>
      </c>
      <c r="O45" s="11"/>
      <c r="P45" s="11"/>
      <c r="Q45" s="11"/>
      <c r="R45" s="11"/>
    </row>
    <row r="46" spans="1:18">
      <c r="D46" s="1" t="s">
        <v>83</v>
      </c>
      <c r="E46" s="1" t="s">
        <v>30</v>
      </c>
      <c r="H46" s="1" t="s">
        <v>22</v>
      </c>
      <c r="I46" s="1" t="s">
        <v>29</v>
      </c>
      <c r="J46" s="1">
        <v>-3.94</v>
      </c>
      <c r="K46" s="1">
        <v>3.66</v>
      </c>
      <c r="L46" s="1">
        <v>1</v>
      </c>
      <c r="N46" s="1">
        <v>1.01</v>
      </c>
      <c r="O46" s="11"/>
      <c r="P46" s="11"/>
      <c r="Q46" s="11"/>
      <c r="R46" s="11"/>
    </row>
    <row r="47" spans="1:18">
      <c r="D47" s="1" t="s">
        <v>83</v>
      </c>
      <c r="E47" s="1" t="s">
        <v>31</v>
      </c>
      <c r="H47" s="1" t="s">
        <v>22</v>
      </c>
      <c r="I47" s="1" t="s">
        <v>29</v>
      </c>
      <c r="J47" s="1">
        <v>0</v>
      </c>
      <c r="K47" s="1">
        <v>100</v>
      </c>
      <c r="L47" s="1">
        <v>1</v>
      </c>
      <c r="N47" s="1">
        <v>0</v>
      </c>
      <c r="O47" s="11"/>
      <c r="P47" s="11"/>
      <c r="Q47" s="11"/>
      <c r="R47" s="11"/>
    </row>
    <row r="48" spans="1:18">
      <c r="D48" s="1" t="s">
        <v>83</v>
      </c>
      <c r="E48" s="1" t="s">
        <v>32</v>
      </c>
      <c r="H48" s="1" t="s">
        <v>22</v>
      </c>
      <c r="I48" s="1" t="s">
        <v>29</v>
      </c>
      <c r="J48" s="1">
        <v>-3.94</v>
      </c>
      <c r="K48" s="1">
        <v>3.66</v>
      </c>
      <c r="L48" s="1">
        <v>1</v>
      </c>
      <c r="N48" s="1">
        <v>1.01</v>
      </c>
      <c r="O48" s="11"/>
      <c r="P48" s="11"/>
      <c r="Q48" s="11"/>
      <c r="R48" s="11"/>
    </row>
    <row r="49" spans="4:18">
      <c r="D49" s="1" t="s">
        <v>83</v>
      </c>
      <c r="E49" s="1" t="s">
        <v>33</v>
      </c>
      <c r="H49" s="1" t="s">
        <v>25</v>
      </c>
      <c r="I49" s="1" t="s">
        <v>23</v>
      </c>
      <c r="M49" s="1" t="b">
        <v>0</v>
      </c>
      <c r="N49" s="1">
        <v>0</v>
      </c>
      <c r="O49" s="11"/>
      <c r="P49" s="11"/>
      <c r="Q49" s="11"/>
      <c r="R49" s="11"/>
    </row>
    <row r="50" spans="4:18">
      <c r="D50" s="1" t="s">
        <v>83</v>
      </c>
      <c r="E50" s="1" t="s">
        <v>34</v>
      </c>
      <c r="F50" s="1" t="s">
        <v>35</v>
      </c>
      <c r="G50" s="1" t="s">
        <v>36</v>
      </c>
      <c r="H50" s="1" t="s">
        <v>22</v>
      </c>
      <c r="I50" s="1" t="s">
        <v>23</v>
      </c>
      <c r="J50" s="1">
        <v>-459.67</v>
      </c>
      <c r="K50" s="1">
        <v>980.32999999999993</v>
      </c>
      <c r="L50" s="1">
        <v>80.329999999999984</v>
      </c>
      <c r="M50" s="1">
        <v>67.999999999999943</v>
      </c>
      <c r="N50" s="1">
        <v>67.999999999999943</v>
      </c>
      <c r="O50" s="11"/>
      <c r="P50" s="11"/>
      <c r="Q50" s="11"/>
      <c r="R50" s="11"/>
    </row>
    <row r="51" spans="4:18">
      <c r="D51" s="1" t="s">
        <v>83</v>
      </c>
      <c r="E51" s="1" t="s">
        <v>37</v>
      </c>
      <c r="H51" s="1" t="s">
        <v>25</v>
      </c>
      <c r="I51" s="1" t="s">
        <v>23</v>
      </c>
      <c r="M51" s="1" t="b">
        <v>0</v>
      </c>
      <c r="N51" s="1">
        <v>0</v>
      </c>
      <c r="O51" s="11"/>
      <c r="P51" s="11"/>
      <c r="Q51" s="11"/>
      <c r="R51" s="11"/>
    </row>
    <row r="52" spans="4:18">
      <c r="D52" s="1" t="s">
        <v>83</v>
      </c>
      <c r="E52" s="1" t="s">
        <v>38</v>
      </c>
      <c r="F52" s="1" t="s">
        <v>35</v>
      </c>
      <c r="G52" s="1" t="s">
        <v>36</v>
      </c>
      <c r="H52" s="1" t="s">
        <v>22</v>
      </c>
      <c r="I52" s="1" t="s">
        <v>23</v>
      </c>
      <c r="J52" s="1">
        <v>-99.670000000000016</v>
      </c>
      <c r="K52" s="1">
        <v>980.32999999999993</v>
      </c>
      <c r="L52" s="1">
        <v>80.329999999999984</v>
      </c>
      <c r="M52" s="1">
        <v>13.999999999999943</v>
      </c>
      <c r="N52" s="1">
        <v>13.999999999999943</v>
      </c>
      <c r="O52" s="11"/>
      <c r="P52" s="11"/>
      <c r="Q52" s="11"/>
      <c r="R52" s="11"/>
    </row>
    <row r="53" spans="4:18">
      <c r="D53" s="1" t="s">
        <v>83</v>
      </c>
      <c r="E53" s="1" t="s">
        <v>39</v>
      </c>
      <c r="H53" s="1" t="s">
        <v>25</v>
      </c>
      <c r="I53" s="1" t="s">
        <v>23</v>
      </c>
      <c r="M53" s="1" t="b">
        <v>0</v>
      </c>
      <c r="N53" s="1">
        <v>0</v>
      </c>
      <c r="O53" s="11"/>
      <c r="P53" s="11"/>
      <c r="Q53" s="11"/>
      <c r="R53" s="11"/>
    </row>
    <row r="54" spans="4:18">
      <c r="D54" s="1" t="s">
        <v>83</v>
      </c>
      <c r="E54" s="1" t="s">
        <v>40</v>
      </c>
      <c r="F54" s="1" t="s">
        <v>41</v>
      </c>
      <c r="G54" s="1" t="s">
        <v>42</v>
      </c>
      <c r="H54" s="1" t="s">
        <v>22</v>
      </c>
      <c r="I54" s="1" t="s">
        <v>23</v>
      </c>
      <c r="J54" s="1">
        <v>-900</v>
      </c>
      <c r="K54" s="1">
        <v>900</v>
      </c>
      <c r="L54" s="1">
        <v>1.8</v>
      </c>
      <c r="M54" s="1">
        <v>9</v>
      </c>
      <c r="N54" s="1">
        <v>9</v>
      </c>
      <c r="O54" s="11"/>
      <c r="P54" s="11"/>
      <c r="Q54" s="11"/>
      <c r="R54" s="11"/>
    </row>
    <row r="55" spans="4:18">
      <c r="D55" s="1" t="s">
        <v>83</v>
      </c>
      <c r="E55" s="1" t="s">
        <v>43</v>
      </c>
      <c r="H55" s="1" t="s">
        <v>25</v>
      </c>
      <c r="I55" s="1" t="s">
        <v>23</v>
      </c>
      <c r="M55" s="1" t="b">
        <v>0</v>
      </c>
      <c r="N55" s="1">
        <v>0</v>
      </c>
      <c r="O55" s="11"/>
      <c r="P55" s="11"/>
      <c r="Q55" s="11"/>
      <c r="R55" s="11"/>
    </row>
    <row r="56" spans="4:18">
      <c r="D56" s="1" t="s">
        <v>83</v>
      </c>
      <c r="E56" s="1" t="s">
        <v>44</v>
      </c>
      <c r="F56" s="1" t="s">
        <v>45</v>
      </c>
      <c r="G56" s="1" t="s">
        <v>46</v>
      </c>
      <c r="H56" s="1" t="s">
        <v>22</v>
      </c>
      <c r="I56" s="1" t="s">
        <v>23</v>
      </c>
      <c r="J56" s="1">
        <v>-85.984522757427143</v>
      </c>
      <c r="K56" s="1">
        <v>8598.4522757427148</v>
      </c>
      <c r="L56" s="1">
        <v>114.79148749423418</v>
      </c>
      <c r="M56" s="1">
        <v>128.97678413614071</v>
      </c>
      <c r="N56" s="1">
        <v>128.97678413614071</v>
      </c>
      <c r="O56" s="11"/>
      <c r="P56" s="11"/>
      <c r="Q56" s="11"/>
      <c r="R56" s="11"/>
    </row>
    <row r="57" spans="4:18">
      <c r="D57" s="1" t="s">
        <v>83</v>
      </c>
      <c r="E57" s="1" t="s">
        <v>47</v>
      </c>
      <c r="H57" s="1" t="s">
        <v>25</v>
      </c>
      <c r="I57" s="1" t="s">
        <v>23</v>
      </c>
      <c r="M57" s="1" t="b">
        <v>0</v>
      </c>
      <c r="N57" s="1">
        <v>0</v>
      </c>
      <c r="O57" s="11"/>
      <c r="P57" s="11"/>
      <c r="Q57" s="11"/>
      <c r="R57" s="11"/>
    </row>
    <row r="58" spans="4:18">
      <c r="D58" s="1" t="s">
        <v>83</v>
      </c>
      <c r="E58" s="1" t="s">
        <v>48</v>
      </c>
      <c r="H58" s="1" t="s">
        <v>25</v>
      </c>
      <c r="I58" s="1" t="s">
        <v>23</v>
      </c>
      <c r="M58" s="1" t="b">
        <v>0</v>
      </c>
      <c r="N58" s="1">
        <v>0</v>
      </c>
      <c r="O58" s="11"/>
      <c r="P58" s="11"/>
      <c r="Q58" s="11"/>
      <c r="R58" s="11"/>
    </row>
    <row r="59" spans="4:18">
      <c r="D59" s="1" t="s">
        <v>83</v>
      </c>
      <c r="E59" s="1" t="s">
        <v>49</v>
      </c>
      <c r="H59" s="1" t="s">
        <v>25</v>
      </c>
      <c r="I59" s="1" t="s">
        <v>23</v>
      </c>
      <c r="M59" s="1" t="b">
        <v>0</v>
      </c>
      <c r="N59" s="1">
        <v>0</v>
      </c>
      <c r="O59" s="11"/>
      <c r="P59" s="11"/>
      <c r="Q59" s="11"/>
      <c r="R59" s="11"/>
    </row>
    <row r="60" spans="4:18">
      <c r="D60" s="1" t="s">
        <v>83</v>
      </c>
      <c r="E60" s="1" t="s">
        <v>50</v>
      </c>
      <c r="H60" s="1" t="s">
        <v>25</v>
      </c>
      <c r="I60" s="1" t="s">
        <v>23</v>
      </c>
      <c r="M60" s="1" t="b">
        <v>0</v>
      </c>
      <c r="N60" s="1">
        <v>0</v>
      </c>
      <c r="O60" s="11"/>
      <c r="P60" s="11"/>
      <c r="Q60" s="11"/>
      <c r="R60" s="11"/>
    </row>
    <row r="61" spans="4:18">
      <c r="D61" s="1" t="s">
        <v>83</v>
      </c>
      <c r="E61" s="1" t="s">
        <v>51</v>
      </c>
      <c r="F61" s="1" t="s">
        <v>52</v>
      </c>
      <c r="G61" s="1" t="s">
        <v>53</v>
      </c>
      <c r="H61" s="1" t="s">
        <v>22</v>
      </c>
      <c r="I61" s="1" t="s">
        <v>23</v>
      </c>
      <c r="J61" s="1">
        <v>0</v>
      </c>
      <c r="K61" s="1">
        <v>7936641438.6555996</v>
      </c>
      <c r="L61" s="1">
        <v>7936.6414386555998</v>
      </c>
      <c r="M61" s="1">
        <v>7936.6414386555998</v>
      </c>
      <c r="N61" s="1">
        <v>7936.6414386555998</v>
      </c>
      <c r="O61" s="11"/>
      <c r="P61" s="11"/>
      <c r="Q61" s="11"/>
      <c r="R61" s="11"/>
    </row>
    <row r="62" spans="4:18">
      <c r="D62" s="1" t="s">
        <v>83</v>
      </c>
      <c r="E62" s="1" t="s">
        <v>54</v>
      </c>
      <c r="H62" s="1" t="s">
        <v>25</v>
      </c>
      <c r="I62" s="1" t="s">
        <v>23</v>
      </c>
      <c r="M62" s="1" t="b">
        <v>0</v>
      </c>
      <c r="N62" s="1">
        <v>0</v>
      </c>
      <c r="O62" s="11"/>
      <c r="P62" s="11"/>
      <c r="Q62" s="11"/>
      <c r="R62" s="11"/>
    </row>
    <row r="63" spans="4:18">
      <c r="D63" s="1" t="s">
        <v>83</v>
      </c>
      <c r="E63" s="1" t="s">
        <v>55</v>
      </c>
      <c r="F63" s="1" t="s">
        <v>56</v>
      </c>
      <c r="G63" s="1" t="s">
        <v>57</v>
      </c>
      <c r="H63" s="1" t="s">
        <v>22</v>
      </c>
      <c r="I63" s="1" t="s">
        <v>23</v>
      </c>
      <c r="J63" s="1">
        <v>0</v>
      </c>
      <c r="K63" s="1">
        <v>9427.4529524635982</v>
      </c>
      <c r="L63" s="1">
        <v>50.713895374744951</v>
      </c>
      <c r="M63" s="1">
        <v>50.763208205573221</v>
      </c>
      <c r="N63" s="1">
        <v>50.763208205573221</v>
      </c>
      <c r="O63" s="11"/>
      <c r="P63" s="11"/>
      <c r="Q63" s="11"/>
      <c r="R63" s="11"/>
    </row>
    <row r="64" spans="4:18">
      <c r="D64" s="1" t="s">
        <v>83</v>
      </c>
      <c r="E64" s="1" t="s">
        <v>58</v>
      </c>
      <c r="H64" s="1" t="s">
        <v>25</v>
      </c>
      <c r="I64" s="1" t="s">
        <v>23</v>
      </c>
      <c r="M64" s="1" t="b">
        <v>0</v>
      </c>
      <c r="N64" s="1">
        <v>0</v>
      </c>
      <c r="O64" s="11"/>
      <c r="P64" s="11"/>
      <c r="Q64" s="11"/>
      <c r="R64" s="11"/>
    </row>
    <row r="65" spans="1:18">
      <c r="D65" s="1" t="s">
        <v>83</v>
      </c>
      <c r="E65" s="1" t="s">
        <v>59</v>
      </c>
      <c r="F65" s="1" t="s">
        <v>60</v>
      </c>
      <c r="G65" s="1" t="s">
        <v>61</v>
      </c>
      <c r="H65" s="1" t="s">
        <v>22</v>
      </c>
      <c r="I65" s="1" t="s">
        <v>23</v>
      </c>
      <c r="J65" s="1">
        <v>-9.5538358650799999</v>
      </c>
      <c r="K65" s="1">
        <v>9.5538358650799999</v>
      </c>
      <c r="L65" s="1">
        <v>0.23884589662700001</v>
      </c>
      <c r="M65" s="1">
        <v>0.23884589662700001</v>
      </c>
      <c r="N65" s="1">
        <v>0.23884589662700001</v>
      </c>
      <c r="O65" s="11"/>
      <c r="P65" s="11"/>
      <c r="Q65" s="11"/>
      <c r="R65" s="11"/>
    </row>
    <row r="66" spans="1:18">
      <c r="D66" s="1" t="s">
        <v>83</v>
      </c>
      <c r="E66" s="1" t="s">
        <v>62</v>
      </c>
      <c r="H66" s="1" t="s">
        <v>63</v>
      </c>
      <c r="I66" s="1" t="s">
        <v>23</v>
      </c>
      <c r="M66" s="1">
        <v>1</v>
      </c>
      <c r="N66" s="1">
        <v>1</v>
      </c>
      <c r="O66" s="11"/>
      <c r="P66" s="11"/>
      <c r="Q66" s="11"/>
      <c r="R66" s="11"/>
    </row>
    <row r="67" spans="1:18">
      <c r="A67" s="2" t="s">
        <v>1759</v>
      </c>
      <c r="B67" s="3" t="s">
        <v>1764</v>
      </c>
      <c r="D67" s="1" t="s">
        <v>83</v>
      </c>
      <c r="E67" s="1" t="s">
        <v>64</v>
      </c>
      <c r="F67" s="1" t="s">
        <v>35</v>
      </c>
      <c r="G67" s="1" t="s">
        <v>36</v>
      </c>
      <c r="H67" s="1" t="s">
        <v>22</v>
      </c>
      <c r="I67" s="1" t="s">
        <v>65</v>
      </c>
      <c r="J67" s="1">
        <v>-459.67</v>
      </c>
      <c r="L67" s="1">
        <v>80.329999999999984</v>
      </c>
      <c r="N67" s="1">
        <v>78.004780538218085</v>
      </c>
      <c r="O67" s="11"/>
      <c r="P67" s="11"/>
      <c r="Q67" s="11"/>
      <c r="R67" s="11"/>
    </row>
    <row r="68" spans="1:18">
      <c r="A68" s="2" t="s">
        <v>1759</v>
      </c>
      <c r="B68" s="3" t="s">
        <v>1765</v>
      </c>
      <c r="D68" s="1" t="s">
        <v>83</v>
      </c>
      <c r="E68" s="1" t="s">
        <v>66</v>
      </c>
      <c r="F68" s="1" t="s">
        <v>35</v>
      </c>
      <c r="G68" s="1" t="s">
        <v>36</v>
      </c>
      <c r="H68" s="1" t="s">
        <v>22</v>
      </c>
      <c r="I68" s="1" t="s">
        <v>65</v>
      </c>
      <c r="J68" s="1">
        <v>-459.67</v>
      </c>
      <c r="L68" s="1">
        <v>80.329999999999984</v>
      </c>
      <c r="N68" s="1">
        <v>69.34045235942034</v>
      </c>
      <c r="O68" s="11"/>
      <c r="P68" s="11"/>
      <c r="Q68" s="11"/>
      <c r="R68" s="11"/>
    </row>
    <row r="69" spans="1:18">
      <c r="D69" s="1" t="s">
        <v>83</v>
      </c>
      <c r="E69" s="1" t="s">
        <v>67</v>
      </c>
      <c r="F69" s="1" t="s">
        <v>41</v>
      </c>
      <c r="G69" s="1" t="s">
        <v>42</v>
      </c>
      <c r="H69" s="1" t="s">
        <v>22</v>
      </c>
      <c r="I69" s="1" t="s">
        <v>65</v>
      </c>
      <c r="L69" s="1">
        <v>1.8</v>
      </c>
      <c r="N69" s="1">
        <v>8.6643281787978257</v>
      </c>
      <c r="O69" s="11"/>
      <c r="P69" s="11"/>
      <c r="Q69" s="11"/>
      <c r="R69" s="11"/>
    </row>
    <row r="70" spans="1:18">
      <c r="D70" s="1" t="s">
        <v>83</v>
      </c>
      <c r="E70" s="1" t="s">
        <v>68</v>
      </c>
      <c r="F70" s="1" t="s">
        <v>45</v>
      </c>
      <c r="G70" s="1" t="s">
        <v>46</v>
      </c>
      <c r="H70" s="1" t="s">
        <v>22</v>
      </c>
      <c r="I70" s="1" t="s">
        <v>65</v>
      </c>
      <c r="L70" s="1">
        <v>4.2992261378713571E-4</v>
      </c>
      <c r="N70" s="1">
        <v>114.69727292989937</v>
      </c>
      <c r="O70" s="11"/>
      <c r="P70" s="11"/>
      <c r="Q70" s="11"/>
      <c r="R70" s="11"/>
    </row>
    <row r="71" spans="1:18">
      <c r="D71" s="1" t="s">
        <v>83</v>
      </c>
      <c r="E71" s="1" t="s">
        <v>69</v>
      </c>
      <c r="H71" s="1" t="s">
        <v>25</v>
      </c>
      <c r="I71" s="1" t="s">
        <v>70</v>
      </c>
      <c r="N71" s="1">
        <v>0</v>
      </c>
      <c r="O71" s="11"/>
      <c r="P71" s="11"/>
      <c r="Q71" s="11"/>
      <c r="R71" s="11"/>
    </row>
    <row r="72" spans="1:18">
      <c r="A72" s="2" t="s">
        <v>1759</v>
      </c>
      <c r="B72" s="3" t="s">
        <v>1766</v>
      </c>
      <c r="D72" s="1" t="s">
        <v>83</v>
      </c>
      <c r="E72" s="1" t="s">
        <v>71</v>
      </c>
      <c r="F72" s="1" t="s">
        <v>52</v>
      </c>
      <c r="G72" s="1" t="s">
        <v>53</v>
      </c>
      <c r="H72" s="1" t="s">
        <v>22</v>
      </c>
      <c r="I72" s="1" t="s">
        <v>65</v>
      </c>
      <c r="L72" s="1">
        <v>7936.6414386555998</v>
      </c>
      <c r="N72" s="1">
        <v>183317.80538679316</v>
      </c>
      <c r="O72" s="11"/>
      <c r="P72" s="11"/>
      <c r="Q72" s="11"/>
      <c r="R72" s="11"/>
    </row>
    <row r="73" spans="1:18">
      <c r="A73" s="2" t="s">
        <v>1759</v>
      </c>
      <c r="B73" s="3" t="s">
        <v>1767</v>
      </c>
      <c r="D73" s="1" t="s">
        <v>83</v>
      </c>
      <c r="E73" s="1" t="s">
        <v>72</v>
      </c>
      <c r="F73" s="1" t="s">
        <v>56</v>
      </c>
      <c r="G73" s="1" t="s">
        <v>57</v>
      </c>
      <c r="H73" s="1" t="s">
        <v>22</v>
      </c>
      <c r="I73" s="1" t="s">
        <v>65</v>
      </c>
      <c r="J73" s="1">
        <v>0</v>
      </c>
      <c r="L73" s="1">
        <v>14.503773773020921</v>
      </c>
      <c r="N73" s="1">
        <v>84.845137232962287</v>
      </c>
      <c r="O73" s="11"/>
      <c r="P73" s="11"/>
      <c r="Q73" s="11"/>
      <c r="R73" s="11"/>
    </row>
    <row r="74" spans="1:18">
      <c r="D74" s="1" t="s">
        <v>83</v>
      </c>
      <c r="E74" s="1" t="s">
        <v>73</v>
      </c>
      <c r="F74" s="1" t="s">
        <v>60</v>
      </c>
      <c r="G74" s="1" t="s">
        <v>61</v>
      </c>
      <c r="H74" s="1" t="s">
        <v>22</v>
      </c>
      <c r="I74" s="1" t="s">
        <v>65</v>
      </c>
      <c r="L74" s="1">
        <v>2.38845896627E-4</v>
      </c>
      <c r="N74" s="1">
        <v>0.22411036156528552</v>
      </c>
      <c r="O74" s="11"/>
      <c r="P74" s="11"/>
      <c r="Q74" s="11"/>
      <c r="R74" s="11"/>
    </row>
    <row r="75" spans="1:18">
      <c r="D75" s="1" t="s">
        <v>83</v>
      </c>
      <c r="E75" s="1" t="s">
        <v>74</v>
      </c>
      <c r="F75" s="1" t="s">
        <v>75</v>
      </c>
      <c r="G75" s="1" t="s">
        <v>76</v>
      </c>
      <c r="H75" s="1" t="s">
        <v>22</v>
      </c>
      <c r="I75" s="1" t="s">
        <v>65</v>
      </c>
      <c r="J75" s="1">
        <v>0</v>
      </c>
      <c r="L75" s="1">
        <v>16.018463521800001</v>
      </c>
      <c r="N75" s="1">
        <v>0.57942947920790755</v>
      </c>
      <c r="O75" s="11"/>
      <c r="P75" s="11"/>
      <c r="Q75" s="11"/>
      <c r="R75" s="11"/>
    </row>
    <row r="76" spans="1:18">
      <c r="D76" s="1" t="s">
        <v>83</v>
      </c>
      <c r="E76" s="1" t="s">
        <v>77</v>
      </c>
      <c r="H76" s="1" t="s">
        <v>22</v>
      </c>
      <c r="I76" s="1" t="s">
        <v>65</v>
      </c>
      <c r="L76" s="1">
        <v>1</v>
      </c>
      <c r="N76" s="1">
        <v>1.0263763535864106</v>
      </c>
      <c r="O76" s="11"/>
      <c r="P76" s="11"/>
      <c r="Q76" s="11"/>
      <c r="R76" s="11"/>
    </row>
    <row r="77" spans="1:18">
      <c r="D77" s="1" t="s">
        <v>83</v>
      </c>
      <c r="E77" s="1" t="s">
        <v>78</v>
      </c>
      <c r="H77" s="1" t="s">
        <v>25</v>
      </c>
      <c r="I77" s="1" t="s">
        <v>23</v>
      </c>
      <c r="M77" s="1" t="b">
        <v>0</v>
      </c>
      <c r="N77" s="1">
        <v>0</v>
      </c>
      <c r="O77" s="11"/>
      <c r="P77" s="11"/>
      <c r="Q77" s="11"/>
      <c r="R77" s="11"/>
    </row>
    <row r="78" spans="1:18">
      <c r="D78" s="1" t="s">
        <v>83</v>
      </c>
      <c r="E78" s="1" t="s">
        <v>79</v>
      </c>
      <c r="F78" s="1" t="s">
        <v>75</v>
      </c>
      <c r="G78" s="1" t="s">
        <v>76</v>
      </c>
      <c r="H78" s="1" t="s">
        <v>22</v>
      </c>
      <c r="I78" s="1" t="s">
        <v>23</v>
      </c>
      <c r="J78" s="1">
        <v>0</v>
      </c>
      <c r="K78" s="1">
        <v>96.110781130800007</v>
      </c>
      <c r="L78" s="1">
        <v>16.018463521800001</v>
      </c>
      <c r="M78" s="1">
        <v>1.6018463521800002</v>
      </c>
      <c r="N78" s="1">
        <v>1.6018463521800002</v>
      </c>
      <c r="O78" s="11"/>
      <c r="P78" s="11"/>
      <c r="Q78" s="11"/>
      <c r="R78" s="11"/>
    </row>
    <row r="79" spans="1:18">
      <c r="D79" s="1" t="s">
        <v>83</v>
      </c>
      <c r="E79" s="1" t="s">
        <v>80</v>
      </c>
      <c r="H79" s="1" t="s">
        <v>25</v>
      </c>
      <c r="I79" s="1" t="s">
        <v>23</v>
      </c>
      <c r="M79" s="1" t="b">
        <v>0</v>
      </c>
      <c r="N79" s="1">
        <v>0</v>
      </c>
      <c r="O79" s="11"/>
      <c r="P79" s="11"/>
      <c r="Q79" s="11"/>
      <c r="R79" s="11"/>
    </row>
    <row r="80" spans="1:18">
      <c r="D80" s="1" t="s">
        <v>83</v>
      </c>
      <c r="E80" s="1" t="s">
        <v>81</v>
      </c>
      <c r="H80" s="1" t="s">
        <v>25</v>
      </c>
      <c r="I80" s="1" t="s">
        <v>23</v>
      </c>
      <c r="M80" s="1" t="b">
        <v>0</v>
      </c>
      <c r="N80" s="1">
        <v>0</v>
      </c>
      <c r="O80" s="11"/>
      <c r="P80" s="11"/>
      <c r="Q80" s="11"/>
      <c r="R80" s="11"/>
    </row>
    <row r="81" spans="4:18">
      <c r="D81" s="1" t="s">
        <v>83</v>
      </c>
      <c r="E81" s="1" t="s">
        <v>82</v>
      </c>
      <c r="H81" s="1" t="s">
        <v>22</v>
      </c>
      <c r="I81" s="1" t="s">
        <v>23</v>
      </c>
      <c r="J81" s="1">
        <v>-1</v>
      </c>
      <c r="K81" s="1">
        <v>3</v>
      </c>
      <c r="L81" s="1">
        <v>1</v>
      </c>
      <c r="M81" s="1">
        <v>1.01</v>
      </c>
      <c r="N81" s="1">
        <v>1.01</v>
      </c>
      <c r="O81" s="11"/>
      <c r="P81" s="11"/>
      <c r="Q81" s="11"/>
      <c r="R81" s="11"/>
    </row>
    <row r="82" spans="4:18">
      <c r="D82" s="1" t="s">
        <v>84</v>
      </c>
      <c r="E82" s="1" t="s">
        <v>28</v>
      </c>
      <c r="H82" s="1" t="s">
        <v>22</v>
      </c>
      <c r="I82" s="1" t="s">
        <v>29</v>
      </c>
      <c r="J82" s="1">
        <v>34000</v>
      </c>
      <c r="K82" s="1">
        <v>4300000</v>
      </c>
      <c r="L82" s="1">
        <v>349660</v>
      </c>
      <c r="N82" s="1">
        <v>350000</v>
      </c>
      <c r="O82" s="11"/>
      <c r="P82" s="11"/>
      <c r="Q82" s="11"/>
      <c r="R82" s="11"/>
    </row>
    <row r="83" spans="4:18">
      <c r="D83" s="1" t="s">
        <v>84</v>
      </c>
      <c r="E83" s="1" t="s">
        <v>30</v>
      </c>
      <c r="H83" s="1" t="s">
        <v>22</v>
      </c>
      <c r="I83" s="1" t="s">
        <v>29</v>
      </c>
      <c r="J83" s="1">
        <v>-3.94</v>
      </c>
      <c r="K83" s="1">
        <v>3.66</v>
      </c>
      <c r="L83" s="1">
        <v>1</v>
      </c>
      <c r="N83" s="1">
        <v>1.01</v>
      </c>
      <c r="O83" s="11"/>
      <c r="P83" s="11"/>
      <c r="Q83" s="11"/>
      <c r="R83" s="11"/>
    </row>
    <row r="84" spans="4:18">
      <c r="D84" s="1" t="s">
        <v>84</v>
      </c>
      <c r="E84" s="1" t="s">
        <v>31</v>
      </c>
      <c r="H84" s="1" t="s">
        <v>22</v>
      </c>
      <c r="I84" s="1" t="s">
        <v>29</v>
      </c>
      <c r="J84" s="1">
        <v>0</v>
      </c>
      <c r="K84" s="1">
        <v>100</v>
      </c>
      <c r="L84" s="1">
        <v>1</v>
      </c>
      <c r="N84" s="1">
        <v>0</v>
      </c>
      <c r="O84" s="11"/>
      <c r="P84" s="11"/>
      <c r="Q84" s="11"/>
      <c r="R84" s="11"/>
    </row>
    <row r="85" spans="4:18">
      <c r="D85" s="1" t="s">
        <v>84</v>
      </c>
      <c r="E85" s="1" t="s">
        <v>32</v>
      </c>
      <c r="H85" s="1" t="s">
        <v>22</v>
      </c>
      <c r="I85" s="1" t="s">
        <v>29</v>
      </c>
      <c r="J85" s="1">
        <v>-3.94</v>
      </c>
      <c r="K85" s="1">
        <v>3.66</v>
      </c>
      <c r="L85" s="1">
        <v>1</v>
      </c>
      <c r="N85" s="1">
        <v>1.01</v>
      </c>
      <c r="O85" s="11"/>
      <c r="P85" s="11"/>
      <c r="Q85" s="11"/>
      <c r="R85" s="11"/>
    </row>
    <row r="86" spans="4:18">
      <c r="D86" s="1" t="s">
        <v>84</v>
      </c>
      <c r="E86" s="1" t="s">
        <v>33</v>
      </c>
      <c r="H86" s="1" t="s">
        <v>25</v>
      </c>
      <c r="I86" s="1" t="s">
        <v>23</v>
      </c>
      <c r="M86" s="1" t="b">
        <v>0</v>
      </c>
      <c r="N86" s="1">
        <v>0</v>
      </c>
      <c r="O86" s="11"/>
      <c r="P86" s="11"/>
      <c r="Q86" s="11"/>
      <c r="R86" s="11"/>
    </row>
    <row r="87" spans="4:18">
      <c r="D87" s="1" t="s">
        <v>84</v>
      </c>
      <c r="E87" s="1" t="s">
        <v>34</v>
      </c>
      <c r="F87" s="1" t="s">
        <v>35</v>
      </c>
      <c r="G87" s="1" t="s">
        <v>36</v>
      </c>
      <c r="H87" s="1" t="s">
        <v>22</v>
      </c>
      <c r="I87" s="1" t="s">
        <v>23</v>
      </c>
      <c r="J87" s="1">
        <v>-459.67</v>
      </c>
      <c r="K87" s="1">
        <v>980.32999999999993</v>
      </c>
      <c r="L87" s="1">
        <v>80.329999999999984</v>
      </c>
      <c r="M87" s="1">
        <v>67.999999999999943</v>
      </c>
      <c r="N87" s="1">
        <v>67.999999999999943</v>
      </c>
      <c r="O87" s="11"/>
      <c r="P87" s="11"/>
      <c r="Q87" s="11"/>
      <c r="R87" s="11"/>
    </row>
    <row r="88" spans="4:18">
      <c r="D88" s="1" t="s">
        <v>84</v>
      </c>
      <c r="E88" s="1" t="s">
        <v>37</v>
      </c>
      <c r="H88" s="1" t="s">
        <v>25</v>
      </c>
      <c r="I88" s="1" t="s">
        <v>23</v>
      </c>
      <c r="M88" s="1" t="b">
        <v>0</v>
      </c>
      <c r="N88" s="1">
        <v>0</v>
      </c>
      <c r="O88" s="11"/>
      <c r="P88" s="11"/>
      <c r="Q88" s="11"/>
      <c r="R88" s="11"/>
    </row>
    <row r="89" spans="4:18">
      <c r="D89" s="1" t="s">
        <v>84</v>
      </c>
      <c r="E89" s="1" t="s">
        <v>38</v>
      </c>
      <c r="F89" s="1" t="s">
        <v>35</v>
      </c>
      <c r="G89" s="1" t="s">
        <v>36</v>
      </c>
      <c r="H89" s="1" t="s">
        <v>22</v>
      </c>
      <c r="I89" s="1" t="s">
        <v>23</v>
      </c>
      <c r="J89" s="1">
        <v>-99.670000000000016</v>
      </c>
      <c r="K89" s="1">
        <v>980.32999999999993</v>
      </c>
      <c r="L89" s="1">
        <v>80.329999999999984</v>
      </c>
      <c r="M89" s="1">
        <v>13.999999999999943</v>
      </c>
      <c r="N89" s="1">
        <v>13.999999999999943</v>
      </c>
      <c r="O89" s="11"/>
      <c r="P89" s="11"/>
      <c r="Q89" s="11"/>
      <c r="R89" s="11"/>
    </row>
    <row r="90" spans="4:18">
      <c r="D90" s="1" t="s">
        <v>84</v>
      </c>
      <c r="E90" s="1" t="s">
        <v>39</v>
      </c>
      <c r="H90" s="1" t="s">
        <v>25</v>
      </c>
      <c r="I90" s="1" t="s">
        <v>23</v>
      </c>
      <c r="M90" s="1" t="b">
        <v>0</v>
      </c>
      <c r="N90" s="1">
        <v>0</v>
      </c>
      <c r="O90" s="11"/>
      <c r="P90" s="11"/>
      <c r="Q90" s="11"/>
      <c r="R90" s="11"/>
    </row>
    <row r="91" spans="4:18">
      <c r="D91" s="1" t="s">
        <v>84</v>
      </c>
      <c r="E91" s="1" t="s">
        <v>40</v>
      </c>
      <c r="F91" s="1" t="s">
        <v>41</v>
      </c>
      <c r="G91" s="1" t="s">
        <v>42</v>
      </c>
      <c r="H91" s="1" t="s">
        <v>22</v>
      </c>
      <c r="I91" s="1" t="s">
        <v>23</v>
      </c>
      <c r="J91" s="1">
        <v>-900</v>
      </c>
      <c r="K91" s="1">
        <v>900</v>
      </c>
      <c r="L91" s="1">
        <v>1.8</v>
      </c>
      <c r="M91" s="1">
        <v>9</v>
      </c>
      <c r="N91" s="1">
        <v>9</v>
      </c>
      <c r="O91" s="11"/>
      <c r="P91" s="11"/>
      <c r="Q91" s="11"/>
      <c r="R91" s="11"/>
    </row>
    <row r="92" spans="4:18">
      <c r="D92" s="1" t="s">
        <v>84</v>
      </c>
      <c r="E92" s="1" t="s">
        <v>43</v>
      </c>
      <c r="H92" s="1" t="s">
        <v>25</v>
      </c>
      <c r="I92" s="1" t="s">
        <v>23</v>
      </c>
      <c r="M92" s="1" t="b">
        <v>0</v>
      </c>
      <c r="N92" s="1">
        <v>0</v>
      </c>
      <c r="O92" s="11"/>
      <c r="P92" s="11"/>
      <c r="Q92" s="11"/>
      <c r="R92" s="11"/>
    </row>
    <row r="93" spans="4:18">
      <c r="D93" s="1" t="s">
        <v>84</v>
      </c>
      <c r="E93" s="1" t="s">
        <v>44</v>
      </c>
      <c r="F93" s="1" t="s">
        <v>45</v>
      </c>
      <c r="G93" s="1" t="s">
        <v>46</v>
      </c>
      <c r="H93" s="1" t="s">
        <v>22</v>
      </c>
      <c r="I93" s="1" t="s">
        <v>23</v>
      </c>
      <c r="J93" s="1">
        <v>-85.984522757427143</v>
      </c>
      <c r="K93" s="1">
        <v>8598.4522757427148</v>
      </c>
      <c r="L93" s="1">
        <v>114.79148749423418</v>
      </c>
      <c r="M93" s="1">
        <v>128.97678413614071</v>
      </c>
      <c r="N93" s="1">
        <v>128.97678413614071</v>
      </c>
      <c r="O93" s="11"/>
      <c r="P93" s="11"/>
      <c r="Q93" s="11"/>
      <c r="R93" s="11"/>
    </row>
    <row r="94" spans="4:18">
      <c r="D94" s="1" t="s">
        <v>84</v>
      </c>
      <c r="E94" s="1" t="s">
        <v>47</v>
      </c>
      <c r="H94" s="1" t="s">
        <v>25</v>
      </c>
      <c r="I94" s="1" t="s">
        <v>23</v>
      </c>
      <c r="M94" s="1" t="b">
        <v>0</v>
      </c>
      <c r="N94" s="1">
        <v>0</v>
      </c>
      <c r="O94" s="11"/>
      <c r="P94" s="11"/>
      <c r="Q94" s="11"/>
      <c r="R94" s="11"/>
    </row>
    <row r="95" spans="4:18">
      <c r="D95" s="1" t="s">
        <v>84</v>
      </c>
      <c r="E95" s="1" t="s">
        <v>48</v>
      </c>
      <c r="H95" s="1" t="s">
        <v>25</v>
      </c>
      <c r="I95" s="1" t="s">
        <v>23</v>
      </c>
      <c r="M95" s="1" t="b">
        <v>0</v>
      </c>
      <c r="N95" s="1">
        <v>0</v>
      </c>
      <c r="O95" s="11"/>
      <c r="P95" s="11"/>
      <c r="Q95" s="11"/>
      <c r="R95" s="11"/>
    </row>
    <row r="96" spans="4:18">
      <c r="D96" s="1" t="s">
        <v>84</v>
      </c>
      <c r="E96" s="1" t="s">
        <v>49</v>
      </c>
      <c r="H96" s="1" t="s">
        <v>25</v>
      </c>
      <c r="I96" s="1" t="s">
        <v>23</v>
      </c>
      <c r="M96" s="1" t="b">
        <v>0</v>
      </c>
      <c r="N96" s="1">
        <v>0</v>
      </c>
      <c r="O96" s="11"/>
      <c r="P96" s="11"/>
      <c r="Q96" s="11"/>
      <c r="R96" s="11"/>
    </row>
    <row r="97" spans="1:18">
      <c r="D97" s="1" t="s">
        <v>84</v>
      </c>
      <c r="E97" s="1" t="s">
        <v>50</v>
      </c>
      <c r="H97" s="1" t="s">
        <v>25</v>
      </c>
      <c r="I97" s="1" t="s">
        <v>23</v>
      </c>
      <c r="M97" s="1" t="b">
        <v>0</v>
      </c>
      <c r="N97" s="1">
        <v>0</v>
      </c>
      <c r="O97" s="11"/>
      <c r="P97" s="11"/>
      <c r="Q97" s="11"/>
      <c r="R97" s="11"/>
    </row>
    <row r="98" spans="1:18">
      <c r="D98" s="1" t="s">
        <v>84</v>
      </c>
      <c r="E98" s="1" t="s">
        <v>51</v>
      </c>
      <c r="F98" s="1" t="s">
        <v>52</v>
      </c>
      <c r="G98" s="1" t="s">
        <v>53</v>
      </c>
      <c r="H98" s="1" t="s">
        <v>22</v>
      </c>
      <c r="I98" s="1" t="s">
        <v>23</v>
      </c>
      <c r="J98" s="1">
        <v>0</v>
      </c>
      <c r="K98" s="1">
        <v>7936641438.6555996</v>
      </c>
      <c r="L98" s="1">
        <v>7936.6414386555998</v>
      </c>
      <c r="M98" s="1">
        <v>7936.6414386555998</v>
      </c>
      <c r="N98" s="1">
        <v>7936.6414386555998</v>
      </c>
      <c r="O98" s="11"/>
      <c r="P98" s="11"/>
      <c r="Q98" s="11"/>
      <c r="R98" s="11"/>
    </row>
    <row r="99" spans="1:18">
      <c r="D99" s="1" t="s">
        <v>84</v>
      </c>
      <c r="E99" s="1" t="s">
        <v>54</v>
      </c>
      <c r="H99" s="1" t="s">
        <v>25</v>
      </c>
      <c r="I99" s="1" t="s">
        <v>23</v>
      </c>
      <c r="M99" s="1" t="b">
        <v>0</v>
      </c>
      <c r="N99" s="1">
        <v>0</v>
      </c>
      <c r="O99" s="11"/>
      <c r="P99" s="11"/>
      <c r="Q99" s="11"/>
      <c r="R99" s="11"/>
    </row>
    <row r="100" spans="1:18">
      <c r="D100" s="1" t="s">
        <v>84</v>
      </c>
      <c r="E100" s="1" t="s">
        <v>55</v>
      </c>
      <c r="F100" s="1" t="s">
        <v>56</v>
      </c>
      <c r="G100" s="1" t="s">
        <v>57</v>
      </c>
      <c r="H100" s="1" t="s">
        <v>22</v>
      </c>
      <c r="I100" s="1" t="s">
        <v>23</v>
      </c>
      <c r="J100" s="1">
        <v>0</v>
      </c>
      <c r="K100" s="1">
        <v>9427.4529524635982</v>
      </c>
      <c r="L100" s="1">
        <v>50.713895374744951</v>
      </c>
      <c r="M100" s="1">
        <v>50.763208205573221</v>
      </c>
      <c r="N100" s="1">
        <v>50.763208205573221</v>
      </c>
      <c r="O100" s="11"/>
      <c r="P100" s="11"/>
      <c r="Q100" s="11"/>
      <c r="R100" s="11"/>
    </row>
    <row r="101" spans="1:18">
      <c r="D101" s="1" t="s">
        <v>84</v>
      </c>
      <c r="E101" s="1" t="s">
        <v>58</v>
      </c>
      <c r="H101" s="1" t="s">
        <v>25</v>
      </c>
      <c r="I101" s="1" t="s">
        <v>23</v>
      </c>
      <c r="M101" s="1" t="b">
        <v>0</v>
      </c>
      <c r="N101" s="1">
        <v>0</v>
      </c>
      <c r="O101" s="11"/>
      <c r="P101" s="11"/>
      <c r="Q101" s="11"/>
      <c r="R101" s="11"/>
    </row>
    <row r="102" spans="1:18">
      <c r="D102" s="1" t="s">
        <v>84</v>
      </c>
      <c r="E102" s="1" t="s">
        <v>59</v>
      </c>
      <c r="F102" s="1" t="s">
        <v>60</v>
      </c>
      <c r="G102" s="1" t="s">
        <v>61</v>
      </c>
      <c r="H102" s="1" t="s">
        <v>22</v>
      </c>
      <c r="I102" s="1" t="s">
        <v>23</v>
      </c>
      <c r="J102" s="1">
        <v>-9.5538358650799999</v>
      </c>
      <c r="K102" s="1">
        <v>9.5538358650799999</v>
      </c>
      <c r="L102" s="1">
        <v>0.23884589662700001</v>
      </c>
      <c r="M102" s="1">
        <v>0.23884589662700001</v>
      </c>
      <c r="N102" s="1">
        <v>0.23884589662700001</v>
      </c>
      <c r="O102" s="11"/>
      <c r="P102" s="11"/>
      <c r="Q102" s="11"/>
      <c r="R102" s="11"/>
    </row>
    <row r="103" spans="1:18">
      <c r="D103" s="1" t="s">
        <v>84</v>
      </c>
      <c r="E103" s="1" t="s">
        <v>62</v>
      </c>
      <c r="H103" s="1" t="s">
        <v>63</v>
      </c>
      <c r="I103" s="1" t="s">
        <v>23</v>
      </c>
      <c r="M103" s="1">
        <v>1</v>
      </c>
      <c r="N103" s="1">
        <v>1</v>
      </c>
      <c r="O103" s="11"/>
      <c r="P103" s="11"/>
      <c r="Q103" s="11"/>
      <c r="R103" s="11"/>
    </row>
    <row r="104" spans="1:18">
      <c r="A104" s="2" t="s">
        <v>1759</v>
      </c>
      <c r="B104" s="3" t="s">
        <v>1768</v>
      </c>
      <c r="D104" s="1" t="s">
        <v>84</v>
      </c>
      <c r="E104" s="1" t="s">
        <v>64</v>
      </c>
      <c r="F104" s="1" t="s">
        <v>35</v>
      </c>
      <c r="G104" s="1" t="s">
        <v>36</v>
      </c>
      <c r="H104" s="1" t="s">
        <v>22</v>
      </c>
      <c r="I104" s="1" t="s">
        <v>65</v>
      </c>
      <c r="J104" s="1">
        <v>-459.67</v>
      </c>
      <c r="L104" s="1">
        <v>80.329999999999984</v>
      </c>
      <c r="N104" s="1">
        <v>79.854854843970372</v>
      </c>
      <c r="O104" s="11"/>
      <c r="P104" s="11"/>
      <c r="Q104" s="11"/>
      <c r="R104" s="11"/>
    </row>
    <row r="105" spans="1:18">
      <c r="A105" s="2" t="s">
        <v>1759</v>
      </c>
      <c r="B105" s="3" t="s">
        <v>1769</v>
      </c>
      <c r="D105" s="1" t="s">
        <v>84</v>
      </c>
      <c r="E105" s="1" t="s">
        <v>66</v>
      </c>
      <c r="F105" s="1" t="s">
        <v>35</v>
      </c>
      <c r="G105" s="1" t="s">
        <v>36</v>
      </c>
      <c r="H105" s="1" t="s">
        <v>22</v>
      </c>
      <c r="I105" s="1" t="s">
        <v>65</v>
      </c>
      <c r="J105" s="1">
        <v>-459.67</v>
      </c>
      <c r="L105" s="1">
        <v>80.329999999999984</v>
      </c>
      <c r="N105" s="1">
        <v>72.188085393193489</v>
      </c>
      <c r="O105" s="11"/>
      <c r="P105" s="11"/>
      <c r="Q105" s="11"/>
      <c r="R105" s="11"/>
    </row>
    <row r="106" spans="1:18">
      <c r="D106" s="1" t="s">
        <v>84</v>
      </c>
      <c r="E106" s="1" t="s">
        <v>67</v>
      </c>
      <c r="F106" s="1" t="s">
        <v>41</v>
      </c>
      <c r="G106" s="1" t="s">
        <v>42</v>
      </c>
      <c r="H106" s="1" t="s">
        <v>22</v>
      </c>
      <c r="I106" s="1" t="s">
        <v>65</v>
      </c>
      <c r="L106" s="1">
        <v>1.8</v>
      </c>
      <c r="N106" s="1">
        <v>7.6667694507768376</v>
      </c>
      <c r="O106" s="11"/>
      <c r="P106" s="11"/>
      <c r="Q106" s="11"/>
      <c r="R106" s="11"/>
    </row>
    <row r="107" spans="1:18">
      <c r="A107" s="2" t="s">
        <v>1759</v>
      </c>
      <c r="B107" s="3" t="s">
        <v>1770</v>
      </c>
      <c r="D107" s="1" t="s">
        <v>84</v>
      </c>
      <c r="E107" s="1" t="s">
        <v>68</v>
      </c>
      <c r="F107" s="1" t="s">
        <v>45</v>
      </c>
      <c r="G107" s="1" t="s">
        <v>46</v>
      </c>
      <c r="H107" s="1" t="s">
        <v>22</v>
      </c>
      <c r="I107" s="1" t="s">
        <v>65</v>
      </c>
      <c r="L107" s="1">
        <v>4.2992261378713571E-4</v>
      </c>
      <c r="N107" s="1">
        <v>114.83304235147598</v>
      </c>
      <c r="O107" s="11"/>
      <c r="P107" s="11"/>
      <c r="Q107" s="11"/>
      <c r="R107" s="11"/>
    </row>
    <row r="108" spans="1:18">
      <c r="D108" s="1" t="s">
        <v>84</v>
      </c>
      <c r="E108" s="1" t="s">
        <v>69</v>
      </c>
      <c r="H108" s="1" t="s">
        <v>25</v>
      </c>
      <c r="I108" s="1" t="s">
        <v>70</v>
      </c>
      <c r="N108" s="1">
        <v>0</v>
      </c>
      <c r="O108" s="11"/>
      <c r="P108" s="11"/>
      <c r="Q108" s="11"/>
      <c r="R108" s="11"/>
    </row>
    <row r="109" spans="1:18">
      <c r="D109" s="1" t="s">
        <v>84</v>
      </c>
      <c r="E109" s="1" t="s">
        <v>71</v>
      </c>
      <c r="F109" s="1" t="s">
        <v>52</v>
      </c>
      <c r="G109" s="1" t="s">
        <v>53</v>
      </c>
      <c r="H109" s="1" t="s">
        <v>22</v>
      </c>
      <c r="I109" s="1" t="s">
        <v>65</v>
      </c>
      <c r="L109" s="1">
        <v>7936.6414386555998</v>
      </c>
      <c r="N109" s="1">
        <v>167734.2151113626</v>
      </c>
      <c r="O109" s="11"/>
      <c r="P109" s="11"/>
      <c r="Q109" s="11"/>
      <c r="R109" s="11"/>
    </row>
    <row r="110" spans="1:18">
      <c r="A110" s="2" t="s">
        <v>1759</v>
      </c>
      <c r="B110" s="3" t="s">
        <v>1771</v>
      </c>
      <c r="D110" s="1" t="s">
        <v>84</v>
      </c>
      <c r="E110" s="1" t="s">
        <v>72</v>
      </c>
      <c r="F110" s="1" t="s">
        <v>56</v>
      </c>
      <c r="G110" s="1" t="s">
        <v>57</v>
      </c>
      <c r="H110" s="1" t="s">
        <v>22</v>
      </c>
      <c r="I110" s="1" t="s">
        <v>65</v>
      </c>
      <c r="J110" s="1">
        <v>0</v>
      </c>
      <c r="L110" s="1">
        <v>14.503773773020921</v>
      </c>
      <c r="N110" s="1">
        <v>89.048194714691306</v>
      </c>
      <c r="O110" s="11"/>
      <c r="P110" s="11"/>
      <c r="Q110" s="11"/>
      <c r="R110" s="11"/>
    </row>
    <row r="111" spans="1:18">
      <c r="D111" s="1" t="s">
        <v>84</v>
      </c>
      <c r="E111" s="1" t="s">
        <v>73</v>
      </c>
      <c r="F111" s="1" t="s">
        <v>60</v>
      </c>
      <c r="G111" s="1" t="s">
        <v>61</v>
      </c>
      <c r="H111" s="1" t="s">
        <v>22</v>
      </c>
      <c r="I111" s="1" t="s">
        <v>65</v>
      </c>
      <c r="L111" s="1">
        <v>2.38845896627E-4</v>
      </c>
      <c r="N111" s="1">
        <v>0.22354813364994117</v>
      </c>
      <c r="O111" s="11"/>
      <c r="P111" s="11"/>
      <c r="Q111" s="11"/>
      <c r="R111" s="11"/>
    </row>
    <row r="112" spans="1:18">
      <c r="D112" s="1" t="s">
        <v>84</v>
      </c>
      <c r="E112" s="1" t="s">
        <v>74</v>
      </c>
      <c r="F112" s="1" t="s">
        <v>75</v>
      </c>
      <c r="G112" s="1" t="s">
        <v>76</v>
      </c>
      <c r="H112" s="1" t="s">
        <v>22</v>
      </c>
      <c r="I112" s="1" t="s">
        <v>65</v>
      </c>
      <c r="J112" s="1">
        <v>0</v>
      </c>
      <c r="L112" s="1">
        <v>16.018463521800001</v>
      </c>
      <c r="N112" s="1">
        <v>0.55051413690297024</v>
      </c>
      <c r="O112" s="11"/>
      <c r="P112" s="11"/>
      <c r="Q112" s="11"/>
      <c r="R112" s="11"/>
    </row>
    <row r="113" spans="4:18">
      <c r="D113" s="1" t="s">
        <v>84</v>
      </c>
      <c r="E113" s="1" t="s">
        <v>77</v>
      </c>
      <c r="H113" s="1" t="s">
        <v>22</v>
      </c>
      <c r="I113" s="1" t="s">
        <v>65</v>
      </c>
      <c r="L113" s="1">
        <v>1</v>
      </c>
      <c r="N113" s="1">
        <v>1.0237629023329005</v>
      </c>
      <c r="O113" s="11"/>
      <c r="P113" s="11"/>
      <c r="Q113" s="11"/>
      <c r="R113" s="11"/>
    </row>
    <row r="114" spans="4:18">
      <c r="D114" s="1" t="s">
        <v>84</v>
      </c>
      <c r="E114" s="1" t="s">
        <v>78</v>
      </c>
      <c r="H114" s="1" t="s">
        <v>25</v>
      </c>
      <c r="I114" s="1" t="s">
        <v>23</v>
      </c>
      <c r="M114" s="1" t="b">
        <v>0</v>
      </c>
      <c r="N114" s="1">
        <v>0</v>
      </c>
      <c r="O114" s="11"/>
      <c r="P114" s="11"/>
      <c r="Q114" s="11"/>
      <c r="R114" s="11"/>
    </row>
    <row r="115" spans="4:18">
      <c r="D115" s="1" t="s">
        <v>84</v>
      </c>
      <c r="E115" s="1" t="s">
        <v>79</v>
      </c>
      <c r="F115" s="1" t="s">
        <v>75</v>
      </c>
      <c r="G115" s="1" t="s">
        <v>76</v>
      </c>
      <c r="H115" s="1" t="s">
        <v>22</v>
      </c>
      <c r="I115" s="1" t="s">
        <v>23</v>
      </c>
      <c r="J115" s="1">
        <v>0</v>
      </c>
      <c r="K115" s="1">
        <v>96.110781130800007</v>
      </c>
      <c r="L115" s="1">
        <v>16.018463521800001</v>
      </c>
      <c r="M115" s="1">
        <v>1.6018463521800002</v>
      </c>
      <c r="N115" s="1">
        <v>1.6018463521800002</v>
      </c>
      <c r="O115" s="11"/>
      <c r="P115" s="11"/>
      <c r="Q115" s="11"/>
      <c r="R115" s="11"/>
    </row>
    <row r="116" spans="4:18">
      <c r="D116" s="1" t="s">
        <v>84</v>
      </c>
      <c r="E116" s="1" t="s">
        <v>80</v>
      </c>
      <c r="H116" s="1" t="s">
        <v>25</v>
      </c>
      <c r="I116" s="1" t="s">
        <v>23</v>
      </c>
      <c r="M116" s="1" t="b">
        <v>0</v>
      </c>
      <c r="N116" s="1">
        <v>0</v>
      </c>
      <c r="O116" s="11"/>
      <c r="P116" s="11"/>
      <c r="Q116" s="11"/>
      <c r="R116" s="11"/>
    </row>
    <row r="117" spans="4:18">
      <c r="D117" s="1" t="s">
        <v>84</v>
      </c>
      <c r="E117" s="1" t="s">
        <v>81</v>
      </c>
      <c r="H117" s="1" t="s">
        <v>25</v>
      </c>
      <c r="I117" s="1" t="s">
        <v>23</v>
      </c>
      <c r="M117" s="1" t="b">
        <v>0</v>
      </c>
      <c r="N117" s="1">
        <v>0</v>
      </c>
      <c r="O117" s="11"/>
      <c r="P117" s="11"/>
      <c r="Q117" s="11"/>
      <c r="R117" s="11"/>
    </row>
    <row r="118" spans="4:18">
      <c r="D118" s="1" t="s">
        <v>84</v>
      </c>
      <c r="E118" s="1" t="s">
        <v>82</v>
      </c>
      <c r="H118" s="1" t="s">
        <v>22</v>
      </c>
      <c r="I118" s="1" t="s">
        <v>23</v>
      </c>
      <c r="J118" s="1">
        <v>-1</v>
      </c>
      <c r="K118" s="1">
        <v>3</v>
      </c>
      <c r="L118" s="1">
        <v>1</v>
      </c>
      <c r="M118" s="1">
        <v>1.01</v>
      </c>
      <c r="N118" s="1">
        <v>1.01</v>
      </c>
      <c r="O118" s="11"/>
      <c r="P118" s="11"/>
      <c r="Q118" s="11"/>
      <c r="R118" s="11"/>
    </row>
    <row r="119" spans="4:18">
      <c r="D119" s="1" t="s">
        <v>85</v>
      </c>
      <c r="E119" s="1" t="s">
        <v>28</v>
      </c>
      <c r="H119" s="1" t="s">
        <v>22</v>
      </c>
      <c r="I119" s="1" t="s">
        <v>29</v>
      </c>
      <c r="J119" s="1">
        <v>34000</v>
      </c>
      <c r="K119" s="1">
        <v>4300000</v>
      </c>
      <c r="L119" s="1">
        <v>349660</v>
      </c>
      <c r="N119" s="1">
        <v>350000</v>
      </c>
      <c r="O119" s="11"/>
      <c r="P119" s="11"/>
      <c r="Q119" s="11"/>
      <c r="R119" s="11"/>
    </row>
    <row r="120" spans="4:18">
      <c r="D120" s="1" t="s">
        <v>85</v>
      </c>
      <c r="E120" s="1" t="s">
        <v>30</v>
      </c>
      <c r="H120" s="1" t="s">
        <v>22</v>
      </c>
      <c r="I120" s="1" t="s">
        <v>29</v>
      </c>
      <c r="J120" s="1">
        <v>-3.94</v>
      </c>
      <c r="K120" s="1">
        <v>3.66</v>
      </c>
      <c r="L120" s="1">
        <v>1</v>
      </c>
      <c r="N120" s="1">
        <v>1.01</v>
      </c>
      <c r="O120" s="11"/>
      <c r="P120" s="11"/>
      <c r="Q120" s="11"/>
      <c r="R120" s="11"/>
    </row>
    <row r="121" spans="4:18">
      <c r="D121" s="1" t="s">
        <v>85</v>
      </c>
      <c r="E121" s="1" t="s">
        <v>31</v>
      </c>
      <c r="H121" s="1" t="s">
        <v>22</v>
      </c>
      <c r="I121" s="1" t="s">
        <v>29</v>
      </c>
      <c r="J121" s="1">
        <v>0</v>
      </c>
      <c r="K121" s="1">
        <v>100</v>
      </c>
      <c r="L121" s="1">
        <v>1</v>
      </c>
      <c r="N121" s="1">
        <v>0</v>
      </c>
      <c r="O121" s="11"/>
      <c r="P121" s="11"/>
      <c r="Q121" s="11"/>
      <c r="R121" s="11"/>
    </row>
    <row r="122" spans="4:18">
      <c r="D122" s="1" t="s">
        <v>85</v>
      </c>
      <c r="E122" s="1" t="s">
        <v>32</v>
      </c>
      <c r="H122" s="1" t="s">
        <v>22</v>
      </c>
      <c r="I122" s="1" t="s">
        <v>29</v>
      </c>
      <c r="J122" s="1">
        <v>-3.94</v>
      </c>
      <c r="K122" s="1">
        <v>3.66</v>
      </c>
      <c r="L122" s="1">
        <v>1</v>
      </c>
      <c r="N122" s="1">
        <v>1.01</v>
      </c>
      <c r="O122" s="11"/>
      <c r="P122" s="11"/>
      <c r="Q122" s="11"/>
      <c r="R122" s="11"/>
    </row>
    <row r="123" spans="4:18">
      <c r="D123" s="1" t="s">
        <v>85</v>
      </c>
      <c r="E123" s="1" t="s">
        <v>33</v>
      </c>
      <c r="H123" s="1" t="s">
        <v>25</v>
      </c>
      <c r="I123" s="1" t="s">
        <v>23</v>
      </c>
      <c r="M123" s="1" t="b">
        <v>0</v>
      </c>
      <c r="N123" s="1">
        <v>0</v>
      </c>
      <c r="O123" s="11"/>
      <c r="P123" s="11"/>
      <c r="Q123" s="11"/>
      <c r="R123" s="11"/>
    </row>
    <row r="124" spans="4:18">
      <c r="D124" s="1" t="s">
        <v>85</v>
      </c>
      <c r="E124" s="1" t="s">
        <v>34</v>
      </c>
      <c r="F124" s="1" t="s">
        <v>35</v>
      </c>
      <c r="G124" s="1" t="s">
        <v>36</v>
      </c>
      <c r="H124" s="1" t="s">
        <v>22</v>
      </c>
      <c r="I124" s="1" t="s">
        <v>23</v>
      </c>
      <c r="J124" s="1">
        <v>-459.67</v>
      </c>
      <c r="K124" s="1">
        <v>980.32999999999993</v>
      </c>
      <c r="L124" s="1">
        <v>80.329999999999984</v>
      </c>
      <c r="M124" s="1">
        <v>67.999999999999943</v>
      </c>
      <c r="N124" s="1">
        <v>67.999999999999943</v>
      </c>
      <c r="O124" s="11"/>
      <c r="P124" s="11"/>
      <c r="Q124" s="11"/>
      <c r="R124" s="11"/>
    </row>
    <row r="125" spans="4:18">
      <c r="D125" s="1" t="s">
        <v>85</v>
      </c>
      <c r="E125" s="1" t="s">
        <v>37</v>
      </c>
      <c r="H125" s="1" t="s">
        <v>25</v>
      </c>
      <c r="I125" s="1" t="s">
        <v>23</v>
      </c>
      <c r="M125" s="1" t="b">
        <v>0</v>
      </c>
      <c r="N125" s="1">
        <v>0</v>
      </c>
      <c r="O125" s="11"/>
      <c r="P125" s="11"/>
      <c r="Q125" s="11"/>
      <c r="R125" s="11"/>
    </row>
    <row r="126" spans="4:18">
      <c r="D126" s="1" t="s">
        <v>85</v>
      </c>
      <c r="E126" s="1" t="s">
        <v>38</v>
      </c>
      <c r="F126" s="1" t="s">
        <v>35</v>
      </c>
      <c r="G126" s="1" t="s">
        <v>36</v>
      </c>
      <c r="H126" s="1" t="s">
        <v>22</v>
      </c>
      <c r="I126" s="1" t="s">
        <v>23</v>
      </c>
      <c r="J126" s="1">
        <v>-99.670000000000016</v>
      </c>
      <c r="K126" s="1">
        <v>980.32999999999993</v>
      </c>
      <c r="L126" s="1">
        <v>80.329999999999984</v>
      </c>
      <c r="M126" s="1">
        <v>13.999999999999943</v>
      </c>
      <c r="N126" s="1">
        <v>13.999999999999943</v>
      </c>
      <c r="O126" s="11"/>
      <c r="P126" s="11"/>
      <c r="Q126" s="11"/>
      <c r="R126" s="11"/>
    </row>
    <row r="127" spans="4:18">
      <c r="D127" s="1" t="s">
        <v>85</v>
      </c>
      <c r="E127" s="1" t="s">
        <v>39</v>
      </c>
      <c r="H127" s="1" t="s">
        <v>25</v>
      </c>
      <c r="I127" s="1" t="s">
        <v>23</v>
      </c>
      <c r="M127" s="1" t="b">
        <v>0</v>
      </c>
      <c r="N127" s="1">
        <v>0</v>
      </c>
      <c r="O127" s="11"/>
      <c r="P127" s="11"/>
      <c r="Q127" s="11"/>
      <c r="R127" s="11"/>
    </row>
    <row r="128" spans="4:18">
      <c r="D128" s="1" t="s">
        <v>85</v>
      </c>
      <c r="E128" s="1" t="s">
        <v>40</v>
      </c>
      <c r="F128" s="1" t="s">
        <v>41</v>
      </c>
      <c r="G128" s="1" t="s">
        <v>42</v>
      </c>
      <c r="H128" s="1" t="s">
        <v>22</v>
      </c>
      <c r="I128" s="1" t="s">
        <v>23</v>
      </c>
      <c r="J128" s="1">
        <v>-900</v>
      </c>
      <c r="K128" s="1">
        <v>900</v>
      </c>
      <c r="L128" s="1">
        <v>1.8</v>
      </c>
      <c r="M128" s="1">
        <v>9</v>
      </c>
      <c r="N128" s="1">
        <v>9</v>
      </c>
      <c r="O128" s="11"/>
      <c r="P128" s="11"/>
      <c r="Q128" s="11"/>
      <c r="R128" s="11"/>
    </row>
    <row r="129" spans="1:18">
      <c r="D129" s="1" t="s">
        <v>85</v>
      </c>
      <c r="E129" s="1" t="s">
        <v>43</v>
      </c>
      <c r="H129" s="1" t="s">
        <v>25</v>
      </c>
      <c r="I129" s="1" t="s">
        <v>23</v>
      </c>
      <c r="M129" s="1" t="b">
        <v>0</v>
      </c>
      <c r="N129" s="1">
        <v>0</v>
      </c>
      <c r="O129" s="11"/>
      <c r="P129" s="11"/>
      <c r="Q129" s="11"/>
      <c r="R129" s="11"/>
    </row>
    <row r="130" spans="1:18">
      <c r="D130" s="1" t="s">
        <v>85</v>
      </c>
      <c r="E130" s="1" t="s">
        <v>44</v>
      </c>
      <c r="F130" s="1" t="s">
        <v>45</v>
      </c>
      <c r="G130" s="1" t="s">
        <v>46</v>
      </c>
      <c r="H130" s="1" t="s">
        <v>22</v>
      </c>
      <c r="I130" s="1" t="s">
        <v>23</v>
      </c>
      <c r="J130" s="1">
        <v>-85.984522757427143</v>
      </c>
      <c r="K130" s="1">
        <v>8598.4522757427148</v>
      </c>
      <c r="L130" s="1">
        <v>114.79148749423418</v>
      </c>
      <c r="M130" s="1">
        <v>128.97678413614071</v>
      </c>
      <c r="N130" s="1">
        <v>128.97678413614071</v>
      </c>
      <c r="O130" s="11"/>
      <c r="P130" s="11"/>
      <c r="Q130" s="11"/>
      <c r="R130" s="11"/>
    </row>
    <row r="131" spans="1:18">
      <c r="D131" s="1" t="s">
        <v>85</v>
      </c>
      <c r="E131" s="1" t="s">
        <v>47</v>
      </c>
      <c r="H131" s="1" t="s">
        <v>25</v>
      </c>
      <c r="I131" s="1" t="s">
        <v>23</v>
      </c>
      <c r="M131" s="1" t="b">
        <v>0</v>
      </c>
      <c r="N131" s="1">
        <v>0</v>
      </c>
      <c r="O131" s="11"/>
      <c r="P131" s="11"/>
      <c r="Q131" s="11"/>
      <c r="R131" s="11"/>
    </row>
    <row r="132" spans="1:18">
      <c r="D132" s="1" t="s">
        <v>85</v>
      </c>
      <c r="E132" s="1" t="s">
        <v>48</v>
      </c>
      <c r="H132" s="1" t="s">
        <v>25</v>
      </c>
      <c r="I132" s="1" t="s">
        <v>23</v>
      </c>
      <c r="M132" s="1" t="b">
        <v>0</v>
      </c>
      <c r="N132" s="1">
        <v>0</v>
      </c>
      <c r="O132" s="11"/>
      <c r="P132" s="11"/>
      <c r="Q132" s="11"/>
      <c r="R132" s="11"/>
    </row>
    <row r="133" spans="1:18">
      <c r="D133" s="1" t="s">
        <v>85</v>
      </c>
      <c r="E133" s="1" t="s">
        <v>49</v>
      </c>
      <c r="H133" s="1" t="s">
        <v>25</v>
      </c>
      <c r="I133" s="1" t="s">
        <v>23</v>
      </c>
      <c r="M133" s="1" t="b">
        <v>0</v>
      </c>
      <c r="N133" s="1">
        <v>0</v>
      </c>
      <c r="O133" s="11"/>
      <c r="P133" s="11"/>
      <c r="Q133" s="11"/>
      <c r="R133" s="11"/>
    </row>
    <row r="134" spans="1:18">
      <c r="D134" s="1" t="s">
        <v>85</v>
      </c>
      <c r="E134" s="1" t="s">
        <v>50</v>
      </c>
      <c r="H134" s="1" t="s">
        <v>25</v>
      </c>
      <c r="I134" s="1" t="s">
        <v>23</v>
      </c>
      <c r="M134" s="1" t="b">
        <v>0</v>
      </c>
      <c r="N134" s="1">
        <v>0</v>
      </c>
      <c r="O134" s="11"/>
      <c r="P134" s="11"/>
      <c r="Q134" s="11"/>
      <c r="R134" s="11"/>
    </row>
    <row r="135" spans="1:18">
      <c r="D135" s="1" t="s">
        <v>85</v>
      </c>
      <c r="E135" s="1" t="s">
        <v>51</v>
      </c>
      <c r="F135" s="1" t="s">
        <v>52</v>
      </c>
      <c r="G135" s="1" t="s">
        <v>53</v>
      </c>
      <c r="H135" s="1" t="s">
        <v>22</v>
      </c>
      <c r="I135" s="1" t="s">
        <v>23</v>
      </c>
      <c r="J135" s="1">
        <v>0</v>
      </c>
      <c r="K135" s="1">
        <v>7936641438.6555996</v>
      </c>
      <c r="L135" s="1">
        <v>7936.6414386555998</v>
      </c>
      <c r="M135" s="1">
        <v>7936.6414386555998</v>
      </c>
      <c r="N135" s="1">
        <v>7936.6414386555998</v>
      </c>
      <c r="O135" s="11"/>
      <c r="P135" s="11"/>
      <c r="Q135" s="11"/>
      <c r="R135" s="11"/>
    </row>
    <row r="136" spans="1:18">
      <c r="D136" s="1" t="s">
        <v>85</v>
      </c>
      <c r="E136" s="1" t="s">
        <v>54</v>
      </c>
      <c r="H136" s="1" t="s">
        <v>25</v>
      </c>
      <c r="I136" s="1" t="s">
        <v>23</v>
      </c>
      <c r="M136" s="1" t="b">
        <v>0</v>
      </c>
      <c r="N136" s="1">
        <v>0</v>
      </c>
      <c r="O136" s="11"/>
      <c r="P136" s="11"/>
      <c r="Q136" s="11"/>
      <c r="R136" s="11"/>
    </row>
    <row r="137" spans="1:18">
      <c r="D137" s="1" t="s">
        <v>85</v>
      </c>
      <c r="E137" s="1" t="s">
        <v>55</v>
      </c>
      <c r="F137" s="1" t="s">
        <v>56</v>
      </c>
      <c r="G137" s="1" t="s">
        <v>57</v>
      </c>
      <c r="H137" s="1" t="s">
        <v>22</v>
      </c>
      <c r="I137" s="1" t="s">
        <v>23</v>
      </c>
      <c r="J137" s="1">
        <v>0</v>
      </c>
      <c r="K137" s="1">
        <v>9427.4529524635982</v>
      </c>
      <c r="L137" s="1">
        <v>50.713895374744951</v>
      </c>
      <c r="M137" s="1">
        <v>50.763208205573221</v>
      </c>
      <c r="N137" s="1">
        <v>50.763208205573221</v>
      </c>
      <c r="O137" s="11"/>
      <c r="P137" s="11"/>
      <c r="Q137" s="11"/>
      <c r="R137" s="11"/>
    </row>
    <row r="138" spans="1:18">
      <c r="D138" s="1" t="s">
        <v>85</v>
      </c>
      <c r="E138" s="1" t="s">
        <v>58</v>
      </c>
      <c r="H138" s="1" t="s">
        <v>25</v>
      </c>
      <c r="I138" s="1" t="s">
        <v>23</v>
      </c>
      <c r="M138" s="1" t="b">
        <v>0</v>
      </c>
      <c r="N138" s="1">
        <v>0</v>
      </c>
      <c r="O138" s="11"/>
      <c r="P138" s="11"/>
      <c r="Q138" s="11"/>
      <c r="R138" s="11"/>
    </row>
    <row r="139" spans="1:18">
      <c r="D139" s="1" t="s">
        <v>85</v>
      </c>
      <c r="E139" s="1" t="s">
        <v>59</v>
      </c>
      <c r="F139" s="1" t="s">
        <v>60</v>
      </c>
      <c r="G139" s="1" t="s">
        <v>61</v>
      </c>
      <c r="H139" s="1" t="s">
        <v>22</v>
      </c>
      <c r="I139" s="1" t="s">
        <v>23</v>
      </c>
      <c r="J139" s="1">
        <v>-9.5538358650799999</v>
      </c>
      <c r="K139" s="1">
        <v>9.5538358650799999</v>
      </c>
      <c r="L139" s="1">
        <v>0.23884589662700001</v>
      </c>
      <c r="M139" s="1">
        <v>0.23884589662700001</v>
      </c>
      <c r="N139" s="1">
        <v>0.23884589662700001</v>
      </c>
      <c r="O139" s="11"/>
      <c r="P139" s="11"/>
      <c r="Q139" s="11"/>
      <c r="R139" s="11"/>
    </row>
    <row r="140" spans="1:18">
      <c r="D140" s="1" t="s">
        <v>85</v>
      </c>
      <c r="E140" s="1" t="s">
        <v>62</v>
      </c>
      <c r="H140" s="1" t="s">
        <v>63</v>
      </c>
      <c r="I140" s="1" t="s">
        <v>23</v>
      </c>
      <c r="M140" s="1">
        <v>1</v>
      </c>
      <c r="N140" s="1">
        <v>1</v>
      </c>
      <c r="O140" s="11"/>
      <c r="P140" s="11"/>
      <c r="Q140" s="11"/>
      <c r="R140" s="11"/>
    </row>
    <row r="141" spans="1:18">
      <c r="A141" s="2" t="s">
        <v>1759</v>
      </c>
      <c r="B141" s="3" t="s">
        <v>1772</v>
      </c>
      <c r="D141" s="1" t="s">
        <v>85</v>
      </c>
      <c r="E141" s="1" t="s">
        <v>64</v>
      </c>
      <c r="F141" s="1" t="s">
        <v>35</v>
      </c>
      <c r="G141" s="1" t="s">
        <v>36</v>
      </c>
      <c r="H141" s="1" t="s">
        <v>22</v>
      </c>
      <c r="I141" s="1" t="s">
        <v>65</v>
      </c>
      <c r="J141" s="1">
        <v>-459.67</v>
      </c>
      <c r="L141" s="1">
        <v>80.329999999999984</v>
      </c>
      <c r="N141" s="1">
        <v>74.168479694342466</v>
      </c>
      <c r="O141" s="11"/>
      <c r="P141" s="11"/>
      <c r="Q141" s="11"/>
      <c r="R141" s="11"/>
    </row>
    <row r="142" spans="1:18">
      <c r="A142" s="2" t="s">
        <v>1759</v>
      </c>
      <c r="B142" s="3" t="s">
        <v>1773</v>
      </c>
      <c r="D142" s="1" t="s">
        <v>85</v>
      </c>
      <c r="E142" s="1" t="s">
        <v>66</v>
      </c>
      <c r="F142" s="1" t="s">
        <v>35</v>
      </c>
      <c r="G142" s="1" t="s">
        <v>36</v>
      </c>
      <c r="H142" s="1" t="s">
        <v>22</v>
      </c>
      <c r="I142" s="1" t="s">
        <v>65</v>
      </c>
      <c r="J142" s="1">
        <v>-459.67</v>
      </c>
      <c r="L142" s="1">
        <v>80.329999999999984</v>
      </c>
      <c r="N142" s="1">
        <v>74.168479691803384</v>
      </c>
      <c r="O142" s="11"/>
      <c r="P142" s="11"/>
      <c r="Q142" s="11"/>
      <c r="R142" s="11"/>
    </row>
    <row r="143" spans="1:18">
      <c r="D143" s="1" t="s">
        <v>85</v>
      </c>
      <c r="E143" s="1" t="s">
        <v>67</v>
      </c>
      <c r="F143" s="1" t="s">
        <v>41</v>
      </c>
      <c r="G143" s="1" t="s">
        <v>42</v>
      </c>
      <c r="H143" s="1" t="s">
        <v>22</v>
      </c>
      <c r="I143" s="1" t="s">
        <v>65</v>
      </c>
      <c r="L143" s="1">
        <v>1.8</v>
      </c>
      <c r="N143" s="1">
        <v>2.5390249902557116E-9</v>
      </c>
      <c r="O143" s="11"/>
      <c r="P143" s="11"/>
      <c r="Q143" s="11"/>
      <c r="R143" s="11"/>
    </row>
    <row r="144" spans="1:18">
      <c r="D144" s="1" t="s">
        <v>85</v>
      </c>
      <c r="E144" s="1" t="s">
        <v>68</v>
      </c>
      <c r="F144" s="1" t="s">
        <v>45</v>
      </c>
      <c r="G144" s="1" t="s">
        <v>46</v>
      </c>
      <c r="H144" s="1" t="s">
        <v>22</v>
      </c>
      <c r="I144" s="1" t="s">
        <v>65</v>
      </c>
      <c r="L144" s="1">
        <v>4.2992261378713571E-4</v>
      </c>
      <c r="N144" s="1">
        <v>113.23591665950397</v>
      </c>
      <c r="O144" s="11"/>
      <c r="P144" s="11"/>
      <c r="Q144" s="11"/>
      <c r="R144" s="11"/>
    </row>
    <row r="145" spans="1:18">
      <c r="D145" s="1" t="s">
        <v>85</v>
      </c>
      <c r="E145" s="1" t="s">
        <v>69</v>
      </c>
      <c r="H145" s="1" t="s">
        <v>25</v>
      </c>
      <c r="I145" s="1" t="s">
        <v>70</v>
      </c>
      <c r="N145" s="1">
        <v>0</v>
      </c>
      <c r="O145" s="11"/>
      <c r="P145" s="11"/>
      <c r="Q145" s="11"/>
      <c r="R145" s="11"/>
    </row>
    <row r="146" spans="1:18">
      <c r="A146" s="2" t="s">
        <v>1759</v>
      </c>
      <c r="B146" s="3" t="s">
        <v>1774</v>
      </c>
      <c r="D146" s="1" t="s">
        <v>85</v>
      </c>
      <c r="E146" s="1" t="s">
        <v>71</v>
      </c>
      <c r="F146" s="1" t="s">
        <v>52</v>
      </c>
      <c r="G146" s="1" t="s">
        <v>53</v>
      </c>
      <c r="H146" s="1" t="s">
        <v>22</v>
      </c>
      <c r="I146" s="1" t="s">
        <v>65</v>
      </c>
      <c r="L146" s="1">
        <v>7936.6414386555998</v>
      </c>
      <c r="N146" s="1">
        <v>15583.590275430581</v>
      </c>
      <c r="O146" s="11"/>
      <c r="P146" s="11"/>
      <c r="Q146" s="11"/>
      <c r="R146" s="11"/>
    </row>
    <row r="147" spans="1:18">
      <c r="A147" s="2" t="s">
        <v>1759</v>
      </c>
      <c r="B147" s="3" t="s">
        <v>1775</v>
      </c>
      <c r="D147" s="1" t="s">
        <v>85</v>
      </c>
      <c r="E147" s="1" t="s">
        <v>72</v>
      </c>
      <c r="F147" s="1" t="s">
        <v>56</v>
      </c>
      <c r="G147" s="1" t="s">
        <v>57</v>
      </c>
      <c r="H147" s="1" t="s">
        <v>22</v>
      </c>
      <c r="I147" s="1" t="s">
        <v>65</v>
      </c>
      <c r="J147" s="1">
        <v>0</v>
      </c>
      <c r="L147" s="1">
        <v>14.503773773020921</v>
      </c>
      <c r="N147" s="1">
        <v>92.062658125001619</v>
      </c>
      <c r="O147" s="11"/>
      <c r="P147" s="11"/>
      <c r="Q147" s="11"/>
      <c r="R147" s="11"/>
    </row>
    <row r="148" spans="1:18">
      <c r="D148" s="1" t="s">
        <v>85</v>
      </c>
      <c r="E148" s="1" t="s">
        <v>73</v>
      </c>
      <c r="F148" s="1" t="s">
        <v>60</v>
      </c>
      <c r="G148" s="1" t="s">
        <v>61</v>
      </c>
      <c r="H148" s="1" t="s">
        <v>22</v>
      </c>
      <c r="I148" s="1" t="s">
        <v>65</v>
      </c>
      <c r="L148" s="1">
        <v>2.38845896627E-4</v>
      </c>
      <c r="N148" s="1">
        <v>0.22001888927574781</v>
      </c>
      <c r="O148" s="11"/>
      <c r="P148" s="11"/>
      <c r="Q148" s="11"/>
      <c r="R148" s="11"/>
    </row>
    <row r="149" spans="1:18">
      <c r="D149" s="1" t="s">
        <v>85</v>
      </c>
      <c r="E149" s="1" t="s">
        <v>74</v>
      </c>
      <c r="F149" s="1" t="s">
        <v>75</v>
      </c>
      <c r="G149" s="1" t="s">
        <v>76</v>
      </c>
      <c r="H149" s="1" t="s">
        <v>22</v>
      </c>
      <c r="I149" s="1" t="s">
        <v>65</v>
      </c>
      <c r="J149" s="1">
        <v>0</v>
      </c>
      <c r="L149" s="1">
        <v>16.018463521800001</v>
      </c>
      <c r="N149" s="1">
        <v>0.51925235873001085</v>
      </c>
      <c r="O149" s="11"/>
      <c r="P149" s="11"/>
      <c r="Q149" s="11"/>
      <c r="R149" s="11"/>
    </row>
    <row r="150" spans="1:18">
      <c r="D150" s="1" t="s">
        <v>85</v>
      </c>
      <c r="E150" s="1" t="s">
        <v>77</v>
      </c>
      <c r="H150" s="1" t="s">
        <v>22</v>
      </c>
      <c r="I150" s="1" t="s">
        <v>65</v>
      </c>
      <c r="L150" s="1">
        <v>1</v>
      </c>
      <c r="N150" s="1">
        <v>1.0000000000079807</v>
      </c>
      <c r="O150" s="11"/>
      <c r="P150" s="11"/>
      <c r="Q150" s="11"/>
      <c r="R150" s="11"/>
    </row>
    <row r="151" spans="1:18">
      <c r="D151" s="1" t="s">
        <v>85</v>
      </c>
      <c r="E151" s="1" t="s">
        <v>78</v>
      </c>
      <c r="H151" s="1" t="s">
        <v>25</v>
      </c>
      <c r="I151" s="1" t="s">
        <v>23</v>
      </c>
      <c r="M151" s="1" t="b">
        <v>0</v>
      </c>
      <c r="N151" s="1">
        <v>0</v>
      </c>
      <c r="O151" s="11"/>
      <c r="P151" s="11"/>
      <c r="Q151" s="11"/>
      <c r="R151" s="11"/>
    </row>
    <row r="152" spans="1:18">
      <c r="D152" s="1" t="s">
        <v>85</v>
      </c>
      <c r="E152" s="1" t="s">
        <v>79</v>
      </c>
      <c r="F152" s="1" t="s">
        <v>75</v>
      </c>
      <c r="G152" s="1" t="s">
        <v>76</v>
      </c>
      <c r="H152" s="1" t="s">
        <v>22</v>
      </c>
      <c r="I152" s="1" t="s">
        <v>23</v>
      </c>
      <c r="J152" s="1">
        <v>0</v>
      </c>
      <c r="K152" s="1">
        <v>96.110781130800007</v>
      </c>
      <c r="L152" s="1">
        <v>16.018463521800001</v>
      </c>
      <c r="M152" s="1">
        <v>1.6018463521800002</v>
      </c>
      <c r="N152" s="1">
        <v>1.6018463521800002</v>
      </c>
      <c r="O152" s="11"/>
      <c r="P152" s="11"/>
      <c r="Q152" s="11"/>
      <c r="R152" s="11"/>
    </row>
    <row r="153" spans="1:18">
      <c r="D153" s="1" t="s">
        <v>85</v>
      </c>
      <c r="E153" s="1" t="s">
        <v>80</v>
      </c>
      <c r="H153" s="1" t="s">
        <v>25</v>
      </c>
      <c r="I153" s="1" t="s">
        <v>23</v>
      </c>
      <c r="M153" s="1" t="b">
        <v>0</v>
      </c>
      <c r="N153" s="1">
        <v>0</v>
      </c>
      <c r="O153" s="11"/>
      <c r="P153" s="11"/>
      <c r="Q153" s="11"/>
      <c r="R153" s="11"/>
    </row>
    <row r="154" spans="1:18">
      <c r="D154" s="1" t="s">
        <v>85</v>
      </c>
      <c r="E154" s="1" t="s">
        <v>81</v>
      </c>
      <c r="H154" s="1" t="s">
        <v>25</v>
      </c>
      <c r="I154" s="1" t="s">
        <v>23</v>
      </c>
      <c r="M154" s="1" t="b">
        <v>0</v>
      </c>
      <c r="N154" s="1">
        <v>0</v>
      </c>
      <c r="O154" s="11"/>
      <c r="P154" s="11"/>
      <c r="Q154" s="11"/>
      <c r="R154" s="11"/>
    </row>
    <row r="155" spans="1:18">
      <c r="D155" s="1" t="s">
        <v>85</v>
      </c>
      <c r="E155" s="1" t="s">
        <v>82</v>
      </c>
      <c r="H155" s="1" t="s">
        <v>22</v>
      </c>
      <c r="I155" s="1" t="s">
        <v>23</v>
      </c>
      <c r="J155" s="1">
        <v>-1</v>
      </c>
      <c r="K155" s="1">
        <v>3</v>
      </c>
      <c r="L155" s="1">
        <v>1</v>
      </c>
      <c r="M155" s="1">
        <v>1.01</v>
      </c>
      <c r="N155" s="1">
        <v>1.01</v>
      </c>
      <c r="O155" s="11"/>
      <c r="P155" s="11"/>
      <c r="Q155" s="11"/>
      <c r="R155" s="11"/>
    </row>
    <row r="156" spans="1:18">
      <c r="D156" s="1" t="s">
        <v>86</v>
      </c>
      <c r="E156" s="1" t="s">
        <v>28</v>
      </c>
      <c r="H156" s="1" t="s">
        <v>22</v>
      </c>
      <c r="I156" s="1" t="s">
        <v>29</v>
      </c>
      <c r="J156" s="1">
        <v>34000</v>
      </c>
      <c r="K156" s="1">
        <v>4300000</v>
      </c>
      <c r="L156" s="1">
        <v>349660</v>
      </c>
      <c r="N156" s="1">
        <v>350000</v>
      </c>
      <c r="O156" s="11"/>
      <c r="P156" s="11"/>
      <c r="Q156" s="11"/>
      <c r="R156" s="11"/>
    </row>
    <row r="157" spans="1:18">
      <c r="D157" s="1" t="s">
        <v>86</v>
      </c>
      <c r="E157" s="1" t="s">
        <v>30</v>
      </c>
      <c r="H157" s="1" t="s">
        <v>22</v>
      </c>
      <c r="I157" s="1" t="s">
        <v>29</v>
      </c>
      <c r="J157" s="1">
        <v>-3.94</v>
      </c>
      <c r="K157" s="1">
        <v>3.66</v>
      </c>
      <c r="L157" s="1">
        <v>1</v>
      </c>
      <c r="N157" s="1">
        <v>1.01</v>
      </c>
      <c r="O157" s="11"/>
      <c r="P157" s="11"/>
      <c r="Q157" s="11"/>
      <c r="R157" s="11"/>
    </row>
    <row r="158" spans="1:18">
      <c r="D158" s="1" t="s">
        <v>86</v>
      </c>
      <c r="E158" s="1" t="s">
        <v>31</v>
      </c>
      <c r="H158" s="1" t="s">
        <v>22</v>
      </c>
      <c r="I158" s="1" t="s">
        <v>29</v>
      </c>
      <c r="J158" s="1">
        <v>0</v>
      </c>
      <c r="K158" s="1">
        <v>100</v>
      </c>
      <c r="L158" s="1">
        <v>1</v>
      </c>
      <c r="N158" s="1">
        <v>0</v>
      </c>
      <c r="O158" s="11"/>
      <c r="P158" s="11"/>
      <c r="Q158" s="11"/>
      <c r="R158" s="11"/>
    </row>
    <row r="159" spans="1:18">
      <c r="D159" s="1" t="s">
        <v>86</v>
      </c>
      <c r="E159" s="1" t="s">
        <v>32</v>
      </c>
      <c r="H159" s="1" t="s">
        <v>22</v>
      </c>
      <c r="I159" s="1" t="s">
        <v>29</v>
      </c>
      <c r="J159" s="1">
        <v>-3.94</v>
      </c>
      <c r="K159" s="1">
        <v>3.66</v>
      </c>
      <c r="L159" s="1">
        <v>1</v>
      </c>
      <c r="N159" s="1">
        <v>1.01</v>
      </c>
      <c r="O159" s="11"/>
      <c r="P159" s="11"/>
      <c r="Q159" s="11"/>
      <c r="R159" s="11"/>
    </row>
    <row r="160" spans="1:18">
      <c r="D160" s="1" t="s">
        <v>86</v>
      </c>
      <c r="E160" s="1" t="s">
        <v>33</v>
      </c>
      <c r="H160" s="1" t="s">
        <v>25</v>
      </c>
      <c r="I160" s="1" t="s">
        <v>23</v>
      </c>
      <c r="M160" s="1" t="b">
        <v>0</v>
      </c>
      <c r="N160" s="1">
        <v>0</v>
      </c>
      <c r="O160" s="11"/>
      <c r="P160" s="11"/>
      <c r="Q160" s="11"/>
      <c r="R160" s="11"/>
    </row>
    <row r="161" spans="4:18">
      <c r="D161" s="1" t="s">
        <v>86</v>
      </c>
      <c r="E161" s="1" t="s">
        <v>34</v>
      </c>
      <c r="F161" s="1" t="s">
        <v>35</v>
      </c>
      <c r="G161" s="1" t="s">
        <v>36</v>
      </c>
      <c r="H161" s="1" t="s">
        <v>22</v>
      </c>
      <c r="I161" s="1" t="s">
        <v>23</v>
      </c>
      <c r="J161" s="1">
        <v>-459.67</v>
      </c>
      <c r="K161" s="1">
        <v>980.32999999999993</v>
      </c>
      <c r="L161" s="1">
        <v>80.329999999999984</v>
      </c>
      <c r="M161" s="1">
        <v>67.999999999999943</v>
      </c>
      <c r="N161" s="1">
        <v>67.999999999999943</v>
      </c>
      <c r="O161" s="11"/>
      <c r="P161" s="11"/>
      <c r="Q161" s="11"/>
      <c r="R161" s="11"/>
    </row>
    <row r="162" spans="4:18">
      <c r="D162" s="1" t="s">
        <v>86</v>
      </c>
      <c r="E162" s="1" t="s">
        <v>37</v>
      </c>
      <c r="H162" s="1" t="s">
        <v>25</v>
      </c>
      <c r="I162" s="1" t="s">
        <v>23</v>
      </c>
      <c r="M162" s="1" t="b">
        <v>0</v>
      </c>
      <c r="N162" s="1">
        <v>0</v>
      </c>
      <c r="O162" s="11"/>
      <c r="P162" s="11"/>
      <c r="Q162" s="11"/>
      <c r="R162" s="11"/>
    </row>
    <row r="163" spans="4:18">
      <c r="D163" s="1" t="s">
        <v>86</v>
      </c>
      <c r="E163" s="1" t="s">
        <v>38</v>
      </c>
      <c r="F163" s="1" t="s">
        <v>35</v>
      </c>
      <c r="G163" s="1" t="s">
        <v>36</v>
      </c>
      <c r="H163" s="1" t="s">
        <v>22</v>
      </c>
      <c r="I163" s="1" t="s">
        <v>23</v>
      </c>
      <c r="J163" s="1">
        <v>-99.670000000000016</v>
      </c>
      <c r="K163" s="1">
        <v>980.32999999999993</v>
      </c>
      <c r="L163" s="1">
        <v>80.329999999999984</v>
      </c>
      <c r="M163" s="1">
        <v>13.999999999999943</v>
      </c>
      <c r="N163" s="1">
        <v>13.999999999999943</v>
      </c>
      <c r="O163" s="11"/>
      <c r="P163" s="11"/>
      <c r="Q163" s="11"/>
      <c r="R163" s="11"/>
    </row>
    <row r="164" spans="4:18">
      <c r="D164" s="1" t="s">
        <v>86</v>
      </c>
      <c r="E164" s="1" t="s">
        <v>39</v>
      </c>
      <c r="H164" s="1" t="s">
        <v>25</v>
      </c>
      <c r="I164" s="1" t="s">
        <v>23</v>
      </c>
      <c r="M164" s="1" t="b">
        <v>0</v>
      </c>
      <c r="N164" s="1">
        <v>0</v>
      </c>
      <c r="O164" s="11"/>
      <c r="P164" s="11"/>
      <c r="Q164" s="11"/>
      <c r="R164" s="11"/>
    </row>
    <row r="165" spans="4:18">
      <c r="D165" s="1" t="s">
        <v>86</v>
      </c>
      <c r="E165" s="1" t="s">
        <v>40</v>
      </c>
      <c r="F165" s="1" t="s">
        <v>41</v>
      </c>
      <c r="G165" s="1" t="s">
        <v>42</v>
      </c>
      <c r="H165" s="1" t="s">
        <v>22</v>
      </c>
      <c r="I165" s="1" t="s">
        <v>23</v>
      </c>
      <c r="J165" s="1">
        <v>-900</v>
      </c>
      <c r="K165" s="1">
        <v>900</v>
      </c>
      <c r="L165" s="1">
        <v>1.8</v>
      </c>
      <c r="M165" s="1">
        <v>9</v>
      </c>
      <c r="N165" s="1">
        <v>9</v>
      </c>
      <c r="O165" s="11"/>
      <c r="P165" s="11"/>
      <c r="Q165" s="11"/>
      <c r="R165" s="11"/>
    </row>
    <row r="166" spans="4:18">
      <c r="D166" s="1" t="s">
        <v>86</v>
      </c>
      <c r="E166" s="1" t="s">
        <v>43</v>
      </c>
      <c r="H166" s="1" t="s">
        <v>25</v>
      </c>
      <c r="I166" s="1" t="s">
        <v>23</v>
      </c>
      <c r="M166" s="1" t="b">
        <v>0</v>
      </c>
      <c r="N166" s="1">
        <v>0</v>
      </c>
      <c r="O166" s="11"/>
      <c r="P166" s="11"/>
      <c r="Q166" s="11"/>
      <c r="R166" s="11"/>
    </row>
    <row r="167" spans="4:18">
      <c r="D167" s="1" t="s">
        <v>86</v>
      </c>
      <c r="E167" s="1" t="s">
        <v>44</v>
      </c>
      <c r="F167" s="1" t="s">
        <v>45</v>
      </c>
      <c r="G167" s="1" t="s">
        <v>46</v>
      </c>
      <c r="H167" s="1" t="s">
        <v>22</v>
      </c>
      <c r="I167" s="1" t="s">
        <v>23</v>
      </c>
      <c r="J167" s="1">
        <v>-85.984522757427143</v>
      </c>
      <c r="K167" s="1">
        <v>8598.4522757427148</v>
      </c>
      <c r="L167" s="1">
        <v>114.79148749423418</v>
      </c>
      <c r="M167" s="1">
        <v>128.97678413614071</v>
      </c>
      <c r="N167" s="1">
        <v>128.97678413614071</v>
      </c>
      <c r="O167" s="11"/>
      <c r="P167" s="11"/>
      <c r="Q167" s="11"/>
      <c r="R167" s="11"/>
    </row>
    <row r="168" spans="4:18">
      <c r="D168" s="1" t="s">
        <v>86</v>
      </c>
      <c r="E168" s="1" t="s">
        <v>47</v>
      </c>
      <c r="H168" s="1" t="s">
        <v>25</v>
      </c>
      <c r="I168" s="1" t="s">
        <v>23</v>
      </c>
      <c r="M168" s="1" t="b">
        <v>0</v>
      </c>
      <c r="N168" s="1">
        <v>0</v>
      </c>
      <c r="O168" s="11"/>
      <c r="P168" s="11"/>
      <c r="Q168" s="11"/>
      <c r="R168" s="11"/>
    </row>
    <row r="169" spans="4:18">
      <c r="D169" s="1" t="s">
        <v>86</v>
      </c>
      <c r="E169" s="1" t="s">
        <v>48</v>
      </c>
      <c r="H169" s="1" t="s">
        <v>25</v>
      </c>
      <c r="I169" s="1" t="s">
        <v>23</v>
      </c>
      <c r="M169" s="1" t="b">
        <v>0</v>
      </c>
      <c r="N169" s="1">
        <v>0</v>
      </c>
      <c r="O169" s="11"/>
      <c r="P169" s="11"/>
      <c r="Q169" s="11"/>
      <c r="R169" s="11"/>
    </row>
    <row r="170" spans="4:18">
      <c r="D170" s="1" t="s">
        <v>86</v>
      </c>
      <c r="E170" s="1" t="s">
        <v>49</v>
      </c>
      <c r="H170" s="1" t="s">
        <v>25</v>
      </c>
      <c r="I170" s="1" t="s">
        <v>23</v>
      </c>
      <c r="M170" s="1" t="b">
        <v>0</v>
      </c>
      <c r="N170" s="1">
        <v>0</v>
      </c>
      <c r="O170" s="11"/>
      <c r="P170" s="11"/>
      <c r="Q170" s="11"/>
      <c r="R170" s="11"/>
    </row>
    <row r="171" spans="4:18">
      <c r="D171" s="1" t="s">
        <v>86</v>
      </c>
      <c r="E171" s="1" t="s">
        <v>50</v>
      </c>
      <c r="H171" s="1" t="s">
        <v>25</v>
      </c>
      <c r="I171" s="1" t="s">
        <v>23</v>
      </c>
      <c r="M171" s="1" t="b">
        <v>0</v>
      </c>
      <c r="N171" s="1">
        <v>0</v>
      </c>
      <c r="O171" s="11"/>
      <c r="P171" s="11"/>
      <c r="Q171" s="11"/>
      <c r="R171" s="11"/>
    </row>
    <row r="172" spans="4:18">
      <c r="D172" s="1" t="s">
        <v>86</v>
      </c>
      <c r="E172" s="1" t="s">
        <v>51</v>
      </c>
      <c r="F172" s="1" t="s">
        <v>52</v>
      </c>
      <c r="G172" s="1" t="s">
        <v>53</v>
      </c>
      <c r="H172" s="1" t="s">
        <v>22</v>
      </c>
      <c r="I172" s="1" t="s">
        <v>23</v>
      </c>
      <c r="J172" s="1">
        <v>0</v>
      </c>
      <c r="K172" s="1">
        <v>7936641438.6555996</v>
      </c>
      <c r="L172" s="1">
        <v>7936.6414386555998</v>
      </c>
      <c r="M172" s="1">
        <v>7936.6414386555998</v>
      </c>
      <c r="N172" s="1">
        <v>7936.6414386555998</v>
      </c>
      <c r="O172" s="11"/>
      <c r="P172" s="11"/>
      <c r="Q172" s="11"/>
      <c r="R172" s="11"/>
    </row>
    <row r="173" spans="4:18">
      <c r="D173" s="1" t="s">
        <v>86</v>
      </c>
      <c r="E173" s="1" t="s">
        <v>54</v>
      </c>
      <c r="H173" s="1" t="s">
        <v>25</v>
      </c>
      <c r="I173" s="1" t="s">
        <v>23</v>
      </c>
      <c r="M173" s="1" t="b">
        <v>0</v>
      </c>
      <c r="N173" s="1">
        <v>0</v>
      </c>
      <c r="O173" s="11"/>
      <c r="P173" s="11"/>
      <c r="Q173" s="11"/>
      <c r="R173" s="11"/>
    </row>
    <row r="174" spans="4:18">
      <c r="D174" s="1" t="s">
        <v>86</v>
      </c>
      <c r="E174" s="1" t="s">
        <v>55</v>
      </c>
      <c r="F174" s="1" t="s">
        <v>56</v>
      </c>
      <c r="G174" s="1" t="s">
        <v>57</v>
      </c>
      <c r="H174" s="1" t="s">
        <v>22</v>
      </c>
      <c r="I174" s="1" t="s">
        <v>23</v>
      </c>
      <c r="J174" s="1">
        <v>0</v>
      </c>
      <c r="K174" s="1">
        <v>9427.4529524635982</v>
      </c>
      <c r="L174" s="1">
        <v>50.713895374744951</v>
      </c>
      <c r="M174" s="1">
        <v>50.763208205573221</v>
      </c>
      <c r="N174" s="1">
        <v>50.763208205573221</v>
      </c>
      <c r="O174" s="11"/>
      <c r="P174" s="11"/>
      <c r="Q174" s="11"/>
      <c r="R174" s="11"/>
    </row>
    <row r="175" spans="4:18">
      <c r="D175" s="1" t="s">
        <v>86</v>
      </c>
      <c r="E175" s="1" t="s">
        <v>58</v>
      </c>
      <c r="H175" s="1" t="s">
        <v>25</v>
      </c>
      <c r="I175" s="1" t="s">
        <v>23</v>
      </c>
      <c r="M175" s="1" t="b">
        <v>0</v>
      </c>
      <c r="N175" s="1">
        <v>0</v>
      </c>
      <c r="O175" s="11"/>
      <c r="P175" s="11"/>
      <c r="Q175" s="11"/>
      <c r="R175" s="11"/>
    </row>
    <row r="176" spans="4:18">
      <c r="D176" s="1" t="s">
        <v>86</v>
      </c>
      <c r="E176" s="1" t="s">
        <v>59</v>
      </c>
      <c r="F176" s="1" t="s">
        <v>60</v>
      </c>
      <c r="G176" s="1" t="s">
        <v>61</v>
      </c>
      <c r="H176" s="1" t="s">
        <v>22</v>
      </c>
      <c r="I176" s="1" t="s">
        <v>23</v>
      </c>
      <c r="J176" s="1">
        <v>-9.5538358650799999</v>
      </c>
      <c r="K176" s="1">
        <v>9.5538358650799999</v>
      </c>
      <c r="L176" s="1">
        <v>0.23884589662700001</v>
      </c>
      <c r="M176" s="1">
        <v>0.23884589662700001</v>
      </c>
      <c r="N176" s="1">
        <v>0.23884589662700001</v>
      </c>
      <c r="O176" s="11"/>
      <c r="P176" s="11"/>
      <c r="Q176" s="11"/>
      <c r="R176" s="11"/>
    </row>
    <row r="177" spans="1:18">
      <c r="D177" s="1" t="s">
        <v>86</v>
      </c>
      <c r="E177" s="1" t="s">
        <v>62</v>
      </c>
      <c r="H177" s="1" t="s">
        <v>63</v>
      </c>
      <c r="I177" s="1" t="s">
        <v>23</v>
      </c>
      <c r="M177" s="1">
        <v>1</v>
      </c>
      <c r="N177" s="1">
        <v>1</v>
      </c>
      <c r="O177" s="11"/>
      <c r="P177" s="11"/>
      <c r="Q177" s="11"/>
      <c r="R177" s="11"/>
    </row>
    <row r="178" spans="1:18">
      <c r="A178" s="2" t="s">
        <v>1759</v>
      </c>
      <c r="B178" s="3" t="s">
        <v>1776</v>
      </c>
      <c r="D178" s="1" t="s">
        <v>86</v>
      </c>
      <c r="E178" s="1" t="s">
        <v>64</v>
      </c>
      <c r="F178" s="1" t="s">
        <v>35</v>
      </c>
      <c r="G178" s="1" t="s">
        <v>36</v>
      </c>
      <c r="H178" s="1" t="s">
        <v>22</v>
      </c>
      <c r="I178" s="1" t="s">
        <v>65</v>
      </c>
      <c r="J178" s="1">
        <v>-459.67</v>
      </c>
      <c r="L178" s="1">
        <v>80.329999999999984</v>
      </c>
      <c r="N178" s="1">
        <v>113.55973289693799</v>
      </c>
      <c r="O178" s="11"/>
      <c r="P178" s="11"/>
      <c r="Q178" s="11"/>
      <c r="R178" s="11"/>
    </row>
    <row r="179" spans="1:18">
      <c r="A179" s="2" t="s">
        <v>1759</v>
      </c>
      <c r="B179" s="3" t="s">
        <v>1777</v>
      </c>
      <c r="D179" s="1" t="s">
        <v>86</v>
      </c>
      <c r="E179" s="1" t="s">
        <v>66</v>
      </c>
      <c r="F179" s="1" t="s">
        <v>35</v>
      </c>
      <c r="G179" s="1" t="s">
        <v>36</v>
      </c>
      <c r="H179" s="1" t="s">
        <v>22</v>
      </c>
      <c r="I179" s="1" t="s">
        <v>65</v>
      </c>
      <c r="J179" s="1">
        <v>-459.67</v>
      </c>
      <c r="L179" s="1">
        <v>80.329999999999984</v>
      </c>
      <c r="N179" s="1">
        <v>101.73044457512043</v>
      </c>
      <c r="O179" s="11"/>
      <c r="P179" s="11"/>
      <c r="Q179" s="11"/>
      <c r="R179" s="11"/>
    </row>
    <row r="180" spans="1:18">
      <c r="D180" s="1" t="s">
        <v>86</v>
      </c>
      <c r="E180" s="1" t="s">
        <v>67</v>
      </c>
      <c r="F180" s="1" t="s">
        <v>41</v>
      </c>
      <c r="G180" s="1" t="s">
        <v>42</v>
      </c>
      <c r="H180" s="1" t="s">
        <v>22</v>
      </c>
      <c r="I180" s="1" t="s">
        <v>65</v>
      </c>
      <c r="L180" s="1">
        <v>1.8</v>
      </c>
      <c r="N180" s="1">
        <v>11.829288321817478</v>
      </c>
      <c r="O180" s="11"/>
      <c r="P180" s="11"/>
      <c r="Q180" s="11"/>
      <c r="R180" s="11"/>
    </row>
    <row r="181" spans="1:18">
      <c r="D181" s="1" t="s">
        <v>86</v>
      </c>
      <c r="E181" s="1" t="s">
        <v>68</v>
      </c>
      <c r="F181" s="1" t="s">
        <v>45</v>
      </c>
      <c r="G181" s="1" t="s">
        <v>46</v>
      </c>
      <c r="H181" s="1" t="s">
        <v>22</v>
      </c>
      <c r="I181" s="1" t="s">
        <v>65</v>
      </c>
      <c r="L181" s="1">
        <v>4.2992261378713571E-4</v>
      </c>
      <c r="N181" s="1">
        <v>119.53026101639318</v>
      </c>
      <c r="O181" s="11"/>
      <c r="P181" s="11"/>
      <c r="Q181" s="11"/>
      <c r="R181" s="11"/>
    </row>
    <row r="182" spans="1:18">
      <c r="D182" s="1" t="s">
        <v>86</v>
      </c>
      <c r="E182" s="1" t="s">
        <v>69</v>
      </c>
      <c r="H182" s="1" t="s">
        <v>25</v>
      </c>
      <c r="I182" s="1" t="s">
        <v>70</v>
      </c>
      <c r="N182" s="1">
        <v>0</v>
      </c>
      <c r="O182" s="11"/>
      <c r="P182" s="11"/>
      <c r="Q182" s="11"/>
      <c r="R182" s="11"/>
    </row>
    <row r="183" spans="1:18">
      <c r="D183" s="1" t="s">
        <v>86</v>
      </c>
      <c r="E183" s="1" t="s">
        <v>71</v>
      </c>
      <c r="F183" s="1" t="s">
        <v>52</v>
      </c>
      <c r="G183" s="1" t="s">
        <v>53</v>
      </c>
      <c r="H183" s="1" t="s">
        <v>22</v>
      </c>
      <c r="I183" s="1" t="s">
        <v>65</v>
      </c>
      <c r="L183" s="1">
        <v>7936.6414386555998</v>
      </c>
      <c r="N183" s="1">
        <v>183317.80538679316</v>
      </c>
      <c r="O183" s="11"/>
      <c r="P183" s="11"/>
      <c r="Q183" s="11"/>
      <c r="R183" s="11"/>
    </row>
    <row r="184" spans="1:18">
      <c r="A184" s="2" t="s">
        <v>1759</v>
      </c>
      <c r="B184" s="3" t="s">
        <v>1778</v>
      </c>
      <c r="D184" s="1" t="s">
        <v>86</v>
      </c>
      <c r="E184" s="1" t="s">
        <v>72</v>
      </c>
      <c r="F184" s="1" t="s">
        <v>56</v>
      </c>
      <c r="G184" s="1" t="s">
        <v>57</v>
      </c>
      <c r="H184" s="1" t="s">
        <v>22</v>
      </c>
      <c r="I184" s="1" t="s">
        <v>65</v>
      </c>
      <c r="J184" s="1">
        <v>0</v>
      </c>
      <c r="L184" s="1">
        <v>14.503773773020921</v>
      </c>
      <c r="N184" s="1">
        <v>142.5216587360417</v>
      </c>
      <c r="O184" s="11"/>
      <c r="P184" s="11"/>
      <c r="Q184" s="11"/>
      <c r="R184" s="11"/>
    </row>
    <row r="185" spans="1:18">
      <c r="D185" s="1" t="s">
        <v>86</v>
      </c>
      <c r="E185" s="1" t="s">
        <v>73</v>
      </c>
      <c r="F185" s="1" t="s">
        <v>60</v>
      </c>
      <c r="G185" s="1" t="s">
        <v>61</v>
      </c>
      <c r="H185" s="1" t="s">
        <v>22</v>
      </c>
      <c r="I185" s="1" t="s">
        <v>65</v>
      </c>
      <c r="L185" s="1">
        <v>2.38845896627E-4</v>
      </c>
      <c r="N185" s="1">
        <v>0.22428254685905349</v>
      </c>
      <c r="O185" s="11"/>
      <c r="P185" s="11"/>
      <c r="Q185" s="11"/>
      <c r="R185" s="11"/>
    </row>
    <row r="186" spans="1:18">
      <c r="D186" s="1" t="s">
        <v>86</v>
      </c>
      <c r="E186" s="1" t="s">
        <v>74</v>
      </c>
      <c r="F186" s="1" t="s">
        <v>75</v>
      </c>
      <c r="G186" s="1" t="s">
        <v>76</v>
      </c>
      <c r="H186" s="1" t="s">
        <v>22</v>
      </c>
      <c r="I186" s="1" t="s">
        <v>65</v>
      </c>
      <c r="J186" s="1">
        <v>0</v>
      </c>
      <c r="L186" s="1">
        <v>16.018463521800001</v>
      </c>
      <c r="N186" s="1">
        <v>0.34662895503072599</v>
      </c>
      <c r="O186" s="11"/>
      <c r="P186" s="11"/>
      <c r="Q186" s="11"/>
      <c r="R186" s="11"/>
    </row>
    <row r="187" spans="1:18">
      <c r="D187" s="1" t="s">
        <v>86</v>
      </c>
      <c r="E187" s="1" t="s">
        <v>77</v>
      </c>
      <c r="H187" s="1" t="s">
        <v>22</v>
      </c>
      <c r="I187" s="1" t="s">
        <v>65</v>
      </c>
      <c r="L187" s="1">
        <v>1</v>
      </c>
      <c r="N187" s="1">
        <v>1.0443848500673389</v>
      </c>
      <c r="O187" s="11"/>
      <c r="P187" s="11"/>
      <c r="Q187" s="11"/>
      <c r="R187" s="11"/>
    </row>
    <row r="188" spans="1:18">
      <c r="D188" s="1" t="s">
        <v>86</v>
      </c>
      <c r="E188" s="1" t="s">
        <v>78</v>
      </c>
      <c r="H188" s="1" t="s">
        <v>25</v>
      </c>
      <c r="I188" s="1" t="s">
        <v>23</v>
      </c>
      <c r="M188" s="1" t="b">
        <v>0</v>
      </c>
      <c r="N188" s="1">
        <v>0</v>
      </c>
      <c r="O188" s="11"/>
      <c r="P188" s="11"/>
      <c r="Q188" s="11"/>
      <c r="R188" s="11"/>
    </row>
    <row r="189" spans="1:18">
      <c r="D189" s="1" t="s">
        <v>86</v>
      </c>
      <c r="E189" s="1" t="s">
        <v>79</v>
      </c>
      <c r="F189" s="1" t="s">
        <v>75</v>
      </c>
      <c r="G189" s="1" t="s">
        <v>76</v>
      </c>
      <c r="H189" s="1" t="s">
        <v>22</v>
      </c>
      <c r="I189" s="1" t="s">
        <v>23</v>
      </c>
      <c r="J189" s="1">
        <v>0</v>
      </c>
      <c r="K189" s="1">
        <v>96.110781130800007</v>
      </c>
      <c r="L189" s="1">
        <v>16.018463521800001</v>
      </c>
      <c r="M189" s="1">
        <v>1.6018463521800002</v>
      </c>
      <c r="N189" s="1">
        <v>1.6018463521800002</v>
      </c>
      <c r="O189" s="11"/>
      <c r="P189" s="11"/>
      <c r="Q189" s="11"/>
      <c r="R189" s="11"/>
    </row>
    <row r="190" spans="1:18">
      <c r="D190" s="1" t="s">
        <v>86</v>
      </c>
      <c r="E190" s="1" t="s">
        <v>80</v>
      </c>
      <c r="H190" s="1" t="s">
        <v>25</v>
      </c>
      <c r="I190" s="1" t="s">
        <v>23</v>
      </c>
      <c r="M190" s="1" t="b">
        <v>0</v>
      </c>
      <c r="N190" s="1">
        <v>0</v>
      </c>
      <c r="O190" s="11"/>
      <c r="P190" s="11"/>
      <c r="Q190" s="11"/>
      <c r="R190" s="11"/>
    </row>
    <row r="191" spans="1:18">
      <c r="D191" s="1" t="s">
        <v>86</v>
      </c>
      <c r="E191" s="1" t="s">
        <v>81</v>
      </c>
      <c r="H191" s="1" t="s">
        <v>25</v>
      </c>
      <c r="I191" s="1" t="s">
        <v>23</v>
      </c>
      <c r="M191" s="1" t="b">
        <v>0</v>
      </c>
      <c r="N191" s="1">
        <v>0</v>
      </c>
      <c r="O191" s="11"/>
      <c r="P191" s="11"/>
      <c r="Q191" s="11"/>
      <c r="R191" s="11"/>
    </row>
    <row r="192" spans="1:18">
      <c r="D192" s="1" t="s">
        <v>86</v>
      </c>
      <c r="E192" s="1" t="s">
        <v>82</v>
      </c>
      <c r="H192" s="1" t="s">
        <v>22</v>
      </c>
      <c r="I192" s="1" t="s">
        <v>23</v>
      </c>
      <c r="J192" s="1">
        <v>-1</v>
      </c>
      <c r="K192" s="1">
        <v>3</v>
      </c>
      <c r="L192" s="1">
        <v>1</v>
      </c>
      <c r="M192" s="1">
        <v>1.01</v>
      </c>
      <c r="N192" s="1">
        <v>1.01</v>
      </c>
      <c r="O192" s="11"/>
      <c r="P192" s="11"/>
      <c r="Q192" s="11"/>
      <c r="R192" s="11"/>
    </row>
    <row r="193" spans="4:18">
      <c r="D193" s="1" t="s">
        <v>87</v>
      </c>
      <c r="E193" s="1" t="s">
        <v>28</v>
      </c>
      <c r="H193" s="1" t="s">
        <v>22</v>
      </c>
      <c r="I193" s="1" t="s">
        <v>29</v>
      </c>
      <c r="J193" s="1">
        <v>34000</v>
      </c>
      <c r="K193" s="1">
        <v>4300000</v>
      </c>
      <c r="L193" s="1">
        <v>349660</v>
      </c>
      <c r="N193" s="1">
        <v>350000</v>
      </c>
      <c r="O193" s="11"/>
      <c r="P193" s="11"/>
      <c r="Q193" s="11"/>
      <c r="R193" s="11"/>
    </row>
    <row r="194" spans="4:18">
      <c r="D194" s="1" t="s">
        <v>87</v>
      </c>
      <c r="E194" s="1" t="s">
        <v>30</v>
      </c>
      <c r="H194" s="1" t="s">
        <v>22</v>
      </c>
      <c r="I194" s="1" t="s">
        <v>29</v>
      </c>
      <c r="J194" s="1">
        <v>-3.94</v>
      </c>
      <c r="K194" s="1">
        <v>3.66</v>
      </c>
      <c r="L194" s="1">
        <v>1</v>
      </c>
      <c r="N194" s="1">
        <v>1.01</v>
      </c>
      <c r="O194" s="11"/>
      <c r="P194" s="11"/>
      <c r="Q194" s="11"/>
      <c r="R194" s="11"/>
    </row>
    <row r="195" spans="4:18">
      <c r="D195" s="1" t="s">
        <v>87</v>
      </c>
      <c r="E195" s="1" t="s">
        <v>31</v>
      </c>
      <c r="H195" s="1" t="s">
        <v>22</v>
      </c>
      <c r="I195" s="1" t="s">
        <v>29</v>
      </c>
      <c r="J195" s="1">
        <v>0</v>
      </c>
      <c r="K195" s="1">
        <v>100</v>
      </c>
      <c r="L195" s="1">
        <v>1</v>
      </c>
      <c r="N195" s="1">
        <v>0</v>
      </c>
      <c r="O195" s="11"/>
      <c r="P195" s="11"/>
      <c r="Q195" s="11"/>
      <c r="R195" s="11"/>
    </row>
    <row r="196" spans="4:18">
      <c r="D196" s="1" t="s">
        <v>87</v>
      </c>
      <c r="E196" s="1" t="s">
        <v>32</v>
      </c>
      <c r="H196" s="1" t="s">
        <v>22</v>
      </c>
      <c r="I196" s="1" t="s">
        <v>29</v>
      </c>
      <c r="J196" s="1">
        <v>-3.94</v>
      </c>
      <c r="K196" s="1">
        <v>3.66</v>
      </c>
      <c r="L196" s="1">
        <v>1</v>
      </c>
      <c r="N196" s="1">
        <v>1.01</v>
      </c>
      <c r="O196" s="11"/>
      <c r="P196" s="11"/>
      <c r="Q196" s="11"/>
      <c r="R196" s="11"/>
    </row>
    <row r="197" spans="4:18">
      <c r="D197" s="1" t="s">
        <v>87</v>
      </c>
      <c r="E197" s="1" t="s">
        <v>33</v>
      </c>
      <c r="H197" s="1" t="s">
        <v>25</v>
      </c>
      <c r="I197" s="1" t="s">
        <v>23</v>
      </c>
      <c r="M197" s="1" t="b">
        <v>0</v>
      </c>
      <c r="N197" s="1">
        <v>0</v>
      </c>
      <c r="O197" s="11"/>
      <c r="P197" s="11"/>
      <c r="Q197" s="11"/>
      <c r="R197" s="11"/>
    </row>
    <row r="198" spans="4:18">
      <c r="D198" s="1" t="s">
        <v>87</v>
      </c>
      <c r="E198" s="1" t="s">
        <v>34</v>
      </c>
      <c r="F198" s="1" t="s">
        <v>35</v>
      </c>
      <c r="G198" s="1" t="s">
        <v>36</v>
      </c>
      <c r="H198" s="1" t="s">
        <v>22</v>
      </c>
      <c r="I198" s="1" t="s">
        <v>23</v>
      </c>
      <c r="J198" s="1">
        <v>-459.67</v>
      </c>
      <c r="K198" s="1">
        <v>980.32999999999993</v>
      </c>
      <c r="L198" s="1">
        <v>80.329999999999984</v>
      </c>
      <c r="M198" s="1">
        <v>67.999999999999943</v>
      </c>
      <c r="N198" s="1">
        <v>67.999999999999943</v>
      </c>
      <c r="O198" s="11"/>
      <c r="P198" s="11"/>
      <c r="Q198" s="11"/>
      <c r="R198" s="11"/>
    </row>
    <row r="199" spans="4:18">
      <c r="D199" s="1" t="s">
        <v>87</v>
      </c>
      <c r="E199" s="1" t="s">
        <v>37</v>
      </c>
      <c r="H199" s="1" t="s">
        <v>25</v>
      </c>
      <c r="I199" s="1" t="s">
        <v>23</v>
      </c>
      <c r="M199" s="1" t="b">
        <v>0</v>
      </c>
      <c r="N199" s="1">
        <v>0</v>
      </c>
      <c r="O199" s="11"/>
      <c r="P199" s="11"/>
      <c r="Q199" s="11"/>
      <c r="R199" s="11"/>
    </row>
    <row r="200" spans="4:18">
      <c r="D200" s="1" t="s">
        <v>87</v>
      </c>
      <c r="E200" s="1" t="s">
        <v>38</v>
      </c>
      <c r="F200" s="1" t="s">
        <v>35</v>
      </c>
      <c r="G200" s="1" t="s">
        <v>36</v>
      </c>
      <c r="H200" s="1" t="s">
        <v>22</v>
      </c>
      <c r="I200" s="1" t="s">
        <v>23</v>
      </c>
      <c r="J200" s="1">
        <v>-99.670000000000016</v>
      </c>
      <c r="K200" s="1">
        <v>980.32999999999993</v>
      </c>
      <c r="L200" s="1">
        <v>80.329999999999984</v>
      </c>
      <c r="M200" s="1">
        <v>13.999999999999943</v>
      </c>
      <c r="N200" s="1">
        <v>13.999999999999943</v>
      </c>
      <c r="O200" s="11"/>
      <c r="P200" s="11"/>
      <c r="Q200" s="11"/>
      <c r="R200" s="11"/>
    </row>
    <row r="201" spans="4:18">
      <c r="D201" s="1" t="s">
        <v>87</v>
      </c>
      <c r="E201" s="1" t="s">
        <v>39</v>
      </c>
      <c r="H201" s="1" t="s">
        <v>25</v>
      </c>
      <c r="I201" s="1" t="s">
        <v>23</v>
      </c>
      <c r="M201" s="1" t="b">
        <v>0</v>
      </c>
      <c r="N201" s="1">
        <v>0</v>
      </c>
      <c r="O201" s="11"/>
      <c r="P201" s="11"/>
      <c r="Q201" s="11"/>
      <c r="R201" s="11"/>
    </row>
    <row r="202" spans="4:18">
      <c r="D202" s="1" t="s">
        <v>87</v>
      </c>
      <c r="E202" s="1" t="s">
        <v>40</v>
      </c>
      <c r="F202" s="1" t="s">
        <v>41</v>
      </c>
      <c r="G202" s="1" t="s">
        <v>42</v>
      </c>
      <c r="H202" s="1" t="s">
        <v>22</v>
      </c>
      <c r="I202" s="1" t="s">
        <v>23</v>
      </c>
      <c r="J202" s="1">
        <v>-900</v>
      </c>
      <c r="K202" s="1">
        <v>900</v>
      </c>
      <c r="L202" s="1">
        <v>1.8</v>
      </c>
      <c r="M202" s="1">
        <v>9</v>
      </c>
      <c r="N202" s="1">
        <v>9</v>
      </c>
      <c r="O202" s="11"/>
      <c r="P202" s="11"/>
      <c r="Q202" s="11"/>
      <c r="R202" s="11"/>
    </row>
    <row r="203" spans="4:18">
      <c r="D203" s="1" t="s">
        <v>87</v>
      </c>
      <c r="E203" s="1" t="s">
        <v>43</v>
      </c>
      <c r="H203" s="1" t="s">
        <v>25</v>
      </c>
      <c r="I203" s="1" t="s">
        <v>23</v>
      </c>
      <c r="M203" s="1" t="b">
        <v>0</v>
      </c>
      <c r="N203" s="1">
        <v>0</v>
      </c>
      <c r="O203" s="11"/>
      <c r="P203" s="11"/>
      <c r="Q203" s="11"/>
      <c r="R203" s="11"/>
    </row>
    <row r="204" spans="4:18">
      <c r="D204" s="1" t="s">
        <v>87</v>
      </c>
      <c r="E204" s="1" t="s">
        <v>44</v>
      </c>
      <c r="F204" s="1" t="s">
        <v>45</v>
      </c>
      <c r="G204" s="1" t="s">
        <v>46</v>
      </c>
      <c r="H204" s="1" t="s">
        <v>22</v>
      </c>
      <c r="I204" s="1" t="s">
        <v>23</v>
      </c>
      <c r="J204" s="1">
        <v>-85.984522757427143</v>
      </c>
      <c r="K204" s="1">
        <v>8598.4522757427148</v>
      </c>
      <c r="L204" s="1">
        <v>114.79148749423418</v>
      </c>
      <c r="M204" s="1">
        <v>128.97678413614071</v>
      </c>
      <c r="N204" s="1">
        <v>128.97678413614071</v>
      </c>
      <c r="O204" s="11"/>
      <c r="P204" s="11"/>
      <c r="Q204" s="11"/>
      <c r="R204" s="11"/>
    </row>
    <row r="205" spans="4:18">
      <c r="D205" s="1" t="s">
        <v>87</v>
      </c>
      <c r="E205" s="1" t="s">
        <v>47</v>
      </c>
      <c r="H205" s="1" t="s">
        <v>25</v>
      </c>
      <c r="I205" s="1" t="s">
        <v>23</v>
      </c>
      <c r="M205" s="1" t="b">
        <v>0</v>
      </c>
      <c r="N205" s="1">
        <v>0</v>
      </c>
      <c r="O205" s="11"/>
      <c r="P205" s="11"/>
      <c r="Q205" s="11"/>
      <c r="R205" s="11"/>
    </row>
    <row r="206" spans="4:18">
      <c r="D206" s="1" t="s">
        <v>87</v>
      </c>
      <c r="E206" s="1" t="s">
        <v>48</v>
      </c>
      <c r="H206" s="1" t="s">
        <v>25</v>
      </c>
      <c r="I206" s="1" t="s">
        <v>23</v>
      </c>
      <c r="M206" s="1" t="b">
        <v>0</v>
      </c>
      <c r="N206" s="1">
        <v>0</v>
      </c>
      <c r="O206" s="11"/>
      <c r="P206" s="11"/>
      <c r="Q206" s="11"/>
      <c r="R206" s="11"/>
    </row>
    <row r="207" spans="4:18">
      <c r="D207" s="1" t="s">
        <v>87</v>
      </c>
      <c r="E207" s="1" t="s">
        <v>49</v>
      </c>
      <c r="H207" s="1" t="s">
        <v>25</v>
      </c>
      <c r="I207" s="1" t="s">
        <v>23</v>
      </c>
      <c r="M207" s="1" t="b">
        <v>0</v>
      </c>
      <c r="N207" s="1">
        <v>0</v>
      </c>
      <c r="O207" s="11"/>
      <c r="P207" s="11"/>
      <c r="Q207" s="11"/>
      <c r="R207" s="11"/>
    </row>
    <row r="208" spans="4:18">
      <c r="D208" s="1" t="s">
        <v>87</v>
      </c>
      <c r="E208" s="1" t="s">
        <v>50</v>
      </c>
      <c r="H208" s="1" t="s">
        <v>25</v>
      </c>
      <c r="I208" s="1" t="s">
        <v>23</v>
      </c>
      <c r="M208" s="1" t="b">
        <v>0</v>
      </c>
      <c r="N208" s="1">
        <v>0</v>
      </c>
      <c r="O208" s="11"/>
      <c r="P208" s="11"/>
      <c r="Q208" s="11"/>
      <c r="R208" s="11"/>
    </row>
    <row r="209" spans="1:18">
      <c r="D209" s="1" t="s">
        <v>87</v>
      </c>
      <c r="E209" s="1" t="s">
        <v>51</v>
      </c>
      <c r="F209" s="1" t="s">
        <v>52</v>
      </c>
      <c r="G209" s="1" t="s">
        <v>53</v>
      </c>
      <c r="H209" s="1" t="s">
        <v>22</v>
      </c>
      <c r="I209" s="1" t="s">
        <v>23</v>
      </c>
      <c r="J209" s="1">
        <v>0</v>
      </c>
      <c r="K209" s="1">
        <v>7936641438.6555996</v>
      </c>
      <c r="L209" s="1">
        <v>7936.6414386555998</v>
      </c>
      <c r="M209" s="1">
        <v>7936.6414386555998</v>
      </c>
      <c r="N209" s="1">
        <v>7936.6414386555998</v>
      </c>
      <c r="O209" s="11"/>
      <c r="P209" s="11"/>
      <c r="Q209" s="11"/>
      <c r="R209" s="11"/>
    </row>
    <row r="210" spans="1:18">
      <c r="D210" s="1" t="s">
        <v>87</v>
      </c>
      <c r="E210" s="1" t="s">
        <v>54</v>
      </c>
      <c r="H210" s="1" t="s">
        <v>25</v>
      </c>
      <c r="I210" s="1" t="s">
        <v>23</v>
      </c>
      <c r="M210" s="1" t="b">
        <v>0</v>
      </c>
      <c r="N210" s="1">
        <v>0</v>
      </c>
      <c r="O210" s="11"/>
      <c r="P210" s="11"/>
      <c r="Q210" s="11"/>
      <c r="R210" s="11"/>
    </row>
    <row r="211" spans="1:18">
      <c r="D211" s="1" t="s">
        <v>87</v>
      </c>
      <c r="E211" s="1" t="s">
        <v>55</v>
      </c>
      <c r="F211" s="1" t="s">
        <v>56</v>
      </c>
      <c r="G211" s="1" t="s">
        <v>57</v>
      </c>
      <c r="H211" s="1" t="s">
        <v>22</v>
      </c>
      <c r="I211" s="1" t="s">
        <v>23</v>
      </c>
      <c r="J211" s="1">
        <v>0</v>
      </c>
      <c r="K211" s="1">
        <v>9427.4529524635982</v>
      </c>
      <c r="L211" s="1">
        <v>50.713895374744951</v>
      </c>
      <c r="M211" s="1">
        <v>50.763208205573221</v>
      </c>
      <c r="N211" s="1">
        <v>50.763208205573221</v>
      </c>
      <c r="O211" s="11"/>
      <c r="P211" s="11"/>
      <c r="Q211" s="11"/>
      <c r="R211" s="11"/>
    </row>
    <row r="212" spans="1:18">
      <c r="D212" s="1" t="s">
        <v>87</v>
      </c>
      <c r="E212" s="1" t="s">
        <v>58</v>
      </c>
      <c r="H212" s="1" t="s">
        <v>25</v>
      </c>
      <c r="I212" s="1" t="s">
        <v>23</v>
      </c>
      <c r="M212" s="1" t="b">
        <v>0</v>
      </c>
      <c r="N212" s="1">
        <v>0</v>
      </c>
      <c r="O212" s="11"/>
      <c r="P212" s="11"/>
      <c r="Q212" s="11"/>
      <c r="R212" s="11"/>
    </row>
    <row r="213" spans="1:18">
      <c r="D213" s="1" t="s">
        <v>87</v>
      </c>
      <c r="E213" s="1" t="s">
        <v>59</v>
      </c>
      <c r="F213" s="1" t="s">
        <v>60</v>
      </c>
      <c r="G213" s="1" t="s">
        <v>61</v>
      </c>
      <c r="H213" s="1" t="s">
        <v>22</v>
      </c>
      <c r="I213" s="1" t="s">
        <v>23</v>
      </c>
      <c r="J213" s="1">
        <v>-9.5538358650799999</v>
      </c>
      <c r="K213" s="1">
        <v>9.5538358650799999</v>
      </c>
      <c r="L213" s="1">
        <v>0.23884589662700001</v>
      </c>
      <c r="M213" s="1">
        <v>0.23884589662700001</v>
      </c>
      <c r="N213" s="1">
        <v>0.23884589662700001</v>
      </c>
      <c r="O213" s="11"/>
      <c r="P213" s="11"/>
      <c r="Q213" s="11"/>
      <c r="R213" s="11"/>
    </row>
    <row r="214" spans="1:18">
      <c r="D214" s="1" t="s">
        <v>87</v>
      </c>
      <c r="E214" s="1" t="s">
        <v>62</v>
      </c>
      <c r="H214" s="1" t="s">
        <v>63</v>
      </c>
      <c r="I214" s="1" t="s">
        <v>23</v>
      </c>
      <c r="M214" s="1">
        <v>1</v>
      </c>
      <c r="N214" s="1">
        <v>1</v>
      </c>
      <c r="O214" s="11"/>
      <c r="P214" s="11"/>
      <c r="Q214" s="11"/>
      <c r="R214" s="11"/>
    </row>
    <row r="215" spans="1:18">
      <c r="D215" s="1" t="s">
        <v>87</v>
      </c>
      <c r="E215" s="1" t="s">
        <v>64</v>
      </c>
      <c r="F215" s="1" t="s">
        <v>35</v>
      </c>
      <c r="G215" s="1" t="s">
        <v>36</v>
      </c>
      <c r="H215" s="1" t="s">
        <v>22</v>
      </c>
      <c r="I215" s="1" t="s">
        <v>65</v>
      </c>
      <c r="J215" s="1">
        <v>-459.67</v>
      </c>
      <c r="L215" s="1">
        <v>80.329999999999984</v>
      </c>
      <c r="N215" s="1">
        <v>74.168479691803384</v>
      </c>
      <c r="O215" s="11"/>
      <c r="P215" s="11"/>
      <c r="Q215" s="11"/>
      <c r="R215" s="11"/>
    </row>
    <row r="216" spans="1:18">
      <c r="A216" s="2" t="s">
        <v>1759</v>
      </c>
      <c r="B216" s="3" t="s">
        <v>1779</v>
      </c>
      <c r="D216" s="1" t="s">
        <v>87</v>
      </c>
      <c r="E216" s="1" t="s">
        <v>66</v>
      </c>
      <c r="F216" s="1" t="s">
        <v>35</v>
      </c>
      <c r="G216" s="1" t="s">
        <v>36</v>
      </c>
      <c r="H216" s="1" t="s">
        <v>22</v>
      </c>
      <c r="I216" s="1" t="s">
        <v>65</v>
      </c>
      <c r="J216" s="1">
        <v>-459.67</v>
      </c>
      <c r="L216" s="1">
        <v>80.329999999999984</v>
      </c>
      <c r="N216" s="1">
        <v>74.168479691803384</v>
      </c>
      <c r="O216" s="11"/>
      <c r="P216" s="11"/>
      <c r="Q216" s="11"/>
      <c r="R216" s="11"/>
    </row>
    <row r="217" spans="1:18">
      <c r="D217" s="1" t="s">
        <v>87</v>
      </c>
      <c r="E217" s="1" t="s">
        <v>67</v>
      </c>
      <c r="F217" s="1" t="s">
        <v>41</v>
      </c>
      <c r="G217" s="1" t="s">
        <v>42</v>
      </c>
      <c r="H217" s="1" t="s">
        <v>22</v>
      </c>
      <c r="I217" s="1" t="s">
        <v>65</v>
      </c>
      <c r="L217" s="1">
        <v>1.8</v>
      </c>
      <c r="N217" s="1">
        <v>0</v>
      </c>
      <c r="O217" s="11"/>
      <c r="P217" s="11"/>
      <c r="Q217" s="11"/>
      <c r="R217" s="11"/>
    </row>
    <row r="218" spans="1:18">
      <c r="D218" s="1" t="s">
        <v>87</v>
      </c>
      <c r="E218" s="1" t="s">
        <v>68</v>
      </c>
      <c r="F218" s="1" t="s">
        <v>45</v>
      </c>
      <c r="G218" s="1" t="s">
        <v>46</v>
      </c>
      <c r="H218" s="1" t="s">
        <v>22</v>
      </c>
      <c r="I218" s="1" t="s">
        <v>65</v>
      </c>
      <c r="L218" s="1">
        <v>4.2992261378713571E-4</v>
      </c>
      <c r="N218" s="1">
        <v>42.783075138634636</v>
      </c>
      <c r="O218" s="11"/>
      <c r="P218" s="11"/>
      <c r="Q218" s="11"/>
      <c r="R218" s="11"/>
    </row>
    <row r="219" spans="1:18">
      <c r="D219" s="1" t="s">
        <v>87</v>
      </c>
      <c r="E219" s="1" t="s">
        <v>69</v>
      </c>
      <c r="H219" s="1" t="s">
        <v>25</v>
      </c>
      <c r="I219" s="1" t="s">
        <v>70</v>
      </c>
      <c r="N219" s="1">
        <v>0</v>
      </c>
      <c r="O219" s="11"/>
      <c r="P219" s="11"/>
      <c r="Q219" s="11"/>
      <c r="R219" s="11"/>
    </row>
    <row r="220" spans="1:18">
      <c r="D220" s="1" t="s">
        <v>87</v>
      </c>
      <c r="E220" s="1" t="s">
        <v>71</v>
      </c>
      <c r="F220" s="1" t="s">
        <v>52</v>
      </c>
      <c r="G220" s="1" t="s">
        <v>53</v>
      </c>
      <c r="H220" s="1" t="s">
        <v>22</v>
      </c>
      <c r="I220" s="1" t="s">
        <v>65</v>
      </c>
      <c r="L220" s="1">
        <v>7936.6414386555998</v>
      </c>
      <c r="N220" s="1">
        <v>183317.80538679316</v>
      </c>
      <c r="O220" s="11"/>
      <c r="P220" s="11"/>
      <c r="Q220" s="11"/>
      <c r="R220" s="11"/>
    </row>
    <row r="221" spans="1:18">
      <c r="D221" s="1" t="s">
        <v>87</v>
      </c>
      <c r="E221" s="1" t="s">
        <v>72</v>
      </c>
      <c r="F221" s="1" t="s">
        <v>56</v>
      </c>
      <c r="G221" s="1" t="s">
        <v>57</v>
      </c>
      <c r="H221" s="1" t="s">
        <v>22</v>
      </c>
      <c r="I221" s="1" t="s">
        <v>65</v>
      </c>
      <c r="J221" s="1">
        <v>0</v>
      </c>
      <c r="L221" s="1">
        <v>14.503773773020921</v>
      </c>
      <c r="N221" s="1">
        <v>92.062658125001619</v>
      </c>
      <c r="O221" s="11"/>
      <c r="P221" s="11"/>
      <c r="Q221" s="11"/>
      <c r="R221" s="11"/>
    </row>
    <row r="222" spans="1:18">
      <c r="D222" s="1" t="s">
        <v>87</v>
      </c>
      <c r="E222" s="1" t="s">
        <v>73</v>
      </c>
      <c r="F222" s="1" t="s">
        <v>60</v>
      </c>
      <c r="G222" s="1" t="s">
        <v>61</v>
      </c>
      <c r="H222" s="1" t="s">
        <v>22</v>
      </c>
      <c r="I222" s="1" t="s">
        <v>65</v>
      </c>
      <c r="L222" s="1">
        <v>2.38845896627E-4</v>
      </c>
      <c r="N222" s="1">
        <v>8.8044764546123103E-2</v>
      </c>
      <c r="O222" s="11"/>
      <c r="P222" s="11"/>
      <c r="Q222" s="11"/>
      <c r="R222" s="11"/>
    </row>
    <row r="223" spans="1:18">
      <c r="D223" s="1" t="s">
        <v>87</v>
      </c>
      <c r="E223" s="1" t="s">
        <v>74</v>
      </c>
      <c r="F223" s="1" t="s">
        <v>75</v>
      </c>
      <c r="G223" s="1" t="s">
        <v>76</v>
      </c>
      <c r="H223" s="1" t="s">
        <v>22</v>
      </c>
      <c r="I223" s="1" t="s">
        <v>65</v>
      </c>
      <c r="J223" s="1">
        <v>0</v>
      </c>
      <c r="L223" s="1">
        <v>16.018463521800001</v>
      </c>
      <c r="N223" s="1">
        <v>5.654765789848791E-2</v>
      </c>
      <c r="O223" s="11"/>
      <c r="P223" s="11"/>
      <c r="Q223" s="11"/>
      <c r="R223" s="11"/>
    </row>
    <row r="224" spans="1:18">
      <c r="D224" s="1" t="s">
        <v>87</v>
      </c>
      <c r="E224" s="1" t="s">
        <v>77</v>
      </c>
      <c r="H224" s="1" t="s">
        <v>22</v>
      </c>
      <c r="I224" s="1" t="s">
        <v>65</v>
      </c>
      <c r="L224" s="1">
        <v>1</v>
      </c>
      <c r="N224" s="1">
        <v>8.5641024876879371E-2</v>
      </c>
      <c r="O224" s="11"/>
      <c r="P224" s="11"/>
      <c r="Q224" s="11"/>
      <c r="R224" s="11"/>
    </row>
    <row r="225" spans="4:18">
      <c r="D225" s="1" t="s">
        <v>87</v>
      </c>
      <c r="E225" s="1" t="s">
        <v>78</v>
      </c>
      <c r="H225" s="1" t="s">
        <v>25</v>
      </c>
      <c r="I225" s="1" t="s">
        <v>23</v>
      </c>
      <c r="M225" s="1" t="b">
        <v>0</v>
      </c>
      <c r="N225" s="1">
        <v>0</v>
      </c>
      <c r="O225" s="11"/>
      <c r="P225" s="11"/>
      <c r="Q225" s="11"/>
      <c r="R225" s="11"/>
    </row>
    <row r="226" spans="4:18">
      <c r="D226" s="1" t="s">
        <v>87</v>
      </c>
      <c r="E226" s="1" t="s">
        <v>79</v>
      </c>
      <c r="F226" s="1" t="s">
        <v>75</v>
      </c>
      <c r="G226" s="1" t="s">
        <v>76</v>
      </c>
      <c r="H226" s="1" t="s">
        <v>22</v>
      </c>
      <c r="I226" s="1" t="s">
        <v>23</v>
      </c>
      <c r="J226" s="1">
        <v>0</v>
      </c>
      <c r="K226" s="1">
        <v>96.110781130800007</v>
      </c>
      <c r="L226" s="1">
        <v>16.018463521800001</v>
      </c>
      <c r="M226" s="1">
        <v>1.6018463521800002</v>
      </c>
      <c r="N226" s="1">
        <v>1.6018463521800002</v>
      </c>
      <c r="O226" s="11"/>
      <c r="P226" s="11"/>
      <c r="Q226" s="11"/>
      <c r="R226" s="11"/>
    </row>
    <row r="227" spans="4:18">
      <c r="D227" s="1" t="s">
        <v>87</v>
      </c>
      <c r="E227" s="1" t="s">
        <v>80</v>
      </c>
      <c r="H227" s="1" t="s">
        <v>25</v>
      </c>
      <c r="I227" s="1" t="s">
        <v>23</v>
      </c>
      <c r="M227" s="1" t="b">
        <v>0</v>
      </c>
      <c r="N227" s="1">
        <v>0</v>
      </c>
      <c r="O227" s="11"/>
      <c r="P227" s="11"/>
      <c r="Q227" s="11"/>
      <c r="R227" s="11"/>
    </row>
    <row r="228" spans="4:18">
      <c r="D228" s="1" t="s">
        <v>87</v>
      </c>
      <c r="E228" s="1" t="s">
        <v>81</v>
      </c>
      <c r="H228" s="1" t="s">
        <v>25</v>
      </c>
      <c r="I228" s="1" t="s">
        <v>23</v>
      </c>
      <c r="M228" s="1" t="b">
        <v>0</v>
      </c>
      <c r="N228" s="1">
        <v>0</v>
      </c>
      <c r="O228" s="11"/>
      <c r="P228" s="11"/>
      <c r="Q228" s="11"/>
      <c r="R228" s="11"/>
    </row>
    <row r="229" spans="4:18">
      <c r="D229" s="1" t="s">
        <v>87</v>
      </c>
      <c r="E229" s="1" t="s">
        <v>82</v>
      </c>
      <c r="H229" s="1" t="s">
        <v>22</v>
      </c>
      <c r="I229" s="1" t="s">
        <v>23</v>
      </c>
      <c r="J229" s="1">
        <v>-1</v>
      </c>
      <c r="K229" s="1">
        <v>3</v>
      </c>
      <c r="L229" s="1">
        <v>1</v>
      </c>
      <c r="M229" s="1">
        <v>1.01</v>
      </c>
      <c r="N229" s="1">
        <v>1.01</v>
      </c>
      <c r="O229" s="11"/>
      <c r="P229" s="11"/>
      <c r="Q229" s="11"/>
      <c r="R229" s="11"/>
    </row>
    <row r="230" spans="4:18">
      <c r="D230" s="1" t="s">
        <v>88</v>
      </c>
      <c r="E230" s="1" t="s">
        <v>28</v>
      </c>
      <c r="H230" s="1" t="s">
        <v>22</v>
      </c>
      <c r="I230" s="1" t="s">
        <v>29</v>
      </c>
      <c r="J230" s="1">
        <v>34000</v>
      </c>
      <c r="K230" s="1">
        <v>4300000</v>
      </c>
      <c r="L230" s="1">
        <v>349660</v>
      </c>
      <c r="N230" s="1">
        <v>350000</v>
      </c>
      <c r="O230" s="11"/>
      <c r="P230" s="11"/>
      <c r="Q230" s="11"/>
      <c r="R230" s="11"/>
    </row>
    <row r="231" spans="4:18">
      <c r="D231" s="1" t="s">
        <v>88</v>
      </c>
      <c r="E231" s="1" t="s">
        <v>30</v>
      </c>
      <c r="H231" s="1" t="s">
        <v>22</v>
      </c>
      <c r="I231" s="1" t="s">
        <v>29</v>
      </c>
      <c r="J231" s="1">
        <v>-3.94</v>
      </c>
      <c r="K231" s="1">
        <v>3.66</v>
      </c>
      <c r="L231" s="1">
        <v>1</v>
      </c>
      <c r="N231" s="1">
        <v>1.01</v>
      </c>
      <c r="O231" s="11"/>
      <c r="P231" s="11"/>
      <c r="Q231" s="11"/>
      <c r="R231" s="11"/>
    </row>
    <row r="232" spans="4:18">
      <c r="D232" s="1" t="s">
        <v>88</v>
      </c>
      <c r="E232" s="1" t="s">
        <v>31</v>
      </c>
      <c r="H232" s="1" t="s">
        <v>22</v>
      </c>
      <c r="I232" s="1" t="s">
        <v>29</v>
      </c>
      <c r="J232" s="1">
        <v>0</v>
      </c>
      <c r="K232" s="1">
        <v>100</v>
      </c>
      <c r="L232" s="1">
        <v>1</v>
      </c>
      <c r="N232" s="1">
        <v>0</v>
      </c>
      <c r="O232" s="11"/>
      <c r="P232" s="11"/>
      <c r="Q232" s="11"/>
      <c r="R232" s="11"/>
    </row>
    <row r="233" spans="4:18">
      <c r="D233" s="1" t="s">
        <v>88</v>
      </c>
      <c r="E233" s="1" t="s">
        <v>32</v>
      </c>
      <c r="H233" s="1" t="s">
        <v>22</v>
      </c>
      <c r="I233" s="1" t="s">
        <v>29</v>
      </c>
      <c r="J233" s="1">
        <v>-3.94</v>
      </c>
      <c r="K233" s="1">
        <v>3.66</v>
      </c>
      <c r="L233" s="1">
        <v>1</v>
      </c>
      <c r="N233" s="1">
        <v>1.01</v>
      </c>
      <c r="O233" s="11"/>
      <c r="P233" s="11"/>
      <c r="Q233" s="11"/>
      <c r="R233" s="11"/>
    </row>
    <row r="234" spans="4:18">
      <c r="D234" s="1" t="s">
        <v>88</v>
      </c>
      <c r="E234" s="1" t="s">
        <v>33</v>
      </c>
      <c r="H234" s="1" t="s">
        <v>25</v>
      </c>
      <c r="I234" s="1" t="s">
        <v>23</v>
      </c>
      <c r="M234" s="1" t="b">
        <v>0</v>
      </c>
      <c r="N234" s="1">
        <v>0</v>
      </c>
      <c r="O234" s="11"/>
      <c r="P234" s="11"/>
      <c r="Q234" s="11"/>
      <c r="R234" s="11"/>
    </row>
    <row r="235" spans="4:18">
      <c r="D235" s="1" t="s">
        <v>88</v>
      </c>
      <c r="E235" s="1" t="s">
        <v>34</v>
      </c>
      <c r="F235" s="1" t="s">
        <v>35</v>
      </c>
      <c r="G235" s="1" t="s">
        <v>36</v>
      </c>
      <c r="H235" s="1" t="s">
        <v>22</v>
      </c>
      <c r="I235" s="1" t="s">
        <v>23</v>
      </c>
      <c r="J235" s="1">
        <v>-459.67</v>
      </c>
      <c r="K235" s="1">
        <v>980.32999999999993</v>
      </c>
      <c r="L235" s="1">
        <v>80.329999999999984</v>
      </c>
      <c r="M235" s="1">
        <v>67.999999999999943</v>
      </c>
      <c r="N235" s="1">
        <v>67.999999999999943</v>
      </c>
      <c r="O235" s="11"/>
      <c r="P235" s="11"/>
      <c r="Q235" s="11"/>
      <c r="R235" s="11"/>
    </row>
    <row r="236" spans="4:18">
      <c r="D236" s="1" t="s">
        <v>88</v>
      </c>
      <c r="E236" s="1" t="s">
        <v>37</v>
      </c>
      <c r="H236" s="1" t="s">
        <v>25</v>
      </c>
      <c r="I236" s="1" t="s">
        <v>23</v>
      </c>
      <c r="M236" s="1" t="b">
        <v>0</v>
      </c>
      <c r="N236" s="1">
        <v>0</v>
      </c>
      <c r="O236" s="11"/>
      <c r="P236" s="11"/>
      <c r="Q236" s="11"/>
      <c r="R236" s="11"/>
    </row>
    <row r="237" spans="4:18">
      <c r="D237" s="1" t="s">
        <v>88</v>
      </c>
      <c r="E237" s="1" t="s">
        <v>38</v>
      </c>
      <c r="F237" s="1" t="s">
        <v>35</v>
      </c>
      <c r="G237" s="1" t="s">
        <v>36</v>
      </c>
      <c r="H237" s="1" t="s">
        <v>22</v>
      </c>
      <c r="I237" s="1" t="s">
        <v>23</v>
      </c>
      <c r="J237" s="1">
        <v>-99.670000000000016</v>
      </c>
      <c r="K237" s="1">
        <v>980.32999999999993</v>
      </c>
      <c r="L237" s="1">
        <v>80.329999999999984</v>
      </c>
      <c r="M237" s="1">
        <v>13.999999999999943</v>
      </c>
      <c r="N237" s="1">
        <v>13.999999999999943</v>
      </c>
      <c r="O237" s="11"/>
      <c r="P237" s="11"/>
      <c r="Q237" s="11"/>
      <c r="R237" s="11"/>
    </row>
    <row r="238" spans="4:18">
      <c r="D238" s="1" t="s">
        <v>88</v>
      </c>
      <c r="E238" s="1" t="s">
        <v>39</v>
      </c>
      <c r="H238" s="1" t="s">
        <v>25</v>
      </c>
      <c r="I238" s="1" t="s">
        <v>23</v>
      </c>
      <c r="M238" s="1" t="b">
        <v>0</v>
      </c>
      <c r="N238" s="1">
        <v>0</v>
      </c>
      <c r="O238" s="11"/>
      <c r="P238" s="11"/>
      <c r="Q238" s="11"/>
      <c r="R238" s="11"/>
    </row>
    <row r="239" spans="4:18">
      <c r="D239" s="1" t="s">
        <v>88</v>
      </c>
      <c r="E239" s="1" t="s">
        <v>40</v>
      </c>
      <c r="F239" s="1" t="s">
        <v>41</v>
      </c>
      <c r="G239" s="1" t="s">
        <v>42</v>
      </c>
      <c r="H239" s="1" t="s">
        <v>22</v>
      </c>
      <c r="I239" s="1" t="s">
        <v>23</v>
      </c>
      <c r="J239" s="1">
        <v>-900</v>
      </c>
      <c r="K239" s="1">
        <v>900</v>
      </c>
      <c r="L239" s="1">
        <v>1.8</v>
      </c>
      <c r="M239" s="1">
        <v>9</v>
      </c>
      <c r="N239" s="1">
        <v>9</v>
      </c>
      <c r="O239" s="11"/>
      <c r="P239" s="11"/>
      <c r="Q239" s="11"/>
      <c r="R239" s="11"/>
    </row>
    <row r="240" spans="4:18">
      <c r="D240" s="1" t="s">
        <v>88</v>
      </c>
      <c r="E240" s="1" t="s">
        <v>43</v>
      </c>
      <c r="H240" s="1" t="s">
        <v>25</v>
      </c>
      <c r="I240" s="1" t="s">
        <v>23</v>
      </c>
      <c r="M240" s="1" t="b">
        <v>0</v>
      </c>
      <c r="N240" s="1">
        <v>0</v>
      </c>
      <c r="O240" s="11"/>
      <c r="P240" s="11"/>
      <c r="Q240" s="11"/>
      <c r="R240" s="11"/>
    </row>
    <row r="241" spans="1:18">
      <c r="D241" s="1" t="s">
        <v>88</v>
      </c>
      <c r="E241" s="1" t="s">
        <v>44</v>
      </c>
      <c r="F241" s="1" t="s">
        <v>45</v>
      </c>
      <c r="G241" s="1" t="s">
        <v>46</v>
      </c>
      <c r="H241" s="1" t="s">
        <v>22</v>
      </c>
      <c r="I241" s="1" t="s">
        <v>23</v>
      </c>
      <c r="J241" s="1">
        <v>-85.984522757427143</v>
      </c>
      <c r="K241" s="1">
        <v>8598.4522757427148</v>
      </c>
      <c r="L241" s="1">
        <v>114.79148749423418</v>
      </c>
      <c r="M241" s="1">
        <v>128.97678413614071</v>
      </c>
      <c r="N241" s="1">
        <v>128.97678413614071</v>
      </c>
      <c r="O241" s="11"/>
      <c r="P241" s="11"/>
      <c r="Q241" s="11"/>
      <c r="R241" s="11"/>
    </row>
    <row r="242" spans="1:18">
      <c r="D242" s="1" t="s">
        <v>88</v>
      </c>
      <c r="E242" s="1" t="s">
        <v>47</v>
      </c>
      <c r="H242" s="1" t="s">
        <v>25</v>
      </c>
      <c r="I242" s="1" t="s">
        <v>23</v>
      </c>
      <c r="M242" s="1" t="b">
        <v>0</v>
      </c>
      <c r="N242" s="1">
        <v>0</v>
      </c>
      <c r="O242" s="11"/>
      <c r="P242" s="11"/>
      <c r="Q242" s="11"/>
      <c r="R242" s="11"/>
    </row>
    <row r="243" spans="1:18">
      <c r="D243" s="1" t="s">
        <v>88</v>
      </c>
      <c r="E243" s="1" t="s">
        <v>48</v>
      </c>
      <c r="H243" s="1" t="s">
        <v>25</v>
      </c>
      <c r="I243" s="1" t="s">
        <v>23</v>
      </c>
      <c r="M243" s="1" t="b">
        <v>0</v>
      </c>
      <c r="N243" s="1">
        <v>0</v>
      </c>
      <c r="O243" s="11"/>
      <c r="P243" s="11"/>
      <c r="Q243" s="11"/>
      <c r="R243" s="11"/>
    </row>
    <row r="244" spans="1:18">
      <c r="D244" s="1" t="s">
        <v>88</v>
      </c>
      <c r="E244" s="1" t="s">
        <v>49</v>
      </c>
      <c r="H244" s="1" t="s">
        <v>25</v>
      </c>
      <c r="I244" s="1" t="s">
        <v>23</v>
      </c>
      <c r="M244" s="1" t="b">
        <v>0</v>
      </c>
      <c r="N244" s="1">
        <v>0</v>
      </c>
      <c r="O244" s="11"/>
      <c r="P244" s="11"/>
      <c r="Q244" s="11"/>
      <c r="R244" s="11"/>
    </row>
    <row r="245" spans="1:18">
      <c r="D245" s="1" t="s">
        <v>88</v>
      </c>
      <c r="E245" s="1" t="s">
        <v>50</v>
      </c>
      <c r="H245" s="1" t="s">
        <v>25</v>
      </c>
      <c r="I245" s="1" t="s">
        <v>23</v>
      </c>
      <c r="M245" s="1" t="b">
        <v>0</v>
      </c>
      <c r="N245" s="1">
        <v>0</v>
      </c>
      <c r="O245" s="11"/>
      <c r="P245" s="11"/>
      <c r="Q245" s="11"/>
      <c r="R245" s="11"/>
    </row>
    <row r="246" spans="1:18">
      <c r="D246" s="1" t="s">
        <v>88</v>
      </c>
      <c r="E246" s="1" t="s">
        <v>51</v>
      </c>
      <c r="F246" s="1" t="s">
        <v>52</v>
      </c>
      <c r="G246" s="1" t="s">
        <v>53</v>
      </c>
      <c r="H246" s="1" t="s">
        <v>22</v>
      </c>
      <c r="I246" s="1" t="s">
        <v>23</v>
      </c>
      <c r="J246" s="1">
        <v>0</v>
      </c>
      <c r="K246" s="1">
        <v>7936641438.6555996</v>
      </c>
      <c r="L246" s="1">
        <v>7936.6414386555998</v>
      </c>
      <c r="M246" s="1">
        <v>7936.6414386555998</v>
      </c>
      <c r="N246" s="1">
        <v>7936.6414386555998</v>
      </c>
      <c r="O246" s="11"/>
      <c r="P246" s="11"/>
      <c r="Q246" s="11"/>
      <c r="R246" s="11"/>
    </row>
    <row r="247" spans="1:18">
      <c r="D247" s="1" t="s">
        <v>88</v>
      </c>
      <c r="E247" s="1" t="s">
        <v>54</v>
      </c>
      <c r="H247" s="1" t="s">
        <v>25</v>
      </c>
      <c r="I247" s="1" t="s">
        <v>23</v>
      </c>
      <c r="M247" s="1" t="b">
        <v>0</v>
      </c>
      <c r="N247" s="1">
        <v>0</v>
      </c>
      <c r="O247" s="11"/>
      <c r="P247" s="11"/>
      <c r="Q247" s="11"/>
      <c r="R247" s="11"/>
    </row>
    <row r="248" spans="1:18">
      <c r="D248" s="1" t="s">
        <v>88</v>
      </c>
      <c r="E248" s="1" t="s">
        <v>55</v>
      </c>
      <c r="F248" s="1" t="s">
        <v>56</v>
      </c>
      <c r="G248" s="1" t="s">
        <v>57</v>
      </c>
      <c r="H248" s="1" t="s">
        <v>22</v>
      </c>
      <c r="I248" s="1" t="s">
        <v>23</v>
      </c>
      <c r="J248" s="1">
        <v>0</v>
      </c>
      <c r="K248" s="1">
        <v>9427.4529524635982</v>
      </c>
      <c r="L248" s="1">
        <v>50.713895374744951</v>
      </c>
      <c r="M248" s="1">
        <v>50.763208205573221</v>
      </c>
      <c r="N248" s="1">
        <v>50.763208205573221</v>
      </c>
      <c r="O248" s="11"/>
      <c r="P248" s="11"/>
      <c r="Q248" s="11"/>
      <c r="R248" s="11"/>
    </row>
    <row r="249" spans="1:18">
      <c r="D249" s="1" t="s">
        <v>88</v>
      </c>
      <c r="E249" s="1" t="s">
        <v>58</v>
      </c>
      <c r="H249" s="1" t="s">
        <v>25</v>
      </c>
      <c r="I249" s="1" t="s">
        <v>23</v>
      </c>
      <c r="M249" s="1" t="b">
        <v>0</v>
      </c>
      <c r="N249" s="1">
        <v>0</v>
      </c>
      <c r="O249" s="11"/>
      <c r="P249" s="11"/>
      <c r="Q249" s="11"/>
      <c r="R249" s="11"/>
    </row>
    <row r="250" spans="1:18">
      <c r="D250" s="1" t="s">
        <v>88</v>
      </c>
      <c r="E250" s="1" t="s">
        <v>59</v>
      </c>
      <c r="F250" s="1" t="s">
        <v>60</v>
      </c>
      <c r="G250" s="1" t="s">
        <v>61</v>
      </c>
      <c r="H250" s="1" t="s">
        <v>22</v>
      </c>
      <c r="I250" s="1" t="s">
        <v>23</v>
      </c>
      <c r="J250" s="1">
        <v>-9.5538358650799999</v>
      </c>
      <c r="K250" s="1">
        <v>9.5538358650799999</v>
      </c>
      <c r="L250" s="1">
        <v>0.23884589662700001</v>
      </c>
      <c r="M250" s="1">
        <v>0.23884589662700001</v>
      </c>
      <c r="N250" s="1">
        <v>0.23884589662700001</v>
      </c>
      <c r="O250" s="11"/>
      <c r="P250" s="11"/>
      <c r="Q250" s="11"/>
      <c r="R250" s="11"/>
    </row>
    <row r="251" spans="1:18">
      <c r="D251" s="1" t="s">
        <v>88</v>
      </c>
      <c r="E251" s="1" t="s">
        <v>62</v>
      </c>
      <c r="H251" s="1" t="s">
        <v>63</v>
      </c>
      <c r="I251" s="1" t="s">
        <v>23</v>
      </c>
      <c r="M251" s="1">
        <v>1</v>
      </c>
      <c r="N251" s="1">
        <v>1</v>
      </c>
      <c r="O251" s="11"/>
      <c r="P251" s="11"/>
      <c r="Q251" s="11"/>
      <c r="R251" s="11"/>
    </row>
    <row r="252" spans="1:18">
      <c r="D252" s="1" t="s">
        <v>88</v>
      </c>
      <c r="E252" s="1" t="s">
        <v>64</v>
      </c>
      <c r="F252" s="1" t="s">
        <v>35</v>
      </c>
      <c r="G252" s="1" t="s">
        <v>36</v>
      </c>
      <c r="H252" s="1" t="s">
        <v>22</v>
      </c>
      <c r="I252" s="1" t="s">
        <v>65</v>
      </c>
      <c r="J252" s="1">
        <v>-459.67</v>
      </c>
      <c r="L252" s="1">
        <v>80.329999999999984</v>
      </c>
      <c r="N252" s="1">
        <v>111.71454298992836</v>
      </c>
      <c r="O252" s="11"/>
      <c r="P252" s="11"/>
      <c r="Q252" s="11"/>
      <c r="R252" s="11"/>
    </row>
    <row r="253" spans="1:18">
      <c r="A253" s="2" t="s">
        <v>1759</v>
      </c>
      <c r="B253" s="3" t="s">
        <v>1780</v>
      </c>
      <c r="D253" s="1" t="s">
        <v>88</v>
      </c>
      <c r="E253" s="1" t="s">
        <v>66</v>
      </c>
      <c r="F253" s="1" t="s">
        <v>35</v>
      </c>
      <c r="G253" s="1" t="s">
        <v>36</v>
      </c>
      <c r="H253" s="1" t="s">
        <v>22</v>
      </c>
      <c r="I253" s="1" t="s">
        <v>65</v>
      </c>
      <c r="J253" s="1">
        <v>-459.67</v>
      </c>
      <c r="L253" s="1">
        <v>80.329999999999984</v>
      </c>
      <c r="N253" s="1">
        <v>98.303841676649142</v>
      </c>
      <c r="O253" s="11"/>
      <c r="P253" s="11"/>
      <c r="Q253" s="11"/>
      <c r="R253" s="11"/>
    </row>
    <row r="254" spans="1:18">
      <c r="D254" s="1" t="s">
        <v>88</v>
      </c>
      <c r="E254" s="1" t="s">
        <v>67</v>
      </c>
      <c r="F254" s="1" t="s">
        <v>41</v>
      </c>
      <c r="G254" s="1" t="s">
        <v>42</v>
      </c>
      <c r="H254" s="1" t="s">
        <v>22</v>
      </c>
      <c r="I254" s="1" t="s">
        <v>65</v>
      </c>
      <c r="L254" s="1">
        <v>1.8</v>
      </c>
      <c r="N254" s="1">
        <v>13.410701313279175</v>
      </c>
      <c r="O254" s="11"/>
      <c r="P254" s="11"/>
      <c r="Q254" s="11"/>
      <c r="R254" s="11"/>
    </row>
    <row r="255" spans="1:18">
      <c r="D255" s="1" t="s">
        <v>88</v>
      </c>
      <c r="E255" s="1" t="s">
        <v>68</v>
      </c>
      <c r="F255" s="1" t="s">
        <v>45</v>
      </c>
      <c r="G255" s="1" t="s">
        <v>46</v>
      </c>
      <c r="H255" s="1" t="s">
        <v>22</v>
      </c>
      <c r="I255" s="1" t="s">
        <v>65</v>
      </c>
      <c r="L255" s="1">
        <v>4.2992261378713571E-4</v>
      </c>
      <c r="N255" s="1">
        <v>119.53026101639318</v>
      </c>
      <c r="O255" s="11"/>
      <c r="P255" s="11"/>
      <c r="Q255" s="11"/>
      <c r="R255" s="11"/>
    </row>
    <row r="256" spans="1:18">
      <c r="D256" s="1" t="s">
        <v>88</v>
      </c>
      <c r="E256" s="1" t="s">
        <v>69</v>
      </c>
      <c r="H256" s="1" t="s">
        <v>25</v>
      </c>
      <c r="I256" s="1" t="s">
        <v>70</v>
      </c>
      <c r="N256" s="1">
        <v>0</v>
      </c>
      <c r="O256" s="11"/>
      <c r="P256" s="11"/>
      <c r="Q256" s="11"/>
      <c r="R256" s="11"/>
    </row>
    <row r="257" spans="1:18">
      <c r="D257" s="1" t="s">
        <v>88</v>
      </c>
      <c r="E257" s="1" t="s">
        <v>71</v>
      </c>
      <c r="F257" s="1" t="s">
        <v>52</v>
      </c>
      <c r="G257" s="1" t="s">
        <v>53</v>
      </c>
      <c r="H257" s="1" t="s">
        <v>22</v>
      </c>
      <c r="I257" s="1" t="s">
        <v>65</v>
      </c>
      <c r="L257" s="1">
        <v>7936.6414386555998</v>
      </c>
      <c r="N257" s="1">
        <v>183317.80538679316</v>
      </c>
      <c r="O257" s="11"/>
      <c r="P257" s="11"/>
      <c r="Q257" s="11"/>
      <c r="R257" s="11"/>
    </row>
    <row r="258" spans="1:18">
      <c r="A258" s="2" t="s">
        <v>1759</v>
      </c>
      <c r="B258" s="3" t="s">
        <v>1808</v>
      </c>
      <c r="D258" s="1" t="s">
        <v>88</v>
      </c>
      <c r="E258" s="1" t="s">
        <v>72</v>
      </c>
      <c r="F258" s="1" t="s">
        <v>56</v>
      </c>
      <c r="G258" s="1" t="s">
        <v>57</v>
      </c>
      <c r="H258" s="1" t="s">
        <v>22</v>
      </c>
      <c r="I258" s="1" t="s">
        <v>65</v>
      </c>
      <c r="J258" s="1">
        <v>0</v>
      </c>
      <c r="L258" s="1">
        <v>14.503773773020921</v>
      </c>
      <c r="N258" s="1">
        <v>135.32432554524246</v>
      </c>
      <c r="O258" s="11"/>
      <c r="P258" s="11"/>
      <c r="Q258" s="11"/>
      <c r="R258" s="11"/>
    </row>
    <row r="259" spans="1:18">
      <c r="D259" s="1" t="s">
        <v>88</v>
      </c>
      <c r="E259" s="1" t="s">
        <v>73</v>
      </c>
      <c r="F259" s="1" t="s">
        <v>60</v>
      </c>
      <c r="G259" s="1" t="s">
        <v>61</v>
      </c>
      <c r="H259" s="1" t="s">
        <v>22</v>
      </c>
      <c r="I259" s="1" t="s">
        <v>65</v>
      </c>
      <c r="L259" s="1">
        <v>2.38845896627E-4</v>
      </c>
      <c r="N259" s="1">
        <v>0.22511233237833303</v>
      </c>
      <c r="O259" s="11"/>
      <c r="P259" s="11"/>
      <c r="Q259" s="11"/>
      <c r="R259" s="11"/>
    </row>
    <row r="260" spans="1:18">
      <c r="D260" s="1" t="s">
        <v>88</v>
      </c>
      <c r="E260" s="1" t="s">
        <v>74</v>
      </c>
      <c r="F260" s="1" t="s">
        <v>75</v>
      </c>
      <c r="G260" s="1" t="s">
        <v>76</v>
      </c>
      <c r="H260" s="1" t="s">
        <v>22</v>
      </c>
      <c r="I260" s="1" t="s">
        <v>65</v>
      </c>
      <c r="J260" s="1">
        <v>0</v>
      </c>
      <c r="L260" s="1">
        <v>16.018463521800001</v>
      </c>
      <c r="N260" s="1">
        <v>0.36764231046745255</v>
      </c>
      <c r="O260" s="11"/>
      <c r="P260" s="11"/>
      <c r="Q260" s="11"/>
      <c r="R260" s="11"/>
    </row>
    <row r="261" spans="1:18">
      <c r="D261" s="1" t="s">
        <v>88</v>
      </c>
      <c r="E261" s="1" t="s">
        <v>77</v>
      </c>
      <c r="H261" s="1" t="s">
        <v>22</v>
      </c>
      <c r="I261" s="1" t="s">
        <v>65</v>
      </c>
      <c r="L261" s="1">
        <v>1</v>
      </c>
      <c r="N261" s="1">
        <v>1.0489698180793809</v>
      </c>
      <c r="O261" s="11"/>
      <c r="P261" s="11"/>
      <c r="Q261" s="11"/>
      <c r="R261" s="11"/>
    </row>
    <row r="262" spans="1:18">
      <c r="D262" s="1" t="s">
        <v>88</v>
      </c>
      <c r="E262" s="1" t="s">
        <v>78</v>
      </c>
      <c r="H262" s="1" t="s">
        <v>25</v>
      </c>
      <c r="I262" s="1" t="s">
        <v>23</v>
      </c>
      <c r="M262" s="1" t="b">
        <v>0</v>
      </c>
      <c r="N262" s="1">
        <v>0</v>
      </c>
      <c r="O262" s="11"/>
      <c r="P262" s="11"/>
      <c r="Q262" s="11"/>
      <c r="R262" s="11"/>
    </row>
    <row r="263" spans="1:18">
      <c r="D263" s="1" t="s">
        <v>88</v>
      </c>
      <c r="E263" s="1" t="s">
        <v>79</v>
      </c>
      <c r="F263" s="1" t="s">
        <v>75</v>
      </c>
      <c r="G263" s="1" t="s">
        <v>76</v>
      </c>
      <c r="H263" s="1" t="s">
        <v>22</v>
      </c>
      <c r="I263" s="1" t="s">
        <v>23</v>
      </c>
      <c r="J263" s="1">
        <v>0</v>
      </c>
      <c r="K263" s="1">
        <v>96.110781130800007</v>
      </c>
      <c r="L263" s="1">
        <v>16.018463521800001</v>
      </c>
      <c r="M263" s="1">
        <v>1.6018463521800002</v>
      </c>
      <c r="N263" s="1">
        <v>1.6018463521800002</v>
      </c>
      <c r="O263" s="11"/>
      <c r="P263" s="11"/>
      <c r="Q263" s="11"/>
      <c r="R263" s="11"/>
    </row>
    <row r="264" spans="1:18">
      <c r="D264" s="1" t="s">
        <v>88</v>
      </c>
      <c r="E264" s="1" t="s">
        <v>80</v>
      </c>
      <c r="H264" s="1" t="s">
        <v>25</v>
      </c>
      <c r="I264" s="1" t="s">
        <v>23</v>
      </c>
      <c r="M264" s="1" t="b">
        <v>0</v>
      </c>
      <c r="N264" s="1">
        <v>0</v>
      </c>
      <c r="O264" s="11"/>
      <c r="P264" s="11"/>
      <c r="Q264" s="11"/>
      <c r="R264" s="11"/>
    </row>
    <row r="265" spans="1:18">
      <c r="D265" s="1" t="s">
        <v>88</v>
      </c>
      <c r="E265" s="1" t="s">
        <v>81</v>
      </c>
      <c r="H265" s="1" t="s">
        <v>25</v>
      </c>
      <c r="I265" s="1" t="s">
        <v>23</v>
      </c>
      <c r="M265" s="1" t="b">
        <v>0</v>
      </c>
      <c r="N265" s="1">
        <v>0</v>
      </c>
      <c r="O265" s="11"/>
      <c r="P265" s="11"/>
      <c r="Q265" s="11"/>
      <c r="R265" s="11"/>
    </row>
    <row r="266" spans="1:18">
      <c r="D266" s="1" t="s">
        <v>88</v>
      </c>
      <c r="E266" s="1" t="s">
        <v>82</v>
      </c>
      <c r="H266" s="1" t="s">
        <v>22</v>
      </c>
      <c r="I266" s="1" t="s">
        <v>23</v>
      </c>
      <c r="J266" s="1">
        <v>-1</v>
      </c>
      <c r="K266" s="1">
        <v>3</v>
      </c>
      <c r="L266" s="1">
        <v>1</v>
      </c>
      <c r="M266" s="1">
        <v>1.01</v>
      </c>
      <c r="N266" s="1">
        <v>1.01</v>
      </c>
      <c r="O266" s="11"/>
      <c r="P266" s="11"/>
      <c r="Q266" s="11"/>
      <c r="R266" s="11"/>
    </row>
    <row r="267" spans="1:18">
      <c r="D267" s="1" t="s">
        <v>89</v>
      </c>
      <c r="E267" s="1" t="s">
        <v>28</v>
      </c>
      <c r="H267" s="1" t="s">
        <v>22</v>
      </c>
      <c r="I267" s="1" t="s">
        <v>29</v>
      </c>
      <c r="J267" s="1">
        <v>34000</v>
      </c>
      <c r="K267" s="1">
        <v>4300000</v>
      </c>
      <c r="L267" s="1">
        <v>349660</v>
      </c>
      <c r="N267" s="1">
        <v>350000</v>
      </c>
      <c r="O267" s="11"/>
      <c r="P267" s="11"/>
      <c r="Q267" s="11"/>
      <c r="R267" s="11"/>
    </row>
    <row r="268" spans="1:18">
      <c r="D268" s="1" t="s">
        <v>89</v>
      </c>
      <c r="E268" s="1" t="s">
        <v>30</v>
      </c>
      <c r="H268" s="1" t="s">
        <v>22</v>
      </c>
      <c r="I268" s="1" t="s">
        <v>29</v>
      </c>
      <c r="J268" s="1">
        <v>-3.94</v>
      </c>
      <c r="K268" s="1">
        <v>3.66</v>
      </c>
      <c r="L268" s="1">
        <v>1</v>
      </c>
      <c r="N268" s="1">
        <v>1.01</v>
      </c>
      <c r="O268" s="11"/>
      <c r="P268" s="11"/>
      <c r="Q268" s="11"/>
      <c r="R268" s="11"/>
    </row>
    <row r="269" spans="1:18">
      <c r="D269" s="1" t="s">
        <v>89</v>
      </c>
      <c r="E269" s="1" t="s">
        <v>31</v>
      </c>
      <c r="H269" s="1" t="s">
        <v>22</v>
      </c>
      <c r="I269" s="1" t="s">
        <v>29</v>
      </c>
      <c r="J269" s="1">
        <v>0</v>
      </c>
      <c r="K269" s="1">
        <v>100</v>
      </c>
      <c r="L269" s="1">
        <v>1</v>
      </c>
      <c r="N269" s="1">
        <v>0</v>
      </c>
      <c r="O269" s="11"/>
      <c r="P269" s="11"/>
      <c r="Q269" s="11"/>
      <c r="R269" s="11"/>
    </row>
    <row r="270" spans="1:18">
      <c r="D270" s="1" t="s">
        <v>89</v>
      </c>
      <c r="E270" s="1" t="s">
        <v>32</v>
      </c>
      <c r="H270" s="1" t="s">
        <v>22</v>
      </c>
      <c r="I270" s="1" t="s">
        <v>29</v>
      </c>
      <c r="J270" s="1">
        <v>-3.94</v>
      </c>
      <c r="K270" s="1">
        <v>3.66</v>
      </c>
      <c r="L270" s="1">
        <v>1</v>
      </c>
      <c r="N270" s="1">
        <v>1.01</v>
      </c>
      <c r="O270" s="11"/>
      <c r="P270" s="11"/>
      <c r="Q270" s="11"/>
      <c r="R270" s="11"/>
    </row>
    <row r="271" spans="1:18">
      <c r="D271" s="1" t="s">
        <v>89</v>
      </c>
      <c r="E271" s="1" t="s">
        <v>33</v>
      </c>
      <c r="H271" s="1" t="s">
        <v>25</v>
      </c>
      <c r="I271" s="1" t="s">
        <v>23</v>
      </c>
      <c r="M271" s="1" t="b">
        <v>0</v>
      </c>
      <c r="N271" s="1">
        <v>0</v>
      </c>
      <c r="O271" s="11"/>
      <c r="P271" s="11"/>
      <c r="Q271" s="11"/>
      <c r="R271" s="11"/>
    </row>
    <row r="272" spans="1:18">
      <c r="D272" s="1" t="s">
        <v>89</v>
      </c>
      <c r="E272" s="1" t="s">
        <v>34</v>
      </c>
      <c r="F272" s="1" t="s">
        <v>35</v>
      </c>
      <c r="G272" s="1" t="s">
        <v>36</v>
      </c>
      <c r="H272" s="1" t="s">
        <v>22</v>
      </c>
      <c r="I272" s="1" t="s">
        <v>23</v>
      </c>
      <c r="J272" s="1">
        <v>-459.67</v>
      </c>
      <c r="K272" s="1">
        <v>980.32999999999993</v>
      </c>
      <c r="L272" s="1">
        <v>80.329999999999984</v>
      </c>
      <c r="M272" s="1">
        <v>67.999999999999943</v>
      </c>
      <c r="N272" s="1">
        <v>67.999999999999943</v>
      </c>
      <c r="O272" s="11"/>
      <c r="P272" s="11"/>
      <c r="Q272" s="11"/>
      <c r="R272" s="11"/>
    </row>
    <row r="273" spans="4:18">
      <c r="D273" s="1" t="s">
        <v>89</v>
      </c>
      <c r="E273" s="1" t="s">
        <v>37</v>
      </c>
      <c r="H273" s="1" t="s">
        <v>25</v>
      </c>
      <c r="I273" s="1" t="s">
        <v>23</v>
      </c>
      <c r="M273" s="1" t="b">
        <v>0</v>
      </c>
      <c r="N273" s="1">
        <v>0</v>
      </c>
      <c r="O273" s="11"/>
      <c r="P273" s="11"/>
      <c r="Q273" s="11"/>
      <c r="R273" s="11"/>
    </row>
    <row r="274" spans="4:18">
      <c r="D274" s="1" t="s">
        <v>89</v>
      </c>
      <c r="E274" s="1" t="s">
        <v>38</v>
      </c>
      <c r="F274" s="1" t="s">
        <v>35</v>
      </c>
      <c r="G274" s="1" t="s">
        <v>36</v>
      </c>
      <c r="H274" s="1" t="s">
        <v>22</v>
      </c>
      <c r="I274" s="1" t="s">
        <v>23</v>
      </c>
      <c r="J274" s="1">
        <v>-99.670000000000016</v>
      </c>
      <c r="K274" s="1">
        <v>980.32999999999993</v>
      </c>
      <c r="L274" s="1">
        <v>80.329999999999984</v>
      </c>
      <c r="M274" s="1">
        <v>13.999999999999943</v>
      </c>
      <c r="N274" s="1">
        <v>13.999999999999943</v>
      </c>
      <c r="O274" s="11"/>
      <c r="P274" s="11"/>
      <c r="Q274" s="11"/>
      <c r="R274" s="11"/>
    </row>
    <row r="275" spans="4:18">
      <c r="D275" s="1" t="s">
        <v>89</v>
      </c>
      <c r="E275" s="1" t="s">
        <v>39</v>
      </c>
      <c r="H275" s="1" t="s">
        <v>25</v>
      </c>
      <c r="I275" s="1" t="s">
        <v>23</v>
      </c>
      <c r="M275" s="1" t="b">
        <v>0</v>
      </c>
      <c r="N275" s="1">
        <v>0</v>
      </c>
      <c r="O275" s="11"/>
      <c r="P275" s="11"/>
      <c r="Q275" s="11"/>
      <c r="R275" s="11"/>
    </row>
    <row r="276" spans="4:18">
      <c r="D276" s="1" t="s">
        <v>89</v>
      </c>
      <c r="E276" s="1" t="s">
        <v>40</v>
      </c>
      <c r="F276" s="1" t="s">
        <v>41</v>
      </c>
      <c r="G276" s="1" t="s">
        <v>42</v>
      </c>
      <c r="H276" s="1" t="s">
        <v>22</v>
      </c>
      <c r="I276" s="1" t="s">
        <v>23</v>
      </c>
      <c r="J276" s="1">
        <v>-900</v>
      </c>
      <c r="K276" s="1">
        <v>900</v>
      </c>
      <c r="L276" s="1">
        <v>1.8</v>
      </c>
      <c r="M276" s="1">
        <v>9</v>
      </c>
      <c r="N276" s="1">
        <v>9</v>
      </c>
      <c r="O276" s="11"/>
      <c r="P276" s="11"/>
      <c r="Q276" s="11"/>
      <c r="R276" s="11"/>
    </row>
    <row r="277" spans="4:18">
      <c r="D277" s="1" t="s">
        <v>89</v>
      </c>
      <c r="E277" s="1" t="s">
        <v>43</v>
      </c>
      <c r="H277" s="1" t="s">
        <v>25</v>
      </c>
      <c r="I277" s="1" t="s">
        <v>23</v>
      </c>
      <c r="M277" s="1" t="b">
        <v>0</v>
      </c>
      <c r="N277" s="1">
        <v>0</v>
      </c>
      <c r="O277" s="11"/>
      <c r="P277" s="11"/>
      <c r="Q277" s="11"/>
      <c r="R277" s="11"/>
    </row>
    <row r="278" spans="4:18">
      <c r="D278" s="1" t="s">
        <v>89</v>
      </c>
      <c r="E278" s="1" t="s">
        <v>44</v>
      </c>
      <c r="F278" s="1" t="s">
        <v>45</v>
      </c>
      <c r="G278" s="1" t="s">
        <v>46</v>
      </c>
      <c r="H278" s="1" t="s">
        <v>22</v>
      </c>
      <c r="I278" s="1" t="s">
        <v>23</v>
      </c>
      <c r="J278" s="1">
        <v>-85.984522757427143</v>
      </c>
      <c r="K278" s="1">
        <v>8598.4522757427148</v>
      </c>
      <c r="L278" s="1">
        <v>114.79148749423418</v>
      </c>
      <c r="M278" s="1">
        <v>128.97678413614071</v>
      </c>
      <c r="N278" s="1">
        <v>128.97678413614071</v>
      </c>
      <c r="O278" s="11"/>
      <c r="P278" s="11"/>
      <c r="Q278" s="11"/>
      <c r="R278" s="11"/>
    </row>
    <row r="279" spans="4:18">
      <c r="D279" s="1" t="s">
        <v>89</v>
      </c>
      <c r="E279" s="1" t="s">
        <v>47</v>
      </c>
      <c r="H279" s="1" t="s">
        <v>25</v>
      </c>
      <c r="I279" s="1" t="s">
        <v>23</v>
      </c>
      <c r="M279" s="1" t="b">
        <v>0</v>
      </c>
      <c r="N279" s="1">
        <v>0</v>
      </c>
      <c r="O279" s="11"/>
      <c r="P279" s="11"/>
      <c r="Q279" s="11"/>
      <c r="R279" s="11"/>
    </row>
    <row r="280" spans="4:18">
      <c r="D280" s="1" t="s">
        <v>89</v>
      </c>
      <c r="E280" s="1" t="s">
        <v>48</v>
      </c>
      <c r="H280" s="1" t="s">
        <v>25</v>
      </c>
      <c r="I280" s="1" t="s">
        <v>23</v>
      </c>
      <c r="M280" s="1" t="b">
        <v>0</v>
      </c>
      <c r="N280" s="1">
        <v>0</v>
      </c>
      <c r="O280" s="11"/>
      <c r="P280" s="11"/>
      <c r="Q280" s="11"/>
      <c r="R280" s="11"/>
    </row>
    <row r="281" spans="4:18">
      <c r="D281" s="1" t="s">
        <v>89</v>
      </c>
      <c r="E281" s="1" t="s">
        <v>49</v>
      </c>
      <c r="H281" s="1" t="s">
        <v>25</v>
      </c>
      <c r="I281" s="1" t="s">
        <v>23</v>
      </c>
      <c r="M281" s="1" t="b">
        <v>0</v>
      </c>
      <c r="N281" s="1">
        <v>0</v>
      </c>
      <c r="O281" s="11"/>
      <c r="P281" s="11"/>
      <c r="Q281" s="11"/>
      <c r="R281" s="11"/>
    </row>
    <row r="282" spans="4:18">
      <c r="D282" s="1" t="s">
        <v>89</v>
      </c>
      <c r="E282" s="1" t="s">
        <v>50</v>
      </c>
      <c r="H282" s="1" t="s">
        <v>25</v>
      </c>
      <c r="I282" s="1" t="s">
        <v>23</v>
      </c>
      <c r="M282" s="1" t="b">
        <v>0</v>
      </c>
      <c r="N282" s="1">
        <v>0</v>
      </c>
      <c r="O282" s="11"/>
      <c r="P282" s="11"/>
      <c r="Q282" s="11"/>
      <c r="R282" s="11"/>
    </row>
    <row r="283" spans="4:18">
      <c r="D283" s="1" t="s">
        <v>89</v>
      </c>
      <c r="E283" s="1" t="s">
        <v>51</v>
      </c>
      <c r="F283" s="1" t="s">
        <v>52</v>
      </c>
      <c r="G283" s="1" t="s">
        <v>53</v>
      </c>
      <c r="H283" s="1" t="s">
        <v>22</v>
      </c>
      <c r="I283" s="1" t="s">
        <v>23</v>
      </c>
      <c r="J283" s="1">
        <v>0</v>
      </c>
      <c r="K283" s="1">
        <v>7936641438.6555996</v>
      </c>
      <c r="L283" s="1">
        <v>7936.6414386555998</v>
      </c>
      <c r="M283" s="1">
        <v>7936.6414386555998</v>
      </c>
      <c r="N283" s="1">
        <v>7936.6414386555998</v>
      </c>
      <c r="O283" s="11"/>
      <c r="P283" s="11"/>
      <c r="Q283" s="11"/>
      <c r="R283" s="11"/>
    </row>
    <row r="284" spans="4:18">
      <c r="D284" s="1" t="s">
        <v>89</v>
      </c>
      <c r="E284" s="1" t="s">
        <v>54</v>
      </c>
      <c r="H284" s="1" t="s">
        <v>25</v>
      </c>
      <c r="I284" s="1" t="s">
        <v>23</v>
      </c>
      <c r="M284" s="1" t="b">
        <v>0</v>
      </c>
      <c r="N284" s="1">
        <v>0</v>
      </c>
      <c r="O284" s="11"/>
      <c r="P284" s="11"/>
      <c r="Q284" s="11"/>
      <c r="R284" s="11"/>
    </row>
    <row r="285" spans="4:18">
      <c r="D285" s="1" t="s">
        <v>89</v>
      </c>
      <c r="E285" s="1" t="s">
        <v>55</v>
      </c>
      <c r="F285" s="1" t="s">
        <v>56</v>
      </c>
      <c r="G285" s="1" t="s">
        <v>57</v>
      </c>
      <c r="H285" s="1" t="s">
        <v>22</v>
      </c>
      <c r="I285" s="1" t="s">
        <v>23</v>
      </c>
      <c r="J285" s="1">
        <v>0</v>
      </c>
      <c r="K285" s="1">
        <v>9427.4529524635982</v>
      </c>
      <c r="L285" s="1">
        <v>50.713895374744951</v>
      </c>
      <c r="M285" s="1">
        <v>50.763208205573221</v>
      </c>
      <c r="N285" s="1">
        <v>50.763208205573221</v>
      </c>
      <c r="O285" s="11"/>
      <c r="P285" s="11"/>
      <c r="Q285" s="11"/>
      <c r="R285" s="11"/>
    </row>
    <row r="286" spans="4:18">
      <c r="D286" s="1" t="s">
        <v>89</v>
      </c>
      <c r="E286" s="1" t="s">
        <v>58</v>
      </c>
      <c r="H286" s="1" t="s">
        <v>25</v>
      </c>
      <c r="I286" s="1" t="s">
        <v>23</v>
      </c>
      <c r="M286" s="1" t="b">
        <v>0</v>
      </c>
      <c r="N286" s="1">
        <v>0</v>
      </c>
      <c r="O286" s="11"/>
      <c r="P286" s="11"/>
      <c r="Q286" s="11"/>
      <c r="R286" s="11"/>
    </row>
    <row r="287" spans="4:18">
      <c r="D287" s="1" t="s">
        <v>89</v>
      </c>
      <c r="E287" s="1" t="s">
        <v>59</v>
      </c>
      <c r="F287" s="1" t="s">
        <v>60</v>
      </c>
      <c r="G287" s="1" t="s">
        <v>61</v>
      </c>
      <c r="H287" s="1" t="s">
        <v>22</v>
      </c>
      <c r="I287" s="1" t="s">
        <v>23</v>
      </c>
      <c r="J287" s="1">
        <v>-9.5538358650799999</v>
      </c>
      <c r="K287" s="1">
        <v>9.5538358650799999</v>
      </c>
      <c r="L287" s="1">
        <v>0.23884589662700001</v>
      </c>
      <c r="M287" s="1">
        <v>0.23884589662700001</v>
      </c>
      <c r="N287" s="1">
        <v>0.23884589662700001</v>
      </c>
      <c r="O287" s="11"/>
      <c r="P287" s="11"/>
      <c r="Q287" s="11"/>
      <c r="R287" s="11"/>
    </row>
    <row r="288" spans="4:18">
      <c r="D288" s="1" t="s">
        <v>89</v>
      </c>
      <c r="E288" s="1" t="s">
        <v>62</v>
      </c>
      <c r="H288" s="1" t="s">
        <v>63</v>
      </c>
      <c r="I288" s="1" t="s">
        <v>23</v>
      </c>
      <c r="M288" s="1">
        <v>1</v>
      </c>
      <c r="N288" s="1">
        <v>1</v>
      </c>
      <c r="O288" s="11"/>
      <c r="P288" s="11"/>
      <c r="Q288" s="11"/>
      <c r="R288" s="11"/>
    </row>
    <row r="289" spans="1:18">
      <c r="D289" s="1" t="s">
        <v>89</v>
      </c>
      <c r="E289" s="1" t="s">
        <v>64</v>
      </c>
      <c r="F289" s="1" t="s">
        <v>35</v>
      </c>
      <c r="G289" s="1" t="s">
        <v>36</v>
      </c>
      <c r="H289" s="1" t="s">
        <v>22</v>
      </c>
      <c r="I289" s="1" t="s">
        <v>65</v>
      </c>
      <c r="J289" s="1">
        <v>-459.67</v>
      </c>
      <c r="L289" s="1">
        <v>80.329999999999984</v>
      </c>
      <c r="N289" s="1">
        <v>42.66595347884504</v>
      </c>
      <c r="O289" s="11"/>
      <c r="P289" s="11"/>
      <c r="Q289" s="11"/>
      <c r="R289" s="11"/>
    </row>
    <row r="290" spans="1:18">
      <c r="A290" s="2" t="s">
        <v>1759</v>
      </c>
      <c r="B290" s="3" t="s">
        <v>1781</v>
      </c>
      <c r="D290" s="1" t="s">
        <v>89</v>
      </c>
      <c r="E290" s="1" t="s">
        <v>66</v>
      </c>
      <c r="F290" s="1" t="s">
        <v>35</v>
      </c>
      <c r="G290" s="1" t="s">
        <v>36</v>
      </c>
      <c r="H290" s="1" t="s">
        <v>22</v>
      </c>
      <c r="I290" s="1" t="s">
        <v>65</v>
      </c>
      <c r="J290" s="1">
        <v>-459.67</v>
      </c>
      <c r="L290" s="1">
        <v>80.329999999999984</v>
      </c>
      <c r="N290" s="1">
        <v>42.66595347884504</v>
      </c>
      <c r="O290" s="11"/>
      <c r="P290" s="11"/>
      <c r="Q290" s="11"/>
      <c r="R290" s="11"/>
    </row>
    <row r="291" spans="1:18">
      <c r="D291" s="1" t="s">
        <v>89</v>
      </c>
      <c r="E291" s="1" t="s">
        <v>67</v>
      </c>
      <c r="F291" s="1" t="s">
        <v>41</v>
      </c>
      <c r="G291" s="1" t="s">
        <v>42</v>
      </c>
      <c r="H291" s="1" t="s">
        <v>22</v>
      </c>
      <c r="I291" s="1" t="s">
        <v>65</v>
      </c>
      <c r="L291" s="1">
        <v>1.8</v>
      </c>
      <c r="N291" s="1">
        <v>0</v>
      </c>
      <c r="O291" s="11"/>
      <c r="P291" s="11"/>
      <c r="Q291" s="11"/>
      <c r="R291" s="11"/>
    </row>
    <row r="292" spans="1:18">
      <c r="D292" s="1" t="s">
        <v>89</v>
      </c>
      <c r="E292" s="1" t="s">
        <v>68</v>
      </c>
      <c r="F292" s="1" t="s">
        <v>45</v>
      </c>
      <c r="G292" s="1" t="s">
        <v>46</v>
      </c>
      <c r="H292" s="1" t="s">
        <v>22</v>
      </c>
      <c r="I292" s="1" t="s">
        <v>65</v>
      </c>
      <c r="L292" s="1">
        <v>4.2992261378713571E-4</v>
      </c>
      <c r="N292" s="1">
        <v>36.773160666570917</v>
      </c>
      <c r="O292" s="11"/>
      <c r="P292" s="11"/>
      <c r="Q292" s="11"/>
      <c r="R292" s="11"/>
    </row>
    <row r="293" spans="1:18">
      <c r="D293" s="1" t="s">
        <v>89</v>
      </c>
      <c r="E293" s="1" t="s">
        <v>69</v>
      </c>
      <c r="H293" s="1" t="s">
        <v>25</v>
      </c>
      <c r="I293" s="1" t="s">
        <v>70</v>
      </c>
      <c r="N293" s="1">
        <v>0</v>
      </c>
      <c r="O293" s="11"/>
      <c r="P293" s="11"/>
      <c r="Q293" s="11"/>
      <c r="R293" s="11"/>
    </row>
    <row r="294" spans="1:18">
      <c r="D294" s="1" t="s">
        <v>89</v>
      </c>
      <c r="E294" s="1" t="s">
        <v>71</v>
      </c>
      <c r="F294" s="1" t="s">
        <v>52</v>
      </c>
      <c r="G294" s="1" t="s">
        <v>53</v>
      </c>
      <c r="H294" s="1" t="s">
        <v>22</v>
      </c>
      <c r="I294" s="1" t="s">
        <v>65</v>
      </c>
      <c r="L294" s="1">
        <v>7936.6414386555998</v>
      </c>
      <c r="N294" s="1">
        <v>167734.2151113626</v>
      </c>
      <c r="O294" s="11"/>
      <c r="P294" s="11"/>
      <c r="Q294" s="11"/>
      <c r="R294" s="11"/>
    </row>
    <row r="295" spans="1:18">
      <c r="D295" s="1" t="s">
        <v>89</v>
      </c>
      <c r="E295" s="1" t="s">
        <v>72</v>
      </c>
      <c r="F295" s="1" t="s">
        <v>56</v>
      </c>
      <c r="G295" s="1" t="s">
        <v>57</v>
      </c>
      <c r="H295" s="1" t="s">
        <v>22</v>
      </c>
      <c r="I295" s="1" t="s">
        <v>65</v>
      </c>
      <c r="J295" s="1">
        <v>0</v>
      </c>
      <c r="L295" s="1">
        <v>14.503773773020921</v>
      </c>
      <c r="N295" s="1">
        <v>52.365935601344113</v>
      </c>
      <c r="O295" s="11"/>
      <c r="P295" s="11"/>
      <c r="Q295" s="11"/>
      <c r="R295" s="11"/>
    </row>
    <row r="296" spans="1:18">
      <c r="D296" s="1" t="s">
        <v>89</v>
      </c>
      <c r="E296" s="1" t="s">
        <v>73</v>
      </c>
      <c r="F296" s="1" t="s">
        <v>60</v>
      </c>
      <c r="G296" s="1" t="s">
        <v>61</v>
      </c>
      <c r="H296" s="1" t="s">
        <v>22</v>
      </c>
      <c r="I296" s="1" t="s">
        <v>65</v>
      </c>
      <c r="L296" s="1">
        <v>2.38845896627E-4</v>
      </c>
      <c r="N296" s="1">
        <v>7.7668896244897048E-2</v>
      </c>
      <c r="O296" s="11"/>
      <c r="P296" s="11"/>
      <c r="Q296" s="11"/>
      <c r="R296" s="11"/>
    </row>
    <row r="297" spans="1:18">
      <c r="D297" s="1" t="s">
        <v>89</v>
      </c>
      <c r="E297" s="1" t="s">
        <v>74</v>
      </c>
      <c r="F297" s="1" t="s">
        <v>75</v>
      </c>
      <c r="G297" s="1" t="s">
        <v>76</v>
      </c>
      <c r="H297" s="1" t="s">
        <v>22</v>
      </c>
      <c r="I297" s="1" t="s">
        <v>65</v>
      </c>
      <c r="J297" s="1">
        <v>0</v>
      </c>
      <c r="L297" s="1">
        <v>16.018463521800001</v>
      </c>
      <c r="N297" s="1">
        <v>0.13082193143048063</v>
      </c>
      <c r="O297" s="11"/>
      <c r="P297" s="11"/>
      <c r="Q297" s="11"/>
      <c r="R297" s="11"/>
    </row>
    <row r="298" spans="1:18">
      <c r="D298" s="1" t="s">
        <v>89</v>
      </c>
      <c r="E298" s="1" t="s">
        <v>77</v>
      </c>
      <c r="H298" s="1" t="s">
        <v>22</v>
      </c>
      <c r="I298" s="1" t="s">
        <v>65</v>
      </c>
      <c r="L298" s="1">
        <v>1</v>
      </c>
      <c r="N298" s="1">
        <v>0.13230499515533545</v>
      </c>
      <c r="O298" s="11"/>
      <c r="P298" s="11"/>
      <c r="Q298" s="11"/>
      <c r="R298" s="11"/>
    </row>
    <row r="299" spans="1:18">
      <c r="D299" s="1" t="s">
        <v>89</v>
      </c>
      <c r="E299" s="1" t="s">
        <v>78</v>
      </c>
      <c r="H299" s="1" t="s">
        <v>25</v>
      </c>
      <c r="I299" s="1" t="s">
        <v>23</v>
      </c>
      <c r="M299" s="1" t="b">
        <v>0</v>
      </c>
      <c r="N299" s="1">
        <v>0</v>
      </c>
      <c r="O299" s="11"/>
      <c r="P299" s="11"/>
      <c r="Q299" s="11"/>
      <c r="R299" s="11"/>
    </row>
    <row r="300" spans="1:18">
      <c r="D300" s="1" t="s">
        <v>89</v>
      </c>
      <c r="E300" s="1" t="s">
        <v>79</v>
      </c>
      <c r="F300" s="1" t="s">
        <v>75</v>
      </c>
      <c r="G300" s="1" t="s">
        <v>76</v>
      </c>
      <c r="H300" s="1" t="s">
        <v>22</v>
      </c>
      <c r="I300" s="1" t="s">
        <v>23</v>
      </c>
      <c r="J300" s="1">
        <v>0</v>
      </c>
      <c r="K300" s="1">
        <v>96.110781130800007</v>
      </c>
      <c r="L300" s="1">
        <v>16.018463521800001</v>
      </c>
      <c r="M300" s="1">
        <v>1.6018463521800002</v>
      </c>
      <c r="N300" s="1">
        <v>1.6018463521800002</v>
      </c>
      <c r="O300" s="11"/>
      <c r="P300" s="11"/>
      <c r="Q300" s="11"/>
      <c r="R300" s="11"/>
    </row>
    <row r="301" spans="1:18">
      <c r="D301" s="1" t="s">
        <v>89</v>
      </c>
      <c r="E301" s="1" t="s">
        <v>80</v>
      </c>
      <c r="H301" s="1" t="s">
        <v>25</v>
      </c>
      <c r="I301" s="1" t="s">
        <v>23</v>
      </c>
      <c r="M301" s="1" t="b">
        <v>0</v>
      </c>
      <c r="N301" s="1">
        <v>0</v>
      </c>
      <c r="O301" s="11"/>
      <c r="P301" s="11"/>
      <c r="Q301" s="11"/>
      <c r="R301" s="11"/>
    </row>
    <row r="302" spans="1:18">
      <c r="D302" s="1" t="s">
        <v>89</v>
      </c>
      <c r="E302" s="1" t="s">
        <v>81</v>
      </c>
      <c r="H302" s="1" t="s">
        <v>25</v>
      </c>
      <c r="I302" s="1" t="s">
        <v>23</v>
      </c>
      <c r="M302" s="1" t="b">
        <v>0</v>
      </c>
      <c r="N302" s="1">
        <v>0</v>
      </c>
      <c r="O302" s="11"/>
      <c r="P302" s="11"/>
      <c r="Q302" s="11"/>
      <c r="R302" s="11"/>
    </row>
    <row r="303" spans="1:18">
      <c r="D303" s="1" t="s">
        <v>89</v>
      </c>
      <c r="E303" s="1" t="s">
        <v>82</v>
      </c>
      <c r="H303" s="1" t="s">
        <v>22</v>
      </c>
      <c r="I303" s="1" t="s">
        <v>23</v>
      </c>
      <c r="J303" s="1">
        <v>-1</v>
      </c>
      <c r="K303" s="1">
        <v>3</v>
      </c>
      <c r="L303" s="1">
        <v>1</v>
      </c>
      <c r="M303" s="1">
        <v>1.01</v>
      </c>
      <c r="N303" s="1">
        <v>1.01</v>
      </c>
      <c r="O303" s="11"/>
      <c r="P303" s="11"/>
      <c r="Q303" s="11"/>
      <c r="R303" s="11"/>
    </row>
    <row r="304" spans="1:18">
      <c r="D304" s="1" t="s">
        <v>90</v>
      </c>
      <c r="E304" s="1" t="s">
        <v>28</v>
      </c>
      <c r="H304" s="1" t="s">
        <v>22</v>
      </c>
      <c r="I304" s="1" t="s">
        <v>29</v>
      </c>
      <c r="J304" s="1">
        <v>34000</v>
      </c>
      <c r="K304" s="1">
        <v>4300000</v>
      </c>
      <c r="L304" s="1">
        <v>349660</v>
      </c>
      <c r="N304" s="1">
        <v>350000</v>
      </c>
      <c r="O304" s="11"/>
      <c r="P304" s="11"/>
      <c r="Q304" s="11"/>
      <c r="R304" s="11"/>
    </row>
    <row r="305" spans="4:18">
      <c r="D305" s="1" t="s">
        <v>90</v>
      </c>
      <c r="E305" s="1" t="s">
        <v>30</v>
      </c>
      <c r="H305" s="1" t="s">
        <v>22</v>
      </c>
      <c r="I305" s="1" t="s">
        <v>29</v>
      </c>
      <c r="J305" s="1">
        <v>-3.94</v>
      </c>
      <c r="K305" s="1">
        <v>3.66</v>
      </c>
      <c r="L305" s="1">
        <v>1</v>
      </c>
      <c r="N305" s="1">
        <v>1.01</v>
      </c>
      <c r="O305" s="11"/>
      <c r="P305" s="11"/>
      <c r="Q305" s="11"/>
      <c r="R305" s="11"/>
    </row>
    <row r="306" spans="4:18">
      <c r="D306" s="1" t="s">
        <v>90</v>
      </c>
      <c r="E306" s="1" t="s">
        <v>31</v>
      </c>
      <c r="H306" s="1" t="s">
        <v>22</v>
      </c>
      <c r="I306" s="1" t="s">
        <v>29</v>
      </c>
      <c r="J306" s="1">
        <v>0</v>
      </c>
      <c r="K306" s="1">
        <v>100</v>
      </c>
      <c r="L306" s="1">
        <v>1</v>
      </c>
      <c r="N306" s="1">
        <v>0</v>
      </c>
      <c r="O306" s="11"/>
      <c r="P306" s="11"/>
      <c r="Q306" s="11"/>
      <c r="R306" s="11"/>
    </row>
    <row r="307" spans="4:18">
      <c r="D307" s="1" t="s">
        <v>90</v>
      </c>
      <c r="E307" s="1" t="s">
        <v>32</v>
      </c>
      <c r="H307" s="1" t="s">
        <v>22</v>
      </c>
      <c r="I307" s="1" t="s">
        <v>29</v>
      </c>
      <c r="J307" s="1">
        <v>-3.94</v>
      </c>
      <c r="K307" s="1">
        <v>3.66</v>
      </c>
      <c r="L307" s="1">
        <v>1</v>
      </c>
      <c r="N307" s="1">
        <v>1.01</v>
      </c>
      <c r="O307" s="11"/>
      <c r="P307" s="11"/>
      <c r="Q307" s="11"/>
      <c r="R307" s="11"/>
    </row>
    <row r="308" spans="4:18">
      <c r="D308" s="1" t="s">
        <v>90</v>
      </c>
      <c r="E308" s="1" t="s">
        <v>33</v>
      </c>
      <c r="H308" s="1" t="s">
        <v>25</v>
      </c>
      <c r="I308" s="1" t="s">
        <v>23</v>
      </c>
      <c r="M308" s="1" t="b">
        <v>0</v>
      </c>
      <c r="N308" s="1">
        <v>0</v>
      </c>
      <c r="O308" s="11"/>
      <c r="P308" s="11"/>
      <c r="Q308" s="11"/>
      <c r="R308" s="11"/>
    </row>
    <row r="309" spans="4:18">
      <c r="D309" s="1" t="s">
        <v>90</v>
      </c>
      <c r="E309" s="1" t="s">
        <v>34</v>
      </c>
      <c r="F309" s="1" t="s">
        <v>35</v>
      </c>
      <c r="G309" s="1" t="s">
        <v>36</v>
      </c>
      <c r="H309" s="1" t="s">
        <v>22</v>
      </c>
      <c r="I309" s="1" t="s">
        <v>23</v>
      </c>
      <c r="J309" s="1">
        <v>-459.67</v>
      </c>
      <c r="K309" s="1">
        <v>980.32999999999993</v>
      </c>
      <c r="L309" s="1">
        <v>80.329999999999984</v>
      </c>
      <c r="M309" s="1">
        <v>67.999999999999943</v>
      </c>
      <c r="N309" s="1">
        <v>67.999999999999943</v>
      </c>
      <c r="O309" s="11"/>
      <c r="P309" s="11"/>
      <c r="Q309" s="11"/>
      <c r="R309" s="11"/>
    </row>
    <row r="310" spans="4:18">
      <c r="D310" s="1" t="s">
        <v>90</v>
      </c>
      <c r="E310" s="1" t="s">
        <v>37</v>
      </c>
      <c r="H310" s="1" t="s">
        <v>25</v>
      </c>
      <c r="I310" s="1" t="s">
        <v>23</v>
      </c>
      <c r="M310" s="1" t="b">
        <v>0</v>
      </c>
      <c r="N310" s="1">
        <v>0</v>
      </c>
      <c r="O310" s="11"/>
      <c r="P310" s="11"/>
      <c r="Q310" s="11"/>
      <c r="R310" s="11"/>
    </row>
    <row r="311" spans="4:18">
      <c r="D311" s="1" t="s">
        <v>90</v>
      </c>
      <c r="E311" s="1" t="s">
        <v>38</v>
      </c>
      <c r="F311" s="1" t="s">
        <v>35</v>
      </c>
      <c r="G311" s="1" t="s">
        <v>36</v>
      </c>
      <c r="H311" s="1" t="s">
        <v>22</v>
      </c>
      <c r="I311" s="1" t="s">
        <v>23</v>
      </c>
      <c r="J311" s="1">
        <v>-99.670000000000016</v>
      </c>
      <c r="K311" s="1">
        <v>980.32999999999993</v>
      </c>
      <c r="L311" s="1">
        <v>80.329999999999984</v>
      </c>
      <c r="M311" s="1">
        <v>13.999999999999943</v>
      </c>
      <c r="N311" s="1">
        <v>13.999999999999943</v>
      </c>
      <c r="O311" s="11"/>
      <c r="P311" s="11"/>
      <c r="Q311" s="11"/>
      <c r="R311" s="11"/>
    </row>
    <row r="312" spans="4:18">
      <c r="D312" s="1" t="s">
        <v>90</v>
      </c>
      <c r="E312" s="1" t="s">
        <v>39</v>
      </c>
      <c r="H312" s="1" t="s">
        <v>25</v>
      </c>
      <c r="I312" s="1" t="s">
        <v>23</v>
      </c>
      <c r="M312" s="1" t="b">
        <v>0</v>
      </c>
      <c r="N312" s="1">
        <v>0</v>
      </c>
      <c r="O312" s="11"/>
      <c r="P312" s="11"/>
      <c r="Q312" s="11"/>
      <c r="R312" s="11"/>
    </row>
    <row r="313" spans="4:18">
      <c r="D313" s="1" t="s">
        <v>90</v>
      </c>
      <c r="E313" s="1" t="s">
        <v>40</v>
      </c>
      <c r="F313" s="1" t="s">
        <v>41</v>
      </c>
      <c r="G313" s="1" t="s">
        <v>42</v>
      </c>
      <c r="H313" s="1" t="s">
        <v>22</v>
      </c>
      <c r="I313" s="1" t="s">
        <v>23</v>
      </c>
      <c r="J313" s="1">
        <v>-900</v>
      </c>
      <c r="K313" s="1">
        <v>900</v>
      </c>
      <c r="L313" s="1">
        <v>1.8</v>
      </c>
      <c r="M313" s="1">
        <v>9</v>
      </c>
      <c r="N313" s="1">
        <v>9</v>
      </c>
      <c r="O313" s="11"/>
      <c r="P313" s="11"/>
      <c r="Q313" s="11"/>
      <c r="R313" s="11"/>
    </row>
    <row r="314" spans="4:18">
      <c r="D314" s="1" t="s">
        <v>90</v>
      </c>
      <c r="E314" s="1" t="s">
        <v>43</v>
      </c>
      <c r="H314" s="1" t="s">
        <v>25</v>
      </c>
      <c r="I314" s="1" t="s">
        <v>23</v>
      </c>
      <c r="M314" s="1" t="b">
        <v>0</v>
      </c>
      <c r="N314" s="1">
        <v>0</v>
      </c>
      <c r="O314" s="11"/>
      <c r="P314" s="11"/>
      <c r="Q314" s="11"/>
      <c r="R314" s="11"/>
    </row>
    <row r="315" spans="4:18">
      <c r="D315" s="1" t="s">
        <v>90</v>
      </c>
      <c r="E315" s="1" t="s">
        <v>44</v>
      </c>
      <c r="F315" s="1" t="s">
        <v>45</v>
      </c>
      <c r="G315" s="1" t="s">
        <v>46</v>
      </c>
      <c r="H315" s="1" t="s">
        <v>22</v>
      </c>
      <c r="I315" s="1" t="s">
        <v>23</v>
      </c>
      <c r="J315" s="1">
        <v>-85.984522757427143</v>
      </c>
      <c r="K315" s="1">
        <v>8598.4522757427148</v>
      </c>
      <c r="L315" s="1">
        <v>114.79148749423418</v>
      </c>
      <c r="M315" s="1">
        <v>128.97678413614071</v>
      </c>
      <c r="N315" s="1">
        <v>128.97678413614071</v>
      </c>
      <c r="O315" s="11"/>
      <c r="P315" s="11"/>
      <c r="Q315" s="11"/>
      <c r="R315" s="11"/>
    </row>
    <row r="316" spans="4:18">
      <c r="D316" s="1" t="s">
        <v>90</v>
      </c>
      <c r="E316" s="1" t="s">
        <v>47</v>
      </c>
      <c r="H316" s="1" t="s">
        <v>25</v>
      </c>
      <c r="I316" s="1" t="s">
        <v>23</v>
      </c>
      <c r="M316" s="1" t="b">
        <v>0</v>
      </c>
      <c r="N316" s="1">
        <v>0</v>
      </c>
      <c r="O316" s="11"/>
      <c r="P316" s="11"/>
      <c r="Q316" s="11"/>
      <c r="R316" s="11"/>
    </row>
    <row r="317" spans="4:18">
      <c r="D317" s="1" t="s">
        <v>90</v>
      </c>
      <c r="E317" s="1" t="s">
        <v>48</v>
      </c>
      <c r="H317" s="1" t="s">
        <v>25</v>
      </c>
      <c r="I317" s="1" t="s">
        <v>23</v>
      </c>
      <c r="M317" s="1" t="b">
        <v>0</v>
      </c>
      <c r="N317" s="1">
        <v>0</v>
      </c>
      <c r="O317" s="11"/>
      <c r="P317" s="11"/>
      <c r="Q317" s="11"/>
      <c r="R317" s="11"/>
    </row>
    <row r="318" spans="4:18">
      <c r="D318" s="1" t="s">
        <v>90</v>
      </c>
      <c r="E318" s="1" t="s">
        <v>49</v>
      </c>
      <c r="H318" s="1" t="s">
        <v>25</v>
      </c>
      <c r="I318" s="1" t="s">
        <v>23</v>
      </c>
      <c r="M318" s="1" t="b">
        <v>0</v>
      </c>
      <c r="N318" s="1">
        <v>0</v>
      </c>
      <c r="O318" s="11"/>
      <c r="P318" s="11"/>
      <c r="Q318" s="11"/>
      <c r="R318" s="11"/>
    </row>
    <row r="319" spans="4:18">
      <c r="D319" s="1" t="s">
        <v>90</v>
      </c>
      <c r="E319" s="1" t="s">
        <v>50</v>
      </c>
      <c r="H319" s="1" t="s">
        <v>25</v>
      </c>
      <c r="I319" s="1" t="s">
        <v>23</v>
      </c>
      <c r="M319" s="1" t="b">
        <v>0</v>
      </c>
      <c r="N319" s="1">
        <v>0</v>
      </c>
      <c r="O319" s="11"/>
      <c r="P319" s="11"/>
      <c r="Q319" s="11"/>
      <c r="R319" s="11"/>
    </row>
    <row r="320" spans="4:18">
      <c r="D320" s="1" t="s">
        <v>90</v>
      </c>
      <c r="E320" s="1" t="s">
        <v>51</v>
      </c>
      <c r="F320" s="1" t="s">
        <v>52</v>
      </c>
      <c r="G320" s="1" t="s">
        <v>53</v>
      </c>
      <c r="H320" s="1" t="s">
        <v>22</v>
      </c>
      <c r="I320" s="1" t="s">
        <v>23</v>
      </c>
      <c r="J320" s="1">
        <v>0</v>
      </c>
      <c r="K320" s="1">
        <v>7936641438.6555996</v>
      </c>
      <c r="L320" s="1">
        <v>7936.6414386555998</v>
      </c>
      <c r="M320" s="1">
        <v>7936.6414386555998</v>
      </c>
      <c r="N320" s="1">
        <v>7936.6414386555998</v>
      </c>
      <c r="O320" s="11"/>
      <c r="P320" s="11"/>
      <c r="Q320" s="11"/>
      <c r="R320" s="11"/>
    </row>
    <row r="321" spans="1:18">
      <c r="D321" s="1" t="s">
        <v>90</v>
      </c>
      <c r="E321" s="1" t="s">
        <v>54</v>
      </c>
      <c r="H321" s="1" t="s">
        <v>25</v>
      </c>
      <c r="I321" s="1" t="s">
        <v>23</v>
      </c>
      <c r="M321" s="1" t="b">
        <v>0</v>
      </c>
      <c r="N321" s="1">
        <v>0</v>
      </c>
      <c r="O321" s="11"/>
      <c r="P321" s="11"/>
      <c r="Q321" s="11"/>
      <c r="R321" s="11"/>
    </row>
    <row r="322" spans="1:18">
      <c r="D322" s="1" t="s">
        <v>90</v>
      </c>
      <c r="E322" s="1" t="s">
        <v>55</v>
      </c>
      <c r="F322" s="1" t="s">
        <v>56</v>
      </c>
      <c r="G322" s="1" t="s">
        <v>57</v>
      </c>
      <c r="H322" s="1" t="s">
        <v>22</v>
      </c>
      <c r="I322" s="1" t="s">
        <v>23</v>
      </c>
      <c r="J322" s="1">
        <v>0</v>
      </c>
      <c r="K322" s="1">
        <v>9427.4529524635982</v>
      </c>
      <c r="L322" s="1">
        <v>50.713895374744951</v>
      </c>
      <c r="M322" s="1">
        <v>50.763208205573221</v>
      </c>
      <c r="N322" s="1">
        <v>50.763208205573221</v>
      </c>
      <c r="O322" s="11"/>
      <c r="P322" s="11"/>
      <c r="Q322" s="11"/>
      <c r="R322" s="11"/>
    </row>
    <row r="323" spans="1:18">
      <c r="D323" s="1" t="s">
        <v>90</v>
      </c>
      <c r="E323" s="1" t="s">
        <v>58</v>
      </c>
      <c r="H323" s="1" t="s">
        <v>25</v>
      </c>
      <c r="I323" s="1" t="s">
        <v>23</v>
      </c>
      <c r="M323" s="1" t="b">
        <v>0</v>
      </c>
      <c r="N323" s="1">
        <v>0</v>
      </c>
      <c r="O323" s="11"/>
      <c r="P323" s="11"/>
      <c r="Q323" s="11"/>
      <c r="R323" s="11"/>
    </row>
    <row r="324" spans="1:18">
      <c r="D324" s="1" t="s">
        <v>90</v>
      </c>
      <c r="E324" s="1" t="s">
        <v>59</v>
      </c>
      <c r="F324" s="1" t="s">
        <v>60</v>
      </c>
      <c r="G324" s="1" t="s">
        <v>61</v>
      </c>
      <c r="H324" s="1" t="s">
        <v>22</v>
      </c>
      <c r="I324" s="1" t="s">
        <v>23</v>
      </c>
      <c r="J324" s="1">
        <v>-9.5538358650799999</v>
      </c>
      <c r="K324" s="1">
        <v>9.5538358650799999</v>
      </c>
      <c r="L324" s="1">
        <v>0.23884589662700001</v>
      </c>
      <c r="M324" s="1">
        <v>0.23884589662700001</v>
      </c>
      <c r="N324" s="1">
        <v>0.23884589662700001</v>
      </c>
      <c r="O324" s="11"/>
      <c r="P324" s="11"/>
      <c r="Q324" s="11"/>
      <c r="R324" s="11"/>
    </row>
    <row r="325" spans="1:18">
      <c r="D325" s="1" t="s">
        <v>90</v>
      </c>
      <c r="E325" s="1" t="s">
        <v>62</v>
      </c>
      <c r="H325" s="1" t="s">
        <v>63</v>
      </c>
      <c r="I325" s="1" t="s">
        <v>23</v>
      </c>
      <c r="M325" s="1">
        <v>1</v>
      </c>
      <c r="N325" s="1">
        <v>1</v>
      </c>
      <c r="O325" s="11"/>
      <c r="P325" s="11"/>
      <c r="Q325" s="11"/>
      <c r="R325" s="11"/>
    </row>
    <row r="326" spans="1:18">
      <c r="D326" s="1" t="s">
        <v>90</v>
      </c>
      <c r="E326" s="1" t="s">
        <v>64</v>
      </c>
      <c r="F326" s="1" t="s">
        <v>35</v>
      </c>
      <c r="G326" s="1" t="s">
        <v>36</v>
      </c>
      <c r="H326" s="1" t="s">
        <v>22</v>
      </c>
      <c r="I326" s="1" t="s">
        <v>65</v>
      </c>
      <c r="J326" s="1">
        <v>-459.67</v>
      </c>
      <c r="L326" s="1">
        <v>80.329999999999984</v>
      </c>
      <c r="N326" s="1">
        <v>42.66595347884504</v>
      </c>
      <c r="O326" s="11"/>
      <c r="P326" s="11"/>
      <c r="Q326" s="11"/>
      <c r="R326" s="11"/>
    </row>
    <row r="327" spans="1:18">
      <c r="A327" s="2" t="s">
        <v>1759</v>
      </c>
      <c r="B327" s="3" t="s">
        <v>1782</v>
      </c>
      <c r="D327" s="1" t="s">
        <v>90</v>
      </c>
      <c r="E327" s="1" t="s">
        <v>66</v>
      </c>
      <c r="F327" s="1" t="s">
        <v>35</v>
      </c>
      <c r="G327" s="1" t="s">
        <v>36</v>
      </c>
      <c r="H327" s="1" t="s">
        <v>22</v>
      </c>
      <c r="I327" s="1" t="s">
        <v>65</v>
      </c>
      <c r="J327" s="1">
        <v>-459.67</v>
      </c>
      <c r="L327" s="1">
        <v>80.329999999999984</v>
      </c>
      <c r="N327" s="1">
        <v>42.66595347884504</v>
      </c>
      <c r="O327" s="11"/>
      <c r="P327" s="11"/>
      <c r="Q327" s="11"/>
      <c r="R327" s="11"/>
    </row>
    <row r="328" spans="1:18">
      <c r="D328" s="1" t="s">
        <v>90</v>
      </c>
      <c r="E328" s="1" t="s">
        <v>67</v>
      </c>
      <c r="F328" s="1" t="s">
        <v>41</v>
      </c>
      <c r="G328" s="1" t="s">
        <v>42</v>
      </c>
      <c r="H328" s="1" t="s">
        <v>22</v>
      </c>
      <c r="I328" s="1" t="s">
        <v>65</v>
      </c>
      <c r="L328" s="1">
        <v>1.8</v>
      </c>
      <c r="N328" s="1">
        <v>0</v>
      </c>
      <c r="O328" s="11"/>
      <c r="P328" s="11"/>
      <c r="Q328" s="11"/>
      <c r="R328" s="11"/>
    </row>
    <row r="329" spans="1:18">
      <c r="D329" s="1" t="s">
        <v>90</v>
      </c>
      <c r="E329" s="1" t="s">
        <v>68</v>
      </c>
      <c r="F329" s="1" t="s">
        <v>45</v>
      </c>
      <c r="G329" s="1" t="s">
        <v>46</v>
      </c>
      <c r="H329" s="1" t="s">
        <v>22</v>
      </c>
      <c r="I329" s="1" t="s">
        <v>65</v>
      </c>
      <c r="L329" s="1">
        <v>4.2992261378713571E-4</v>
      </c>
      <c r="N329" s="1">
        <v>108.31491489189473</v>
      </c>
      <c r="O329" s="11"/>
      <c r="P329" s="11"/>
      <c r="Q329" s="11"/>
      <c r="R329" s="11"/>
    </row>
    <row r="330" spans="1:18">
      <c r="D330" s="1" t="s">
        <v>90</v>
      </c>
      <c r="E330" s="1" t="s">
        <v>69</v>
      </c>
      <c r="H330" s="1" t="s">
        <v>25</v>
      </c>
      <c r="I330" s="1" t="s">
        <v>70</v>
      </c>
      <c r="N330" s="1">
        <v>0</v>
      </c>
      <c r="O330" s="11"/>
      <c r="P330" s="11"/>
      <c r="Q330" s="11"/>
      <c r="R330" s="11"/>
    </row>
    <row r="331" spans="1:18">
      <c r="D331" s="1" t="s">
        <v>90</v>
      </c>
      <c r="E331" s="1" t="s">
        <v>71</v>
      </c>
      <c r="F331" s="1" t="s">
        <v>52</v>
      </c>
      <c r="G331" s="1" t="s">
        <v>53</v>
      </c>
      <c r="H331" s="1" t="s">
        <v>22</v>
      </c>
      <c r="I331" s="1" t="s">
        <v>65</v>
      </c>
      <c r="L331" s="1">
        <v>7936.6414386555998</v>
      </c>
      <c r="N331" s="1">
        <v>167734.2151113626</v>
      </c>
      <c r="O331" s="11"/>
      <c r="P331" s="11"/>
      <c r="Q331" s="11"/>
      <c r="R331" s="11"/>
    </row>
    <row r="332" spans="1:18">
      <c r="A332" s="2" t="s">
        <v>1759</v>
      </c>
      <c r="B332" s="3" t="s">
        <v>1783</v>
      </c>
      <c r="D332" s="1" t="s">
        <v>90</v>
      </c>
      <c r="E332" s="1" t="s">
        <v>72</v>
      </c>
      <c r="F332" s="1" t="s">
        <v>56</v>
      </c>
      <c r="G332" s="1" t="s">
        <v>57</v>
      </c>
      <c r="H332" s="1" t="s">
        <v>22</v>
      </c>
      <c r="I332" s="1" t="s">
        <v>65</v>
      </c>
      <c r="J332" s="1">
        <v>0</v>
      </c>
      <c r="L332" s="1">
        <v>14.503773773020921</v>
      </c>
      <c r="N332" s="1">
        <v>52.365935601344113</v>
      </c>
      <c r="O332" s="11"/>
      <c r="P332" s="11"/>
      <c r="Q332" s="11"/>
      <c r="R332" s="11"/>
    </row>
    <row r="333" spans="1:18">
      <c r="D333" s="1" t="s">
        <v>90</v>
      </c>
      <c r="E333" s="1" t="s">
        <v>73</v>
      </c>
      <c r="F333" s="1" t="s">
        <v>60</v>
      </c>
      <c r="G333" s="1" t="s">
        <v>61</v>
      </c>
      <c r="H333" s="1" t="s">
        <v>22</v>
      </c>
      <c r="I333" s="1" t="s">
        <v>65</v>
      </c>
      <c r="L333" s="1">
        <v>2.38845896627E-4</v>
      </c>
      <c r="N333" s="1">
        <v>0.22008707448608603</v>
      </c>
      <c r="O333" s="11"/>
      <c r="P333" s="11"/>
      <c r="Q333" s="11"/>
      <c r="R333" s="11"/>
    </row>
    <row r="334" spans="1:18">
      <c r="D334" s="1" t="s">
        <v>90</v>
      </c>
      <c r="E334" s="1" t="s">
        <v>74</v>
      </c>
      <c r="F334" s="1" t="s">
        <v>75</v>
      </c>
      <c r="G334" s="1" t="s">
        <v>76</v>
      </c>
      <c r="H334" s="1" t="s">
        <v>22</v>
      </c>
      <c r="I334" s="1" t="s">
        <v>65</v>
      </c>
      <c r="J334" s="1">
        <v>0</v>
      </c>
      <c r="L334" s="1">
        <v>16.018463521800001</v>
      </c>
      <c r="N334" s="1">
        <v>0.8974727977607222</v>
      </c>
      <c r="O334" s="11"/>
      <c r="P334" s="11"/>
      <c r="Q334" s="11"/>
      <c r="R334" s="11"/>
    </row>
    <row r="335" spans="1:18">
      <c r="D335" s="1" t="s">
        <v>90</v>
      </c>
      <c r="E335" s="1" t="s">
        <v>77</v>
      </c>
      <c r="H335" s="1" t="s">
        <v>22</v>
      </c>
      <c r="I335" s="1" t="s">
        <v>65</v>
      </c>
      <c r="L335" s="1">
        <v>1</v>
      </c>
      <c r="N335" s="1">
        <v>0.99002224193634347</v>
      </c>
      <c r="O335" s="11"/>
      <c r="P335" s="11"/>
      <c r="Q335" s="11"/>
      <c r="R335" s="11"/>
    </row>
    <row r="336" spans="1:18">
      <c r="D336" s="1" t="s">
        <v>90</v>
      </c>
      <c r="E336" s="1" t="s">
        <v>78</v>
      </c>
      <c r="H336" s="1" t="s">
        <v>25</v>
      </c>
      <c r="I336" s="1" t="s">
        <v>23</v>
      </c>
      <c r="M336" s="1" t="b">
        <v>0</v>
      </c>
      <c r="N336" s="1">
        <v>0</v>
      </c>
      <c r="O336" s="11"/>
      <c r="P336" s="11"/>
      <c r="Q336" s="11"/>
      <c r="R336" s="11"/>
    </row>
    <row r="337" spans="4:18">
      <c r="D337" s="1" t="s">
        <v>90</v>
      </c>
      <c r="E337" s="1" t="s">
        <v>79</v>
      </c>
      <c r="F337" s="1" t="s">
        <v>75</v>
      </c>
      <c r="G337" s="1" t="s">
        <v>76</v>
      </c>
      <c r="H337" s="1" t="s">
        <v>22</v>
      </c>
      <c r="I337" s="1" t="s">
        <v>23</v>
      </c>
      <c r="J337" s="1">
        <v>0</v>
      </c>
      <c r="K337" s="1">
        <v>96.110781130800007</v>
      </c>
      <c r="L337" s="1">
        <v>16.018463521800001</v>
      </c>
      <c r="M337" s="1">
        <v>1.6018463521800002</v>
      </c>
      <c r="N337" s="1">
        <v>1.6018463521800002</v>
      </c>
      <c r="O337" s="11"/>
      <c r="P337" s="11"/>
      <c r="Q337" s="11"/>
      <c r="R337" s="11"/>
    </row>
    <row r="338" spans="4:18">
      <c r="D338" s="1" t="s">
        <v>90</v>
      </c>
      <c r="E338" s="1" t="s">
        <v>80</v>
      </c>
      <c r="H338" s="1" t="s">
        <v>25</v>
      </c>
      <c r="I338" s="1" t="s">
        <v>23</v>
      </c>
      <c r="M338" s="1" t="b">
        <v>0</v>
      </c>
      <c r="N338" s="1">
        <v>0</v>
      </c>
      <c r="O338" s="11"/>
      <c r="P338" s="11"/>
      <c r="Q338" s="11"/>
      <c r="R338" s="11"/>
    </row>
    <row r="339" spans="4:18">
      <c r="D339" s="1" t="s">
        <v>90</v>
      </c>
      <c r="E339" s="1" t="s">
        <v>81</v>
      </c>
      <c r="H339" s="1" t="s">
        <v>25</v>
      </c>
      <c r="I339" s="1" t="s">
        <v>23</v>
      </c>
      <c r="M339" s="1" t="b">
        <v>0</v>
      </c>
      <c r="N339" s="1">
        <v>0</v>
      </c>
      <c r="O339" s="11"/>
      <c r="P339" s="11"/>
      <c r="Q339" s="11"/>
      <c r="R339" s="11"/>
    </row>
    <row r="340" spans="4:18">
      <c r="D340" s="1" t="s">
        <v>90</v>
      </c>
      <c r="E340" s="1" t="s">
        <v>82</v>
      </c>
      <c r="H340" s="1" t="s">
        <v>22</v>
      </c>
      <c r="I340" s="1" t="s">
        <v>23</v>
      </c>
      <c r="J340" s="1">
        <v>-1</v>
      </c>
      <c r="K340" s="1">
        <v>3</v>
      </c>
      <c r="L340" s="1">
        <v>1</v>
      </c>
      <c r="M340" s="1">
        <v>1.01</v>
      </c>
      <c r="N340" s="1">
        <v>1.01</v>
      </c>
      <c r="O340" s="11"/>
      <c r="P340" s="11"/>
      <c r="Q340" s="11"/>
      <c r="R340" s="11"/>
    </row>
    <row r="341" spans="4:18">
      <c r="D341" s="1" t="s">
        <v>91</v>
      </c>
      <c r="H341" s="1" t="s">
        <v>22</v>
      </c>
      <c r="I341" s="1" t="s">
        <v>23</v>
      </c>
      <c r="L341" s="1">
        <v>1</v>
      </c>
      <c r="M341" s="1">
        <v>0.99</v>
      </c>
      <c r="N341" s="1">
        <v>0.99</v>
      </c>
      <c r="O341" s="11"/>
      <c r="P341" s="11"/>
      <c r="Q341" s="11"/>
      <c r="R341" s="11"/>
    </row>
    <row r="342" spans="4:18">
      <c r="D342" s="1" t="s">
        <v>92</v>
      </c>
      <c r="E342" s="1" t="s">
        <v>28</v>
      </c>
      <c r="H342" s="1" t="s">
        <v>22</v>
      </c>
      <c r="I342" s="1" t="s">
        <v>29</v>
      </c>
      <c r="J342" s="1">
        <v>34000</v>
      </c>
      <c r="K342" s="1">
        <v>4300000</v>
      </c>
      <c r="L342" s="1">
        <v>349660</v>
      </c>
      <c r="N342" s="1">
        <v>350000</v>
      </c>
      <c r="O342" s="11"/>
      <c r="P342" s="11"/>
      <c r="Q342" s="11"/>
      <c r="R342" s="11"/>
    </row>
    <row r="343" spans="4:18">
      <c r="D343" s="1" t="s">
        <v>92</v>
      </c>
      <c r="E343" s="1" t="s">
        <v>30</v>
      </c>
      <c r="H343" s="1" t="s">
        <v>22</v>
      </c>
      <c r="I343" s="1" t="s">
        <v>29</v>
      </c>
      <c r="J343" s="1">
        <v>-3.94</v>
      </c>
      <c r="K343" s="1">
        <v>3.66</v>
      </c>
      <c r="L343" s="1">
        <v>1</v>
      </c>
      <c r="N343" s="1">
        <v>1.01</v>
      </c>
      <c r="O343" s="11"/>
      <c r="P343" s="11"/>
      <c r="Q343" s="11"/>
      <c r="R343" s="11"/>
    </row>
    <row r="344" spans="4:18">
      <c r="D344" s="1" t="s">
        <v>92</v>
      </c>
      <c r="E344" s="1" t="s">
        <v>31</v>
      </c>
      <c r="H344" s="1" t="s">
        <v>22</v>
      </c>
      <c r="I344" s="1" t="s">
        <v>29</v>
      </c>
      <c r="J344" s="1">
        <v>0</v>
      </c>
      <c r="K344" s="1">
        <v>100</v>
      </c>
      <c r="L344" s="1">
        <v>1</v>
      </c>
      <c r="N344" s="1">
        <v>0</v>
      </c>
      <c r="O344" s="11"/>
      <c r="P344" s="11"/>
      <c r="Q344" s="11"/>
      <c r="R344" s="11"/>
    </row>
    <row r="345" spans="4:18">
      <c r="D345" s="1" t="s">
        <v>92</v>
      </c>
      <c r="E345" s="1" t="s">
        <v>32</v>
      </c>
      <c r="H345" s="1" t="s">
        <v>22</v>
      </c>
      <c r="I345" s="1" t="s">
        <v>29</v>
      </c>
      <c r="J345" s="1">
        <v>-3.94</v>
      </c>
      <c r="K345" s="1">
        <v>3.66</v>
      </c>
      <c r="L345" s="1">
        <v>1</v>
      </c>
      <c r="N345" s="1">
        <v>1.01</v>
      </c>
      <c r="O345" s="11"/>
      <c r="P345" s="11"/>
      <c r="Q345" s="11"/>
      <c r="R345" s="11"/>
    </row>
    <row r="346" spans="4:18">
      <c r="D346" s="1" t="s">
        <v>92</v>
      </c>
      <c r="E346" s="1" t="s">
        <v>33</v>
      </c>
      <c r="H346" s="1" t="s">
        <v>25</v>
      </c>
      <c r="I346" s="1" t="s">
        <v>23</v>
      </c>
      <c r="M346" s="1" t="b">
        <v>0</v>
      </c>
      <c r="N346" s="1">
        <v>0</v>
      </c>
      <c r="O346" s="11"/>
      <c r="P346" s="11"/>
      <c r="Q346" s="11"/>
      <c r="R346" s="11"/>
    </row>
    <row r="347" spans="4:18">
      <c r="D347" s="1" t="s">
        <v>92</v>
      </c>
      <c r="E347" s="1" t="s">
        <v>34</v>
      </c>
      <c r="F347" s="1" t="s">
        <v>35</v>
      </c>
      <c r="G347" s="1" t="s">
        <v>36</v>
      </c>
      <c r="H347" s="1" t="s">
        <v>22</v>
      </c>
      <c r="I347" s="1" t="s">
        <v>23</v>
      </c>
      <c r="J347" s="1">
        <v>-459.67</v>
      </c>
      <c r="K347" s="1">
        <v>980.32999999999993</v>
      </c>
      <c r="L347" s="1">
        <v>80.329999999999984</v>
      </c>
      <c r="M347" s="1">
        <v>67.999999999999943</v>
      </c>
      <c r="N347" s="1">
        <v>67.999999999999943</v>
      </c>
      <c r="O347" s="11"/>
      <c r="P347" s="11"/>
      <c r="Q347" s="11"/>
      <c r="R347" s="11"/>
    </row>
    <row r="348" spans="4:18">
      <c r="D348" s="1" t="s">
        <v>92</v>
      </c>
      <c r="E348" s="1" t="s">
        <v>37</v>
      </c>
      <c r="H348" s="1" t="s">
        <v>25</v>
      </c>
      <c r="I348" s="1" t="s">
        <v>23</v>
      </c>
      <c r="M348" s="1" t="b">
        <v>0</v>
      </c>
      <c r="N348" s="1">
        <v>0</v>
      </c>
      <c r="O348" s="11"/>
      <c r="P348" s="11"/>
      <c r="Q348" s="11"/>
      <c r="R348" s="11"/>
    </row>
    <row r="349" spans="4:18">
      <c r="D349" s="1" t="s">
        <v>92</v>
      </c>
      <c r="E349" s="1" t="s">
        <v>38</v>
      </c>
      <c r="F349" s="1" t="s">
        <v>35</v>
      </c>
      <c r="G349" s="1" t="s">
        <v>36</v>
      </c>
      <c r="H349" s="1" t="s">
        <v>22</v>
      </c>
      <c r="I349" s="1" t="s">
        <v>23</v>
      </c>
      <c r="J349" s="1">
        <v>-99.670000000000016</v>
      </c>
      <c r="K349" s="1">
        <v>980.32999999999993</v>
      </c>
      <c r="L349" s="1">
        <v>80.329999999999984</v>
      </c>
      <c r="M349" s="1">
        <v>13.999999999999943</v>
      </c>
      <c r="N349" s="1">
        <v>13.999999999999943</v>
      </c>
      <c r="O349" s="11"/>
      <c r="P349" s="11"/>
      <c r="Q349" s="11"/>
      <c r="R349" s="11"/>
    </row>
    <row r="350" spans="4:18">
      <c r="D350" s="1" t="s">
        <v>92</v>
      </c>
      <c r="E350" s="1" t="s">
        <v>39</v>
      </c>
      <c r="H350" s="1" t="s">
        <v>25</v>
      </c>
      <c r="I350" s="1" t="s">
        <v>23</v>
      </c>
      <c r="M350" s="1" t="b">
        <v>0</v>
      </c>
      <c r="N350" s="1">
        <v>0</v>
      </c>
      <c r="O350" s="11"/>
      <c r="P350" s="11"/>
      <c r="Q350" s="11"/>
      <c r="R350" s="11"/>
    </row>
    <row r="351" spans="4:18">
      <c r="D351" s="1" t="s">
        <v>92</v>
      </c>
      <c r="E351" s="1" t="s">
        <v>40</v>
      </c>
      <c r="F351" s="1" t="s">
        <v>41</v>
      </c>
      <c r="G351" s="1" t="s">
        <v>42</v>
      </c>
      <c r="H351" s="1" t="s">
        <v>22</v>
      </c>
      <c r="I351" s="1" t="s">
        <v>23</v>
      </c>
      <c r="J351" s="1">
        <v>-900</v>
      </c>
      <c r="K351" s="1">
        <v>900</v>
      </c>
      <c r="L351" s="1">
        <v>1.8</v>
      </c>
      <c r="M351" s="1">
        <v>9</v>
      </c>
      <c r="N351" s="1">
        <v>9</v>
      </c>
      <c r="O351" s="11"/>
      <c r="P351" s="11"/>
      <c r="Q351" s="11"/>
      <c r="R351" s="11"/>
    </row>
    <row r="352" spans="4:18">
      <c r="D352" s="1" t="s">
        <v>92</v>
      </c>
      <c r="E352" s="1" t="s">
        <v>43</v>
      </c>
      <c r="H352" s="1" t="s">
        <v>25</v>
      </c>
      <c r="I352" s="1" t="s">
        <v>23</v>
      </c>
      <c r="M352" s="1" t="b">
        <v>0</v>
      </c>
      <c r="N352" s="1">
        <v>0</v>
      </c>
      <c r="O352" s="11"/>
      <c r="P352" s="11"/>
      <c r="Q352" s="11"/>
      <c r="R352" s="11"/>
    </row>
    <row r="353" spans="4:18">
      <c r="D353" s="1" t="s">
        <v>92</v>
      </c>
      <c r="E353" s="1" t="s">
        <v>44</v>
      </c>
      <c r="F353" s="1" t="s">
        <v>45</v>
      </c>
      <c r="G353" s="1" t="s">
        <v>46</v>
      </c>
      <c r="H353" s="1" t="s">
        <v>22</v>
      </c>
      <c r="I353" s="1" t="s">
        <v>23</v>
      </c>
      <c r="J353" s="1">
        <v>-85.984522757427143</v>
      </c>
      <c r="K353" s="1">
        <v>8598.4522757427148</v>
      </c>
      <c r="L353" s="1">
        <v>114.79148749423418</v>
      </c>
      <c r="M353" s="1">
        <v>128.97678413614071</v>
      </c>
      <c r="N353" s="1">
        <v>128.97678413614071</v>
      </c>
      <c r="O353" s="11"/>
      <c r="P353" s="11"/>
      <c r="Q353" s="11"/>
      <c r="R353" s="11"/>
    </row>
    <row r="354" spans="4:18">
      <c r="D354" s="1" t="s">
        <v>92</v>
      </c>
      <c r="E354" s="1" t="s">
        <v>47</v>
      </c>
      <c r="H354" s="1" t="s">
        <v>25</v>
      </c>
      <c r="I354" s="1" t="s">
        <v>23</v>
      </c>
      <c r="M354" s="1" t="b">
        <v>0</v>
      </c>
      <c r="N354" s="1">
        <v>0</v>
      </c>
      <c r="O354" s="11"/>
      <c r="P354" s="11"/>
      <c r="Q354" s="11"/>
      <c r="R354" s="11"/>
    </row>
    <row r="355" spans="4:18">
      <c r="D355" s="1" t="s">
        <v>92</v>
      </c>
      <c r="E355" s="1" t="s">
        <v>48</v>
      </c>
      <c r="H355" s="1" t="s">
        <v>25</v>
      </c>
      <c r="I355" s="1" t="s">
        <v>23</v>
      </c>
      <c r="M355" s="1" t="b">
        <v>0</v>
      </c>
      <c r="N355" s="1">
        <v>0</v>
      </c>
      <c r="O355" s="11"/>
      <c r="P355" s="11"/>
      <c r="Q355" s="11"/>
      <c r="R355" s="11"/>
    </row>
    <row r="356" spans="4:18">
      <c r="D356" s="1" t="s">
        <v>92</v>
      </c>
      <c r="E356" s="1" t="s">
        <v>49</v>
      </c>
      <c r="H356" s="1" t="s">
        <v>25</v>
      </c>
      <c r="I356" s="1" t="s">
        <v>23</v>
      </c>
      <c r="M356" s="1" t="b">
        <v>0</v>
      </c>
      <c r="N356" s="1">
        <v>0</v>
      </c>
      <c r="O356" s="11"/>
      <c r="P356" s="11"/>
      <c r="Q356" s="11"/>
      <c r="R356" s="11"/>
    </row>
    <row r="357" spans="4:18">
      <c r="D357" s="1" t="s">
        <v>92</v>
      </c>
      <c r="E357" s="1" t="s">
        <v>50</v>
      </c>
      <c r="H357" s="1" t="s">
        <v>25</v>
      </c>
      <c r="I357" s="1" t="s">
        <v>23</v>
      </c>
      <c r="M357" s="1" t="b">
        <v>0</v>
      </c>
      <c r="N357" s="1">
        <v>0</v>
      </c>
      <c r="O357" s="11"/>
      <c r="P357" s="11"/>
      <c r="Q357" s="11"/>
      <c r="R357" s="11"/>
    </row>
    <row r="358" spans="4:18">
      <c r="D358" s="1" t="s">
        <v>92</v>
      </c>
      <c r="E358" s="1" t="s">
        <v>51</v>
      </c>
      <c r="F358" s="1" t="s">
        <v>52</v>
      </c>
      <c r="G358" s="1" t="s">
        <v>53</v>
      </c>
      <c r="H358" s="1" t="s">
        <v>22</v>
      </c>
      <c r="I358" s="1" t="s">
        <v>23</v>
      </c>
      <c r="J358" s="1">
        <v>0</v>
      </c>
      <c r="K358" s="1">
        <v>7936641438.6555996</v>
      </c>
      <c r="L358" s="1">
        <v>7936.6414386555998</v>
      </c>
      <c r="M358" s="1">
        <v>7936.6414386555998</v>
      </c>
      <c r="N358" s="1">
        <v>7936.6414386555998</v>
      </c>
      <c r="O358" s="11"/>
      <c r="P358" s="11"/>
      <c r="Q358" s="11"/>
      <c r="R358" s="11"/>
    </row>
    <row r="359" spans="4:18">
      <c r="D359" s="1" t="s">
        <v>92</v>
      </c>
      <c r="E359" s="1" t="s">
        <v>54</v>
      </c>
      <c r="H359" s="1" t="s">
        <v>25</v>
      </c>
      <c r="I359" s="1" t="s">
        <v>23</v>
      </c>
      <c r="M359" s="1" t="b">
        <v>0</v>
      </c>
      <c r="N359" s="1">
        <v>0</v>
      </c>
      <c r="O359" s="11"/>
      <c r="P359" s="11"/>
      <c r="Q359" s="11"/>
      <c r="R359" s="11"/>
    </row>
    <row r="360" spans="4:18">
      <c r="D360" s="1" t="s">
        <v>92</v>
      </c>
      <c r="E360" s="1" t="s">
        <v>55</v>
      </c>
      <c r="F360" s="1" t="s">
        <v>56</v>
      </c>
      <c r="G360" s="1" t="s">
        <v>57</v>
      </c>
      <c r="H360" s="1" t="s">
        <v>22</v>
      </c>
      <c r="I360" s="1" t="s">
        <v>23</v>
      </c>
      <c r="J360" s="1">
        <v>0</v>
      </c>
      <c r="K360" s="1">
        <v>9427.4529524635982</v>
      </c>
      <c r="L360" s="1">
        <v>50.713895374744951</v>
      </c>
      <c r="M360" s="1">
        <v>50.763208205573221</v>
      </c>
      <c r="N360" s="1">
        <v>50.763208205573221</v>
      </c>
      <c r="O360" s="11"/>
      <c r="P360" s="11"/>
      <c r="Q360" s="11"/>
      <c r="R360" s="11"/>
    </row>
    <row r="361" spans="4:18">
      <c r="D361" s="1" t="s">
        <v>92</v>
      </c>
      <c r="E361" s="1" t="s">
        <v>58</v>
      </c>
      <c r="H361" s="1" t="s">
        <v>25</v>
      </c>
      <c r="I361" s="1" t="s">
        <v>23</v>
      </c>
      <c r="M361" s="1" t="b">
        <v>0</v>
      </c>
      <c r="N361" s="1">
        <v>0</v>
      </c>
      <c r="O361" s="11"/>
      <c r="P361" s="11"/>
      <c r="Q361" s="11"/>
      <c r="R361" s="11"/>
    </row>
    <row r="362" spans="4:18">
      <c r="D362" s="1" t="s">
        <v>92</v>
      </c>
      <c r="E362" s="1" t="s">
        <v>59</v>
      </c>
      <c r="F362" s="1" t="s">
        <v>60</v>
      </c>
      <c r="G362" s="1" t="s">
        <v>61</v>
      </c>
      <c r="H362" s="1" t="s">
        <v>22</v>
      </c>
      <c r="I362" s="1" t="s">
        <v>23</v>
      </c>
      <c r="J362" s="1">
        <v>-9.5538358650799999</v>
      </c>
      <c r="K362" s="1">
        <v>9.5538358650799999</v>
      </c>
      <c r="L362" s="1">
        <v>0.23884589662700001</v>
      </c>
      <c r="M362" s="1">
        <v>0.23884589662700001</v>
      </c>
      <c r="N362" s="1">
        <v>0.23884589662700001</v>
      </c>
      <c r="O362" s="11"/>
      <c r="P362" s="11"/>
      <c r="Q362" s="11"/>
      <c r="R362" s="11"/>
    </row>
    <row r="363" spans="4:18">
      <c r="D363" s="1" t="s">
        <v>92</v>
      </c>
      <c r="E363" s="1" t="s">
        <v>62</v>
      </c>
      <c r="H363" s="1" t="s">
        <v>63</v>
      </c>
      <c r="I363" s="1" t="s">
        <v>23</v>
      </c>
      <c r="M363" s="1">
        <v>1</v>
      </c>
      <c r="N363" s="1">
        <v>1</v>
      </c>
      <c r="O363" s="11"/>
      <c r="P363" s="11"/>
      <c r="Q363" s="11"/>
      <c r="R363" s="11"/>
    </row>
    <row r="364" spans="4:18">
      <c r="D364" s="1" t="s">
        <v>92</v>
      </c>
      <c r="E364" s="1" t="s">
        <v>64</v>
      </c>
      <c r="F364" s="1" t="s">
        <v>35</v>
      </c>
      <c r="G364" s="1" t="s">
        <v>36</v>
      </c>
      <c r="H364" s="1" t="s">
        <v>22</v>
      </c>
      <c r="I364" s="1" t="s">
        <v>65</v>
      </c>
      <c r="J364" s="1">
        <v>-459.67</v>
      </c>
      <c r="L364" s="1">
        <v>80.329999999999984</v>
      </c>
      <c r="N364" s="1">
        <v>42.66595347884504</v>
      </c>
      <c r="O364" s="11"/>
      <c r="P364" s="11"/>
      <c r="Q364" s="11"/>
      <c r="R364" s="11"/>
    </row>
    <row r="365" spans="4:18">
      <c r="D365" s="1" t="s">
        <v>92</v>
      </c>
      <c r="E365" s="1" t="s">
        <v>66</v>
      </c>
      <c r="F365" s="1" t="s">
        <v>35</v>
      </c>
      <c r="G365" s="1" t="s">
        <v>36</v>
      </c>
      <c r="H365" s="1" t="s">
        <v>22</v>
      </c>
      <c r="I365" s="1" t="s">
        <v>65</v>
      </c>
      <c r="J365" s="1">
        <v>-459.67</v>
      </c>
      <c r="L365" s="1">
        <v>80.329999999999984</v>
      </c>
      <c r="N365" s="1">
        <v>42.66595347884504</v>
      </c>
      <c r="O365" s="11"/>
      <c r="P365" s="11"/>
      <c r="Q365" s="11"/>
      <c r="R365" s="11"/>
    </row>
    <row r="366" spans="4:18">
      <c r="D366" s="1" t="s">
        <v>92</v>
      </c>
      <c r="E366" s="1" t="s">
        <v>67</v>
      </c>
      <c r="F366" s="1" t="s">
        <v>41</v>
      </c>
      <c r="G366" s="1" t="s">
        <v>42</v>
      </c>
      <c r="H366" s="1" t="s">
        <v>22</v>
      </c>
      <c r="I366" s="1" t="s">
        <v>65</v>
      </c>
      <c r="L366" s="1">
        <v>1.8</v>
      </c>
      <c r="N366" s="1">
        <v>0</v>
      </c>
      <c r="O366" s="11"/>
      <c r="P366" s="11"/>
      <c r="Q366" s="11"/>
      <c r="R366" s="11"/>
    </row>
    <row r="367" spans="4:18">
      <c r="D367" s="1" t="s">
        <v>92</v>
      </c>
      <c r="E367" s="1" t="s">
        <v>68</v>
      </c>
      <c r="F367" s="1" t="s">
        <v>45</v>
      </c>
      <c r="G367" s="1" t="s">
        <v>46</v>
      </c>
      <c r="H367" s="1" t="s">
        <v>22</v>
      </c>
      <c r="I367" s="1" t="s">
        <v>65</v>
      </c>
      <c r="L367" s="1">
        <v>4.2992261378713571E-4</v>
      </c>
      <c r="N367" s="1">
        <v>36.184295294455765</v>
      </c>
      <c r="O367" s="11"/>
      <c r="P367" s="11"/>
      <c r="Q367" s="11"/>
      <c r="R367" s="11"/>
    </row>
    <row r="368" spans="4:18">
      <c r="D368" s="1" t="s">
        <v>92</v>
      </c>
      <c r="E368" s="1" t="s">
        <v>69</v>
      </c>
      <c r="H368" s="1" t="s">
        <v>25</v>
      </c>
      <c r="I368" s="1" t="s">
        <v>70</v>
      </c>
      <c r="N368" s="1">
        <v>0</v>
      </c>
      <c r="O368" s="11"/>
      <c r="P368" s="11"/>
      <c r="Q368" s="11"/>
      <c r="R368" s="11"/>
    </row>
    <row r="369" spans="4:18">
      <c r="D369" s="1" t="s">
        <v>92</v>
      </c>
      <c r="E369" s="1" t="s">
        <v>71</v>
      </c>
      <c r="F369" s="1" t="s">
        <v>52</v>
      </c>
      <c r="G369" s="1" t="s">
        <v>53</v>
      </c>
      <c r="H369" s="1" t="s">
        <v>22</v>
      </c>
      <c r="I369" s="1" t="s">
        <v>65</v>
      </c>
      <c r="L369" s="1">
        <v>7936.6414386555998</v>
      </c>
      <c r="N369" s="1">
        <v>166380.48880651718</v>
      </c>
      <c r="O369" s="11"/>
      <c r="P369" s="11"/>
      <c r="Q369" s="11"/>
      <c r="R369" s="11"/>
    </row>
    <row r="370" spans="4:18">
      <c r="D370" s="1" t="s">
        <v>92</v>
      </c>
      <c r="E370" s="1" t="s">
        <v>72</v>
      </c>
      <c r="F370" s="1" t="s">
        <v>56</v>
      </c>
      <c r="G370" s="1" t="s">
        <v>57</v>
      </c>
      <c r="H370" s="1" t="s">
        <v>22</v>
      </c>
      <c r="I370" s="1" t="s">
        <v>65</v>
      </c>
      <c r="J370" s="1">
        <v>0</v>
      </c>
      <c r="L370" s="1">
        <v>14.503773773020921</v>
      </c>
      <c r="N370" s="1">
        <v>52.365935601344113</v>
      </c>
      <c r="O370" s="11"/>
      <c r="P370" s="11"/>
      <c r="Q370" s="11"/>
      <c r="R370" s="11"/>
    </row>
    <row r="371" spans="4:18">
      <c r="D371" s="1" t="s">
        <v>92</v>
      </c>
      <c r="E371" s="1" t="s">
        <v>73</v>
      </c>
      <c r="F371" s="1" t="s">
        <v>60</v>
      </c>
      <c r="G371" s="1" t="s">
        <v>61</v>
      </c>
      <c r="H371" s="1" t="s">
        <v>22</v>
      </c>
      <c r="I371" s="1" t="s">
        <v>65</v>
      </c>
      <c r="L371" s="1">
        <v>2.38845896627E-4</v>
      </c>
      <c r="N371" s="1">
        <v>7.6496640437381136E-2</v>
      </c>
      <c r="O371" s="11"/>
      <c r="P371" s="11"/>
      <c r="Q371" s="11"/>
      <c r="R371" s="11"/>
    </row>
    <row r="372" spans="4:18">
      <c r="D372" s="1" t="s">
        <v>92</v>
      </c>
      <c r="E372" s="1" t="s">
        <v>74</v>
      </c>
      <c r="F372" s="1" t="s">
        <v>75</v>
      </c>
      <c r="G372" s="1" t="s">
        <v>76</v>
      </c>
      <c r="H372" s="1" t="s">
        <v>22</v>
      </c>
      <c r="I372" s="1" t="s">
        <v>65</v>
      </c>
      <c r="J372" s="1">
        <v>0</v>
      </c>
      <c r="L372" s="1">
        <v>16.018463521800001</v>
      </c>
      <c r="N372" s="1">
        <v>0.12451157285379215</v>
      </c>
      <c r="O372" s="11"/>
      <c r="P372" s="11"/>
      <c r="Q372" s="11"/>
      <c r="R372" s="11"/>
    </row>
    <row r="373" spans="4:18">
      <c r="D373" s="1" t="s">
        <v>92</v>
      </c>
      <c r="E373" s="1" t="s">
        <v>77</v>
      </c>
      <c r="H373" s="1" t="s">
        <v>22</v>
      </c>
      <c r="I373" s="1" t="s">
        <v>65</v>
      </c>
      <c r="L373" s="1">
        <v>1</v>
      </c>
      <c r="N373" s="1">
        <v>0.12524506223693779</v>
      </c>
      <c r="O373" s="11"/>
      <c r="P373" s="11"/>
      <c r="Q373" s="11"/>
      <c r="R373" s="11"/>
    </row>
    <row r="374" spans="4:18">
      <c r="D374" s="1" t="s">
        <v>92</v>
      </c>
      <c r="E374" s="1" t="s">
        <v>78</v>
      </c>
      <c r="H374" s="1" t="s">
        <v>25</v>
      </c>
      <c r="I374" s="1" t="s">
        <v>23</v>
      </c>
      <c r="M374" s="1" t="b">
        <v>0</v>
      </c>
      <c r="N374" s="1">
        <v>0</v>
      </c>
      <c r="O374" s="11"/>
      <c r="P374" s="11"/>
      <c r="Q374" s="11"/>
      <c r="R374" s="11"/>
    </row>
    <row r="375" spans="4:18">
      <c r="D375" s="1" t="s">
        <v>92</v>
      </c>
      <c r="E375" s="1" t="s">
        <v>79</v>
      </c>
      <c r="F375" s="1" t="s">
        <v>75</v>
      </c>
      <c r="G375" s="1" t="s">
        <v>76</v>
      </c>
      <c r="H375" s="1" t="s">
        <v>22</v>
      </c>
      <c r="I375" s="1" t="s">
        <v>23</v>
      </c>
      <c r="J375" s="1">
        <v>0</v>
      </c>
      <c r="K375" s="1">
        <v>96.110781130800007</v>
      </c>
      <c r="L375" s="1">
        <v>16.018463521800001</v>
      </c>
      <c r="M375" s="1">
        <v>1.6018463521800002</v>
      </c>
      <c r="N375" s="1">
        <v>1.6018463521800002</v>
      </c>
      <c r="O375" s="11"/>
      <c r="P375" s="11"/>
      <c r="Q375" s="11"/>
      <c r="R375" s="11"/>
    </row>
    <row r="376" spans="4:18">
      <c r="D376" s="1" t="s">
        <v>92</v>
      </c>
      <c r="E376" s="1" t="s">
        <v>80</v>
      </c>
      <c r="H376" s="1" t="s">
        <v>25</v>
      </c>
      <c r="I376" s="1" t="s">
        <v>23</v>
      </c>
      <c r="M376" s="1" t="b">
        <v>0</v>
      </c>
      <c r="N376" s="1">
        <v>0</v>
      </c>
      <c r="O376" s="11"/>
      <c r="P376" s="11"/>
      <c r="Q376" s="11"/>
      <c r="R376" s="11"/>
    </row>
    <row r="377" spans="4:18">
      <c r="D377" s="1" t="s">
        <v>92</v>
      </c>
      <c r="E377" s="1" t="s">
        <v>81</v>
      </c>
      <c r="H377" s="1" t="s">
        <v>25</v>
      </c>
      <c r="I377" s="1" t="s">
        <v>23</v>
      </c>
      <c r="M377" s="1" t="b">
        <v>0</v>
      </c>
      <c r="N377" s="1">
        <v>0</v>
      </c>
      <c r="O377" s="11"/>
      <c r="P377" s="11"/>
      <c r="Q377" s="11"/>
      <c r="R377" s="11"/>
    </row>
    <row r="378" spans="4:18">
      <c r="D378" s="1" t="s">
        <v>92</v>
      </c>
      <c r="E378" s="1" t="s">
        <v>82</v>
      </c>
      <c r="H378" s="1" t="s">
        <v>22</v>
      </c>
      <c r="I378" s="1" t="s">
        <v>23</v>
      </c>
      <c r="J378" s="1">
        <v>-1</v>
      </c>
      <c r="K378" s="1">
        <v>3</v>
      </c>
      <c r="L378" s="1">
        <v>1</v>
      </c>
      <c r="M378" s="1">
        <v>1.01</v>
      </c>
      <c r="N378" s="1">
        <v>1.01</v>
      </c>
      <c r="O378" s="11"/>
      <c r="P378" s="11"/>
      <c r="Q378" s="11"/>
      <c r="R378" s="11"/>
    </row>
    <row r="379" spans="4:18">
      <c r="D379" s="1" t="s">
        <v>93</v>
      </c>
      <c r="F379" s="1" t="s">
        <v>41</v>
      </c>
      <c r="G379" s="1" t="s">
        <v>42</v>
      </c>
      <c r="H379" s="1" t="s">
        <v>22</v>
      </c>
      <c r="I379" s="1" t="s">
        <v>23</v>
      </c>
      <c r="L379" s="1">
        <v>1.8</v>
      </c>
      <c r="M379" s="1">
        <v>10</v>
      </c>
      <c r="N379" s="1">
        <v>10</v>
      </c>
      <c r="O379" s="11"/>
      <c r="P379" s="11"/>
      <c r="Q379" s="11"/>
      <c r="R379" s="11"/>
    </row>
    <row r="380" spans="4:18">
      <c r="D380" s="1" t="s">
        <v>94</v>
      </c>
      <c r="E380" s="1" t="s">
        <v>95</v>
      </c>
      <c r="H380" s="1" t="s">
        <v>63</v>
      </c>
      <c r="I380" s="1" t="s">
        <v>23</v>
      </c>
      <c r="M380" s="1">
        <v>-1</v>
      </c>
      <c r="N380" s="1">
        <v>-1</v>
      </c>
      <c r="O380" s="11"/>
      <c r="P380" s="11"/>
      <c r="Q380" s="11"/>
      <c r="R380" s="11"/>
    </row>
    <row r="381" spans="4:18">
      <c r="D381" s="1" t="s">
        <v>94</v>
      </c>
      <c r="E381" s="1" t="s">
        <v>96</v>
      </c>
      <c r="H381" s="1" t="s">
        <v>22</v>
      </c>
      <c r="I381" s="1" t="s">
        <v>23</v>
      </c>
      <c r="L381" s="1">
        <v>1</v>
      </c>
      <c r="M381" s="1">
        <v>-0.1</v>
      </c>
      <c r="N381" s="1">
        <v>-0.1</v>
      </c>
      <c r="O381" s="11"/>
      <c r="P381" s="11"/>
      <c r="Q381" s="11"/>
      <c r="R381" s="11"/>
    </row>
    <row r="382" spans="4:18">
      <c r="D382" s="1" t="s">
        <v>94</v>
      </c>
      <c r="E382" s="1" t="s">
        <v>47</v>
      </c>
      <c r="H382" s="1" t="s">
        <v>25</v>
      </c>
      <c r="I382" s="1" t="s">
        <v>23</v>
      </c>
      <c r="M382" s="1" t="b">
        <v>0</v>
      </c>
      <c r="N382" s="1">
        <v>0</v>
      </c>
      <c r="O382" s="11"/>
      <c r="P382" s="11"/>
      <c r="Q382" s="11"/>
      <c r="R382" s="11"/>
    </row>
    <row r="383" spans="4:18">
      <c r="D383" s="1" t="s">
        <v>97</v>
      </c>
      <c r="E383" s="1" t="s">
        <v>28</v>
      </c>
      <c r="H383" s="1" t="s">
        <v>22</v>
      </c>
      <c r="I383" s="1" t="s">
        <v>29</v>
      </c>
      <c r="J383" s="1">
        <v>34000</v>
      </c>
      <c r="K383" s="1">
        <v>4300000</v>
      </c>
      <c r="L383" s="1">
        <v>349660</v>
      </c>
      <c r="N383" s="1">
        <v>350000</v>
      </c>
      <c r="O383" s="11"/>
      <c r="P383" s="11"/>
      <c r="Q383" s="11"/>
      <c r="R383" s="11"/>
    </row>
    <row r="384" spans="4:18">
      <c r="D384" s="1" t="s">
        <v>97</v>
      </c>
      <c r="E384" s="1" t="s">
        <v>30</v>
      </c>
      <c r="H384" s="1" t="s">
        <v>22</v>
      </c>
      <c r="I384" s="1" t="s">
        <v>29</v>
      </c>
      <c r="J384" s="1">
        <v>-3.94</v>
      </c>
      <c r="K384" s="1">
        <v>3.66</v>
      </c>
      <c r="L384" s="1">
        <v>1</v>
      </c>
      <c r="N384" s="1">
        <v>1.01</v>
      </c>
      <c r="O384" s="11"/>
      <c r="P384" s="11"/>
      <c r="Q384" s="11"/>
      <c r="R384" s="11"/>
    </row>
    <row r="385" spans="4:18">
      <c r="D385" s="1" t="s">
        <v>97</v>
      </c>
      <c r="E385" s="1" t="s">
        <v>31</v>
      </c>
      <c r="H385" s="1" t="s">
        <v>22</v>
      </c>
      <c r="I385" s="1" t="s">
        <v>29</v>
      </c>
      <c r="J385" s="1">
        <v>0</v>
      </c>
      <c r="K385" s="1">
        <v>100</v>
      </c>
      <c r="L385" s="1">
        <v>1</v>
      </c>
      <c r="N385" s="1">
        <v>0</v>
      </c>
      <c r="O385" s="11"/>
      <c r="P385" s="11"/>
      <c r="Q385" s="11"/>
      <c r="R385" s="11"/>
    </row>
    <row r="386" spans="4:18">
      <c r="D386" s="1" t="s">
        <v>97</v>
      </c>
      <c r="E386" s="1" t="s">
        <v>32</v>
      </c>
      <c r="H386" s="1" t="s">
        <v>22</v>
      </c>
      <c r="I386" s="1" t="s">
        <v>29</v>
      </c>
      <c r="J386" s="1">
        <v>-3.94</v>
      </c>
      <c r="K386" s="1">
        <v>3.66</v>
      </c>
      <c r="L386" s="1">
        <v>1</v>
      </c>
      <c r="N386" s="1">
        <v>1.01</v>
      </c>
      <c r="O386" s="11"/>
      <c r="P386" s="11"/>
      <c r="Q386" s="11"/>
      <c r="R386" s="11"/>
    </row>
    <row r="387" spans="4:18">
      <c r="D387" s="1" t="s">
        <v>97</v>
      </c>
      <c r="E387" s="1" t="s">
        <v>33</v>
      </c>
      <c r="H387" s="1" t="s">
        <v>25</v>
      </c>
      <c r="I387" s="1" t="s">
        <v>23</v>
      </c>
      <c r="M387" s="1" t="b">
        <v>0</v>
      </c>
      <c r="N387" s="1">
        <v>0</v>
      </c>
      <c r="O387" s="11"/>
      <c r="P387" s="11"/>
      <c r="Q387" s="11"/>
      <c r="R387" s="11"/>
    </row>
    <row r="388" spans="4:18">
      <c r="D388" s="1" t="s">
        <v>97</v>
      </c>
      <c r="E388" s="1" t="s">
        <v>34</v>
      </c>
      <c r="F388" s="1" t="s">
        <v>35</v>
      </c>
      <c r="G388" s="1" t="s">
        <v>36</v>
      </c>
      <c r="H388" s="1" t="s">
        <v>22</v>
      </c>
      <c r="I388" s="1" t="s">
        <v>23</v>
      </c>
      <c r="J388" s="1">
        <v>-459.67</v>
      </c>
      <c r="K388" s="1">
        <v>980.32999999999993</v>
      </c>
      <c r="L388" s="1">
        <v>80.329999999999984</v>
      </c>
      <c r="M388" s="1">
        <v>67.999999999999943</v>
      </c>
      <c r="N388" s="1">
        <v>67.999999999999943</v>
      </c>
      <c r="O388" s="11"/>
      <c r="P388" s="11"/>
      <c r="Q388" s="11"/>
      <c r="R388" s="11"/>
    </row>
    <row r="389" spans="4:18">
      <c r="D389" s="1" t="s">
        <v>97</v>
      </c>
      <c r="E389" s="1" t="s">
        <v>37</v>
      </c>
      <c r="H389" s="1" t="s">
        <v>25</v>
      </c>
      <c r="I389" s="1" t="s">
        <v>23</v>
      </c>
      <c r="M389" s="1" t="b">
        <v>0</v>
      </c>
      <c r="N389" s="1">
        <v>0</v>
      </c>
      <c r="O389" s="11"/>
      <c r="P389" s="11"/>
      <c r="Q389" s="11"/>
      <c r="R389" s="11"/>
    </row>
    <row r="390" spans="4:18">
      <c r="D390" s="1" t="s">
        <v>97</v>
      </c>
      <c r="E390" s="1" t="s">
        <v>38</v>
      </c>
      <c r="F390" s="1" t="s">
        <v>35</v>
      </c>
      <c r="G390" s="1" t="s">
        <v>36</v>
      </c>
      <c r="H390" s="1" t="s">
        <v>22</v>
      </c>
      <c r="I390" s="1" t="s">
        <v>23</v>
      </c>
      <c r="J390" s="1">
        <v>-99.670000000000016</v>
      </c>
      <c r="K390" s="1">
        <v>980.32999999999993</v>
      </c>
      <c r="L390" s="1">
        <v>80.329999999999984</v>
      </c>
      <c r="M390" s="1">
        <v>13.999999999999943</v>
      </c>
      <c r="N390" s="1">
        <v>13.999999999999943</v>
      </c>
      <c r="O390" s="11"/>
      <c r="P390" s="11"/>
      <c r="Q390" s="11"/>
      <c r="R390" s="11"/>
    </row>
    <row r="391" spans="4:18">
      <c r="D391" s="1" t="s">
        <v>97</v>
      </c>
      <c r="E391" s="1" t="s">
        <v>39</v>
      </c>
      <c r="H391" s="1" t="s">
        <v>25</v>
      </c>
      <c r="I391" s="1" t="s">
        <v>23</v>
      </c>
      <c r="M391" s="1" t="b">
        <v>1</v>
      </c>
      <c r="N391" s="1">
        <v>1</v>
      </c>
      <c r="O391" s="11"/>
      <c r="P391" s="11"/>
      <c r="Q391" s="11"/>
      <c r="R391" s="11"/>
    </row>
    <row r="392" spans="4:18">
      <c r="D392" s="1" t="s">
        <v>97</v>
      </c>
      <c r="E392" s="1" t="s">
        <v>40</v>
      </c>
      <c r="F392" s="1" t="s">
        <v>41</v>
      </c>
      <c r="G392" s="1" t="s">
        <v>42</v>
      </c>
      <c r="H392" s="1" t="s">
        <v>22</v>
      </c>
      <c r="I392" s="1" t="s">
        <v>23</v>
      </c>
      <c r="J392" s="1">
        <v>-900</v>
      </c>
      <c r="K392" s="1">
        <v>900</v>
      </c>
      <c r="L392" s="1">
        <v>1.8</v>
      </c>
      <c r="M392" s="1">
        <v>0.5</v>
      </c>
      <c r="N392" s="1">
        <v>0.5</v>
      </c>
      <c r="O392" s="11"/>
      <c r="P392" s="11"/>
      <c r="Q392" s="11"/>
      <c r="R392" s="11"/>
    </row>
    <row r="393" spans="4:18">
      <c r="D393" s="1" t="s">
        <v>97</v>
      </c>
      <c r="E393" s="1" t="s">
        <v>43</v>
      </c>
      <c r="H393" s="1" t="s">
        <v>25</v>
      </c>
      <c r="I393" s="1" t="s">
        <v>23</v>
      </c>
      <c r="M393" s="1" t="b">
        <v>0</v>
      </c>
      <c r="N393" s="1">
        <v>0</v>
      </c>
      <c r="O393" s="11"/>
      <c r="P393" s="11"/>
      <c r="Q393" s="11"/>
      <c r="R393" s="11"/>
    </row>
    <row r="394" spans="4:18">
      <c r="D394" s="1" t="s">
        <v>97</v>
      </c>
      <c r="E394" s="1" t="s">
        <v>44</v>
      </c>
      <c r="F394" s="1" t="s">
        <v>45</v>
      </c>
      <c r="G394" s="1" t="s">
        <v>46</v>
      </c>
      <c r="H394" s="1" t="s">
        <v>22</v>
      </c>
      <c r="I394" s="1" t="s">
        <v>23</v>
      </c>
      <c r="J394" s="1">
        <v>-85.984522757427143</v>
      </c>
      <c r="K394" s="1">
        <v>8598.4522757427148</v>
      </c>
      <c r="L394" s="1">
        <v>114.79148749423418</v>
      </c>
      <c r="M394" s="1">
        <v>128.97678413614071</v>
      </c>
      <c r="N394" s="1">
        <v>128.97678413614071</v>
      </c>
      <c r="O394" s="11"/>
      <c r="P394" s="11"/>
      <c r="Q394" s="11"/>
      <c r="R394" s="11"/>
    </row>
    <row r="395" spans="4:18">
      <c r="D395" s="1" t="s">
        <v>97</v>
      </c>
      <c r="E395" s="1" t="s">
        <v>47</v>
      </c>
      <c r="H395" s="1" t="s">
        <v>25</v>
      </c>
      <c r="I395" s="1" t="s">
        <v>23</v>
      </c>
      <c r="M395" s="1" t="b">
        <v>0</v>
      </c>
      <c r="N395" s="1">
        <v>0</v>
      </c>
      <c r="O395" s="11"/>
      <c r="P395" s="11"/>
      <c r="Q395" s="11"/>
      <c r="R395" s="11"/>
    </row>
    <row r="396" spans="4:18">
      <c r="D396" s="1" t="s">
        <v>97</v>
      </c>
      <c r="E396" s="1" t="s">
        <v>48</v>
      </c>
      <c r="H396" s="1" t="s">
        <v>25</v>
      </c>
      <c r="I396" s="1" t="s">
        <v>23</v>
      </c>
      <c r="M396" s="1" t="b">
        <v>0</v>
      </c>
      <c r="N396" s="1">
        <v>0</v>
      </c>
      <c r="O396" s="11"/>
      <c r="P396" s="11"/>
      <c r="Q396" s="11"/>
      <c r="R396" s="11"/>
    </row>
    <row r="397" spans="4:18">
      <c r="D397" s="1" t="s">
        <v>97</v>
      </c>
      <c r="E397" s="1" t="s">
        <v>49</v>
      </c>
      <c r="H397" s="1" t="s">
        <v>25</v>
      </c>
      <c r="I397" s="1" t="s">
        <v>23</v>
      </c>
      <c r="M397" s="1" t="b">
        <v>0</v>
      </c>
      <c r="N397" s="1">
        <v>0</v>
      </c>
      <c r="O397" s="11"/>
      <c r="P397" s="11"/>
      <c r="Q397" s="11"/>
      <c r="R397" s="11"/>
    </row>
    <row r="398" spans="4:18">
      <c r="D398" s="1" t="s">
        <v>97</v>
      </c>
      <c r="E398" s="1" t="s">
        <v>50</v>
      </c>
      <c r="H398" s="1" t="s">
        <v>25</v>
      </c>
      <c r="I398" s="1" t="s">
        <v>23</v>
      </c>
      <c r="M398" s="1" t="b">
        <v>0</v>
      </c>
      <c r="N398" s="1">
        <v>0</v>
      </c>
      <c r="O398" s="11"/>
      <c r="P398" s="11"/>
      <c r="Q398" s="11"/>
      <c r="R398" s="11"/>
    </row>
    <row r="399" spans="4:18">
      <c r="D399" s="1" t="s">
        <v>97</v>
      </c>
      <c r="E399" s="1" t="s">
        <v>51</v>
      </c>
      <c r="F399" s="1" t="s">
        <v>52</v>
      </c>
      <c r="G399" s="1" t="s">
        <v>53</v>
      </c>
      <c r="H399" s="1" t="s">
        <v>22</v>
      </c>
      <c r="I399" s="1" t="s">
        <v>23</v>
      </c>
      <c r="J399" s="1">
        <v>0</v>
      </c>
      <c r="K399" s="1">
        <v>7936641438.6555996</v>
      </c>
      <c r="L399" s="1">
        <v>7936.6414386555998</v>
      </c>
      <c r="M399" s="1">
        <v>7936.6414386555998</v>
      </c>
      <c r="N399" s="1">
        <v>7936.6414386555998</v>
      </c>
      <c r="O399" s="11"/>
      <c r="P399" s="11"/>
      <c r="Q399" s="11"/>
      <c r="R399" s="11"/>
    </row>
    <row r="400" spans="4:18">
      <c r="D400" s="1" t="s">
        <v>97</v>
      </c>
      <c r="E400" s="1" t="s">
        <v>54</v>
      </c>
      <c r="H400" s="1" t="s">
        <v>25</v>
      </c>
      <c r="I400" s="1" t="s">
        <v>23</v>
      </c>
      <c r="M400" s="1" t="b">
        <v>0</v>
      </c>
      <c r="N400" s="1">
        <v>0</v>
      </c>
      <c r="O400" s="11"/>
      <c r="P400" s="11"/>
      <c r="Q400" s="11"/>
      <c r="R400" s="11"/>
    </row>
    <row r="401" spans="4:18">
      <c r="D401" s="1" t="s">
        <v>97</v>
      </c>
      <c r="E401" s="1" t="s">
        <v>55</v>
      </c>
      <c r="F401" s="1" t="s">
        <v>56</v>
      </c>
      <c r="G401" s="1" t="s">
        <v>57</v>
      </c>
      <c r="H401" s="1" t="s">
        <v>22</v>
      </c>
      <c r="I401" s="1" t="s">
        <v>23</v>
      </c>
      <c r="J401" s="1">
        <v>0</v>
      </c>
      <c r="K401" s="1">
        <v>9427.4529524635982</v>
      </c>
      <c r="L401" s="1">
        <v>50.713895374744951</v>
      </c>
      <c r="M401" s="1">
        <v>50.763208205573221</v>
      </c>
      <c r="N401" s="1">
        <v>50.763208205573221</v>
      </c>
      <c r="O401" s="11"/>
      <c r="P401" s="11"/>
      <c r="Q401" s="11"/>
      <c r="R401" s="11"/>
    </row>
    <row r="402" spans="4:18">
      <c r="D402" s="1" t="s">
        <v>97</v>
      </c>
      <c r="E402" s="1" t="s">
        <v>58</v>
      </c>
      <c r="H402" s="1" t="s">
        <v>25</v>
      </c>
      <c r="I402" s="1" t="s">
        <v>23</v>
      </c>
      <c r="M402" s="1" t="b">
        <v>0</v>
      </c>
      <c r="N402" s="1">
        <v>0</v>
      </c>
      <c r="O402" s="11"/>
      <c r="P402" s="11"/>
      <c r="Q402" s="11"/>
      <c r="R402" s="11"/>
    </row>
    <row r="403" spans="4:18">
      <c r="D403" s="1" t="s">
        <v>97</v>
      </c>
      <c r="E403" s="1" t="s">
        <v>59</v>
      </c>
      <c r="F403" s="1" t="s">
        <v>60</v>
      </c>
      <c r="G403" s="1" t="s">
        <v>61</v>
      </c>
      <c r="H403" s="1" t="s">
        <v>22</v>
      </c>
      <c r="I403" s="1" t="s">
        <v>23</v>
      </c>
      <c r="J403" s="1">
        <v>-9.5538358650799999</v>
      </c>
      <c r="K403" s="1">
        <v>9.5538358650799999</v>
      </c>
      <c r="L403" s="1">
        <v>0.23884589662700001</v>
      </c>
      <c r="M403" s="1">
        <v>0.23884589662700001</v>
      </c>
      <c r="N403" s="1">
        <v>0.23884589662700001</v>
      </c>
      <c r="O403" s="11"/>
      <c r="P403" s="11"/>
      <c r="Q403" s="11"/>
      <c r="R403" s="11"/>
    </row>
    <row r="404" spans="4:18">
      <c r="D404" s="1" t="s">
        <v>97</v>
      </c>
      <c r="E404" s="1" t="s">
        <v>62</v>
      </c>
      <c r="H404" s="1" t="s">
        <v>63</v>
      </c>
      <c r="I404" s="1" t="s">
        <v>23</v>
      </c>
      <c r="M404" s="1">
        <v>1</v>
      </c>
      <c r="N404" s="1">
        <v>1</v>
      </c>
      <c r="O404" s="11"/>
      <c r="P404" s="11"/>
      <c r="Q404" s="11"/>
      <c r="R404" s="11"/>
    </row>
    <row r="405" spans="4:18">
      <c r="D405" s="1" t="s">
        <v>97</v>
      </c>
      <c r="E405" s="1" t="s">
        <v>64</v>
      </c>
      <c r="F405" s="1" t="s">
        <v>35</v>
      </c>
      <c r="G405" s="1" t="s">
        <v>36</v>
      </c>
      <c r="H405" s="1" t="s">
        <v>22</v>
      </c>
      <c r="I405" s="1" t="s">
        <v>65</v>
      </c>
      <c r="J405" s="1">
        <v>-459.67</v>
      </c>
      <c r="L405" s="1">
        <v>80.329999999999984</v>
      </c>
      <c r="N405" s="1">
        <v>40.791179653592451</v>
      </c>
      <c r="O405" s="11"/>
      <c r="P405" s="11"/>
      <c r="Q405" s="11"/>
      <c r="R405" s="11"/>
    </row>
    <row r="406" spans="4:18">
      <c r="D406" s="1" t="s">
        <v>97</v>
      </c>
      <c r="E406" s="1" t="s">
        <v>66</v>
      </c>
      <c r="F406" s="1" t="s">
        <v>35</v>
      </c>
      <c r="G406" s="1" t="s">
        <v>36</v>
      </c>
      <c r="H406" s="1" t="s">
        <v>22</v>
      </c>
      <c r="I406" s="1" t="s">
        <v>65</v>
      </c>
      <c r="J406" s="1">
        <v>-459.67</v>
      </c>
      <c r="L406" s="1">
        <v>80.329999999999984</v>
      </c>
      <c r="N406" s="1">
        <v>40.791179653592451</v>
      </c>
      <c r="O406" s="11"/>
      <c r="P406" s="11"/>
      <c r="Q406" s="11"/>
      <c r="R406" s="11"/>
    </row>
    <row r="407" spans="4:18">
      <c r="D407" s="1" t="s">
        <v>97</v>
      </c>
      <c r="E407" s="1" t="s">
        <v>67</v>
      </c>
      <c r="F407" s="1" t="s">
        <v>41</v>
      </c>
      <c r="G407" s="1" t="s">
        <v>42</v>
      </c>
      <c r="H407" s="1" t="s">
        <v>22</v>
      </c>
      <c r="I407" s="1" t="s">
        <v>65</v>
      </c>
      <c r="L407" s="1">
        <v>1.8</v>
      </c>
      <c r="N407" s="1">
        <v>0</v>
      </c>
      <c r="O407" s="11"/>
      <c r="P407" s="11"/>
      <c r="Q407" s="11"/>
      <c r="R407" s="11"/>
    </row>
    <row r="408" spans="4:18">
      <c r="D408" s="1" t="s">
        <v>97</v>
      </c>
      <c r="E408" s="1" t="s">
        <v>68</v>
      </c>
      <c r="F408" s="1" t="s">
        <v>45</v>
      </c>
      <c r="G408" s="1" t="s">
        <v>46</v>
      </c>
      <c r="H408" s="1" t="s">
        <v>22</v>
      </c>
      <c r="I408" s="1" t="s">
        <v>65</v>
      </c>
      <c r="L408" s="1">
        <v>4.2992261378713571E-4</v>
      </c>
      <c r="N408" s="1">
        <v>105.03977788475959</v>
      </c>
      <c r="O408" s="11"/>
      <c r="P408" s="11"/>
      <c r="Q408" s="11"/>
      <c r="R408" s="11"/>
    </row>
    <row r="409" spans="4:18">
      <c r="D409" s="1" t="s">
        <v>97</v>
      </c>
      <c r="E409" s="1" t="s">
        <v>69</v>
      </c>
      <c r="H409" s="1" t="s">
        <v>25</v>
      </c>
      <c r="I409" s="1" t="s">
        <v>70</v>
      </c>
      <c r="N409" s="1">
        <v>1</v>
      </c>
      <c r="O409" s="11"/>
      <c r="P409" s="11"/>
      <c r="Q409" s="11"/>
      <c r="R409" s="11"/>
    </row>
    <row r="410" spans="4:18">
      <c r="D410" s="1" t="s">
        <v>97</v>
      </c>
      <c r="E410" s="1" t="s">
        <v>71</v>
      </c>
      <c r="F410" s="1" t="s">
        <v>52</v>
      </c>
      <c r="G410" s="1" t="s">
        <v>53</v>
      </c>
      <c r="H410" s="1" t="s">
        <v>22</v>
      </c>
      <c r="I410" s="1" t="s">
        <v>65</v>
      </c>
      <c r="L410" s="1">
        <v>7936.6414386555998</v>
      </c>
      <c r="N410" s="1">
        <v>0</v>
      </c>
      <c r="O410" s="11"/>
      <c r="P410" s="11"/>
      <c r="Q410" s="11"/>
      <c r="R410" s="11"/>
    </row>
    <row r="411" spans="4:18">
      <c r="D411" s="1" t="s">
        <v>97</v>
      </c>
      <c r="E411" s="1" t="s">
        <v>72</v>
      </c>
      <c r="F411" s="1" t="s">
        <v>56</v>
      </c>
      <c r="G411" s="1" t="s">
        <v>57</v>
      </c>
      <c r="H411" s="1" t="s">
        <v>22</v>
      </c>
      <c r="I411" s="1" t="s">
        <v>65</v>
      </c>
      <c r="J411" s="1">
        <v>0</v>
      </c>
      <c r="L411" s="1">
        <v>14.503773773020921</v>
      </c>
      <c r="N411" s="1">
        <v>50.509497124265998</v>
      </c>
      <c r="O411" s="11"/>
      <c r="P411" s="11"/>
      <c r="Q411" s="11"/>
      <c r="R411" s="11"/>
    </row>
    <row r="412" spans="4:18">
      <c r="D412" s="1" t="s">
        <v>97</v>
      </c>
      <c r="E412" s="1" t="s">
        <v>73</v>
      </c>
      <c r="F412" s="1" t="s">
        <v>60</v>
      </c>
      <c r="G412" s="1" t="s">
        <v>61</v>
      </c>
      <c r="H412" s="1" t="s">
        <v>22</v>
      </c>
      <c r="I412" s="1" t="s">
        <v>65</v>
      </c>
      <c r="L412" s="1">
        <v>2.38845896627E-4</v>
      </c>
      <c r="N412" s="1">
        <v>0.21416949037877753</v>
      </c>
      <c r="O412" s="11"/>
      <c r="P412" s="11"/>
      <c r="Q412" s="11"/>
      <c r="R412" s="11"/>
    </row>
    <row r="413" spans="4:18">
      <c r="D413" s="1" t="s">
        <v>97</v>
      </c>
      <c r="E413" s="1" t="s">
        <v>74</v>
      </c>
      <c r="F413" s="1" t="s">
        <v>75</v>
      </c>
      <c r="G413" s="1" t="s">
        <v>76</v>
      </c>
      <c r="H413" s="1" t="s">
        <v>22</v>
      </c>
      <c r="I413" s="1" t="s">
        <v>65</v>
      </c>
      <c r="J413" s="1">
        <v>0</v>
      </c>
      <c r="L413" s="1">
        <v>16.018463521800001</v>
      </c>
      <c r="N413" s="1">
        <v>0.89614467898113936</v>
      </c>
      <c r="O413" s="11"/>
      <c r="P413" s="11"/>
      <c r="Q413" s="11"/>
      <c r="R413" s="11"/>
    </row>
    <row r="414" spans="4:18">
      <c r="D414" s="1" t="s">
        <v>97</v>
      </c>
      <c r="E414" s="1" t="s">
        <v>77</v>
      </c>
      <c r="H414" s="1" t="s">
        <v>22</v>
      </c>
      <c r="I414" s="1" t="s">
        <v>65</v>
      </c>
      <c r="L414" s="1">
        <v>1</v>
      </c>
      <c r="N414" s="1">
        <v>0.9540146440790146</v>
      </c>
      <c r="O414" s="11"/>
      <c r="P414" s="11"/>
      <c r="Q414" s="11"/>
      <c r="R414" s="11"/>
    </row>
    <row r="415" spans="4:18">
      <c r="D415" s="1" t="s">
        <v>97</v>
      </c>
      <c r="E415" s="1" t="s">
        <v>78</v>
      </c>
      <c r="H415" s="1" t="s">
        <v>25</v>
      </c>
      <c r="I415" s="1" t="s">
        <v>23</v>
      </c>
      <c r="M415" s="1" t="b">
        <v>0</v>
      </c>
      <c r="N415" s="1">
        <v>0</v>
      </c>
      <c r="O415" s="11"/>
      <c r="P415" s="11"/>
      <c r="Q415" s="11"/>
      <c r="R415" s="11"/>
    </row>
    <row r="416" spans="4:18">
      <c r="D416" s="1" t="s">
        <v>97</v>
      </c>
      <c r="E416" s="1" t="s">
        <v>79</v>
      </c>
      <c r="F416" s="1" t="s">
        <v>75</v>
      </c>
      <c r="G416" s="1" t="s">
        <v>76</v>
      </c>
      <c r="H416" s="1" t="s">
        <v>22</v>
      </c>
      <c r="I416" s="1" t="s">
        <v>23</v>
      </c>
      <c r="J416" s="1">
        <v>0</v>
      </c>
      <c r="K416" s="1">
        <v>96.110781130800007</v>
      </c>
      <c r="L416" s="1">
        <v>16.018463521800001</v>
      </c>
      <c r="M416" s="1">
        <v>1.6018463521800002</v>
      </c>
      <c r="N416" s="1">
        <v>1.6018463521800002</v>
      </c>
      <c r="O416" s="11"/>
      <c r="P416" s="11"/>
      <c r="Q416" s="11"/>
      <c r="R416" s="11"/>
    </row>
    <row r="417" spans="4:18">
      <c r="D417" s="1" t="s">
        <v>97</v>
      </c>
      <c r="E417" s="1" t="s">
        <v>80</v>
      </c>
      <c r="H417" s="1" t="s">
        <v>25</v>
      </c>
      <c r="I417" s="1" t="s">
        <v>23</v>
      </c>
      <c r="M417" s="1" t="b">
        <v>0</v>
      </c>
      <c r="N417" s="1">
        <v>0</v>
      </c>
      <c r="O417" s="11"/>
      <c r="P417" s="11"/>
      <c r="Q417" s="11"/>
      <c r="R417" s="11"/>
    </row>
    <row r="418" spans="4:18">
      <c r="D418" s="1" t="s">
        <v>97</v>
      </c>
      <c r="E418" s="1" t="s">
        <v>81</v>
      </c>
      <c r="H418" s="1" t="s">
        <v>25</v>
      </c>
      <c r="I418" s="1" t="s">
        <v>23</v>
      </c>
      <c r="M418" s="1" t="b">
        <v>0</v>
      </c>
      <c r="N418" s="1">
        <v>0</v>
      </c>
      <c r="O418" s="11"/>
      <c r="P418" s="11"/>
      <c r="Q418" s="11"/>
      <c r="R418" s="11"/>
    </row>
    <row r="419" spans="4:18">
      <c r="D419" s="1" t="s">
        <v>97</v>
      </c>
      <c r="E419" s="1" t="s">
        <v>82</v>
      </c>
      <c r="H419" s="1" t="s">
        <v>22</v>
      </c>
      <c r="I419" s="1" t="s">
        <v>23</v>
      </c>
      <c r="J419" s="1">
        <v>-1</v>
      </c>
      <c r="K419" s="1">
        <v>3</v>
      </c>
      <c r="L419" s="1">
        <v>1</v>
      </c>
      <c r="M419" s="1">
        <v>1.01</v>
      </c>
      <c r="N419" s="1">
        <v>1.01</v>
      </c>
      <c r="O419" s="11"/>
      <c r="P419" s="11"/>
      <c r="Q419" s="11"/>
      <c r="R419" s="11"/>
    </row>
    <row r="420" spans="4:18">
      <c r="D420" s="1" t="s">
        <v>98</v>
      </c>
      <c r="E420" s="1" t="s">
        <v>99</v>
      </c>
      <c r="H420" s="1" t="s">
        <v>25</v>
      </c>
      <c r="I420" s="1" t="s">
        <v>23</v>
      </c>
      <c r="M420" s="1" t="b">
        <v>0</v>
      </c>
      <c r="N420" s="1">
        <v>0</v>
      </c>
      <c r="O420" s="11"/>
      <c r="P420" s="11"/>
      <c r="Q420" s="11"/>
      <c r="R420" s="11"/>
    </row>
    <row r="421" spans="4:18">
      <c r="D421" s="1" t="s">
        <v>98</v>
      </c>
      <c r="E421" s="1" t="s">
        <v>100</v>
      </c>
      <c r="H421" s="1" t="s">
        <v>22</v>
      </c>
      <c r="I421" s="1" t="s">
        <v>23</v>
      </c>
      <c r="L421" s="1">
        <v>1</v>
      </c>
      <c r="M421" s="1">
        <v>1000</v>
      </c>
      <c r="N421" s="1">
        <v>1000</v>
      </c>
      <c r="O421" s="11"/>
      <c r="P421" s="11"/>
      <c r="Q421" s="11"/>
      <c r="R421" s="11"/>
    </row>
    <row r="422" spans="4:18">
      <c r="D422" s="1" t="s">
        <v>98</v>
      </c>
      <c r="E422" s="1" t="s">
        <v>101</v>
      </c>
      <c r="H422" s="1" t="s">
        <v>22</v>
      </c>
      <c r="I422" s="1" t="s">
        <v>23</v>
      </c>
      <c r="L422" s="1">
        <v>1</v>
      </c>
      <c r="M422" s="1">
        <v>0</v>
      </c>
      <c r="N422" s="1">
        <v>0</v>
      </c>
      <c r="O422" s="11"/>
      <c r="P422" s="11"/>
      <c r="Q422" s="11"/>
      <c r="R422" s="11"/>
    </row>
    <row r="423" spans="4:18">
      <c r="D423" s="1" t="s">
        <v>98</v>
      </c>
      <c r="E423" s="1" t="s">
        <v>102</v>
      </c>
      <c r="H423" s="1" t="s">
        <v>22</v>
      </c>
      <c r="I423" s="1" t="s">
        <v>23</v>
      </c>
      <c r="L423" s="1">
        <v>1</v>
      </c>
      <c r="M423" s="1">
        <v>1.4</v>
      </c>
      <c r="N423" s="1">
        <v>1.4</v>
      </c>
      <c r="O423" s="11"/>
      <c r="P423" s="11"/>
      <c r="Q423" s="11"/>
      <c r="R423" s="11"/>
    </row>
    <row r="424" spans="4:18">
      <c r="D424" s="1" t="s">
        <v>98</v>
      </c>
      <c r="E424" s="1" t="s">
        <v>103</v>
      </c>
      <c r="H424" s="1" t="s">
        <v>22</v>
      </c>
      <c r="I424" s="1" t="s">
        <v>29</v>
      </c>
      <c r="J424" s="1">
        <v>0</v>
      </c>
      <c r="K424" s="1">
        <v>1000</v>
      </c>
      <c r="L424" s="1">
        <v>500</v>
      </c>
      <c r="N424" s="1">
        <v>1.4</v>
      </c>
      <c r="O424" s="11"/>
      <c r="P424" s="11"/>
      <c r="Q424" s="11"/>
      <c r="R424" s="11"/>
    </row>
    <row r="425" spans="4:18">
      <c r="D425" s="1" t="s">
        <v>104</v>
      </c>
      <c r="E425" s="1" t="s">
        <v>105</v>
      </c>
      <c r="H425" s="1" t="s">
        <v>22</v>
      </c>
      <c r="I425" s="1" t="s">
        <v>29</v>
      </c>
      <c r="J425" s="1">
        <v>0</v>
      </c>
      <c r="K425" s="1">
        <v>10000</v>
      </c>
      <c r="L425" s="1">
        <v>5000</v>
      </c>
      <c r="N425" s="1">
        <v>20</v>
      </c>
      <c r="O425" s="11"/>
      <c r="P425" s="11"/>
      <c r="Q425" s="11"/>
      <c r="R425" s="11"/>
    </row>
    <row r="426" spans="4:18">
      <c r="D426" s="1" t="s">
        <v>104</v>
      </c>
      <c r="E426" s="1" t="s">
        <v>106</v>
      </c>
      <c r="H426" s="1" t="s">
        <v>25</v>
      </c>
      <c r="I426" s="1" t="s">
        <v>23</v>
      </c>
      <c r="M426" s="1" t="b">
        <v>0</v>
      </c>
      <c r="N426" s="1">
        <v>0</v>
      </c>
      <c r="O426" s="11"/>
      <c r="P426" s="11"/>
      <c r="Q426" s="11"/>
      <c r="R426" s="11"/>
    </row>
    <row r="427" spans="4:18">
      <c r="D427" s="1" t="s">
        <v>104</v>
      </c>
      <c r="E427" s="1" t="s">
        <v>107</v>
      </c>
      <c r="H427" s="1" t="s">
        <v>22</v>
      </c>
      <c r="I427" s="1" t="s">
        <v>23</v>
      </c>
      <c r="L427" s="1">
        <v>1</v>
      </c>
      <c r="M427" s="1">
        <v>20</v>
      </c>
      <c r="N427" s="1">
        <v>20</v>
      </c>
      <c r="O427" s="11"/>
      <c r="P427" s="11"/>
      <c r="Q427" s="11"/>
      <c r="R427" s="11"/>
    </row>
    <row r="428" spans="4:18">
      <c r="D428" s="1" t="s">
        <v>104</v>
      </c>
      <c r="E428" s="1" t="s">
        <v>108</v>
      </c>
      <c r="F428" s="1" t="s">
        <v>35</v>
      </c>
      <c r="G428" s="1" t="s">
        <v>36</v>
      </c>
      <c r="H428" s="1" t="s">
        <v>22</v>
      </c>
      <c r="I428" s="1" t="s">
        <v>23</v>
      </c>
      <c r="J428" s="1">
        <v>-459.67</v>
      </c>
      <c r="L428" s="1">
        <v>80.329999999999984</v>
      </c>
      <c r="M428" s="1">
        <v>49.999999999999943</v>
      </c>
      <c r="N428" s="1">
        <v>49.999999999999943</v>
      </c>
      <c r="O428" s="11"/>
      <c r="P428" s="11"/>
      <c r="Q428" s="11"/>
      <c r="R428" s="11"/>
    </row>
    <row r="429" spans="4:18">
      <c r="D429" s="1" t="s">
        <v>104</v>
      </c>
      <c r="E429" s="1" t="s">
        <v>109</v>
      </c>
      <c r="H429" s="1" t="s">
        <v>22</v>
      </c>
      <c r="I429" s="1" t="s">
        <v>23</v>
      </c>
      <c r="L429" s="1">
        <v>1</v>
      </c>
      <c r="M429" s="1">
        <v>1</v>
      </c>
      <c r="N429" s="1">
        <v>1</v>
      </c>
      <c r="O429" s="11"/>
      <c r="P429" s="11"/>
      <c r="Q429" s="11"/>
      <c r="R429" s="11"/>
    </row>
    <row r="430" spans="4:18">
      <c r="D430" s="1" t="s">
        <v>104</v>
      </c>
      <c r="E430" s="1" t="s">
        <v>110</v>
      </c>
      <c r="H430" s="1" t="s">
        <v>25</v>
      </c>
      <c r="I430" s="1" t="s">
        <v>23</v>
      </c>
      <c r="M430" s="1" t="b">
        <v>1</v>
      </c>
      <c r="N430" s="1">
        <v>1</v>
      </c>
      <c r="O430" s="11"/>
      <c r="P430" s="11"/>
      <c r="Q430" s="11"/>
      <c r="R430" s="11"/>
    </row>
    <row r="431" spans="4:18">
      <c r="D431" s="1" t="s">
        <v>104</v>
      </c>
      <c r="E431" s="1" t="s">
        <v>111</v>
      </c>
      <c r="F431" s="1" t="s">
        <v>56</v>
      </c>
      <c r="G431" s="1" t="s">
        <v>57</v>
      </c>
      <c r="H431" s="1" t="s">
        <v>22</v>
      </c>
      <c r="I431" s="1" t="s">
        <v>23</v>
      </c>
      <c r="L431" s="1">
        <v>1.4503773773020921E-4</v>
      </c>
      <c r="M431" s="1">
        <v>7.2518868865104604E-3</v>
      </c>
      <c r="N431" s="1">
        <v>7.2518868865104604E-3</v>
      </c>
      <c r="O431" s="11"/>
      <c r="P431" s="11"/>
      <c r="Q431" s="11"/>
      <c r="R431" s="11"/>
    </row>
    <row r="432" spans="4:18">
      <c r="D432" s="1" t="s">
        <v>104</v>
      </c>
      <c r="E432" s="1" t="s">
        <v>112</v>
      </c>
      <c r="F432" s="1" t="s">
        <v>56</v>
      </c>
      <c r="G432" s="1" t="s">
        <v>57</v>
      </c>
      <c r="H432" s="1" t="s">
        <v>22</v>
      </c>
      <c r="I432" s="1" t="s">
        <v>29</v>
      </c>
      <c r="J432" s="1">
        <v>4.9312830828271128</v>
      </c>
      <c r="K432" s="1">
        <v>623.66227223989961</v>
      </c>
      <c r="L432" s="1">
        <v>50.713895374744951</v>
      </c>
      <c r="N432" s="1">
        <v>60.133952953407281</v>
      </c>
      <c r="O432" s="11"/>
      <c r="P432" s="11"/>
      <c r="Q432" s="11"/>
      <c r="R432" s="11"/>
    </row>
    <row r="433" spans="4:18">
      <c r="D433" s="1" t="s">
        <v>104</v>
      </c>
      <c r="E433" s="1" t="s">
        <v>62</v>
      </c>
      <c r="H433" s="1" t="s">
        <v>63</v>
      </c>
      <c r="I433" s="1" t="s">
        <v>23</v>
      </c>
      <c r="M433" s="1">
        <v>1</v>
      </c>
      <c r="N433" s="1">
        <v>1</v>
      </c>
      <c r="O433" s="11"/>
      <c r="P433" s="11"/>
      <c r="Q433" s="11"/>
      <c r="R433" s="11"/>
    </row>
    <row r="434" spans="4:18">
      <c r="D434" s="1" t="s">
        <v>104</v>
      </c>
      <c r="E434" s="1" t="s">
        <v>113</v>
      </c>
      <c r="H434" s="1" t="s">
        <v>22</v>
      </c>
      <c r="I434" s="1" t="s">
        <v>65</v>
      </c>
      <c r="L434" s="1">
        <v>1</v>
      </c>
      <c r="N434" s="1">
        <v>1.4</v>
      </c>
      <c r="O434" s="11"/>
      <c r="P434" s="11"/>
      <c r="Q434" s="11"/>
      <c r="R434" s="11"/>
    </row>
    <row r="435" spans="4:18">
      <c r="D435" s="1" t="s">
        <v>104</v>
      </c>
      <c r="E435" s="1" t="s">
        <v>114</v>
      </c>
      <c r="H435" s="1" t="s">
        <v>22</v>
      </c>
      <c r="I435" s="1" t="s">
        <v>70</v>
      </c>
      <c r="L435" s="1">
        <v>1</v>
      </c>
      <c r="N435" s="1">
        <v>1</v>
      </c>
      <c r="O435" s="11"/>
      <c r="P435" s="11"/>
      <c r="Q435" s="11"/>
      <c r="R435" s="11"/>
    </row>
    <row r="436" spans="4:18">
      <c r="D436" s="1" t="s">
        <v>104</v>
      </c>
      <c r="E436" s="1" t="s">
        <v>115</v>
      </c>
      <c r="F436" s="1" t="s">
        <v>56</v>
      </c>
      <c r="G436" s="1" t="s">
        <v>57</v>
      </c>
      <c r="H436" s="1" t="s">
        <v>22</v>
      </c>
      <c r="I436" s="1" t="s">
        <v>65</v>
      </c>
      <c r="L436" s="1">
        <v>1.4503773773020921E-4</v>
      </c>
      <c r="N436" s="1">
        <v>9.6244558291412972</v>
      </c>
      <c r="O436" s="11"/>
      <c r="P436" s="11"/>
      <c r="Q436" s="11"/>
      <c r="R436" s="11"/>
    </row>
    <row r="437" spans="4:18">
      <c r="D437" s="1" t="s">
        <v>104</v>
      </c>
      <c r="E437" s="1" t="s">
        <v>116</v>
      </c>
      <c r="H437" s="1" t="s">
        <v>25</v>
      </c>
      <c r="I437" s="1" t="s">
        <v>65</v>
      </c>
      <c r="N437" s="1">
        <v>0</v>
      </c>
      <c r="O437" s="11"/>
      <c r="P437" s="11"/>
      <c r="Q437" s="11"/>
      <c r="R437" s="11"/>
    </row>
    <row r="438" spans="4:18">
      <c r="D438" s="1" t="s">
        <v>104</v>
      </c>
      <c r="E438" s="1" t="s">
        <v>69</v>
      </c>
      <c r="H438" s="1" t="s">
        <v>25</v>
      </c>
      <c r="I438" s="1" t="s">
        <v>70</v>
      </c>
      <c r="N438" s="1">
        <v>1</v>
      </c>
      <c r="O438" s="11"/>
      <c r="P438" s="11"/>
      <c r="Q438" s="11"/>
      <c r="R438" s="11"/>
    </row>
    <row r="439" spans="4:18">
      <c r="D439" s="1" t="s">
        <v>104</v>
      </c>
      <c r="E439" s="1" t="s">
        <v>71</v>
      </c>
      <c r="F439" s="1" t="s">
        <v>52</v>
      </c>
      <c r="G439" s="1" t="s">
        <v>53</v>
      </c>
      <c r="H439" s="1" t="s">
        <v>22</v>
      </c>
      <c r="I439" s="1" t="s">
        <v>65</v>
      </c>
      <c r="L439" s="1">
        <v>7936.6414386555998</v>
      </c>
      <c r="N439" s="1">
        <v>0</v>
      </c>
      <c r="O439" s="11"/>
      <c r="P439" s="11"/>
      <c r="Q439" s="11"/>
      <c r="R439" s="11"/>
    </row>
    <row r="440" spans="4:18">
      <c r="D440" s="1" t="s">
        <v>104</v>
      </c>
      <c r="E440" s="1" t="s">
        <v>117</v>
      </c>
      <c r="F440" s="1" t="s">
        <v>118</v>
      </c>
      <c r="G440" s="1" t="s">
        <v>119</v>
      </c>
      <c r="H440" s="1" t="s">
        <v>22</v>
      </c>
      <c r="I440" s="1" t="s">
        <v>120</v>
      </c>
      <c r="J440" s="1">
        <v>0</v>
      </c>
      <c r="L440" s="1">
        <v>2.20462262185</v>
      </c>
      <c r="N440" s="1">
        <v>0</v>
      </c>
      <c r="O440" s="11"/>
      <c r="P440" s="11"/>
      <c r="Q440" s="11"/>
      <c r="R440" s="11"/>
    </row>
    <row r="441" spans="4:18">
      <c r="D441" s="1" t="s">
        <v>104</v>
      </c>
      <c r="E441" s="1" t="s">
        <v>121</v>
      </c>
      <c r="H441" s="1" t="s">
        <v>22</v>
      </c>
      <c r="I441" s="1" t="s">
        <v>120</v>
      </c>
      <c r="L441" s="1">
        <v>1</v>
      </c>
      <c r="N441" s="1">
        <v>0</v>
      </c>
      <c r="O441" s="11"/>
      <c r="P441" s="11"/>
      <c r="Q441" s="11"/>
      <c r="R441" s="11"/>
    </row>
    <row r="442" spans="4:18">
      <c r="D442" s="1" t="s">
        <v>104</v>
      </c>
      <c r="E442" s="1" t="s">
        <v>122</v>
      </c>
      <c r="F442" s="1" t="s">
        <v>56</v>
      </c>
      <c r="G442" s="1" t="s">
        <v>57</v>
      </c>
      <c r="H442" s="1" t="s">
        <v>22</v>
      </c>
      <c r="I442" s="1" t="s">
        <v>65</v>
      </c>
      <c r="L442" s="1">
        <v>1.4503773773020921E-4</v>
      </c>
      <c r="N442" s="1">
        <v>26.472504529190932</v>
      </c>
      <c r="O442" s="11"/>
      <c r="P442" s="11"/>
      <c r="Q442" s="11"/>
      <c r="R442" s="11"/>
    </row>
    <row r="443" spans="4:18">
      <c r="D443" s="1" t="s">
        <v>104</v>
      </c>
      <c r="E443" s="1" t="s">
        <v>123</v>
      </c>
      <c r="F443" s="1" t="s">
        <v>124</v>
      </c>
      <c r="G443" s="1" t="s">
        <v>125</v>
      </c>
      <c r="H443" s="1" t="s">
        <v>22</v>
      </c>
      <c r="I443" s="1" t="s">
        <v>120</v>
      </c>
      <c r="L443" s="1">
        <v>35.314666699999997</v>
      </c>
      <c r="N443" s="1">
        <v>0</v>
      </c>
      <c r="O443" s="11"/>
      <c r="P443" s="11"/>
      <c r="Q443" s="11"/>
      <c r="R443" s="11"/>
    </row>
    <row r="444" spans="4:18">
      <c r="D444" s="1" t="s">
        <v>104</v>
      </c>
      <c r="E444" s="1" t="s">
        <v>126</v>
      </c>
      <c r="H444" s="1" t="s">
        <v>22</v>
      </c>
      <c r="I444" s="1" t="s">
        <v>65</v>
      </c>
      <c r="L444" s="1">
        <v>1</v>
      </c>
      <c r="N444" s="1">
        <v>1.1270097802876902</v>
      </c>
      <c r="O444" s="11"/>
      <c r="P444" s="11"/>
      <c r="Q444" s="11"/>
      <c r="R444" s="11"/>
    </row>
    <row r="445" spans="4:18">
      <c r="D445" s="1" t="s">
        <v>104</v>
      </c>
      <c r="E445" s="1" t="s">
        <v>127</v>
      </c>
      <c r="H445" s="1" t="s">
        <v>25</v>
      </c>
      <c r="I445" s="1" t="s">
        <v>23</v>
      </c>
      <c r="M445" s="1" t="b">
        <v>1</v>
      </c>
      <c r="N445" s="1">
        <v>1</v>
      </c>
      <c r="O445" s="11"/>
      <c r="P445" s="11"/>
      <c r="Q445" s="11"/>
      <c r="R445" s="11"/>
    </row>
    <row r="446" spans="4:18">
      <c r="D446" s="1" t="s">
        <v>104</v>
      </c>
      <c r="E446" s="1" t="s">
        <v>128</v>
      </c>
      <c r="H446" s="1" t="s">
        <v>25</v>
      </c>
      <c r="I446" s="1" t="s">
        <v>23</v>
      </c>
      <c r="M446" s="1" t="b">
        <v>0</v>
      </c>
      <c r="N446" s="1">
        <v>0</v>
      </c>
      <c r="O446" s="11"/>
      <c r="P446" s="11"/>
      <c r="Q446" s="11"/>
      <c r="R446" s="11"/>
    </row>
    <row r="447" spans="4:18">
      <c r="D447" s="1" t="s">
        <v>129</v>
      </c>
      <c r="E447" s="1" t="s">
        <v>28</v>
      </c>
      <c r="H447" s="1" t="s">
        <v>22</v>
      </c>
      <c r="I447" s="1" t="s">
        <v>29</v>
      </c>
      <c r="J447" s="1">
        <v>34000</v>
      </c>
      <c r="K447" s="1">
        <v>4300000</v>
      </c>
      <c r="L447" s="1">
        <v>349660</v>
      </c>
      <c r="N447" s="1">
        <v>350000</v>
      </c>
      <c r="O447" s="11"/>
      <c r="P447" s="11"/>
      <c r="Q447" s="11"/>
      <c r="R447" s="11"/>
    </row>
    <row r="448" spans="4:18">
      <c r="D448" s="1" t="s">
        <v>129</v>
      </c>
      <c r="E448" s="1" t="s">
        <v>30</v>
      </c>
      <c r="H448" s="1" t="s">
        <v>22</v>
      </c>
      <c r="I448" s="1" t="s">
        <v>29</v>
      </c>
      <c r="J448" s="1">
        <v>-3.94</v>
      </c>
      <c r="K448" s="1">
        <v>3.66</v>
      </c>
      <c r="L448" s="1">
        <v>1</v>
      </c>
      <c r="N448" s="1">
        <v>1.01</v>
      </c>
      <c r="O448" s="11"/>
      <c r="P448" s="11"/>
      <c r="Q448" s="11"/>
      <c r="R448" s="11"/>
    </row>
    <row r="449" spans="4:18">
      <c r="D449" s="1" t="s">
        <v>129</v>
      </c>
      <c r="E449" s="1" t="s">
        <v>31</v>
      </c>
      <c r="H449" s="1" t="s">
        <v>22</v>
      </c>
      <c r="I449" s="1" t="s">
        <v>29</v>
      </c>
      <c r="J449" s="1">
        <v>0</v>
      </c>
      <c r="K449" s="1">
        <v>100</v>
      </c>
      <c r="L449" s="1">
        <v>1</v>
      </c>
      <c r="N449" s="1">
        <v>0</v>
      </c>
      <c r="O449" s="11"/>
      <c r="P449" s="11"/>
      <c r="Q449" s="11"/>
      <c r="R449" s="11"/>
    </row>
    <row r="450" spans="4:18">
      <c r="D450" s="1" t="s">
        <v>129</v>
      </c>
      <c r="E450" s="1" t="s">
        <v>32</v>
      </c>
      <c r="H450" s="1" t="s">
        <v>22</v>
      </c>
      <c r="I450" s="1" t="s">
        <v>29</v>
      </c>
      <c r="J450" s="1">
        <v>-3.94</v>
      </c>
      <c r="K450" s="1">
        <v>3.66</v>
      </c>
      <c r="L450" s="1">
        <v>1</v>
      </c>
      <c r="N450" s="1">
        <v>1.01</v>
      </c>
      <c r="O450" s="11"/>
      <c r="P450" s="11"/>
      <c r="Q450" s="11"/>
      <c r="R450" s="11"/>
    </row>
    <row r="451" spans="4:18">
      <c r="D451" s="1" t="s">
        <v>129</v>
      </c>
      <c r="E451" s="1" t="s">
        <v>33</v>
      </c>
      <c r="H451" s="1" t="s">
        <v>25</v>
      </c>
      <c r="I451" s="1" t="s">
        <v>23</v>
      </c>
      <c r="M451" s="1" t="b">
        <v>0</v>
      </c>
      <c r="N451" s="1">
        <v>0</v>
      </c>
      <c r="O451" s="11"/>
      <c r="P451" s="11"/>
      <c r="Q451" s="11"/>
      <c r="R451" s="11"/>
    </row>
    <row r="452" spans="4:18">
      <c r="D452" s="1" t="s">
        <v>129</v>
      </c>
      <c r="E452" s="1" t="s">
        <v>34</v>
      </c>
      <c r="F452" s="1" t="s">
        <v>35</v>
      </c>
      <c r="G452" s="1" t="s">
        <v>36</v>
      </c>
      <c r="H452" s="1" t="s">
        <v>22</v>
      </c>
      <c r="I452" s="1" t="s">
        <v>23</v>
      </c>
      <c r="J452" s="1">
        <v>-459.67</v>
      </c>
      <c r="K452" s="1">
        <v>980.32999999999993</v>
      </c>
      <c r="L452" s="1">
        <v>80.329999999999984</v>
      </c>
      <c r="M452" s="1">
        <v>67.999999999999943</v>
      </c>
      <c r="N452" s="1">
        <v>67.999999999999943</v>
      </c>
      <c r="O452" s="11"/>
      <c r="P452" s="11"/>
      <c r="Q452" s="11"/>
      <c r="R452" s="11"/>
    </row>
    <row r="453" spans="4:18">
      <c r="D453" s="1" t="s">
        <v>129</v>
      </c>
      <c r="E453" s="1" t="s">
        <v>37</v>
      </c>
      <c r="H453" s="1" t="s">
        <v>25</v>
      </c>
      <c r="I453" s="1" t="s">
        <v>23</v>
      </c>
      <c r="M453" s="1" t="b">
        <v>0</v>
      </c>
      <c r="N453" s="1">
        <v>0</v>
      </c>
      <c r="O453" s="11"/>
      <c r="P453" s="11"/>
      <c r="Q453" s="11"/>
      <c r="R453" s="11"/>
    </row>
    <row r="454" spans="4:18">
      <c r="D454" s="1" t="s">
        <v>129</v>
      </c>
      <c r="E454" s="1" t="s">
        <v>38</v>
      </c>
      <c r="F454" s="1" t="s">
        <v>35</v>
      </c>
      <c r="G454" s="1" t="s">
        <v>36</v>
      </c>
      <c r="H454" s="1" t="s">
        <v>22</v>
      </c>
      <c r="I454" s="1" t="s">
        <v>23</v>
      </c>
      <c r="J454" s="1">
        <v>-99.670000000000016</v>
      </c>
      <c r="K454" s="1">
        <v>980.32999999999993</v>
      </c>
      <c r="L454" s="1">
        <v>80.329999999999984</v>
      </c>
      <c r="M454" s="1">
        <v>13.999999999999943</v>
      </c>
      <c r="N454" s="1">
        <v>13.999999999999943</v>
      </c>
      <c r="O454" s="11"/>
      <c r="P454" s="11"/>
      <c r="Q454" s="11"/>
      <c r="R454" s="11"/>
    </row>
    <row r="455" spans="4:18">
      <c r="D455" s="1" t="s">
        <v>129</v>
      </c>
      <c r="E455" s="1" t="s">
        <v>39</v>
      </c>
      <c r="H455" s="1" t="s">
        <v>25</v>
      </c>
      <c r="I455" s="1" t="s">
        <v>23</v>
      </c>
      <c r="M455" s="1" t="b">
        <v>0</v>
      </c>
      <c r="N455" s="1">
        <v>0</v>
      </c>
      <c r="O455" s="11"/>
      <c r="P455" s="11"/>
      <c r="Q455" s="11"/>
      <c r="R455" s="11"/>
    </row>
    <row r="456" spans="4:18">
      <c r="D456" s="1" t="s">
        <v>129</v>
      </c>
      <c r="E456" s="1" t="s">
        <v>40</v>
      </c>
      <c r="F456" s="1" t="s">
        <v>41</v>
      </c>
      <c r="G456" s="1" t="s">
        <v>42</v>
      </c>
      <c r="H456" s="1" t="s">
        <v>22</v>
      </c>
      <c r="I456" s="1" t="s">
        <v>23</v>
      </c>
      <c r="J456" s="1">
        <v>-900</v>
      </c>
      <c r="K456" s="1">
        <v>900</v>
      </c>
      <c r="L456" s="1">
        <v>1.8</v>
      </c>
      <c r="M456" s="1">
        <v>9</v>
      </c>
      <c r="N456" s="1">
        <v>9</v>
      </c>
      <c r="O456" s="11"/>
      <c r="P456" s="11"/>
      <c r="Q456" s="11"/>
      <c r="R456" s="11"/>
    </row>
    <row r="457" spans="4:18">
      <c r="D457" s="1" t="s">
        <v>129</v>
      </c>
      <c r="E457" s="1" t="s">
        <v>43</v>
      </c>
      <c r="H457" s="1" t="s">
        <v>25</v>
      </c>
      <c r="I457" s="1" t="s">
        <v>23</v>
      </c>
      <c r="M457" s="1" t="b">
        <v>0</v>
      </c>
      <c r="N457" s="1">
        <v>0</v>
      </c>
      <c r="O457" s="11"/>
      <c r="P457" s="11"/>
      <c r="Q457" s="11"/>
      <c r="R457" s="11"/>
    </row>
    <row r="458" spans="4:18">
      <c r="D458" s="1" t="s">
        <v>129</v>
      </c>
      <c r="E458" s="1" t="s">
        <v>44</v>
      </c>
      <c r="F458" s="1" t="s">
        <v>45</v>
      </c>
      <c r="G458" s="1" t="s">
        <v>46</v>
      </c>
      <c r="H458" s="1" t="s">
        <v>22</v>
      </c>
      <c r="I458" s="1" t="s">
        <v>23</v>
      </c>
      <c r="J458" s="1">
        <v>-85.984522757427143</v>
      </c>
      <c r="K458" s="1">
        <v>8598.4522757427148</v>
      </c>
      <c r="L458" s="1">
        <v>114.79148749423418</v>
      </c>
      <c r="M458" s="1">
        <v>128.97678413614071</v>
      </c>
      <c r="N458" s="1">
        <v>128.97678413614071</v>
      </c>
      <c r="O458" s="11"/>
      <c r="P458" s="11"/>
      <c r="Q458" s="11"/>
      <c r="R458" s="11"/>
    </row>
    <row r="459" spans="4:18">
      <c r="D459" s="1" t="s">
        <v>129</v>
      </c>
      <c r="E459" s="1" t="s">
        <v>47</v>
      </c>
      <c r="H459" s="1" t="s">
        <v>25</v>
      </c>
      <c r="I459" s="1" t="s">
        <v>23</v>
      </c>
      <c r="M459" s="1" t="b">
        <v>0</v>
      </c>
      <c r="N459" s="1">
        <v>0</v>
      </c>
      <c r="O459" s="11"/>
      <c r="P459" s="11"/>
      <c r="Q459" s="11"/>
      <c r="R459" s="11"/>
    </row>
    <row r="460" spans="4:18">
      <c r="D460" s="1" t="s">
        <v>129</v>
      </c>
      <c r="E460" s="1" t="s">
        <v>48</v>
      </c>
      <c r="H460" s="1" t="s">
        <v>25</v>
      </c>
      <c r="I460" s="1" t="s">
        <v>23</v>
      </c>
      <c r="M460" s="1" t="b">
        <v>0</v>
      </c>
      <c r="N460" s="1">
        <v>0</v>
      </c>
      <c r="O460" s="11"/>
      <c r="P460" s="11"/>
      <c r="Q460" s="11"/>
      <c r="R460" s="11"/>
    </row>
    <row r="461" spans="4:18">
      <c r="D461" s="1" t="s">
        <v>129</v>
      </c>
      <c r="E461" s="1" t="s">
        <v>49</v>
      </c>
      <c r="H461" s="1" t="s">
        <v>25</v>
      </c>
      <c r="I461" s="1" t="s">
        <v>23</v>
      </c>
      <c r="M461" s="1" t="b">
        <v>0</v>
      </c>
      <c r="N461" s="1">
        <v>0</v>
      </c>
      <c r="O461" s="11"/>
      <c r="P461" s="11"/>
      <c r="Q461" s="11"/>
      <c r="R461" s="11"/>
    </row>
    <row r="462" spans="4:18">
      <c r="D462" s="1" t="s">
        <v>129</v>
      </c>
      <c r="E462" s="1" t="s">
        <v>50</v>
      </c>
      <c r="H462" s="1" t="s">
        <v>25</v>
      </c>
      <c r="I462" s="1" t="s">
        <v>23</v>
      </c>
      <c r="M462" s="1" t="b">
        <v>0</v>
      </c>
      <c r="N462" s="1">
        <v>0</v>
      </c>
      <c r="O462" s="11"/>
      <c r="P462" s="11"/>
      <c r="Q462" s="11"/>
      <c r="R462" s="11"/>
    </row>
    <row r="463" spans="4:18">
      <c r="D463" s="1" t="s">
        <v>129</v>
      </c>
      <c r="E463" s="1" t="s">
        <v>51</v>
      </c>
      <c r="F463" s="1" t="s">
        <v>52</v>
      </c>
      <c r="G463" s="1" t="s">
        <v>53</v>
      </c>
      <c r="H463" s="1" t="s">
        <v>22</v>
      </c>
      <c r="I463" s="1" t="s">
        <v>23</v>
      </c>
      <c r="J463" s="1">
        <v>0</v>
      </c>
      <c r="K463" s="1">
        <v>7936641438.6555996</v>
      </c>
      <c r="L463" s="1">
        <v>7936.6414386555998</v>
      </c>
      <c r="M463" s="1">
        <v>7936.6414386555998</v>
      </c>
      <c r="N463" s="1">
        <v>7936.6414386555998</v>
      </c>
      <c r="O463" s="11"/>
      <c r="P463" s="11"/>
      <c r="Q463" s="11"/>
      <c r="R463" s="11"/>
    </row>
    <row r="464" spans="4:18">
      <c r="D464" s="1" t="s">
        <v>129</v>
      </c>
      <c r="E464" s="1" t="s">
        <v>54</v>
      </c>
      <c r="H464" s="1" t="s">
        <v>25</v>
      </c>
      <c r="I464" s="1" t="s">
        <v>23</v>
      </c>
      <c r="M464" s="1" t="b">
        <v>0</v>
      </c>
      <c r="N464" s="1">
        <v>0</v>
      </c>
      <c r="O464" s="11"/>
      <c r="P464" s="11"/>
      <c r="Q464" s="11"/>
      <c r="R464" s="11"/>
    </row>
    <row r="465" spans="4:18">
      <c r="D465" s="1" t="s">
        <v>129</v>
      </c>
      <c r="E465" s="1" t="s">
        <v>55</v>
      </c>
      <c r="F465" s="1" t="s">
        <v>56</v>
      </c>
      <c r="G465" s="1" t="s">
        <v>57</v>
      </c>
      <c r="H465" s="1" t="s">
        <v>22</v>
      </c>
      <c r="I465" s="1" t="s">
        <v>23</v>
      </c>
      <c r="J465" s="1">
        <v>0</v>
      </c>
      <c r="K465" s="1">
        <v>9427.4529524635982</v>
      </c>
      <c r="L465" s="1">
        <v>50.713895374744951</v>
      </c>
      <c r="M465" s="1">
        <v>50.763208205573221</v>
      </c>
      <c r="N465" s="1">
        <v>50.763208205573221</v>
      </c>
      <c r="O465" s="11"/>
      <c r="P465" s="11"/>
      <c r="Q465" s="11"/>
      <c r="R465" s="11"/>
    </row>
    <row r="466" spans="4:18">
      <c r="D466" s="1" t="s">
        <v>129</v>
      </c>
      <c r="E466" s="1" t="s">
        <v>58</v>
      </c>
      <c r="H466" s="1" t="s">
        <v>25</v>
      </c>
      <c r="I466" s="1" t="s">
        <v>23</v>
      </c>
      <c r="M466" s="1" t="b">
        <v>0</v>
      </c>
      <c r="N466" s="1">
        <v>0</v>
      </c>
      <c r="O466" s="11"/>
      <c r="P466" s="11"/>
      <c r="Q466" s="11"/>
      <c r="R466" s="11"/>
    </row>
    <row r="467" spans="4:18">
      <c r="D467" s="1" t="s">
        <v>129</v>
      </c>
      <c r="E467" s="1" t="s">
        <v>59</v>
      </c>
      <c r="F467" s="1" t="s">
        <v>60</v>
      </c>
      <c r="G467" s="1" t="s">
        <v>61</v>
      </c>
      <c r="H467" s="1" t="s">
        <v>22</v>
      </c>
      <c r="I467" s="1" t="s">
        <v>23</v>
      </c>
      <c r="J467" s="1">
        <v>-9.5538358650799999</v>
      </c>
      <c r="K467" s="1">
        <v>9.5538358650799999</v>
      </c>
      <c r="L467" s="1">
        <v>0.23884589662700001</v>
      </c>
      <c r="M467" s="1">
        <v>0.23884589662700001</v>
      </c>
      <c r="N467" s="1">
        <v>0.23884589662700001</v>
      </c>
      <c r="O467" s="11"/>
      <c r="P467" s="11"/>
      <c r="Q467" s="11"/>
      <c r="R467" s="11"/>
    </row>
    <row r="468" spans="4:18">
      <c r="D468" s="1" t="s">
        <v>129</v>
      </c>
      <c r="E468" s="1" t="s">
        <v>62</v>
      </c>
      <c r="H468" s="1" t="s">
        <v>63</v>
      </c>
      <c r="I468" s="1" t="s">
        <v>23</v>
      </c>
      <c r="M468" s="1">
        <v>1</v>
      </c>
      <c r="N468" s="1">
        <v>1</v>
      </c>
      <c r="O468" s="11"/>
      <c r="P468" s="11"/>
      <c r="Q468" s="11"/>
      <c r="R468" s="11"/>
    </row>
    <row r="469" spans="4:18">
      <c r="D469" s="1" t="s">
        <v>129</v>
      </c>
      <c r="E469" s="1" t="s">
        <v>64</v>
      </c>
      <c r="F469" s="1" t="s">
        <v>35</v>
      </c>
      <c r="G469" s="1" t="s">
        <v>36</v>
      </c>
      <c r="H469" s="1" t="s">
        <v>22</v>
      </c>
      <c r="I469" s="1" t="s">
        <v>65</v>
      </c>
      <c r="J469" s="1">
        <v>-459.67</v>
      </c>
      <c r="L469" s="1">
        <v>80.329999999999984</v>
      </c>
      <c r="N469" s="1">
        <v>92.31341072414358</v>
      </c>
      <c r="O469" s="11"/>
      <c r="P469" s="11"/>
      <c r="Q469" s="11"/>
      <c r="R469" s="11"/>
    </row>
    <row r="470" spans="4:18">
      <c r="D470" s="1" t="s">
        <v>129</v>
      </c>
      <c r="E470" s="1" t="s">
        <v>66</v>
      </c>
      <c r="F470" s="1" t="s">
        <v>35</v>
      </c>
      <c r="G470" s="1" t="s">
        <v>36</v>
      </c>
      <c r="H470" s="1" t="s">
        <v>22</v>
      </c>
      <c r="I470" s="1" t="s">
        <v>65</v>
      </c>
      <c r="J470" s="1">
        <v>-459.67</v>
      </c>
      <c r="L470" s="1">
        <v>80.329999999999984</v>
      </c>
      <c r="N470" s="1">
        <v>50.000000000000057</v>
      </c>
      <c r="O470" s="11"/>
      <c r="P470" s="11"/>
      <c r="Q470" s="11"/>
      <c r="R470" s="11"/>
    </row>
    <row r="471" spans="4:18">
      <c r="D471" s="1" t="s">
        <v>129</v>
      </c>
      <c r="E471" s="1" t="s">
        <v>67</v>
      </c>
      <c r="F471" s="1" t="s">
        <v>41</v>
      </c>
      <c r="G471" s="1" t="s">
        <v>42</v>
      </c>
      <c r="H471" s="1" t="s">
        <v>22</v>
      </c>
      <c r="I471" s="1" t="s">
        <v>65</v>
      </c>
      <c r="L471" s="1">
        <v>1.8</v>
      </c>
      <c r="N471" s="1">
        <v>42.313410724143544</v>
      </c>
      <c r="O471" s="11"/>
      <c r="P471" s="11"/>
      <c r="Q471" s="11"/>
      <c r="R471" s="11"/>
    </row>
    <row r="472" spans="4:18">
      <c r="D472" s="1" t="s">
        <v>129</v>
      </c>
      <c r="E472" s="1" t="s">
        <v>68</v>
      </c>
      <c r="F472" s="1" t="s">
        <v>45</v>
      </c>
      <c r="G472" s="1" t="s">
        <v>46</v>
      </c>
      <c r="H472" s="1" t="s">
        <v>22</v>
      </c>
      <c r="I472" s="1" t="s">
        <v>65</v>
      </c>
      <c r="L472" s="1">
        <v>4.2992261378713571E-4</v>
      </c>
      <c r="N472" s="1">
        <v>119.53026101639318</v>
      </c>
      <c r="O472" s="11"/>
      <c r="P472" s="11"/>
      <c r="Q472" s="11"/>
      <c r="R472" s="11"/>
    </row>
    <row r="473" spans="4:18">
      <c r="D473" s="1" t="s">
        <v>129</v>
      </c>
      <c r="E473" s="1" t="s">
        <v>69</v>
      </c>
      <c r="H473" s="1" t="s">
        <v>25</v>
      </c>
      <c r="I473" s="1" t="s">
        <v>70</v>
      </c>
      <c r="N473" s="1">
        <v>1</v>
      </c>
      <c r="O473" s="11"/>
      <c r="P473" s="11"/>
      <c r="Q473" s="11"/>
      <c r="R473" s="11"/>
    </row>
    <row r="474" spans="4:18">
      <c r="D474" s="1" t="s">
        <v>129</v>
      </c>
      <c r="E474" s="1" t="s">
        <v>71</v>
      </c>
      <c r="F474" s="1" t="s">
        <v>52</v>
      </c>
      <c r="G474" s="1" t="s">
        <v>53</v>
      </c>
      <c r="H474" s="1" t="s">
        <v>22</v>
      </c>
      <c r="I474" s="1" t="s">
        <v>65</v>
      </c>
      <c r="L474" s="1">
        <v>7936.6414386555998</v>
      </c>
      <c r="N474" s="1">
        <v>0</v>
      </c>
      <c r="O474" s="11"/>
      <c r="P474" s="11"/>
      <c r="Q474" s="11"/>
      <c r="R474" s="11"/>
    </row>
    <row r="475" spans="4:18">
      <c r="D475" s="1" t="s">
        <v>129</v>
      </c>
      <c r="E475" s="1" t="s">
        <v>72</v>
      </c>
      <c r="F475" s="1" t="s">
        <v>56</v>
      </c>
      <c r="G475" s="1" t="s">
        <v>57</v>
      </c>
      <c r="H475" s="1" t="s">
        <v>22</v>
      </c>
      <c r="I475" s="1" t="s">
        <v>65</v>
      </c>
      <c r="J475" s="1">
        <v>0</v>
      </c>
      <c r="L475" s="1">
        <v>14.503773773020921</v>
      </c>
      <c r="N475" s="1">
        <v>60.133952953407281</v>
      </c>
      <c r="O475" s="11"/>
      <c r="P475" s="11"/>
      <c r="Q475" s="11"/>
      <c r="R475" s="11"/>
    </row>
    <row r="476" spans="4:18">
      <c r="D476" s="1" t="s">
        <v>129</v>
      </c>
      <c r="E476" s="1" t="s">
        <v>73</v>
      </c>
      <c r="F476" s="1" t="s">
        <v>60</v>
      </c>
      <c r="G476" s="1" t="s">
        <v>61</v>
      </c>
      <c r="H476" s="1" t="s">
        <v>22</v>
      </c>
      <c r="I476" s="1" t="s">
        <v>65</v>
      </c>
      <c r="L476" s="1">
        <v>2.38845896627E-4</v>
      </c>
      <c r="N476" s="1">
        <v>0.23899786735815085</v>
      </c>
      <c r="O476" s="11"/>
      <c r="P476" s="11"/>
      <c r="Q476" s="11"/>
      <c r="R476" s="11"/>
    </row>
    <row r="477" spans="4:18">
      <c r="D477" s="1" t="s">
        <v>129</v>
      </c>
      <c r="E477" s="1" t="s">
        <v>74</v>
      </c>
      <c r="F477" s="1" t="s">
        <v>75</v>
      </c>
      <c r="G477" s="1" t="s">
        <v>76</v>
      </c>
      <c r="H477" s="1" t="s">
        <v>22</v>
      </c>
      <c r="I477" s="1" t="s">
        <v>65</v>
      </c>
      <c r="J477" s="1">
        <v>0</v>
      </c>
      <c r="L477" s="1">
        <v>16.018463521800001</v>
      </c>
      <c r="N477" s="1">
        <v>0.88847022707095991</v>
      </c>
      <c r="O477" s="11"/>
      <c r="P477" s="11"/>
      <c r="Q477" s="11"/>
      <c r="R477" s="11"/>
    </row>
    <row r="478" spans="4:18">
      <c r="D478" s="1" t="s">
        <v>129</v>
      </c>
      <c r="E478" s="1" t="s">
        <v>77</v>
      </c>
      <c r="H478" s="1" t="s">
        <v>22</v>
      </c>
      <c r="I478" s="1" t="s">
        <v>65</v>
      </c>
      <c r="L478" s="1">
        <v>1</v>
      </c>
      <c r="N478" s="1">
        <v>1.1145708182934013</v>
      </c>
      <c r="O478" s="11"/>
      <c r="P478" s="11"/>
      <c r="Q478" s="11"/>
      <c r="R478" s="11"/>
    </row>
    <row r="479" spans="4:18">
      <c r="D479" s="1" t="s">
        <v>129</v>
      </c>
      <c r="E479" s="1" t="s">
        <v>78</v>
      </c>
      <c r="H479" s="1" t="s">
        <v>25</v>
      </c>
      <c r="I479" s="1" t="s">
        <v>23</v>
      </c>
      <c r="M479" s="1" t="b">
        <v>0</v>
      </c>
      <c r="N479" s="1">
        <v>0</v>
      </c>
      <c r="O479" s="11"/>
      <c r="P479" s="11"/>
      <c r="Q479" s="11"/>
      <c r="R479" s="11"/>
    </row>
    <row r="480" spans="4:18">
      <c r="D480" s="1" t="s">
        <v>129</v>
      </c>
      <c r="E480" s="1" t="s">
        <v>79</v>
      </c>
      <c r="F480" s="1" t="s">
        <v>75</v>
      </c>
      <c r="G480" s="1" t="s">
        <v>76</v>
      </c>
      <c r="H480" s="1" t="s">
        <v>22</v>
      </c>
      <c r="I480" s="1" t="s">
        <v>23</v>
      </c>
      <c r="J480" s="1">
        <v>0</v>
      </c>
      <c r="K480" s="1">
        <v>96.110781130800007</v>
      </c>
      <c r="L480" s="1">
        <v>16.018463521800001</v>
      </c>
      <c r="M480" s="1">
        <v>1.6018463521800002</v>
      </c>
      <c r="N480" s="1">
        <v>1.6018463521800002</v>
      </c>
      <c r="O480" s="11"/>
      <c r="P480" s="11"/>
      <c r="Q480" s="11"/>
      <c r="R480" s="11"/>
    </row>
    <row r="481" spans="4:18">
      <c r="D481" s="1" t="s">
        <v>129</v>
      </c>
      <c r="E481" s="1" t="s">
        <v>80</v>
      </c>
      <c r="H481" s="1" t="s">
        <v>25</v>
      </c>
      <c r="I481" s="1" t="s">
        <v>23</v>
      </c>
      <c r="M481" s="1" t="b">
        <v>0</v>
      </c>
      <c r="N481" s="1">
        <v>0</v>
      </c>
      <c r="O481" s="11"/>
      <c r="P481" s="11"/>
      <c r="Q481" s="11"/>
      <c r="R481" s="11"/>
    </row>
    <row r="482" spans="4:18">
      <c r="D482" s="1" t="s">
        <v>129</v>
      </c>
      <c r="E482" s="1" t="s">
        <v>81</v>
      </c>
      <c r="H482" s="1" t="s">
        <v>25</v>
      </c>
      <c r="I482" s="1" t="s">
        <v>23</v>
      </c>
      <c r="M482" s="1" t="b">
        <v>0</v>
      </c>
      <c r="N482" s="1">
        <v>0</v>
      </c>
      <c r="O482" s="11"/>
      <c r="P482" s="11"/>
      <c r="Q482" s="11"/>
      <c r="R482" s="11"/>
    </row>
    <row r="483" spans="4:18">
      <c r="D483" s="1" t="s">
        <v>129</v>
      </c>
      <c r="E483" s="1" t="s">
        <v>82</v>
      </c>
      <c r="H483" s="1" t="s">
        <v>22</v>
      </c>
      <c r="I483" s="1" t="s">
        <v>23</v>
      </c>
      <c r="J483" s="1">
        <v>-1</v>
      </c>
      <c r="K483" s="1">
        <v>3</v>
      </c>
      <c r="L483" s="1">
        <v>1</v>
      </c>
      <c r="M483" s="1">
        <v>1.01</v>
      </c>
      <c r="N483" s="1">
        <v>1.01</v>
      </c>
      <c r="O483" s="11"/>
      <c r="P483" s="11"/>
      <c r="Q483" s="11"/>
      <c r="R483" s="11"/>
    </row>
    <row r="484" spans="4:18">
      <c r="D484" s="1" t="s">
        <v>130</v>
      </c>
      <c r="E484" s="1" t="s">
        <v>28</v>
      </c>
      <c r="H484" s="1" t="s">
        <v>22</v>
      </c>
      <c r="I484" s="1" t="s">
        <v>29</v>
      </c>
      <c r="J484" s="1">
        <v>34000</v>
      </c>
      <c r="K484" s="1">
        <v>4300000</v>
      </c>
      <c r="L484" s="1">
        <v>349660</v>
      </c>
      <c r="N484" s="1">
        <v>350000</v>
      </c>
      <c r="O484" s="11"/>
      <c r="P484" s="11"/>
      <c r="Q484" s="11"/>
      <c r="R484" s="11"/>
    </row>
    <row r="485" spans="4:18">
      <c r="D485" s="1" t="s">
        <v>130</v>
      </c>
      <c r="E485" s="1" t="s">
        <v>30</v>
      </c>
      <c r="H485" s="1" t="s">
        <v>22</v>
      </c>
      <c r="I485" s="1" t="s">
        <v>29</v>
      </c>
      <c r="J485" s="1">
        <v>-3.94</v>
      </c>
      <c r="K485" s="1">
        <v>3.66</v>
      </c>
      <c r="L485" s="1">
        <v>1</v>
      </c>
      <c r="N485" s="1">
        <v>1.01</v>
      </c>
      <c r="O485" s="11"/>
      <c r="P485" s="11"/>
      <c r="Q485" s="11"/>
      <c r="R485" s="11"/>
    </row>
    <row r="486" spans="4:18">
      <c r="D486" s="1" t="s">
        <v>130</v>
      </c>
      <c r="E486" s="1" t="s">
        <v>31</v>
      </c>
      <c r="H486" s="1" t="s">
        <v>22</v>
      </c>
      <c r="I486" s="1" t="s">
        <v>29</v>
      </c>
      <c r="J486" s="1">
        <v>0</v>
      </c>
      <c r="K486" s="1">
        <v>100</v>
      </c>
      <c r="L486" s="1">
        <v>1</v>
      </c>
      <c r="N486" s="1">
        <v>0</v>
      </c>
      <c r="O486" s="11"/>
      <c r="P486" s="11"/>
      <c r="Q486" s="11"/>
      <c r="R486" s="11"/>
    </row>
    <row r="487" spans="4:18">
      <c r="D487" s="1" t="s">
        <v>130</v>
      </c>
      <c r="E487" s="1" t="s">
        <v>32</v>
      </c>
      <c r="H487" s="1" t="s">
        <v>22</v>
      </c>
      <c r="I487" s="1" t="s">
        <v>29</v>
      </c>
      <c r="J487" s="1">
        <v>-3.94</v>
      </c>
      <c r="K487" s="1">
        <v>3.66</v>
      </c>
      <c r="L487" s="1">
        <v>1</v>
      </c>
      <c r="N487" s="1">
        <v>1.01</v>
      </c>
      <c r="O487" s="11"/>
      <c r="P487" s="11"/>
      <c r="Q487" s="11"/>
      <c r="R487" s="11"/>
    </row>
    <row r="488" spans="4:18">
      <c r="D488" s="1" t="s">
        <v>130</v>
      </c>
      <c r="E488" s="1" t="s">
        <v>33</v>
      </c>
      <c r="H488" s="1" t="s">
        <v>25</v>
      </c>
      <c r="I488" s="1" t="s">
        <v>23</v>
      </c>
      <c r="M488" s="1" t="b">
        <v>0</v>
      </c>
      <c r="N488" s="1">
        <v>0</v>
      </c>
      <c r="O488" s="11"/>
      <c r="P488" s="11"/>
      <c r="Q488" s="11"/>
      <c r="R488" s="11"/>
    </row>
    <row r="489" spans="4:18">
      <c r="D489" s="1" t="s">
        <v>130</v>
      </c>
      <c r="E489" s="1" t="s">
        <v>34</v>
      </c>
      <c r="F489" s="1" t="s">
        <v>35</v>
      </c>
      <c r="G489" s="1" t="s">
        <v>36</v>
      </c>
      <c r="H489" s="1" t="s">
        <v>22</v>
      </c>
      <c r="I489" s="1" t="s">
        <v>23</v>
      </c>
      <c r="J489" s="1">
        <v>-459.67</v>
      </c>
      <c r="K489" s="1">
        <v>980.32999999999993</v>
      </c>
      <c r="L489" s="1">
        <v>80.329999999999984</v>
      </c>
      <c r="M489" s="1">
        <v>67.999999999999943</v>
      </c>
      <c r="N489" s="1">
        <v>67.999999999999943</v>
      </c>
      <c r="O489" s="11"/>
      <c r="P489" s="11"/>
      <c r="Q489" s="11"/>
      <c r="R489" s="11"/>
    </row>
    <row r="490" spans="4:18">
      <c r="D490" s="1" t="s">
        <v>130</v>
      </c>
      <c r="E490" s="1" t="s">
        <v>37</v>
      </c>
      <c r="H490" s="1" t="s">
        <v>25</v>
      </c>
      <c r="I490" s="1" t="s">
        <v>23</v>
      </c>
      <c r="M490" s="1" t="b">
        <v>0</v>
      </c>
      <c r="N490" s="1">
        <v>0</v>
      </c>
      <c r="O490" s="11"/>
      <c r="P490" s="11"/>
      <c r="Q490" s="11"/>
      <c r="R490" s="11"/>
    </row>
    <row r="491" spans="4:18">
      <c r="D491" s="1" t="s">
        <v>130</v>
      </c>
      <c r="E491" s="1" t="s">
        <v>38</v>
      </c>
      <c r="F491" s="1" t="s">
        <v>35</v>
      </c>
      <c r="G491" s="1" t="s">
        <v>36</v>
      </c>
      <c r="H491" s="1" t="s">
        <v>22</v>
      </c>
      <c r="I491" s="1" t="s">
        <v>23</v>
      </c>
      <c r="J491" s="1">
        <v>-99.670000000000016</v>
      </c>
      <c r="K491" s="1">
        <v>980.32999999999993</v>
      </c>
      <c r="L491" s="1">
        <v>80.329999999999984</v>
      </c>
      <c r="M491" s="1">
        <v>13.999999999999943</v>
      </c>
      <c r="N491" s="1">
        <v>13.999999999999943</v>
      </c>
      <c r="O491" s="11"/>
      <c r="P491" s="11"/>
      <c r="Q491" s="11"/>
      <c r="R491" s="11"/>
    </row>
    <row r="492" spans="4:18">
      <c r="D492" s="1" t="s">
        <v>130</v>
      </c>
      <c r="E492" s="1" t="s">
        <v>39</v>
      </c>
      <c r="H492" s="1" t="s">
        <v>25</v>
      </c>
      <c r="I492" s="1" t="s">
        <v>23</v>
      </c>
      <c r="M492" s="1" t="b">
        <v>0</v>
      </c>
      <c r="N492" s="1">
        <v>0</v>
      </c>
      <c r="O492" s="11"/>
      <c r="P492" s="11"/>
      <c r="Q492" s="11"/>
      <c r="R492" s="11"/>
    </row>
    <row r="493" spans="4:18">
      <c r="D493" s="1" t="s">
        <v>130</v>
      </c>
      <c r="E493" s="1" t="s">
        <v>40</v>
      </c>
      <c r="F493" s="1" t="s">
        <v>41</v>
      </c>
      <c r="G493" s="1" t="s">
        <v>42</v>
      </c>
      <c r="H493" s="1" t="s">
        <v>22</v>
      </c>
      <c r="I493" s="1" t="s">
        <v>23</v>
      </c>
      <c r="J493" s="1">
        <v>-900</v>
      </c>
      <c r="K493" s="1">
        <v>900</v>
      </c>
      <c r="L493" s="1">
        <v>1.8</v>
      </c>
      <c r="M493" s="1">
        <v>9</v>
      </c>
      <c r="N493" s="1">
        <v>9</v>
      </c>
      <c r="O493" s="11"/>
      <c r="P493" s="11"/>
      <c r="Q493" s="11"/>
      <c r="R493" s="11"/>
    </row>
    <row r="494" spans="4:18">
      <c r="D494" s="1" t="s">
        <v>130</v>
      </c>
      <c r="E494" s="1" t="s">
        <v>43</v>
      </c>
      <c r="H494" s="1" t="s">
        <v>25</v>
      </c>
      <c r="I494" s="1" t="s">
        <v>23</v>
      </c>
      <c r="M494" s="1" t="b">
        <v>0</v>
      </c>
      <c r="N494" s="1">
        <v>0</v>
      </c>
      <c r="O494" s="11"/>
      <c r="P494" s="11"/>
      <c r="Q494" s="11"/>
      <c r="R494" s="11"/>
    </row>
    <row r="495" spans="4:18">
      <c r="D495" s="1" t="s">
        <v>130</v>
      </c>
      <c r="E495" s="1" t="s">
        <v>44</v>
      </c>
      <c r="F495" s="1" t="s">
        <v>45</v>
      </c>
      <c r="G495" s="1" t="s">
        <v>46</v>
      </c>
      <c r="H495" s="1" t="s">
        <v>22</v>
      </c>
      <c r="I495" s="1" t="s">
        <v>23</v>
      </c>
      <c r="J495" s="1">
        <v>-85.984522757427143</v>
      </c>
      <c r="K495" s="1">
        <v>8598.4522757427148</v>
      </c>
      <c r="L495" s="1">
        <v>114.79148749423418</v>
      </c>
      <c r="M495" s="1">
        <v>128.97678413614071</v>
      </c>
      <c r="N495" s="1">
        <v>128.97678413614071</v>
      </c>
      <c r="O495" s="11"/>
      <c r="P495" s="11"/>
      <c r="Q495" s="11"/>
      <c r="R495" s="11"/>
    </row>
    <row r="496" spans="4:18">
      <c r="D496" s="1" t="s">
        <v>130</v>
      </c>
      <c r="E496" s="1" t="s">
        <v>47</v>
      </c>
      <c r="H496" s="1" t="s">
        <v>25</v>
      </c>
      <c r="I496" s="1" t="s">
        <v>23</v>
      </c>
      <c r="M496" s="1" t="b">
        <v>0</v>
      </c>
      <c r="N496" s="1">
        <v>0</v>
      </c>
      <c r="O496" s="11"/>
      <c r="P496" s="11"/>
      <c r="Q496" s="11"/>
      <c r="R496" s="11"/>
    </row>
    <row r="497" spans="4:18">
      <c r="D497" s="1" t="s">
        <v>130</v>
      </c>
      <c r="E497" s="1" t="s">
        <v>48</v>
      </c>
      <c r="H497" s="1" t="s">
        <v>25</v>
      </c>
      <c r="I497" s="1" t="s">
        <v>23</v>
      </c>
      <c r="M497" s="1" t="b">
        <v>0</v>
      </c>
      <c r="N497" s="1">
        <v>0</v>
      </c>
      <c r="O497" s="11"/>
      <c r="P497" s="11"/>
      <c r="Q497" s="11"/>
      <c r="R497" s="11"/>
    </row>
    <row r="498" spans="4:18">
      <c r="D498" s="1" t="s">
        <v>130</v>
      </c>
      <c r="E498" s="1" t="s">
        <v>49</v>
      </c>
      <c r="H498" s="1" t="s">
        <v>25</v>
      </c>
      <c r="I498" s="1" t="s">
        <v>23</v>
      </c>
      <c r="M498" s="1" t="b">
        <v>0</v>
      </c>
      <c r="N498" s="1">
        <v>0</v>
      </c>
      <c r="O498" s="11"/>
      <c r="P498" s="11"/>
      <c r="Q498" s="11"/>
      <c r="R498" s="11"/>
    </row>
    <row r="499" spans="4:18">
      <c r="D499" s="1" t="s">
        <v>130</v>
      </c>
      <c r="E499" s="1" t="s">
        <v>50</v>
      </c>
      <c r="H499" s="1" t="s">
        <v>25</v>
      </c>
      <c r="I499" s="1" t="s">
        <v>23</v>
      </c>
      <c r="M499" s="1" t="b">
        <v>0</v>
      </c>
      <c r="N499" s="1">
        <v>0</v>
      </c>
      <c r="O499" s="11"/>
      <c r="P499" s="11"/>
      <c r="Q499" s="11"/>
      <c r="R499" s="11"/>
    </row>
    <row r="500" spans="4:18">
      <c r="D500" s="1" t="s">
        <v>130</v>
      </c>
      <c r="E500" s="1" t="s">
        <v>51</v>
      </c>
      <c r="F500" s="1" t="s">
        <v>52</v>
      </c>
      <c r="G500" s="1" t="s">
        <v>53</v>
      </c>
      <c r="H500" s="1" t="s">
        <v>22</v>
      </c>
      <c r="I500" s="1" t="s">
        <v>23</v>
      </c>
      <c r="J500" s="1">
        <v>0</v>
      </c>
      <c r="K500" s="1">
        <v>7936641438.6555996</v>
      </c>
      <c r="L500" s="1">
        <v>7936.6414386555998</v>
      </c>
      <c r="M500" s="1">
        <v>7936.6414386555998</v>
      </c>
      <c r="N500" s="1">
        <v>7936.6414386555998</v>
      </c>
      <c r="O500" s="11"/>
      <c r="P500" s="11"/>
      <c r="Q500" s="11"/>
      <c r="R500" s="11"/>
    </row>
    <row r="501" spans="4:18">
      <c r="D501" s="1" t="s">
        <v>130</v>
      </c>
      <c r="E501" s="1" t="s">
        <v>54</v>
      </c>
      <c r="H501" s="1" t="s">
        <v>25</v>
      </c>
      <c r="I501" s="1" t="s">
        <v>23</v>
      </c>
      <c r="M501" s="1" t="b">
        <v>0</v>
      </c>
      <c r="N501" s="1">
        <v>0</v>
      </c>
      <c r="O501" s="11"/>
      <c r="P501" s="11"/>
      <c r="Q501" s="11"/>
      <c r="R501" s="11"/>
    </row>
    <row r="502" spans="4:18">
      <c r="D502" s="1" t="s">
        <v>130</v>
      </c>
      <c r="E502" s="1" t="s">
        <v>55</v>
      </c>
      <c r="F502" s="1" t="s">
        <v>56</v>
      </c>
      <c r="G502" s="1" t="s">
        <v>57</v>
      </c>
      <c r="H502" s="1" t="s">
        <v>22</v>
      </c>
      <c r="I502" s="1" t="s">
        <v>23</v>
      </c>
      <c r="J502" s="1">
        <v>0</v>
      </c>
      <c r="K502" s="1">
        <v>9427.4529524635982</v>
      </c>
      <c r="L502" s="1">
        <v>50.713895374744951</v>
      </c>
      <c r="M502" s="1">
        <v>50.763208205573221</v>
      </c>
      <c r="N502" s="1">
        <v>50.763208205573221</v>
      </c>
      <c r="O502" s="11"/>
      <c r="P502" s="11"/>
      <c r="Q502" s="11"/>
      <c r="R502" s="11"/>
    </row>
    <row r="503" spans="4:18">
      <c r="D503" s="1" t="s">
        <v>130</v>
      </c>
      <c r="E503" s="1" t="s">
        <v>58</v>
      </c>
      <c r="H503" s="1" t="s">
        <v>25</v>
      </c>
      <c r="I503" s="1" t="s">
        <v>23</v>
      </c>
      <c r="M503" s="1" t="b">
        <v>0</v>
      </c>
      <c r="N503" s="1">
        <v>0</v>
      </c>
      <c r="O503" s="11"/>
      <c r="P503" s="11"/>
      <c r="Q503" s="11"/>
      <c r="R503" s="11"/>
    </row>
    <row r="504" spans="4:18">
      <c r="D504" s="1" t="s">
        <v>130</v>
      </c>
      <c r="E504" s="1" t="s">
        <v>59</v>
      </c>
      <c r="F504" s="1" t="s">
        <v>60</v>
      </c>
      <c r="G504" s="1" t="s">
        <v>61</v>
      </c>
      <c r="H504" s="1" t="s">
        <v>22</v>
      </c>
      <c r="I504" s="1" t="s">
        <v>23</v>
      </c>
      <c r="J504" s="1">
        <v>-9.5538358650799999</v>
      </c>
      <c r="K504" s="1">
        <v>9.5538358650799999</v>
      </c>
      <c r="L504" s="1">
        <v>0.23884589662700001</v>
      </c>
      <c r="M504" s="1">
        <v>0.23884589662700001</v>
      </c>
      <c r="N504" s="1">
        <v>0.23884589662700001</v>
      </c>
      <c r="O504" s="11"/>
      <c r="P504" s="11"/>
      <c r="Q504" s="11"/>
      <c r="R504" s="11"/>
    </row>
    <row r="505" spans="4:18">
      <c r="D505" s="1" t="s">
        <v>130</v>
      </c>
      <c r="E505" s="1" t="s">
        <v>62</v>
      </c>
      <c r="H505" s="1" t="s">
        <v>63</v>
      </c>
      <c r="I505" s="1" t="s">
        <v>23</v>
      </c>
      <c r="M505" s="1">
        <v>1</v>
      </c>
      <c r="N505" s="1">
        <v>1</v>
      </c>
      <c r="O505" s="11"/>
      <c r="P505" s="11"/>
      <c r="Q505" s="11"/>
      <c r="R505" s="11"/>
    </row>
    <row r="506" spans="4:18">
      <c r="D506" s="1" t="s">
        <v>130</v>
      </c>
      <c r="E506" s="1" t="s">
        <v>64</v>
      </c>
      <c r="F506" s="1" t="s">
        <v>35</v>
      </c>
      <c r="G506" s="1" t="s">
        <v>36</v>
      </c>
      <c r="H506" s="1" t="s">
        <v>22</v>
      </c>
      <c r="I506" s="1" t="s">
        <v>65</v>
      </c>
      <c r="J506" s="1">
        <v>-459.67</v>
      </c>
      <c r="L506" s="1">
        <v>80.329999999999984</v>
      </c>
      <c r="N506" s="1">
        <v>89.81487503353884</v>
      </c>
      <c r="O506" s="11"/>
      <c r="P506" s="11"/>
      <c r="Q506" s="11"/>
      <c r="R506" s="11"/>
    </row>
    <row r="507" spans="4:18">
      <c r="D507" s="1" t="s">
        <v>130</v>
      </c>
      <c r="E507" s="1" t="s">
        <v>66</v>
      </c>
      <c r="F507" s="1" t="s">
        <v>35</v>
      </c>
      <c r="G507" s="1" t="s">
        <v>36</v>
      </c>
      <c r="H507" s="1" t="s">
        <v>22</v>
      </c>
      <c r="I507" s="1" t="s">
        <v>65</v>
      </c>
      <c r="J507" s="1">
        <v>-459.67</v>
      </c>
      <c r="L507" s="1">
        <v>80.329999999999984</v>
      </c>
      <c r="N507" s="1">
        <v>40.791179653592451</v>
      </c>
      <c r="O507" s="11"/>
      <c r="P507" s="11"/>
      <c r="Q507" s="11"/>
      <c r="R507" s="11"/>
    </row>
    <row r="508" spans="4:18">
      <c r="D508" s="1" t="s">
        <v>130</v>
      </c>
      <c r="E508" s="1" t="s">
        <v>67</v>
      </c>
      <c r="F508" s="1" t="s">
        <v>41</v>
      </c>
      <c r="G508" s="1" t="s">
        <v>42</v>
      </c>
      <c r="H508" s="1" t="s">
        <v>22</v>
      </c>
      <c r="I508" s="1" t="s">
        <v>65</v>
      </c>
      <c r="L508" s="1">
        <v>1.8</v>
      </c>
      <c r="N508" s="1">
        <v>49.023695379946368</v>
      </c>
      <c r="O508" s="11"/>
      <c r="P508" s="11"/>
      <c r="Q508" s="11"/>
      <c r="R508" s="11"/>
    </row>
    <row r="509" spans="4:18">
      <c r="D509" s="1" t="s">
        <v>130</v>
      </c>
      <c r="E509" s="1" t="s">
        <v>68</v>
      </c>
      <c r="F509" s="1" t="s">
        <v>45</v>
      </c>
      <c r="G509" s="1" t="s">
        <v>46</v>
      </c>
      <c r="H509" s="1" t="s">
        <v>22</v>
      </c>
      <c r="I509" s="1" t="s">
        <v>65</v>
      </c>
      <c r="L509" s="1">
        <v>4.2992261378713571E-4</v>
      </c>
      <c r="N509" s="1">
        <v>119.53026101639318</v>
      </c>
      <c r="O509" s="11"/>
      <c r="P509" s="11"/>
      <c r="Q509" s="11"/>
      <c r="R509" s="11"/>
    </row>
    <row r="510" spans="4:18">
      <c r="D510" s="1" t="s">
        <v>130</v>
      </c>
      <c r="E510" s="1" t="s">
        <v>69</v>
      </c>
      <c r="H510" s="1" t="s">
        <v>25</v>
      </c>
      <c r="I510" s="1" t="s">
        <v>70</v>
      </c>
      <c r="N510" s="1">
        <v>1</v>
      </c>
      <c r="O510" s="11"/>
      <c r="P510" s="11"/>
      <c r="Q510" s="11"/>
      <c r="R510" s="11"/>
    </row>
    <row r="511" spans="4:18">
      <c r="D511" s="1" t="s">
        <v>130</v>
      </c>
      <c r="E511" s="1" t="s">
        <v>71</v>
      </c>
      <c r="F511" s="1" t="s">
        <v>52</v>
      </c>
      <c r="G511" s="1" t="s">
        <v>53</v>
      </c>
      <c r="H511" s="1" t="s">
        <v>22</v>
      </c>
      <c r="I511" s="1" t="s">
        <v>65</v>
      </c>
      <c r="L511" s="1">
        <v>7936.6414386555998</v>
      </c>
      <c r="N511" s="1">
        <v>0</v>
      </c>
      <c r="O511" s="11"/>
      <c r="P511" s="11"/>
      <c r="Q511" s="11"/>
      <c r="R511" s="11"/>
    </row>
    <row r="512" spans="4:18">
      <c r="D512" s="1" t="s">
        <v>130</v>
      </c>
      <c r="E512" s="1" t="s">
        <v>72</v>
      </c>
      <c r="F512" s="1" t="s">
        <v>56</v>
      </c>
      <c r="G512" s="1" t="s">
        <v>57</v>
      </c>
      <c r="H512" s="1" t="s">
        <v>22</v>
      </c>
      <c r="I512" s="1" t="s">
        <v>65</v>
      </c>
      <c r="J512" s="1">
        <v>0</v>
      </c>
      <c r="L512" s="1">
        <v>14.503773773020921</v>
      </c>
      <c r="N512" s="1">
        <v>50.509497124265998</v>
      </c>
      <c r="O512" s="11"/>
      <c r="P512" s="11"/>
      <c r="Q512" s="11"/>
      <c r="R512" s="11"/>
    </row>
    <row r="513" spans="4:18">
      <c r="D513" s="1" t="s">
        <v>130</v>
      </c>
      <c r="E513" s="1" t="s">
        <v>73</v>
      </c>
      <c r="F513" s="1" t="s">
        <v>60</v>
      </c>
      <c r="G513" s="1" t="s">
        <v>61</v>
      </c>
      <c r="H513" s="1" t="s">
        <v>22</v>
      </c>
      <c r="I513" s="1" t="s">
        <v>65</v>
      </c>
      <c r="L513" s="1">
        <v>2.38845896627E-4</v>
      </c>
      <c r="N513" s="1">
        <v>0.24214248537937824</v>
      </c>
      <c r="O513" s="11"/>
      <c r="P513" s="11"/>
      <c r="Q513" s="11"/>
      <c r="R513" s="11"/>
    </row>
    <row r="514" spans="4:18">
      <c r="D514" s="1" t="s">
        <v>130</v>
      </c>
      <c r="E514" s="1" t="s">
        <v>74</v>
      </c>
      <c r="F514" s="1" t="s">
        <v>75</v>
      </c>
      <c r="G514" s="1" t="s">
        <v>76</v>
      </c>
      <c r="H514" s="1" t="s">
        <v>22</v>
      </c>
      <c r="I514" s="1" t="s">
        <v>65</v>
      </c>
      <c r="J514" s="1">
        <v>0</v>
      </c>
      <c r="L514" s="1">
        <v>16.018463521800001</v>
      </c>
      <c r="N514" s="1">
        <v>1.0671399560351127</v>
      </c>
      <c r="O514" s="11"/>
      <c r="P514" s="11"/>
      <c r="Q514" s="11"/>
      <c r="R514" s="11"/>
    </row>
    <row r="515" spans="4:18">
      <c r="D515" s="1" t="s">
        <v>130</v>
      </c>
      <c r="E515" s="1" t="s">
        <v>77</v>
      </c>
      <c r="H515" s="1" t="s">
        <v>22</v>
      </c>
      <c r="I515" s="1" t="s">
        <v>65</v>
      </c>
      <c r="L515" s="1">
        <v>1</v>
      </c>
      <c r="N515" s="1">
        <v>1.1270097802876902</v>
      </c>
      <c r="O515" s="11"/>
      <c r="P515" s="11"/>
      <c r="Q515" s="11"/>
      <c r="R515" s="11"/>
    </row>
    <row r="516" spans="4:18">
      <c r="D516" s="1" t="s">
        <v>130</v>
      </c>
      <c r="E516" s="1" t="s">
        <v>78</v>
      </c>
      <c r="H516" s="1" t="s">
        <v>25</v>
      </c>
      <c r="I516" s="1" t="s">
        <v>23</v>
      </c>
      <c r="M516" s="1" t="b">
        <v>0</v>
      </c>
      <c r="N516" s="1">
        <v>0</v>
      </c>
      <c r="O516" s="11"/>
      <c r="P516" s="11"/>
      <c r="Q516" s="11"/>
      <c r="R516" s="11"/>
    </row>
    <row r="517" spans="4:18">
      <c r="D517" s="1" t="s">
        <v>130</v>
      </c>
      <c r="E517" s="1" t="s">
        <v>79</v>
      </c>
      <c r="F517" s="1" t="s">
        <v>75</v>
      </c>
      <c r="G517" s="1" t="s">
        <v>76</v>
      </c>
      <c r="H517" s="1" t="s">
        <v>22</v>
      </c>
      <c r="I517" s="1" t="s">
        <v>23</v>
      </c>
      <c r="J517" s="1">
        <v>0</v>
      </c>
      <c r="K517" s="1">
        <v>96.110781130800007</v>
      </c>
      <c r="L517" s="1">
        <v>16.018463521800001</v>
      </c>
      <c r="M517" s="1">
        <v>1.6018463521800002</v>
      </c>
      <c r="N517" s="1">
        <v>1.6018463521800002</v>
      </c>
      <c r="O517" s="11"/>
      <c r="P517" s="11"/>
      <c r="Q517" s="11"/>
      <c r="R517" s="11"/>
    </row>
    <row r="518" spans="4:18">
      <c r="D518" s="1" t="s">
        <v>130</v>
      </c>
      <c r="E518" s="1" t="s">
        <v>80</v>
      </c>
      <c r="H518" s="1" t="s">
        <v>25</v>
      </c>
      <c r="I518" s="1" t="s">
        <v>23</v>
      </c>
      <c r="M518" s="1" t="b">
        <v>0</v>
      </c>
      <c r="N518" s="1">
        <v>0</v>
      </c>
      <c r="O518" s="11"/>
      <c r="P518" s="11"/>
      <c r="Q518" s="11"/>
      <c r="R518" s="11"/>
    </row>
    <row r="519" spans="4:18">
      <c r="D519" s="1" t="s">
        <v>130</v>
      </c>
      <c r="E519" s="1" t="s">
        <v>81</v>
      </c>
      <c r="H519" s="1" t="s">
        <v>25</v>
      </c>
      <c r="I519" s="1" t="s">
        <v>23</v>
      </c>
      <c r="M519" s="1" t="b">
        <v>0</v>
      </c>
      <c r="N519" s="1">
        <v>0</v>
      </c>
      <c r="O519" s="11"/>
      <c r="P519" s="11"/>
      <c r="Q519" s="11"/>
      <c r="R519" s="11"/>
    </row>
    <row r="520" spans="4:18">
      <c r="D520" s="1" t="s">
        <v>130</v>
      </c>
      <c r="E520" s="1" t="s">
        <v>82</v>
      </c>
      <c r="H520" s="1" t="s">
        <v>22</v>
      </c>
      <c r="I520" s="1" t="s">
        <v>23</v>
      </c>
      <c r="J520" s="1">
        <v>-1</v>
      </c>
      <c r="K520" s="1">
        <v>3</v>
      </c>
      <c r="L520" s="1">
        <v>1</v>
      </c>
      <c r="M520" s="1">
        <v>1.01</v>
      </c>
      <c r="N520" s="1">
        <v>1.01</v>
      </c>
      <c r="O520" s="11"/>
      <c r="P520" s="11"/>
      <c r="Q520" s="11"/>
      <c r="R520" s="11"/>
    </row>
    <row r="521" spans="4:18">
      <c r="D521" s="1" t="s">
        <v>131</v>
      </c>
      <c r="H521" s="1" t="s">
        <v>22</v>
      </c>
      <c r="I521" s="1" t="s">
        <v>23</v>
      </c>
      <c r="L521" s="1">
        <v>1</v>
      </c>
      <c r="M521" s="1">
        <v>1</v>
      </c>
      <c r="N521" s="1">
        <v>1</v>
      </c>
      <c r="O521" s="11"/>
      <c r="P521" s="11"/>
      <c r="Q521" s="11"/>
      <c r="R521" s="11"/>
    </row>
    <row r="522" spans="4:18">
      <c r="D522" s="1" t="s">
        <v>132</v>
      </c>
      <c r="E522" s="1" t="s">
        <v>105</v>
      </c>
      <c r="H522" s="1" t="s">
        <v>22</v>
      </c>
      <c r="I522" s="1" t="s">
        <v>29</v>
      </c>
      <c r="J522" s="1">
        <v>0</v>
      </c>
      <c r="K522" s="1">
        <v>10000</v>
      </c>
      <c r="L522" s="1">
        <v>5000</v>
      </c>
      <c r="N522" s="1">
        <v>20</v>
      </c>
      <c r="O522" s="11"/>
      <c r="P522" s="11"/>
      <c r="Q522" s="11"/>
      <c r="R522" s="11"/>
    </row>
    <row r="523" spans="4:18">
      <c r="D523" s="1" t="s">
        <v>132</v>
      </c>
      <c r="E523" s="1" t="s">
        <v>106</v>
      </c>
      <c r="H523" s="1" t="s">
        <v>25</v>
      </c>
      <c r="I523" s="1" t="s">
        <v>23</v>
      </c>
      <c r="M523" s="1" t="b">
        <v>0</v>
      </c>
      <c r="N523" s="1">
        <v>0</v>
      </c>
      <c r="O523" s="11"/>
      <c r="P523" s="11"/>
      <c r="Q523" s="11"/>
      <c r="R523" s="11"/>
    </row>
    <row r="524" spans="4:18">
      <c r="D524" s="1" t="s">
        <v>132</v>
      </c>
      <c r="E524" s="1" t="s">
        <v>107</v>
      </c>
      <c r="H524" s="1" t="s">
        <v>22</v>
      </c>
      <c r="I524" s="1" t="s">
        <v>23</v>
      </c>
      <c r="L524" s="1">
        <v>1</v>
      </c>
      <c r="M524" s="1">
        <v>20</v>
      </c>
      <c r="N524" s="1">
        <v>20</v>
      </c>
      <c r="O524" s="11"/>
      <c r="P524" s="11"/>
      <c r="Q524" s="11"/>
      <c r="R524" s="11"/>
    </row>
    <row r="525" spans="4:18">
      <c r="D525" s="1" t="s">
        <v>132</v>
      </c>
      <c r="E525" s="1" t="s">
        <v>109</v>
      </c>
      <c r="H525" s="1" t="s">
        <v>22</v>
      </c>
      <c r="I525" s="1" t="s">
        <v>23</v>
      </c>
      <c r="L525" s="1">
        <v>1</v>
      </c>
      <c r="M525" s="1">
        <v>1</v>
      </c>
      <c r="N525" s="1">
        <v>1</v>
      </c>
      <c r="O525" s="11"/>
      <c r="P525" s="11"/>
      <c r="Q525" s="11"/>
      <c r="R525" s="11"/>
    </row>
    <row r="526" spans="4:18">
      <c r="D526" s="1" t="s">
        <v>132</v>
      </c>
      <c r="E526" s="1" t="s">
        <v>110</v>
      </c>
      <c r="H526" s="1" t="s">
        <v>25</v>
      </c>
      <c r="I526" s="1" t="s">
        <v>23</v>
      </c>
      <c r="M526" s="1" t="b">
        <v>1</v>
      </c>
      <c r="N526" s="1">
        <v>1</v>
      </c>
      <c r="O526" s="11"/>
      <c r="P526" s="11"/>
      <c r="Q526" s="11"/>
      <c r="R526" s="11"/>
    </row>
    <row r="527" spans="4:18">
      <c r="D527" s="1" t="s">
        <v>132</v>
      </c>
      <c r="E527" s="1" t="s">
        <v>111</v>
      </c>
      <c r="F527" s="1" t="s">
        <v>56</v>
      </c>
      <c r="G527" s="1" t="s">
        <v>57</v>
      </c>
      <c r="H527" s="1" t="s">
        <v>22</v>
      </c>
      <c r="I527" s="1" t="s">
        <v>23</v>
      </c>
      <c r="L527" s="1">
        <v>1.4503773773020921E-4</v>
      </c>
      <c r="M527" s="1">
        <v>7.2518868865104604E-3</v>
      </c>
      <c r="N527" s="1">
        <v>7.2518868865104604E-3</v>
      </c>
      <c r="O527" s="11"/>
      <c r="P527" s="11"/>
      <c r="Q527" s="11"/>
      <c r="R527" s="11"/>
    </row>
    <row r="528" spans="4:18">
      <c r="D528" s="1" t="s">
        <v>132</v>
      </c>
      <c r="E528" s="1" t="s">
        <v>47</v>
      </c>
      <c r="H528" s="1" t="s">
        <v>25</v>
      </c>
      <c r="I528" s="1" t="s">
        <v>23</v>
      </c>
      <c r="M528" s="1" t="b">
        <v>0</v>
      </c>
      <c r="N528" s="1">
        <v>0</v>
      </c>
      <c r="O528" s="11"/>
      <c r="P528" s="11"/>
      <c r="Q528" s="11"/>
      <c r="R528" s="11"/>
    </row>
    <row r="529" spans="4:18">
      <c r="D529" s="1" t="s">
        <v>132</v>
      </c>
      <c r="E529" s="1" t="s">
        <v>112</v>
      </c>
      <c r="F529" s="1" t="s">
        <v>56</v>
      </c>
      <c r="G529" s="1" t="s">
        <v>57</v>
      </c>
      <c r="H529" s="1" t="s">
        <v>22</v>
      </c>
      <c r="I529" s="1" t="s">
        <v>29</v>
      </c>
      <c r="J529" s="1">
        <v>4.9312830828271128</v>
      </c>
      <c r="K529" s="1">
        <v>623.66227223989961</v>
      </c>
      <c r="L529" s="1">
        <v>50.713895374744951</v>
      </c>
      <c r="N529" s="1">
        <v>92.062658125001619</v>
      </c>
      <c r="O529" s="11"/>
      <c r="P529" s="11"/>
      <c r="Q529" s="11"/>
      <c r="R529" s="11"/>
    </row>
    <row r="530" spans="4:18">
      <c r="D530" s="1" t="s">
        <v>132</v>
      </c>
      <c r="E530" s="1" t="s">
        <v>133</v>
      </c>
      <c r="H530" s="1" t="s">
        <v>22</v>
      </c>
      <c r="I530" s="1" t="s">
        <v>23</v>
      </c>
      <c r="L530" s="1">
        <v>1</v>
      </c>
      <c r="M530" s="1">
        <v>1E-3</v>
      </c>
      <c r="N530" s="1">
        <v>1E-3</v>
      </c>
      <c r="O530" s="11"/>
      <c r="P530" s="11"/>
      <c r="Q530" s="11"/>
      <c r="R530" s="11"/>
    </row>
    <row r="531" spans="4:18">
      <c r="D531" s="1" t="s">
        <v>132</v>
      </c>
      <c r="E531" s="1" t="s">
        <v>134</v>
      </c>
      <c r="H531" s="1" t="s">
        <v>22</v>
      </c>
      <c r="I531" s="1" t="s">
        <v>23</v>
      </c>
      <c r="L531" s="1">
        <v>1</v>
      </c>
      <c r="M531" s="1">
        <v>9.9999999999999995E-7</v>
      </c>
      <c r="N531" s="1">
        <v>9.9999999999999995E-7</v>
      </c>
      <c r="O531" s="11"/>
      <c r="P531" s="11"/>
      <c r="Q531" s="11"/>
      <c r="R531" s="11"/>
    </row>
    <row r="532" spans="4:18">
      <c r="D532" s="1" t="s">
        <v>132</v>
      </c>
      <c r="E532" s="1" t="s">
        <v>135</v>
      </c>
      <c r="H532" s="1" t="s">
        <v>22</v>
      </c>
      <c r="I532" s="1" t="s">
        <v>23</v>
      </c>
      <c r="L532" s="1">
        <v>1</v>
      </c>
      <c r="M532" s="1">
        <v>9.9999999999999998E-13</v>
      </c>
      <c r="N532" s="1">
        <v>9.9999999999999998E-13</v>
      </c>
      <c r="O532" s="11"/>
      <c r="P532" s="11"/>
      <c r="Q532" s="11"/>
      <c r="R532" s="11"/>
    </row>
    <row r="533" spans="4:18">
      <c r="D533" s="1" t="s">
        <v>132</v>
      </c>
      <c r="E533" s="1" t="s">
        <v>62</v>
      </c>
      <c r="H533" s="1" t="s">
        <v>63</v>
      </c>
      <c r="I533" s="1" t="s">
        <v>23</v>
      </c>
      <c r="M533" s="1">
        <v>1</v>
      </c>
      <c r="N533" s="1">
        <v>1</v>
      </c>
      <c r="O533" s="11"/>
      <c r="P533" s="11"/>
      <c r="Q533" s="11"/>
      <c r="R533" s="11"/>
    </row>
    <row r="534" spans="4:18">
      <c r="D534" s="1" t="s">
        <v>132</v>
      </c>
      <c r="E534" s="1" t="s">
        <v>113</v>
      </c>
      <c r="H534" s="1" t="s">
        <v>22</v>
      </c>
      <c r="I534" s="1" t="s">
        <v>65</v>
      </c>
      <c r="L534" s="1">
        <v>1</v>
      </c>
      <c r="N534" s="1">
        <v>64.562145739753817</v>
      </c>
      <c r="O534" s="11"/>
      <c r="P534" s="11"/>
      <c r="Q534" s="11"/>
      <c r="R534" s="11"/>
    </row>
    <row r="535" spans="4:18">
      <c r="D535" s="1" t="s">
        <v>132</v>
      </c>
      <c r="E535" s="1" t="s">
        <v>114</v>
      </c>
      <c r="H535" s="1" t="s">
        <v>22</v>
      </c>
      <c r="I535" s="1" t="s">
        <v>70</v>
      </c>
      <c r="L535" s="1">
        <v>1</v>
      </c>
      <c r="N535" s="1">
        <v>1</v>
      </c>
      <c r="O535" s="11"/>
      <c r="P535" s="11"/>
      <c r="Q535" s="11"/>
      <c r="R535" s="11"/>
    </row>
    <row r="536" spans="4:18">
      <c r="D536" s="1" t="s">
        <v>132</v>
      </c>
      <c r="E536" s="1" t="s">
        <v>115</v>
      </c>
      <c r="F536" s="1" t="s">
        <v>56</v>
      </c>
      <c r="G536" s="1" t="s">
        <v>57</v>
      </c>
      <c r="H536" s="1" t="s">
        <v>22</v>
      </c>
      <c r="I536" s="1" t="s">
        <v>65</v>
      </c>
      <c r="L536" s="1">
        <v>1.4503773773020921E-4</v>
      </c>
      <c r="N536" s="1">
        <v>39.696722523657499</v>
      </c>
      <c r="O536" s="11"/>
      <c r="P536" s="11"/>
      <c r="Q536" s="11"/>
      <c r="R536" s="11"/>
    </row>
    <row r="537" spans="4:18">
      <c r="D537" s="1" t="s">
        <v>132</v>
      </c>
      <c r="E537" s="1" t="s">
        <v>116</v>
      </c>
      <c r="H537" s="1" t="s">
        <v>25</v>
      </c>
      <c r="I537" s="1" t="s">
        <v>65</v>
      </c>
      <c r="N537" s="1">
        <v>0</v>
      </c>
      <c r="O537" s="11"/>
      <c r="P537" s="11"/>
      <c r="Q537" s="11"/>
      <c r="R537" s="11"/>
    </row>
    <row r="538" spans="4:18">
      <c r="D538" s="1" t="s">
        <v>132</v>
      </c>
      <c r="E538" s="1" t="s">
        <v>69</v>
      </c>
      <c r="H538" s="1" t="s">
        <v>25</v>
      </c>
      <c r="I538" s="1" t="s">
        <v>70</v>
      </c>
      <c r="N538" s="1">
        <v>0</v>
      </c>
      <c r="O538" s="11"/>
      <c r="P538" s="11"/>
      <c r="Q538" s="11"/>
      <c r="R538" s="11"/>
    </row>
    <row r="539" spans="4:18">
      <c r="D539" s="1" t="s">
        <v>132</v>
      </c>
      <c r="E539" s="1" t="s">
        <v>71</v>
      </c>
      <c r="F539" s="1" t="s">
        <v>52</v>
      </c>
      <c r="G539" s="1" t="s">
        <v>53</v>
      </c>
      <c r="H539" s="1" t="s">
        <v>22</v>
      </c>
      <c r="I539" s="1" t="s">
        <v>65</v>
      </c>
      <c r="L539" s="1">
        <v>7936.6414386555998</v>
      </c>
      <c r="N539" s="1">
        <v>166380.48880651718</v>
      </c>
      <c r="O539" s="11"/>
      <c r="P539" s="11"/>
      <c r="Q539" s="11"/>
      <c r="R539" s="11"/>
    </row>
    <row r="540" spans="4:18">
      <c r="D540" s="1" t="s">
        <v>132</v>
      </c>
      <c r="E540" s="1" t="s">
        <v>117</v>
      </c>
      <c r="F540" s="1" t="s">
        <v>118</v>
      </c>
      <c r="G540" s="1" t="s">
        <v>119</v>
      </c>
      <c r="H540" s="1" t="s">
        <v>22</v>
      </c>
      <c r="I540" s="1" t="s">
        <v>120</v>
      </c>
      <c r="J540" s="1">
        <v>0</v>
      </c>
      <c r="L540" s="1">
        <v>2.20462262185</v>
      </c>
      <c r="N540" s="1">
        <v>0</v>
      </c>
      <c r="O540" s="11"/>
      <c r="P540" s="11"/>
      <c r="Q540" s="11"/>
      <c r="R540" s="11"/>
    </row>
    <row r="541" spans="4:18">
      <c r="D541" s="1" t="s">
        <v>132</v>
      </c>
      <c r="E541" s="1" t="s">
        <v>121</v>
      </c>
      <c r="H541" s="1" t="s">
        <v>22</v>
      </c>
      <c r="I541" s="1" t="s">
        <v>120</v>
      </c>
      <c r="L541" s="1">
        <v>1</v>
      </c>
      <c r="N541" s="1">
        <v>0</v>
      </c>
      <c r="O541" s="11"/>
      <c r="P541" s="11"/>
      <c r="Q541" s="11"/>
      <c r="R541" s="11"/>
    </row>
    <row r="542" spans="4:18">
      <c r="D542" s="1" t="s">
        <v>132</v>
      </c>
      <c r="E542" s="1" t="s">
        <v>122</v>
      </c>
      <c r="F542" s="1" t="s">
        <v>56</v>
      </c>
      <c r="G542" s="1" t="s">
        <v>57</v>
      </c>
      <c r="H542" s="1" t="s">
        <v>22</v>
      </c>
      <c r="I542" s="1" t="s">
        <v>65</v>
      </c>
      <c r="L542" s="1">
        <v>1.4503773773020921E-4</v>
      </c>
      <c r="N542" s="1">
        <v>40.528337394878854</v>
      </c>
      <c r="O542" s="11"/>
      <c r="P542" s="11"/>
      <c r="Q542" s="11"/>
      <c r="R542" s="11"/>
    </row>
    <row r="543" spans="4:18">
      <c r="D543" s="1" t="s">
        <v>132</v>
      </c>
      <c r="E543" s="1" t="s">
        <v>123</v>
      </c>
      <c r="F543" s="1" t="s">
        <v>124</v>
      </c>
      <c r="G543" s="1" t="s">
        <v>125</v>
      </c>
      <c r="H543" s="1" t="s">
        <v>22</v>
      </c>
      <c r="I543" s="1" t="s">
        <v>120</v>
      </c>
      <c r="L543" s="1">
        <v>35.314666699999997</v>
      </c>
      <c r="N543" s="1">
        <v>0</v>
      </c>
      <c r="O543" s="11"/>
      <c r="P543" s="11"/>
      <c r="Q543" s="11"/>
      <c r="R543" s="11"/>
    </row>
    <row r="544" spans="4:18">
      <c r="D544" s="1" t="s">
        <v>132</v>
      </c>
      <c r="E544" s="1" t="s">
        <v>126</v>
      </c>
      <c r="H544" s="1" t="s">
        <v>22</v>
      </c>
      <c r="I544" s="1" t="s">
        <v>65</v>
      </c>
      <c r="L544" s="1">
        <v>1</v>
      </c>
      <c r="N544" s="1">
        <v>0.12524506223693779</v>
      </c>
      <c r="O544" s="11"/>
      <c r="P544" s="11"/>
      <c r="Q544" s="11"/>
      <c r="R544" s="11"/>
    </row>
    <row r="545" spans="4:18">
      <c r="D545" s="1" t="s">
        <v>132</v>
      </c>
      <c r="E545" s="1" t="s">
        <v>127</v>
      </c>
      <c r="H545" s="1" t="s">
        <v>25</v>
      </c>
      <c r="I545" s="1" t="s">
        <v>23</v>
      </c>
      <c r="M545" s="1" t="b">
        <v>1</v>
      </c>
      <c r="N545" s="1">
        <v>1</v>
      </c>
      <c r="O545" s="11"/>
      <c r="P545" s="11"/>
      <c r="Q545" s="11"/>
      <c r="R545" s="11"/>
    </row>
    <row r="546" spans="4:18">
      <c r="D546" s="1" t="s">
        <v>136</v>
      </c>
      <c r="E546" s="1" t="s">
        <v>28</v>
      </c>
      <c r="H546" s="1" t="s">
        <v>22</v>
      </c>
      <c r="I546" s="1" t="s">
        <v>29</v>
      </c>
      <c r="J546" s="1">
        <v>34000</v>
      </c>
      <c r="K546" s="1">
        <v>4300000</v>
      </c>
      <c r="L546" s="1">
        <v>349660</v>
      </c>
      <c r="N546" s="1">
        <v>350000</v>
      </c>
      <c r="O546" s="11"/>
      <c r="P546" s="11"/>
      <c r="Q546" s="11"/>
      <c r="R546" s="11"/>
    </row>
    <row r="547" spans="4:18">
      <c r="D547" s="1" t="s">
        <v>136</v>
      </c>
      <c r="E547" s="1" t="s">
        <v>30</v>
      </c>
      <c r="H547" s="1" t="s">
        <v>22</v>
      </c>
      <c r="I547" s="1" t="s">
        <v>29</v>
      </c>
      <c r="J547" s="1">
        <v>-3.94</v>
      </c>
      <c r="K547" s="1">
        <v>3.66</v>
      </c>
      <c r="L547" s="1">
        <v>1</v>
      </c>
      <c r="N547" s="1">
        <v>1.01</v>
      </c>
      <c r="O547" s="11"/>
      <c r="P547" s="11"/>
      <c r="Q547" s="11"/>
      <c r="R547" s="11"/>
    </row>
    <row r="548" spans="4:18">
      <c r="D548" s="1" t="s">
        <v>136</v>
      </c>
      <c r="E548" s="1" t="s">
        <v>31</v>
      </c>
      <c r="H548" s="1" t="s">
        <v>22</v>
      </c>
      <c r="I548" s="1" t="s">
        <v>29</v>
      </c>
      <c r="J548" s="1">
        <v>0</v>
      </c>
      <c r="K548" s="1">
        <v>100</v>
      </c>
      <c r="L548" s="1">
        <v>1</v>
      </c>
      <c r="N548" s="1">
        <v>0</v>
      </c>
      <c r="O548" s="11"/>
      <c r="P548" s="11"/>
      <c r="Q548" s="11"/>
      <c r="R548" s="11"/>
    </row>
    <row r="549" spans="4:18">
      <c r="D549" s="1" t="s">
        <v>136</v>
      </c>
      <c r="E549" s="1" t="s">
        <v>32</v>
      </c>
      <c r="H549" s="1" t="s">
        <v>22</v>
      </c>
      <c r="I549" s="1" t="s">
        <v>29</v>
      </c>
      <c r="J549" s="1">
        <v>-3.94</v>
      </c>
      <c r="K549" s="1">
        <v>3.66</v>
      </c>
      <c r="L549" s="1">
        <v>1</v>
      </c>
      <c r="N549" s="1">
        <v>1.01</v>
      </c>
      <c r="O549" s="11"/>
      <c r="P549" s="11"/>
      <c r="Q549" s="11"/>
      <c r="R549" s="11"/>
    </row>
    <row r="550" spans="4:18">
      <c r="D550" s="1" t="s">
        <v>136</v>
      </c>
      <c r="E550" s="1" t="s">
        <v>33</v>
      </c>
      <c r="H550" s="1" t="s">
        <v>25</v>
      </c>
      <c r="I550" s="1" t="s">
        <v>23</v>
      </c>
      <c r="M550" s="1" t="b">
        <v>0</v>
      </c>
      <c r="N550" s="1">
        <v>0</v>
      </c>
      <c r="O550" s="11"/>
      <c r="P550" s="11"/>
      <c r="Q550" s="11"/>
      <c r="R550" s="11"/>
    </row>
    <row r="551" spans="4:18">
      <c r="D551" s="1" t="s">
        <v>136</v>
      </c>
      <c r="E551" s="1" t="s">
        <v>34</v>
      </c>
      <c r="F551" s="1" t="s">
        <v>35</v>
      </c>
      <c r="G551" s="1" t="s">
        <v>36</v>
      </c>
      <c r="H551" s="1" t="s">
        <v>22</v>
      </c>
      <c r="I551" s="1" t="s">
        <v>23</v>
      </c>
      <c r="J551" s="1">
        <v>-459.67</v>
      </c>
      <c r="K551" s="1">
        <v>980.32999999999993</v>
      </c>
      <c r="L551" s="1">
        <v>80.329999999999984</v>
      </c>
      <c r="M551" s="1">
        <v>67.999999999999943</v>
      </c>
      <c r="N551" s="1">
        <v>67.999999999999943</v>
      </c>
      <c r="O551" s="11"/>
      <c r="P551" s="11"/>
      <c r="Q551" s="11"/>
      <c r="R551" s="11"/>
    </row>
    <row r="552" spans="4:18">
      <c r="D552" s="1" t="s">
        <v>136</v>
      </c>
      <c r="E552" s="1" t="s">
        <v>37</v>
      </c>
      <c r="H552" s="1" t="s">
        <v>25</v>
      </c>
      <c r="I552" s="1" t="s">
        <v>23</v>
      </c>
      <c r="M552" s="1" t="b">
        <v>0</v>
      </c>
      <c r="N552" s="1">
        <v>0</v>
      </c>
      <c r="O552" s="11"/>
      <c r="P552" s="11"/>
      <c r="Q552" s="11"/>
      <c r="R552" s="11"/>
    </row>
    <row r="553" spans="4:18">
      <c r="D553" s="1" t="s">
        <v>136</v>
      </c>
      <c r="E553" s="1" t="s">
        <v>38</v>
      </c>
      <c r="F553" s="1" t="s">
        <v>35</v>
      </c>
      <c r="G553" s="1" t="s">
        <v>36</v>
      </c>
      <c r="H553" s="1" t="s">
        <v>22</v>
      </c>
      <c r="I553" s="1" t="s">
        <v>23</v>
      </c>
      <c r="J553" s="1">
        <v>-99.670000000000016</v>
      </c>
      <c r="K553" s="1">
        <v>980.32999999999993</v>
      </c>
      <c r="L553" s="1">
        <v>80.329999999999984</v>
      </c>
      <c r="M553" s="1">
        <v>13.999999999999943</v>
      </c>
      <c r="N553" s="1">
        <v>13.999999999999943</v>
      </c>
      <c r="O553" s="11"/>
      <c r="P553" s="11"/>
      <c r="Q553" s="11"/>
      <c r="R553" s="11"/>
    </row>
    <row r="554" spans="4:18">
      <c r="D554" s="1" t="s">
        <v>136</v>
      </c>
      <c r="E554" s="1" t="s">
        <v>39</v>
      </c>
      <c r="H554" s="1" t="s">
        <v>25</v>
      </c>
      <c r="I554" s="1" t="s">
        <v>23</v>
      </c>
      <c r="M554" s="1" t="b">
        <v>0</v>
      </c>
      <c r="N554" s="1">
        <v>0</v>
      </c>
      <c r="O554" s="11"/>
      <c r="P554" s="11"/>
      <c r="Q554" s="11"/>
      <c r="R554" s="11"/>
    </row>
    <row r="555" spans="4:18">
      <c r="D555" s="1" t="s">
        <v>136</v>
      </c>
      <c r="E555" s="1" t="s">
        <v>40</v>
      </c>
      <c r="F555" s="1" t="s">
        <v>41</v>
      </c>
      <c r="G555" s="1" t="s">
        <v>42</v>
      </c>
      <c r="H555" s="1" t="s">
        <v>22</v>
      </c>
      <c r="I555" s="1" t="s">
        <v>23</v>
      </c>
      <c r="J555" s="1">
        <v>-900</v>
      </c>
      <c r="K555" s="1">
        <v>900</v>
      </c>
      <c r="L555" s="1">
        <v>1.8</v>
      </c>
      <c r="M555" s="1">
        <v>9</v>
      </c>
      <c r="N555" s="1">
        <v>9</v>
      </c>
      <c r="O555" s="11"/>
      <c r="P555" s="11"/>
      <c r="Q555" s="11"/>
      <c r="R555" s="11"/>
    </row>
    <row r="556" spans="4:18">
      <c r="D556" s="1" t="s">
        <v>136</v>
      </c>
      <c r="E556" s="1" t="s">
        <v>43</v>
      </c>
      <c r="H556" s="1" t="s">
        <v>25</v>
      </c>
      <c r="I556" s="1" t="s">
        <v>23</v>
      </c>
      <c r="M556" s="1" t="b">
        <v>0</v>
      </c>
      <c r="N556" s="1">
        <v>0</v>
      </c>
      <c r="O556" s="11"/>
      <c r="P556" s="11"/>
      <c r="Q556" s="11"/>
      <c r="R556" s="11"/>
    </row>
    <row r="557" spans="4:18">
      <c r="D557" s="1" t="s">
        <v>136</v>
      </c>
      <c r="E557" s="1" t="s">
        <v>44</v>
      </c>
      <c r="F557" s="1" t="s">
        <v>45</v>
      </c>
      <c r="G557" s="1" t="s">
        <v>46</v>
      </c>
      <c r="H557" s="1" t="s">
        <v>22</v>
      </c>
      <c r="I557" s="1" t="s">
        <v>23</v>
      </c>
      <c r="J557" s="1">
        <v>-85.984522757427143</v>
      </c>
      <c r="K557" s="1">
        <v>8598.4522757427148</v>
      </c>
      <c r="L557" s="1">
        <v>114.79148749423418</v>
      </c>
      <c r="M557" s="1">
        <v>128.97678413614071</v>
      </c>
      <c r="N557" s="1">
        <v>128.97678413614071</v>
      </c>
      <c r="O557" s="11"/>
      <c r="P557" s="11"/>
      <c r="Q557" s="11"/>
      <c r="R557" s="11"/>
    </row>
    <row r="558" spans="4:18">
      <c r="D558" s="1" t="s">
        <v>136</v>
      </c>
      <c r="E558" s="1" t="s">
        <v>47</v>
      </c>
      <c r="H558" s="1" t="s">
        <v>25</v>
      </c>
      <c r="I558" s="1" t="s">
        <v>23</v>
      </c>
      <c r="M558" s="1" t="b">
        <v>0</v>
      </c>
      <c r="N558" s="1">
        <v>0</v>
      </c>
      <c r="O558" s="11"/>
      <c r="P558" s="11"/>
      <c r="Q558" s="11"/>
      <c r="R558" s="11"/>
    </row>
    <row r="559" spans="4:18">
      <c r="D559" s="1" t="s">
        <v>136</v>
      </c>
      <c r="E559" s="1" t="s">
        <v>48</v>
      </c>
      <c r="H559" s="1" t="s">
        <v>25</v>
      </c>
      <c r="I559" s="1" t="s">
        <v>23</v>
      </c>
      <c r="M559" s="1" t="b">
        <v>0</v>
      </c>
      <c r="N559" s="1">
        <v>0</v>
      </c>
      <c r="O559" s="11"/>
      <c r="P559" s="11"/>
      <c r="Q559" s="11"/>
      <c r="R559" s="11"/>
    </row>
    <row r="560" spans="4:18">
      <c r="D560" s="1" t="s">
        <v>136</v>
      </c>
      <c r="E560" s="1" t="s">
        <v>49</v>
      </c>
      <c r="H560" s="1" t="s">
        <v>25</v>
      </c>
      <c r="I560" s="1" t="s">
        <v>23</v>
      </c>
      <c r="M560" s="1" t="b">
        <v>0</v>
      </c>
      <c r="N560" s="1">
        <v>0</v>
      </c>
      <c r="O560" s="11"/>
      <c r="P560" s="11"/>
      <c r="Q560" s="11"/>
      <c r="R560" s="11"/>
    </row>
    <row r="561" spans="4:18">
      <c r="D561" s="1" t="s">
        <v>136</v>
      </c>
      <c r="E561" s="1" t="s">
        <v>50</v>
      </c>
      <c r="H561" s="1" t="s">
        <v>25</v>
      </c>
      <c r="I561" s="1" t="s">
        <v>23</v>
      </c>
      <c r="M561" s="1" t="b">
        <v>0</v>
      </c>
      <c r="N561" s="1">
        <v>0</v>
      </c>
      <c r="O561" s="11"/>
      <c r="P561" s="11"/>
      <c r="Q561" s="11"/>
      <c r="R561" s="11"/>
    </row>
    <row r="562" spans="4:18">
      <c r="D562" s="1" t="s">
        <v>136</v>
      </c>
      <c r="E562" s="1" t="s">
        <v>51</v>
      </c>
      <c r="F562" s="1" t="s">
        <v>52</v>
      </c>
      <c r="G562" s="1" t="s">
        <v>53</v>
      </c>
      <c r="H562" s="1" t="s">
        <v>22</v>
      </c>
      <c r="I562" s="1" t="s">
        <v>23</v>
      </c>
      <c r="J562" s="1">
        <v>0</v>
      </c>
      <c r="K562" s="1">
        <v>7936641438.6555996</v>
      </c>
      <c r="L562" s="1">
        <v>7936.6414386555998</v>
      </c>
      <c r="M562" s="1">
        <v>7936.6414386555998</v>
      </c>
      <c r="N562" s="1">
        <v>7936.6414386555998</v>
      </c>
      <c r="O562" s="11"/>
      <c r="P562" s="11"/>
      <c r="Q562" s="11"/>
      <c r="R562" s="11"/>
    </row>
    <row r="563" spans="4:18">
      <c r="D563" s="1" t="s">
        <v>136</v>
      </c>
      <c r="E563" s="1" t="s">
        <v>54</v>
      </c>
      <c r="H563" s="1" t="s">
        <v>25</v>
      </c>
      <c r="I563" s="1" t="s">
        <v>23</v>
      </c>
      <c r="M563" s="1" t="b">
        <v>0</v>
      </c>
      <c r="N563" s="1">
        <v>0</v>
      </c>
      <c r="O563" s="11"/>
      <c r="P563" s="11"/>
      <c r="Q563" s="11"/>
      <c r="R563" s="11"/>
    </row>
    <row r="564" spans="4:18">
      <c r="D564" s="1" t="s">
        <v>136</v>
      </c>
      <c r="E564" s="1" t="s">
        <v>55</v>
      </c>
      <c r="F564" s="1" t="s">
        <v>56</v>
      </c>
      <c r="G564" s="1" t="s">
        <v>57</v>
      </c>
      <c r="H564" s="1" t="s">
        <v>22</v>
      </c>
      <c r="I564" s="1" t="s">
        <v>23</v>
      </c>
      <c r="J564" s="1">
        <v>0</v>
      </c>
      <c r="K564" s="1">
        <v>9427.4529524635982</v>
      </c>
      <c r="L564" s="1">
        <v>50.713895374744951</v>
      </c>
      <c r="M564" s="1">
        <v>50.763208205573221</v>
      </c>
      <c r="N564" s="1">
        <v>50.763208205573221</v>
      </c>
      <c r="O564" s="11"/>
      <c r="P564" s="11"/>
      <c r="Q564" s="11"/>
      <c r="R564" s="11"/>
    </row>
    <row r="565" spans="4:18">
      <c r="D565" s="1" t="s">
        <v>136</v>
      </c>
      <c r="E565" s="1" t="s">
        <v>58</v>
      </c>
      <c r="H565" s="1" t="s">
        <v>25</v>
      </c>
      <c r="I565" s="1" t="s">
        <v>23</v>
      </c>
      <c r="M565" s="1" t="b">
        <v>0</v>
      </c>
      <c r="N565" s="1">
        <v>0</v>
      </c>
      <c r="O565" s="11"/>
      <c r="P565" s="11"/>
      <c r="Q565" s="11"/>
      <c r="R565" s="11"/>
    </row>
    <row r="566" spans="4:18">
      <c r="D566" s="1" t="s">
        <v>136</v>
      </c>
      <c r="E566" s="1" t="s">
        <v>59</v>
      </c>
      <c r="F566" s="1" t="s">
        <v>60</v>
      </c>
      <c r="G566" s="1" t="s">
        <v>61</v>
      </c>
      <c r="H566" s="1" t="s">
        <v>22</v>
      </c>
      <c r="I566" s="1" t="s">
        <v>23</v>
      </c>
      <c r="J566" s="1">
        <v>-9.5538358650799999</v>
      </c>
      <c r="K566" s="1">
        <v>9.5538358650799999</v>
      </c>
      <c r="L566" s="1">
        <v>0.23884589662700001</v>
      </c>
      <c r="M566" s="1">
        <v>0.23884589662700001</v>
      </c>
      <c r="N566" s="1">
        <v>0.23884589662700001</v>
      </c>
      <c r="O566" s="11"/>
      <c r="P566" s="11"/>
      <c r="Q566" s="11"/>
      <c r="R566" s="11"/>
    </row>
    <row r="567" spans="4:18">
      <c r="D567" s="1" t="s">
        <v>136</v>
      </c>
      <c r="E567" s="1" t="s">
        <v>62</v>
      </c>
      <c r="H567" s="1" t="s">
        <v>63</v>
      </c>
      <c r="I567" s="1" t="s">
        <v>23</v>
      </c>
      <c r="M567" s="1">
        <v>1</v>
      </c>
      <c r="N567" s="1">
        <v>1</v>
      </c>
      <c r="O567" s="11"/>
      <c r="P567" s="11"/>
      <c r="Q567" s="11"/>
      <c r="R567" s="11"/>
    </row>
    <row r="568" spans="4:18">
      <c r="D568" s="1" t="s">
        <v>136</v>
      </c>
      <c r="E568" s="1" t="s">
        <v>64</v>
      </c>
      <c r="F568" s="1" t="s">
        <v>35</v>
      </c>
      <c r="G568" s="1" t="s">
        <v>36</v>
      </c>
      <c r="H568" s="1" t="s">
        <v>22</v>
      </c>
      <c r="I568" s="1" t="s">
        <v>65</v>
      </c>
      <c r="J568" s="1">
        <v>-459.67</v>
      </c>
      <c r="L568" s="1">
        <v>80.329999999999984</v>
      </c>
      <c r="N568" s="1">
        <v>74.168479620170672</v>
      </c>
      <c r="O568" s="11"/>
      <c r="P568" s="11"/>
      <c r="Q568" s="11"/>
      <c r="R568" s="11"/>
    </row>
    <row r="569" spans="4:18">
      <c r="D569" s="1" t="s">
        <v>136</v>
      </c>
      <c r="E569" s="1" t="s">
        <v>66</v>
      </c>
      <c r="F569" s="1" t="s">
        <v>35</v>
      </c>
      <c r="G569" s="1" t="s">
        <v>36</v>
      </c>
      <c r="H569" s="1" t="s">
        <v>22</v>
      </c>
      <c r="I569" s="1" t="s">
        <v>65</v>
      </c>
      <c r="J569" s="1">
        <v>-459.67</v>
      </c>
      <c r="L569" s="1">
        <v>80.329999999999984</v>
      </c>
      <c r="N569" s="1">
        <v>74.168479691803384</v>
      </c>
      <c r="O569" s="11"/>
      <c r="P569" s="11"/>
      <c r="Q569" s="11"/>
      <c r="R569" s="11"/>
    </row>
    <row r="570" spans="4:18">
      <c r="D570" s="1" t="s">
        <v>136</v>
      </c>
      <c r="E570" s="1" t="s">
        <v>67</v>
      </c>
      <c r="F570" s="1" t="s">
        <v>41</v>
      </c>
      <c r="G570" s="1" t="s">
        <v>42</v>
      </c>
      <c r="H570" s="1" t="s">
        <v>22</v>
      </c>
      <c r="I570" s="1" t="s">
        <v>65</v>
      </c>
      <c r="L570" s="1">
        <v>1.8</v>
      </c>
      <c r="N570" s="1">
        <v>-7.1632734943705153E-8</v>
      </c>
      <c r="O570" s="11"/>
      <c r="P570" s="11"/>
      <c r="Q570" s="11"/>
      <c r="R570" s="11"/>
    </row>
    <row r="571" spans="4:18">
      <c r="D571" s="1" t="s">
        <v>136</v>
      </c>
      <c r="E571" s="1" t="s">
        <v>68</v>
      </c>
      <c r="F571" s="1" t="s">
        <v>45</v>
      </c>
      <c r="G571" s="1" t="s">
        <v>46</v>
      </c>
      <c r="H571" s="1" t="s">
        <v>22</v>
      </c>
      <c r="I571" s="1" t="s">
        <v>65</v>
      </c>
      <c r="L571" s="1">
        <v>4.2992261378713571E-4</v>
      </c>
      <c r="N571" s="1">
        <v>36.184295294455765</v>
      </c>
      <c r="O571" s="11"/>
      <c r="P571" s="11"/>
      <c r="Q571" s="11"/>
      <c r="R571" s="11"/>
    </row>
    <row r="572" spans="4:18">
      <c r="D572" s="1" t="s">
        <v>136</v>
      </c>
      <c r="E572" s="1" t="s">
        <v>69</v>
      </c>
      <c r="H572" s="1" t="s">
        <v>25</v>
      </c>
      <c r="I572" s="1" t="s">
        <v>70</v>
      </c>
      <c r="N572" s="1">
        <v>0</v>
      </c>
      <c r="O572" s="11"/>
      <c r="P572" s="11"/>
      <c r="Q572" s="11"/>
      <c r="R572" s="11"/>
    </row>
    <row r="573" spans="4:18">
      <c r="D573" s="1" t="s">
        <v>136</v>
      </c>
      <c r="E573" s="1" t="s">
        <v>71</v>
      </c>
      <c r="F573" s="1" t="s">
        <v>52</v>
      </c>
      <c r="G573" s="1" t="s">
        <v>53</v>
      </c>
      <c r="H573" s="1" t="s">
        <v>22</v>
      </c>
      <c r="I573" s="1" t="s">
        <v>65</v>
      </c>
      <c r="L573" s="1">
        <v>7936.6414386555998</v>
      </c>
      <c r="N573" s="1">
        <v>166380.48880651718</v>
      </c>
      <c r="O573" s="11"/>
      <c r="P573" s="11"/>
      <c r="Q573" s="11"/>
      <c r="R573" s="11"/>
    </row>
    <row r="574" spans="4:18">
      <c r="D574" s="1" t="s">
        <v>136</v>
      </c>
      <c r="E574" s="1" t="s">
        <v>72</v>
      </c>
      <c r="F574" s="1" t="s">
        <v>56</v>
      </c>
      <c r="G574" s="1" t="s">
        <v>57</v>
      </c>
      <c r="H574" s="1" t="s">
        <v>22</v>
      </c>
      <c r="I574" s="1" t="s">
        <v>65</v>
      </c>
      <c r="J574" s="1">
        <v>0</v>
      </c>
      <c r="L574" s="1">
        <v>14.503773773020921</v>
      </c>
      <c r="N574" s="1">
        <v>92.062658125001619</v>
      </c>
      <c r="O574" s="11"/>
      <c r="P574" s="11"/>
      <c r="Q574" s="11"/>
      <c r="R574" s="11"/>
    </row>
    <row r="575" spans="4:18">
      <c r="D575" s="1" t="s">
        <v>136</v>
      </c>
      <c r="E575" s="1" t="s">
        <v>73</v>
      </c>
      <c r="F575" s="1" t="s">
        <v>60</v>
      </c>
      <c r="G575" s="1" t="s">
        <v>61</v>
      </c>
      <c r="H575" s="1" t="s">
        <v>22</v>
      </c>
      <c r="I575" s="1" t="s">
        <v>65</v>
      </c>
      <c r="L575" s="1">
        <v>2.38845896627E-4</v>
      </c>
      <c r="N575" s="1">
        <v>7.5683752288896219E-2</v>
      </c>
      <c r="O575" s="11"/>
      <c r="P575" s="11"/>
      <c r="Q575" s="11"/>
      <c r="R575" s="11"/>
    </row>
    <row r="576" spans="4:18">
      <c r="D576" s="1" t="s">
        <v>136</v>
      </c>
      <c r="E576" s="1" t="s">
        <v>74</v>
      </c>
      <c r="F576" s="1" t="s">
        <v>75</v>
      </c>
      <c r="G576" s="1" t="s">
        <v>76</v>
      </c>
      <c r="H576" s="1" t="s">
        <v>22</v>
      </c>
      <c r="I576" s="1" t="s">
        <v>65</v>
      </c>
      <c r="J576" s="1">
        <v>0</v>
      </c>
      <c r="L576" s="1">
        <v>16.018463521800001</v>
      </c>
      <c r="N576" s="1">
        <v>1.3209641383804156E-2</v>
      </c>
      <c r="O576" s="11"/>
      <c r="P576" s="11"/>
      <c r="Q576" s="11"/>
      <c r="R576" s="11"/>
    </row>
    <row r="577" spans="4:18">
      <c r="D577" s="1" t="s">
        <v>136</v>
      </c>
      <c r="E577" s="1" t="s">
        <v>77</v>
      </c>
      <c r="H577" s="1" t="s">
        <v>22</v>
      </c>
      <c r="I577" s="1" t="s">
        <v>65</v>
      </c>
      <c r="L577" s="1">
        <v>1</v>
      </c>
      <c r="N577" s="1">
        <v>-3.137354065671525E-10</v>
      </c>
      <c r="O577" s="11"/>
      <c r="P577" s="11"/>
      <c r="Q577" s="11"/>
      <c r="R577" s="11"/>
    </row>
    <row r="578" spans="4:18">
      <c r="D578" s="1" t="s">
        <v>136</v>
      </c>
      <c r="E578" s="1" t="s">
        <v>78</v>
      </c>
      <c r="H578" s="1" t="s">
        <v>25</v>
      </c>
      <c r="I578" s="1" t="s">
        <v>23</v>
      </c>
      <c r="M578" s="1" t="b">
        <v>0</v>
      </c>
      <c r="N578" s="1">
        <v>0</v>
      </c>
      <c r="O578" s="11"/>
      <c r="P578" s="11"/>
      <c r="Q578" s="11"/>
      <c r="R578" s="11"/>
    </row>
    <row r="579" spans="4:18">
      <c r="D579" s="1" t="s">
        <v>136</v>
      </c>
      <c r="E579" s="1" t="s">
        <v>79</v>
      </c>
      <c r="F579" s="1" t="s">
        <v>75</v>
      </c>
      <c r="G579" s="1" t="s">
        <v>76</v>
      </c>
      <c r="H579" s="1" t="s">
        <v>22</v>
      </c>
      <c r="I579" s="1" t="s">
        <v>23</v>
      </c>
      <c r="J579" s="1">
        <v>0</v>
      </c>
      <c r="K579" s="1">
        <v>96.110781130800007</v>
      </c>
      <c r="L579" s="1">
        <v>16.018463521800001</v>
      </c>
      <c r="M579" s="1">
        <v>1.6018463521800002</v>
      </c>
      <c r="N579" s="1">
        <v>1.6018463521800002</v>
      </c>
      <c r="O579" s="11"/>
      <c r="P579" s="11"/>
      <c r="Q579" s="11"/>
      <c r="R579" s="11"/>
    </row>
    <row r="580" spans="4:18">
      <c r="D580" s="1" t="s">
        <v>136</v>
      </c>
      <c r="E580" s="1" t="s">
        <v>80</v>
      </c>
      <c r="H580" s="1" t="s">
        <v>25</v>
      </c>
      <c r="I580" s="1" t="s">
        <v>23</v>
      </c>
      <c r="M580" s="1" t="b">
        <v>0</v>
      </c>
      <c r="N580" s="1">
        <v>0</v>
      </c>
      <c r="O580" s="11"/>
      <c r="P580" s="11"/>
      <c r="Q580" s="11"/>
      <c r="R580" s="11"/>
    </row>
    <row r="581" spans="4:18">
      <c r="D581" s="1" t="s">
        <v>136</v>
      </c>
      <c r="E581" s="1" t="s">
        <v>81</v>
      </c>
      <c r="H581" s="1" t="s">
        <v>25</v>
      </c>
      <c r="I581" s="1" t="s">
        <v>23</v>
      </c>
      <c r="M581" s="1" t="b">
        <v>0</v>
      </c>
      <c r="N581" s="1">
        <v>0</v>
      </c>
      <c r="O581" s="11"/>
      <c r="P581" s="11"/>
      <c r="Q581" s="11"/>
      <c r="R581" s="11"/>
    </row>
    <row r="582" spans="4:18">
      <c r="D582" s="1" t="s">
        <v>136</v>
      </c>
      <c r="E582" s="1" t="s">
        <v>82</v>
      </c>
      <c r="H582" s="1" t="s">
        <v>22</v>
      </c>
      <c r="I582" s="1" t="s">
        <v>23</v>
      </c>
      <c r="J582" s="1">
        <v>-1</v>
      </c>
      <c r="K582" s="1">
        <v>3</v>
      </c>
      <c r="L582" s="1">
        <v>1</v>
      </c>
      <c r="M582" s="1">
        <v>1.01</v>
      </c>
      <c r="N582" s="1">
        <v>1.01</v>
      </c>
      <c r="O582" s="11"/>
      <c r="P582" s="11"/>
      <c r="Q582" s="11"/>
      <c r="R582" s="11"/>
    </row>
    <row r="583" spans="4:18">
      <c r="D583" s="1" t="s">
        <v>137</v>
      </c>
      <c r="E583" s="1" t="s">
        <v>28</v>
      </c>
      <c r="H583" s="1" t="s">
        <v>22</v>
      </c>
      <c r="I583" s="1" t="s">
        <v>29</v>
      </c>
      <c r="J583" s="1">
        <v>34000</v>
      </c>
      <c r="K583" s="1">
        <v>4300000</v>
      </c>
      <c r="L583" s="1">
        <v>349660</v>
      </c>
      <c r="N583" s="1">
        <v>350000</v>
      </c>
      <c r="O583" s="11"/>
      <c r="P583" s="11"/>
      <c r="Q583" s="11"/>
      <c r="R583" s="11"/>
    </row>
    <row r="584" spans="4:18">
      <c r="D584" s="1" t="s">
        <v>137</v>
      </c>
      <c r="E584" s="1" t="s">
        <v>30</v>
      </c>
      <c r="H584" s="1" t="s">
        <v>22</v>
      </c>
      <c r="I584" s="1" t="s">
        <v>29</v>
      </c>
      <c r="J584" s="1">
        <v>-3.94</v>
      </c>
      <c r="K584" s="1">
        <v>3.66</v>
      </c>
      <c r="L584" s="1">
        <v>1</v>
      </c>
      <c r="N584" s="1">
        <v>1.01</v>
      </c>
      <c r="O584" s="11"/>
      <c r="P584" s="11"/>
      <c r="Q584" s="11"/>
      <c r="R584" s="11"/>
    </row>
    <row r="585" spans="4:18">
      <c r="D585" s="1" t="s">
        <v>137</v>
      </c>
      <c r="E585" s="1" t="s">
        <v>31</v>
      </c>
      <c r="H585" s="1" t="s">
        <v>22</v>
      </c>
      <c r="I585" s="1" t="s">
        <v>29</v>
      </c>
      <c r="J585" s="1">
        <v>0</v>
      </c>
      <c r="K585" s="1">
        <v>100</v>
      </c>
      <c r="L585" s="1">
        <v>1</v>
      </c>
      <c r="N585" s="1">
        <v>0</v>
      </c>
      <c r="O585" s="11"/>
      <c r="P585" s="11"/>
      <c r="Q585" s="11"/>
      <c r="R585" s="11"/>
    </row>
    <row r="586" spans="4:18">
      <c r="D586" s="1" t="s">
        <v>137</v>
      </c>
      <c r="E586" s="1" t="s">
        <v>32</v>
      </c>
      <c r="H586" s="1" t="s">
        <v>22</v>
      </c>
      <c r="I586" s="1" t="s">
        <v>29</v>
      </c>
      <c r="J586" s="1">
        <v>-3.94</v>
      </c>
      <c r="K586" s="1">
        <v>3.66</v>
      </c>
      <c r="L586" s="1">
        <v>1</v>
      </c>
      <c r="N586" s="1">
        <v>1.01</v>
      </c>
      <c r="O586" s="11"/>
      <c r="P586" s="11"/>
      <c r="Q586" s="11"/>
      <c r="R586" s="11"/>
    </row>
    <row r="587" spans="4:18">
      <c r="D587" s="1" t="s">
        <v>137</v>
      </c>
      <c r="E587" s="1" t="s">
        <v>33</v>
      </c>
      <c r="H587" s="1" t="s">
        <v>25</v>
      </c>
      <c r="I587" s="1" t="s">
        <v>23</v>
      </c>
      <c r="M587" s="1" t="b">
        <v>0</v>
      </c>
      <c r="N587" s="1">
        <v>0</v>
      </c>
      <c r="O587" s="11"/>
      <c r="P587" s="11"/>
      <c r="Q587" s="11"/>
      <c r="R587" s="11"/>
    </row>
    <row r="588" spans="4:18">
      <c r="D588" s="1" t="s">
        <v>137</v>
      </c>
      <c r="E588" s="1" t="s">
        <v>34</v>
      </c>
      <c r="F588" s="1" t="s">
        <v>35</v>
      </c>
      <c r="G588" s="1" t="s">
        <v>36</v>
      </c>
      <c r="H588" s="1" t="s">
        <v>22</v>
      </c>
      <c r="I588" s="1" t="s">
        <v>23</v>
      </c>
      <c r="J588" s="1">
        <v>-459.67</v>
      </c>
      <c r="K588" s="1">
        <v>980.32999999999993</v>
      </c>
      <c r="L588" s="1">
        <v>80.329999999999984</v>
      </c>
      <c r="M588" s="1">
        <v>67.999999999999943</v>
      </c>
      <c r="N588" s="1">
        <v>67.999999999999943</v>
      </c>
      <c r="O588" s="11"/>
      <c r="P588" s="11"/>
      <c r="Q588" s="11"/>
      <c r="R588" s="11"/>
    </row>
    <row r="589" spans="4:18">
      <c r="D589" s="1" t="s">
        <v>137</v>
      </c>
      <c r="E589" s="1" t="s">
        <v>37</v>
      </c>
      <c r="H589" s="1" t="s">
        <v>25</v>
      </c>
      <c r="I589" s="1" t="s">
        <v>23</v>
      </c>
      <c r="M589" s="1" t="b">
        <v>0</v>
      </c>
      <c r="N589" s="1">
        <v>0</v>
      </c>
      <c r="O589" s="11"/>
      <c r="P589" s="11"/>
      <c r="Q589" s="11"/>
      <c r="R589" s="11"/>
    </row>
    <row r="590" spans="4:18">
      <c r="D590" s="1" t="s">
        <v>137</v>
      </c>
      <c r="E590" s="1" t="s">
        <v>38</v>
      </c>
      <c r="F590" s="1" t="s">
        <v>35</v>
      </c>
      <c r="G590" s="1" t="s">
        <v>36</v>
      </c>
      <c r="H590" s="1" t="s">
        <v>22</v>
      </c>
      <c r="I590" s="1" t="s">
        <v>23</v>
      </c>
      <c r="J590" s="1">
        <v>-99.670000000000016</v>
      </c>
      <c r="K590" s="1">
        <v>980.32999999999993</v>
      </c>
      <c r="L590" s="1">
        <v>80.329999999999984</v>
      </c>
      <c r="M590" s="1">
        <v>13.999999999999943</v>
      </c>
      <c r="N590" s="1">
        <v>13.999999999999943</v>
      </c>
      <c r="O590" s="11"/>
      <c r="P590" s="11"/>
      <c r="Q590" s="11"/>
      <c r="R590" s="11"/>
    </row>
    <row r="591" spans="4:18">
      <c r="D591" s="1" t="s">
        <v>137</v>
      </c>
      <c r="E591" s="1" t="s">
        <v>39</v>
      </c>
      <c r="H591" s="1" t="s">
        <v>25</v>
      </c>
      <c r="I591" s="1" t="s">
        <v>23</v>
      </c>
      <c r="M591" s="1" t="b">
        <v>0</v>
      </c>
      <c r="N591" s="1">
        <v>0</v>
      </c>
      <c r="O591" s="11"/>
      <c r="P591" s="11"/>
      <c r="Q591" s="11"/>
      <c r="R591" s="11"/>
    </row>
    <row r="592" spans="4:18">
      <c r="D592" s="1" t="s">
        <v>137</v>
      </c>
      <c r="E592" s="1" t="s">
        <v>40</v>
      </c>
      <c r="F592" s="1" t="s">
        <v>41</v>
      </c>
      <c r="G592" s="1" t="s">
        <v>42</v>
      </c>
      <c r="H592" s="1" t="s">
        <v>22</v>
      </c>
      <c r="I592" s="1" t="s">
        <v>23</v>
      </c>
      <c r="J592" s="1">
        <v>-900</v>
      </c>
      <c r="K592" s="1">
        <v>900</v>
      </c>
      <c r="L592" s="1">
        <v>1.8</v>
      </c>
      <c r="M592" s="1">
        <v>9</v>
      </c>
      <c r="N592" s="1">
        <v>9</v>
      </c>
      <c r="O592" s="11"/>
      <c r="P592" s="11"/>
      <c r="Q592" s="11"/>
      <c r="R592" s="11"/>
    </row>
    <row r="593" spans="4:18">
      <c r="D593" s="1" t="s">
        <v>137</v>
      </c>
      <c r="E593" s="1" t="s">
        <v>43</v>
      </c>
      <c r="H593" s="1" t="s">
        <v>25</v>
      </c>
      <c r="I593" s="1" t="s">
        <v>23</v>
      </c>
      <c r="M593" s="1" t="b">
        <v>0</v>
      </c>
      <c r="N593" s="1">
        <v>0</v>
      </c>
      <c r="O593" s="11"/>
      <c r="P593" s="11"/>
      <c r="Q593" s="11"/>
      <c r="R593" s="11"/>
    </row>
    <row r="594" spans="4:18">
      <c r="D594" s="1" t="s">
        <v>137</v>
      </c>
      <c r="E594" s="1" t="s">
        <v>44</v>
      </c>
      <c r="F594" s="1" t="s">
        <v>45</v>
      </c>
      <c r="G594" s="1" t="s">
        <v>46</v>
      </c>
      <c r="H594" s="1" t="s">
        <v>22</v>
      </c>
      <c r="I594" s="1" t="s">
        <v>23</v>
      </c>
      <c r="J594" s="1">
        <v>-85.984522757427143</v>
      </c>
      <c r="K594" s="1">
        <v>8598.4522757427148</v>
      </c>
      <c r="L594" s="1">
        <v>114.79148749423418</v>
      </c>
      <c r="M594" s="1">
        <v>128.97678413614071</v>
      </c>
      <c r="N594" s="1">
        <v>128.97678413614071</v>
      </c>
      <c r="O594" s="11"/>
      <c r="P594" s="11"/>
      <c r="Q594" s="11"/>
      <c r="R594" s="11"/>
    </row>
    <row r="595" spans="4:18">
      <c r="D595" s="1" t="s">
        <v>137</v>
      </c>
      <c r="E595" s="1" t="s">
        <v>47</v>
      </c>
      <c r="H595" s="1" t="s">
        <v>25</v>
      </c>
      <c r="I595" s="1" t="s">
        <v>23</v>
      </c>
      <c r="M595" s="1" t="b">
        <v>0</v>
      </c>
      <c r="N595" s="1">
        <v>0</v>
      </c>
      <c r="O595" s="11"/>
      <c r="P595" s="11"/>
      <c r="Q595" s="11"/>
      <c r="R595" s="11"/>
    </row>
    <row r="596" spans="4:18">
      <c r="D596" s="1" t="s">
        <v>137</v>
      </c>
      <c r="E596" s="1" t="s">
        <v>48</v>
      </c>
      <c r="H596" s="1" t="s">
        <v>25</v>
      </c>
      <c r="I596" s="1" t="s">
        <v>23</v>
      </c>
      <c r="M596" s="1" t="b">
        <v>0</v>
      </c>
      <c r="N596" s="1">
        <v>0</v>
      </c>
      <c r="O596" s="11"/>
      <c r="P596" s="11"/>
      <c r="Q596" s="11"/>
      <c r="R596" s="11"/>
    </row>
    <row r="597" spans="4:18">
      <c r="D597" s="1" t="s">
        <v>137</v>
      </c>
      <c r="E597" s="1" t="s">
        <v>49</v>
      </c>
      <c r="H597" s="1" t="s">
        <v>25</v>
      </c>
      <c r="I597" s="1" t="s">
        <v>23</v>
      </c>
      <c r="M597" s="1" t="b">
        <v>0</v>
      </c>
      <c r="N597" s="1">
        <v>0</v>
      </c>
      <c r="O597" s="11"/>
      <c r="P597" s="11"/>
      <c r="Q597" s="11"/>
      <c r="R597" s="11"/>
    </row>
    <row r="598" spans="4:18">
      <c r="D598" s="1" t="s">
        <v>137</v>
      </c>
      <c r="E598" s="1" t="s">
        <v>50</v>
      </c>
      <c r="H598" s="1" t="s">
        <v>25</v>
      </c>
      <c r="I598" s="1" t="s">
        <v>23</v>
      </c>
      <c r="M598" s="1" t="b">
        <v>0</v>
      </c>
      <c r="N598" s="1">
        <v>0</v>
      </c>
      <c r="O598" s="11"/>
      <c r="P598" s="11"/>
      <c r="Q598" s="11"/>
      <c r="R598" s="11"/>
    </row>
    <row r="599" spans="4:18">
      <c r="D599" s="1" t="s">
        <v>137</v>
      </c>
      <c r="E599" s="1" t="s">
        <v>51</v>
      </c>
      <c r="F599" s="1" t="s">
        <v>52</v>
      </c>
      <c r="G599" s="1" t="s">
        <v>53</v>
      </c>
      <c r="H599" s="1" t="s">
        <v>22</v>
      </c>
      <c r="I599" s="1" t="s">
        <v>23</v>
      </c>
      <c r="J599" s="1">
        <v>0</v>
      </c>
      <c r="K599" s="1">
        <v>7936641438.6555996</v>
      </c>
      <c r="L599" s="1">
        <v>7936.6414386555998</v>
      </c>
      <c r="M599" s="1">
        <v>7936.6414386555998</v>
      </c>
      <c r="N599" s="1">
        <v>7936.6414386555998</v>
      </c>
      <c r="O599" s="11"/>
      <c r="P599" s="11"/>
      <c r="Q599" s="11"/>
      <c r="R599" s="11"/>
    </row>
    <row r="600" spans="4:18">
      <c r="D600" s="1" t="s">
        <v>137</v>
      </c>
      <c r="E600" s="1" t="s">
        <v>54</v>
      </c>
      <c r="H600" s="1" t="s">
        <v>25</v>
      </c>
      <c r="I600" s="1" t="s">
        <v>23</v>
      </c>
      <c r="M600" s="1" t="b">
        <v>0</v>
      </c>
      <c r="N600" s="1">
        <v>0</v>
      </c>
      <c r="O600" s="11"/>
      <c r="P600" s="11"/>
      <c r="Q600" s="11"/>
      <c r="R600" s="11"/>
    </row>
    <row r="601" spans="4:18">
      <c r="D601" s="1" t="s">
        <v>137</v>
      </c>
      <c r="E601" s="1" t="s">
        <v>55</v>
      </c>
      <c r="F601" s="1" t="s">
        <v>56</v>
      </c>
      <c r="G601" s="1" t="s">
        <v>57</v>
      </c>
      <c r="H601" s="1" t="s">
        <v>22</v>
      </c>
      <c r="I601" s="1" t="s">
        <v>23</v>
      </c>
      <c r="J601" s="1">
        <v>0</v>
      </c>
      <c r="K601" s="1">
        <v>9427.4529524635982</v>
      </c>
      <c r="L601" s="1">
        <v>50.713895374744951</v>
      </c>
      <c r="M601" s="1">
        <v>50.763208205573221</v>
      </c>
      <c r="N601" s="1">
        <v>50.763208205573221</v>
      </c>
      <c r="O601" s="11"/>
      <c r="P601" s="11"/>
      <c r="Q601" s="11"/>
      <c r="R601" s="11"/>
    </row>
    <row r="602" spans="4:18">
      <c r="D602" s="1" t="s">
        <v>137</v>
      </c>
      <c r="E602" s="1" t="s">
        <v>58</v>
      </c>
      <c r="H602" s="1" t="s">
        <v>25</v>
      </c>
      <c r="I602" s="1" t="s">
        <v>23</v>
      </c>
      <c r="M602" s="1" t="b">
        <v>0</v>
      </c>
      <c r="N602" s="1">
        <v>0</v>
      </c>
      <c r="O602" s="11"/>
      <c r="P602" s="11"/>
      <c r="Q602" s="11"/>
      <c r="R602" s="11"/>
    </row>
    <row r="603" spans="4:18">
      <c r="D603" s="1" t="s">
        <v>137</v>
      </c>
      <c r="E603" s="1" t="s">
        <v>59</v>
      </c>
      <c r="F603" s="1" t="s">
        <v>60</v>
      </c>
      <c r="G603" s="1" t="s">
        <v>61</v>
      </c>
      <c r="H603" s="1" t="s">
        <v>22</v>
      </c>
      <c r="I603" s="1" t="s">
        <v>23</v>
      </c>
      <c r="J603" s="1">
        <v>-9.5538358650799999</v>
      </c>
      <c r="K603" s="1">
        <v>9.5538358650799999</v>
      </c>
      <c r="L603" s="1">
        <v>0.23884589662700001</v>
      </c>
      <c r="M603" s="1">
        <v>0.23884589662700001</v>
      </c>
      <c r="N603" s="1">
        <v>0.23884589662700001</v>
      </c>
      <c r="O603" s="11"/>
      <c r="P603" s="11"/>
      <c r="Q603" s="11"/>
      <c r="R603" s="11"/>
    </row>
    <row r="604" spans="4:18">
      <c r="D604" s="1" t="s">
        <v>137</v>
      </c>
      <c r="E604" s="1" t="s">
        <v>62</v>
      </c>
      <c r="H604" s="1" t="s">
        <v>63</v>
      </c>
      <c r="I604" s="1" t="s">
        <v>23</v>
      </c>
      <c r="M604" s="1">
        <v>1</v>
      </c>
      <c r="N604" s="1">
        <v>1</v>
      </c>
      <c r="O604" s="11"/>
      <c r="P604" s="11"/>
      <c r="Q604" s="11"/>
      <c r="R604" s="11"/>
    </row>
    <row r="605" spans="4:18">
      <c r="D605" s="1" t="s">
        <v>137</v>
      </c>
      <c r="E605" s="1" t="s">
        <v>64</v>
      </c>
      <c r="F605" s="1" t="s">
        <v>35</v>
      </c>
      <c r="G605" s="1" t="s">
        <v>36</v>
      </c>
      <c r="H605" s="1" t="s">
        <v>22</v>
      </c>
      <c r="I605" s="1" t="s">
        <v>65</v>
      </c>
      <c r="J605" s="1">
        <v>-459.67</v>
      </c>
      <c r="L605" s="1">
        <v>80.329999999999984</v>
      </c>
      <c r="N605" s="1">
        <v>74.168479691803384</v>
      </c>
      <c r="O605" s="11"/>
      <c r="P605" s="11"/>
      <c r="Q605" s="11"/>
      <c r="R605" s="11"/>
    </row>
    <row r="606" spans="4:18">
      <c r="D606" s="1" t="s">
        <v>137</v>
      </c>
      <c r="E606" s="1" t="s">
        <v>66</v>
      </c>
      <c r="F606" s="1" t="s">
        <v>35</v>
      </c>
      <c r="G606" s="1" t="s">
        <v>36</v>
      </c>
      <c r="H606" s="1" t="s">
        <v>22</v>
      </c>
      <c r="I606" s="1" t="s">
        <v>65</v>
      </c>
      <c r="J606" s="1">
        <v>-459.67</v>
      </c>
      <c r="L606" s="1">
        <v>80.329999999999984</v>
      </c>
      <c r="N606" s="1">
        <v>74.168479691803384</v>
      </c>
      <c r="O606" s="11"/>
      <c r="P606" s="11"/>
      <c r="Q606" s="11"/>
      <c r="R606" s="11"/>
    </row>
    <row r="607" spans="4:18">
      <c r="D607" s="1" t="s">
        <v>137</v>
      </c>
      <c r="E607" s="1" t="s">
        <v>67</v>
      </c>
      <c r="F607" s="1" t="s">
        <v>41</v>
      </c>
      <c r="G607" s="1" t="s">
        <v>42</v>
      </c>
      <c r="H607" s="1" t="s">
        <v>22</v>
      </c>
      <c r="I607" s="1" t="s">
        <v>65</v>
      </c>
      <c r="L607" s="1">
        <v>1.8</v>
      </c>
      <c r="N607" s="1">
        <v>0</v>
      </c>
      <c r="O607" s="11"/>
      <c r="P607" s="11"/>
      <c r="Q607" s="11"/>
      <c r="R607" s="11"/>
    </row>
    <row r="608" spans="4:18">
      <c r="D608" s="1" t="s">
        <v>137</v>
      </c>
      <c r="E608" s="1" t="s">
        <v>68</v>
      </c>
      <c r="F608" s="1" t="s">
        <v>45</v>
      </c>
      <c r="G608" s="1" t="s">
        <v>46</v>
      </c>
      <c r="H608" s="1" t="s">
        <v>22</v>
      </c>
      <c r="I608" s="1" t="s">
        <v>65</v>
      </c>
      <c r="L608" s="1">
        <v>4.2992261378713571E-4</v>
      </c>
      <c r="N608" s="1">
        <v>42.783075138634636</v>
      </c>
      <c r="O608" s="11"/>
      <c r="P608" s="11"/>
      <c r="Q608" s="11"/>
      <c r="R608" s="11"/>
    </row>
    <row r="609" spans="4:18">
      <c r="D609" s="1" t="s">
        <v>137</v>
      </c>
      <c r="E609" s="1" t="s">
        <v>69</v>
      </c>
      <c r="H609" s="1" t="s">
        <v>25</v>
      </c>
      <c r="I609" s="1" t="s">
        <v>70</v>
      </c>
      <c r="N609" s="1">
        <v>0</v>
      </c>
      <c r="O609" s="11"/>
      <c r="P609" s="11"/>
      <c r="Q609" s="11"/>
      <c r="R609" s="11"/>
    </row>
    <row r="610" spans="4:18">
      <c r="D610" s="1" t="s">
        <v>137</v>
      </c>
      <c r="E610" s="1" t="s">
        <v>71</v>
      </c>
      <c r="F610" s="1" t="s">
        <v>52</v>
      </c>
      <c r="G610" s="1" t="s">
        <v>53</v>
      </c>
      <c r="H610" s="1" t="s">
        <v>22</v>
      </c>
      <c r="I610" s="1" t="s">
        <v>65</v>
      </c>
      <c r="L610" s="1">
        <v>7936.6414386555998</v>
      </c>
      <c r="N610" s="1">
        <v>181964.07908194777</v>
      </c>
      <c r="O610" s="11"/>
      <c r="P610" s="11"/>
      <c r="Q610" s="11"/>
      <c r="R610" s="11"/>
    </row>
    <row r="611" spans="4:18">
      <c r="D611" s="1" t="s">
        <v>137</v>
      </c>
      <c r="E611" s="1" t="s">
        <v>72</v>
      </c>
      <c r="F611" s="1" t="s">
        <v>56</v>
      </c>
      <c r="G611" s="1" t="s">
        <v>57</v>
      </c>
      <c r="H611" s="1" t="s">
        <v>22</v>
      </c>
      <c r="I611" s="1" t="s">
        <v>65</v>
      </c>
      <c r="J611" s="1">
        <v>0</v>
      </c>
      <c r="L611" s="1">
        <v>14.503773773020921</v>
      </c>
      <c r="N611" s="1">
        <v>92.062658125001619</v>
      </c>
      <c r="O611" s="11"/>
      <c r="P611" s="11"/>
      <c r="Q611" s="11"/>
      <c r="R611" s="11"/>
    </row>
    <row r="612" spans="4:18">
      <c r="D612" s="1" t="s">
        <v>137</v>
      </c>
      <c r="E612" s="1" t="s">
        <v>73</v>
      </c>
      <c r="F612" s="1" t="s">
        <v>60</v>
      </c>
      <c r="G612" s="1" t="s">
        <v>61</v>
      </c>
      <c r="H612" s="1" t="s">
        <v>22</v>
      </c>
      <c r="I612" s="1" t="s">
        <v>65</v>
      </c>
      <c r="L612" s="1">
        <v>2.38845896627E-4</v>
      </c>
      <c r="N612" s="1">
        <v>8.8044764546123103E-2</v>
      </c>
      <c r="O612" s="11"/>
      <c r="P612" s="11"/>
      <c r="Q612" s="11"/>
      <c r="R612" s="11"/>
    </row>
    <row r="613" spans="4:18">
      <c r="D613" s="1" t="s">
        <v>137</v>
      </c>
      <c r="E613" s="1" t="s">
        <v>74</v>
      </c>
      <c r="F613" s="1" t="s">
        <v>75</v>
      </c>
      <c r="G613" s="1" t="s">
        <v>76</v>
      </c>
      <c r="H613" s="1" t="s">
        <v>22</v>
      </c>
      <c r="I613" s="1" t="s">
        <v>65</v>
      </c>
      <c r="J613" s="1">
        <v>0</v>
      </c>
      <c r="L613" s="1">
        <v>16.018463521800001</v>
      </c>
      <c r="N613" s="1">
        <v>5.654765789848791E-2</v>
      </c>
      <c r="O613" s="11"/>
      <c r="P613" s="11"/>
      <c r="Q613" s="11"/>
      <c r="R613" s="11"/>
    </row>
    <row r="614" spans="4:18">
      <c r="D614" s="1" t="s">
        <v>137</v>
      </c>
      <c r="E614" s="1" t="s">
        <v>77</v>
      </c>
      <c r="H614" s="1" t="s">
        <v>22</v>
      </c>
      <c r="I614" s="1" t="s">
        <v>65</v>
      </c>
      <c r="L614" s="1">
        <v>1</v>
      </c>
      <c r="N614" s="1">
        <v>8.5641024876879371E-2</v>
      </c>
      <c r="O614" s="11"/>
      <c r="P614" s="11"/>
      <c r="Q614" s="11"/>
      <c r="R614" s="11"/>
    </row>
    <row r="615" spans="4:18">
      <c r="D615" s="1" t="s">
        <v>137</v>
      </c>
      <c r="E615" s="1" t="s">
        <v>78</v>
      </c>
      <c r="H615" s="1" t="s">
        <v>25</v>
      </c>
      <c r="I615" s="1" t="s">
        <v>23</v>
      </c>
      <c r="M615" s="1" t="b">
        <v>0</v>
      </c>
      <c r="N615" s="1">
        <v>0</v>
      </c>
      <c r="O615" s="11"/>
      <c r="P615" s="11"/>
      <c r="Q615" s="11"/>
      <c r="R615" s="11"/>
    </row>
    <row r="616" spans="4:18">
      <c r="D616" s="1" t="s">
        <v>137</v>
      </c>
      <c r="E616" s="1" t="s">
        <v>79</v>
      </c>
      <c r="F616" s="1" t="s">
        <v>75</v>
      </c>
      <c r="G616" s="1" t="s">
        <v>76</v>
      </c>
      <c r="H616" s="1" t="s">
        <v>22</v>
      </c>
      <c r="I616" s="1" t="s">
        <v>23</v>
      </c>
      <c r="J616" s="1">
        <v>0</v>
      </c>
      <c r="K616" s="1">
        <v>96.110781130800007</v>
      </c>
      <c r="L616" s="1">
        <v>16.018463521800001</v>
      </c>
      <c r="M616" s="1">
        <v>1.6018463521800002</v>
      </c>
      <c r="N616" s="1">
        <v>1.6018463521800002</v>
      </c>
      <c r="O616" s="11"/>
      <c r="P616" s="11"/>
      <c r="Q616" s="11"/>
      <c r="R616" s="11"/>
    </row>
    <row r="617" spans="4:18">
      <c r="D617" s="1" t="s">
        <v>137</v>
      </c>
      <c r="E617" s="1" t="s">
        <v>80</v>
      </c>
      <c r="H617" s="1" t="s">
        <v>25</v>
      </c>
      <c r="I617" s="1" t="s">
        <v>23</v>
      </c>
      <c r="M617" s="1" t="b">
        <v>0</v>
      </c>
      <c r="N617" s="1">
        <v>0</v>
      </c>
      <c r="O617" s="11"/>
      <c r="P617" s="11"/>
      <c r="Q617" s="11"/>
      <c r="R617" s="11"/>
    </row>
    <row r="618" spans="4:18">
      <c r="D618" s="1" t="s">
        <v>137</v>
      </c>
      <c r="E618" s="1" t="s">
        <v>81</v>
      </c>
      <c r="H618" s="1" t="s">
        <v>25</v>
      </c>
      <c r="I618" s="1" t="s">
        <v>23</v>
      </c>
      <c r="M618" s="1" t="b">
        <v>0</v>
      </c>
      <c r="N618" s="1">
        <v>0</v>
      </c>
      <c r="O618" s="11"/>
      <c r="P618" s="11"/>
      <c r="Q618" s="11"/>
      <c r="R618" s="11"/>
    </row>
    <row r="619" spans="4:18">
      <c r="D619" s="1" t="s">
        <v>137</v>
      </c>
      <c r="E619" s="1" t="s">
        <v>82</v>
      </c>
      <c r="H619" s="1" t="s">
        <v>22</v>
      </c>
      <c r="I619" s="1" t="s">
        <v>23</v>
      </c>
      <c r="J619" s="1">
        <v>-1</v>
      </c>
      <c r="K619" s="1">
        <v>3</v>
      </c>
      <c r="L619" s="1">
        <v>1</v>
      </c>
      <c r="M619" s="1">
        <v>1.01</v>
      </c>
      <c r="N619" s="1">
        <v>1.01</v>
      </c>
      <c r="O619" s="11"/>
      <c r="P619" s="11"/>
      <c r="Q619" s="11"/>
      <c r="R619" s="11"/>
    </row>
    <row r="620" spans="4:18">
      <c r="D620" s="1" t="s">
        <v>138</v>
      </c>
      <c r="E620" s="1" t="s">
        <v>28</v>
      </c>
      <c r="H620" s="1" t="s">
        <v>22</v>
      </c>
      <c r="I620" s="1" t="s">
        <v>29</v>
      </c>
      <c r="J620" s="1">
        <v>34000</v>
      </c>
      <c r="K620" s="1">
        <v>4300000</v>
      </c>
      <c r="L620" s="1">
        <v>349660</v>
      </c>
      <c r="N620" s="1">
        <v>350000</v>
      </c>
      <c r="O620" s="11"/>
      <c r="P620" s="11"/>
      <c r="Q620" s="11"/>
      <c r="R620" s="11"/>
    </row>
    <row r="621" spans="4:18">
      <c r="D621" s="1" t="s">
        <v>138</v>
      </c>
      <c r="E621" s="1" t="s">
        <v>30</v>
      </c>
      <c r="H621" s="1" t="s">
        <v>22</v>
      </c>
      <c r="I621" s="1" t="s">
        <v>29</v>
      </c>
      <c r="J621" s="1">
        <v>-3.94</v>
      </c>
      <c r="K621" s="1">
        <v>3.66</v>
      </c>
      <c r="L621" s="1">
        <v>1</v>
      </c>
      <c r="N621" s="1">
        <v>1.01</v>
      </c>
      <c r="O621" s="11"/>
      <c r="P621" s="11"/>
      <c r="Q621" s="11"/>
      <c r="R621" s="11"/>
    </row>
    <row r="622" spans="4:18">
      <c r="D622" s="1" t="s">
        <v>138</v>
      </c>
      <c r="E622" s="1" t="s">
        <v>31</v>
      </c>
      <c r="H622" s="1" t="s">
        <v>22</v>
      </c>
      <c r="I622" s="1" t="s">
        <v>29</v>
      </c>
      <c r="J622" s="1">
        <v>0</v>
      </c>
      <c r="K622" s="1">
        <v>100</v>
      </c>
      <c r="L622" s="1">
        <v>1</v>
      </c>
      <c r="N622" s="1">
        <v>0</v>
      </c>
      <c r="O622" s="11"/>
      <c r="P622" s="11"/>
      <c r="Q622" s="11"/>
      <c r="R622" s="11"/>
    </row>
    <row r="623" spans="4:18">
      <c r="D623" s="1" t="s">
        <v>138</v>
      </c>
      <c r="E623" s="1" t="s">
        <v>32</v>
      </c>
      <c r="H623" s="1" t="s">
        <v>22</v>
      </c>
      <c r="I623" s="1" t="s">
        <v>29</v>
      </c>
      <c r="J623" s="1">
        <v>-3.94</v>
      </c>
      <c r="K623" s="1">
        <v>3.66</v>
      </c>
      <c r="L623" s="1">
        <v>1</v>
      </c>
      <c r="N623" s="1">
        <v>1.01</v>
      </c>
      <c r="O623" s="11"/>
      <c r="P623" s="11"/>
      <c r="Q623" s="11"/>
      <c r="R623" s="11"/>
    </row>
    <row r="624" spans="4:18">
      <c r="D624" s="1" t="s">
        <v>138</v>
      </c>
      <c r="E624" s="1" t="s">
        <v>33</v>
      </c>
      <c r="H624" s="1" t="s">
        <v>25</v>
      </c>
      <c r="I624" s="1" t="s">
        <v>23</v>
      </c>
      <c r="M624" s="1" t="b">
        <v>0</v>
      </c>
      <c r="N624" s="1">
        <v>0</v>
      </c>
      <c r="O624" s="11"/>
      <c r="P624" s="11"/>
      <c r="Q624" s="11"/>
      <c r="R624" s="11"/>
    </row>
    <row r="625" spans="4:18">
      <c r="D625" s="1" t="s">
        <v>138</v>
      </c>
      <c r="E625" s="1" t="s">
        <v>34</v>
      </c>
      <c r="F625" s="1" t="s">
        <v>35</v>
      </c>
      <c r="G625" s="1" t="s">
        <v>36</v>
      </c>
      <c r="H625" s="1" t="s">
        <v>22</v>
      </c>
      <c r="I625" s="1" t="s">
        <v>23</v>
      </c>
      <c r="J625" s="1">
        <v>-459.67</v>
      </c>
      <c r="K625" s="1">
        <v>980.32999999999993</v>
      </c>
      <c r="L625" s="1">
        <v>80.329999999999984</v>
      </c>
      <c r="M625" s="1">
        <v>67.999999999999943</v>
      </c>
      <c r="N625" s="1">
        <v>67.999999999999943</v>
      </c>
      <c r="O625" s="11"/>
      <c r="P625" s="11"/>
      <c r="Q625" s="11"/>
      <c r="R625" s="11"/>
    </row>
    <row r="626" spans="4:18">
      <c r="D626" s="1" t="s">
        <v>138</v>
      </c>
      <c r="E626" s="1" t="s">
        <v>37</v>
      </c>
      <c r="H626" s="1" t="s">
        <v>25</v>
      </c>
      <c r="I626" s="1" t="s">
        <v>23</v>
      </c>
      <c r="M626" s="1" t="b">
        <v>0</v>
      </c>
      <c r="N626" s="1">
        <v>0</v>
      </c>
      <c r="O626" s="11"/>
      <c r="P626" s="11"/>
      <c r="Q626" s="11"/>
      <c r="R626" s="11"/>
    </row>
    <row r="627" spans="4:18">
      <c r="D627" s="1" t="s">
        <v>138</v>
      </c>
      <c r="E627" s="1" t="s">
        <v>38</v>
      </c>
      <c r="F627" s="1" t="s">
        <v>35</v>
      </c>
      <c r="G627" s="1" t="s">
        <v>36</v>
      </c>
      <c r="H627" s="1" t="s">
        <v>22</v>
      </c>
      <c r="I627" s="1" t="s">
        <v>23</v>
      </c>
      <c r="J627" s="1">
        <v>-99.670000000000016</v>
      </c>
      <c r="K627" s="1">
        <v>980.32999999999993</v>
      </c>
      <c r="L627" s="1">
        <v>80.329999999999984</v>
      </c>
      <c r="M627" s="1">
        <v>13.999999999999943</v>
      </c>
      <c r="N627" s="1">
        <v>13.999999999999943</v>
      </c>
      <c r="O627" s="11"/>
      <c r="P627" s="11"/>
      <c r="Q627" s="11"/>
      <c r="R627" s="11"/>
    </row>
    <row r="628" spans="4:18">
      <c r="D628" s="1" t="s">
        <v>138</v>
      </c>
      <c r="E628" s="1" t="s">
        <v>39</v>
      </c>
      <c r="H628" s="1" t="s">
        <v>25</v>
      </c>
      <c r="I628" s="1" t="s">
        <v>23</v>
      </c>
      <c r="M628" s="1" t="b">
        <v>0</v>
      </c>
      <c r="N628" s="1">
        <v>0</v>
      </c>
      <c r="O628" s="11"/>
      <c r="P628" s="11"/>
      <c r="Q628" s="11"/>
      <c r="R628" s="11"/>
    </row>
    <row r="629" spans="4:18">
      <c r="D629" s="1" t="s">
        <v>138</v>
      </c>
      <c r="E629" s="1" t="s">
        <v>40</v>
      </c>
      <c r="F629" s="1" t="s">
        <v>41</v>
      </c>
      <c r="G629" s="1" t="s">
        <v>42</v>
      </c>
      <c r="H629" s="1" t="s">
        <v>22</v>
      </c>
      <c r="I629" s="1" t="s">
        <v>23</v>
      </c>
      <c r="J629" s="1">
        <v>-900</v>
      </c>
      <c r="K629" s="1">
        <v>900</v>
      </c>
      <c r="L629" s="1">
        <v>1.8</v>
      </c>
      <c r="M629" s="1">
        <v>9</v>
      </c>
      <c r="N629" s="1">
        <v>9</v>
      </c>
      <c r="O629" s="11"/>
      <c r="P629" s="11"/>
      <c r="Q629" s="11"/>
      <c r="R629" s="11"/>
    </row>
    <row r="630" spans="4:18">
      <c r="D630" s="1" t="s">
        <v>138</v>
      </c>
      <c r="E630" s="1" t="s">
        <v>43</v>
      </c>
      <c r="H630" s="1" t="s">
        <v>25</v>
      </c>
      <c r="I630" s="1" t="s">
        <v>23</v>
      </c>
      <c r="M630" s="1" t="b">
        <v>0</v>
      </c>
      <c r="N630" s="1">
        <v>0</v>
      </c>
      <c r="O630" s="11"/>
      <c r="P630" s="11"/>
      <c r="Q630" s="11"/>
      <c r="R630" s="11"/>
    </row>
    <row r="631" spans="4:18">
      <c r="D631" s="1" t="s">
        <v>138</v>
      </c>
      <c r="E631" s="1" t="s">
        <v>44</v>
      </c>
      <c r="F631" s="1" t="s">
        <v>45</v>
      </c>
      <c r="G631" s="1" t="s">
        <v>46</v>
      </c>
      <c r="H631" s="1" t="s">
        <v>22</v>
      </c>
      <c r="I631" s="1" t="s">
        <v>23</v>
      </c>
      <c r="J631" s="1">
        <v>-85.984522757427143</v>
      </c>
      <c r="K631" s="1">
        <v>8598.4522757427148</v>
      </c>
      <c r="L631" s="1">
        <v>114.79148749423418</v>
      </c>
      <c r="M631" s="1">
        <v>128.97678413614071</v>
      </c>
      <c r="N631" s="1">
        <v>128.97678413614071</v>
      </c>
      <c r="O631" s="11"/>
      <c r="P631" s="11"/>
      <c r="Q631" s="11"/>
      <c r="R631" s="11"/>
    </row>
    <row r="632" spans="4:18">
      <c r="D632" s="1" t="s">
        <v>138</v>
      </c>
      <c r="E632" s="1" t="s">
        <v>47</v>
      </c>
      <c r="H632" s="1" t="s">
        <v>25</v>
      </c>
      <c r="I632" s="1" t="s">
        <v>23</v>
      </c>
      <c r="M632" s="1" t="b">
        <v>0</v>
      </c>
      <c r="N632" s="1">
        <v>0</v>
      </c>
      <c r="O632" s="11"/>
      <c r="P632" s="11"/>
      <c r="Q632" s="11"/>
      <c r="R632" s="11"/>
    </row>
    <row r="633" spans="4:18">
      <c r="D633" s="1" t="s">
        <v>138</v>
      </c>
      <c r="E633" s="1" t="s">
        <v>48</v>
      </c>
      <c r="H633" s="1" t="s">
        <v>25</v>
      </c>
      <c r="I633" s="1" t="s">
        <v>23</v>
      </c>
      <c r="M633" s="1" t="b">
        <v>0</v>
      </c>
      <c r="N633" s="1">
        <v>0</v>
      </c>
      <c r="O633" s="11"/>
      <c r="P633" s="11"/>
      <c r="Q633" s="11"/>
      <c r="R633" s="11"/>
    </row>
    <row r="634" spans="4:18">
      <c r="D634" s="1" t="s">
        <v>138</v>
      </c>
      <c r="E634" s="1" t="s">
        <v>49</v>
      </c>
      <c r="H634" s="1" t="s">
        <v>25</v>
      </c>
      <c r="I634" s="1" t="s">
        <v>23</v>
      </c>
      <c r="M634" s="1" t="b">
        <v>0</v>
      </c>
      <c r="N634" s="1">
        <v>0</v>
      </c>
      <c r="O634" s="11"/>
      <c r="P634" s="11"/>
      <c r="Q634" s="11"/>
      <c r="R634" s="11"/>
    </row>
    <row r="635" spans="4:18">
      <c r="D635" s="1" t="s">
        <v>138</v>
      </c>
      <c r="E635" s="1" t="s">
        <v>50</v>
      </c>
      <c r="H635" s="1" t="s">
        <v>25</v>
      </c>
      <c r="I635" s="1" t="s">
        <v>23</v>
      </c>
      <c r="M635" s="1" t="b">
        <v>0</v>
      </c>
      <c r="N635" s="1">
        <v>0</v>
      </c>
      <c r="O635" s="11"/>
      <c r="P635" s="11"/>
      <c r="Q635" s="11"/>
      <c r="R635" s="11"/>
    </row>
    <row r="636" spans="4:18">
      <c r="D636" s="1" t="s">
        <v>138</v>
      </c>
      <c r="E636" s="1" t="s">
        <v>51</v>
      </c>
      <c r="F636" s="1" t="s">
        <v>52</v>
      </c>
      <c r="G636" s="1" t="s">
        <v>53</v>
      </c>
      <c r="H636" s="1" t="s">
        <v>22</v>
      </c>
      <c r="I636" s="1" t="s">
        <v>23</v>
      </c>
      <c r="J636" s="1">
        <v>0</v>
      </c>
      <c r="K636" s="1">
        <v>7936641438.6555996</v>
      </c>
      <c r="L636" s="1">
        <v>7936.6414386555998</v>
      </c>
      <c r="M636" s="1">
        <v>7936.6414386555998</v>
      </c>
      <c r="N636" s="1">
        <v>7936.6414386555998</v>
      </c>
      <c r="O636" s="11"/>
      <c r="P636" s="11"/>
      <c r="Q636" s="11"/>
      <c r="R636" s="11"/>
    </row>
    <row r="637" spans="4:18">
      <c r="D637" s="1" t="s">
        <v>138</v>
      </c>
      <c r="E637" s="1" t="s">
        <v>54</v>
      </c>
      <c r="H637" s="1" t="s">
        <v>25</v>
      </c>
      <c r="I637" s="1" t="s">
        <v>23</v>
      </c>
      <c r="M637" s="1" t="b">
        <v>0</v>
      </c>
      <c r="N637" s="1">
        <v>0</v>
      </c>
      <c r="O637" s="11"/>
      <c r="P637" s="11"/>
      <c r="Q637" s="11"/>
      <c r="R637" s="11"/>
    </row>
    <row r="638" spans="4:18">
      <c r="D638" s="1" t="s">
        <v>138</v>
      </c>
      <c r="E638" s="1" t="s">
        <v>55</v>
      </c>
      <c r="F638" s="1" t="s">
        <v>56</v>
      </c>
      <c r="G638" s="1" t="s">
        <v>57</v>
      </c>
      <c r="H638" s="1" t="s">
        <v>22</v>
      </c>
      <c r="I638" s="1" t="s">
        <v>23</v>
      </c>
      <c r="J638" s="1">
        <v>0</v>
      </c>
      <c r="K638" s="1">
        <v>9427.4529524635982</v>
      </c>
      <c r="L638" s="1">
        <v>50.713895374744951</v>
      </c>
      <c r="M638" s="1">
        <v>50.763208205573221</v>
      </c>
      <c r="N638" s="1">
        <v>50.763208205573221</v>
      </c>
      <c r="O638" s="11"/>
      <c r="P638" s="11"/>
      <c r="Q638" s="11"/>
      <c r="R638" s="11"/>
    </row>
    <row r="639" spans="4:18">
      <c r="D639" s="1" t="s">
        <v>138</v>
      </c>
      <c r="E639" s="1" t="s">
        <v>58</v>
      </c>
      <c r="H639" s="1" t="s">
        <v>25</v>
      </c>
      <c r="I639" s="1" t="s">
        <v>23</v>
      </c>
      <c r="M639" s="1" t="b">
        <v>0</v>
      </c>
      <c r="N639" s="1">
        <v>0</v>
      </c>
      <c r="O639" s="11"/>
      <c r="P639" s="11"/>
      <c r="Q639" s="11"/>
      <c r="R639" s="11"/>
    </row>
    <row r="640" spans="4:18">
      <c r="D640" s="1" t="s">
        <v>138</v>
      </c>
      <c r="E640" s="1" t="s">
        <v>59</v>
      </c>
      <c r="F640" s="1" t="s">
        <v>60</v>
      </c>
      <c r="G640" s="1" t="s">
        <v>61</v>
      </c>
      <c r="H640" s="1" t="s">
        <v>22</v>
      </c>
      <c r="I640" s="1" t="s">
        <v>23</v>
      </c>
      <c r="J640" s="1">
        <v>-9.5538358650799999</v>
      </c>
      <c r="K640" s="1">
        <v>9.5538358650799999</v>
      </c>
      <c r="L640" s="1">
        <v>0.23884589662700001</v>
      </c>
      <c r="M640" s="1">
        <v>0.23884589662700001</v>
      </c>
      <c r="N640" s="1">
        <v>0.23884589662700001</v>
      </c>
      <c r="O640" s="11"/>
      <c r="P640" s="11"/>
      <c r="Q640" s="11"/>
      <c r="R640" s="11"/>
    </row>
    <row r="641" spans="4:18">
      <c r="D641" s="1" t="s">
        <v>138</v>
      </c>
      <c r="E641" s="1" t="s">
        <v>62</v>
      </c>
      <c r="H641" s="1" t="s">
        <v>63</v>
      </c>
      <c r="I641" s="1" t="s">
        <v>23</v>
      </c>
      <c r="M641" s="1">
        <v>1</v>
      </c>
      <c r="N641" s="1">
        <v>1</v>
      </c>
      <c r="O641" s="11"/>
      <c r="P641" s="11"/>
      <c r="Q641" s="11"/>
      <c r="R641" s="11"/>
    </row>
    <row r="642" spans="4:18">
      <c r="D642" s="1" t="s">
        <v>138</v>
      </c>
      <c r="E642" s="1" t="s">
        <v>64</v>
      </c>
      <c r="F642" s="1" t="s">
        <v>35</v>
      </c>
      <c r="G642" s="1" t="s">
        <v>36</v>
      </c>
      <c r="H642" s="1" t="s">
        <v>22</v>
      </c>
      <c r="I642" s="1" t="s">
        <v>65</v>
      </c>
      <c r="J642" s="1">
        <v>-459.67</v>
      </c>
      <c r="L642" s="1">
        <v>80.329999999999984</v>
      </c>
      <c r="N642" s="1">
        <v>42.66595347884504</v>
      </c>
      <c r="O642" s="11"/>
      <c r="P642" s="11"/>
      <c r="Q642" s="11"/>
      <c r="R642" s="11"/>
    </row>
    <row r="643" spans="4:18">
      <c r="D643" s="1" t="s">
        <v>138</v>
      </c>
      <c r="E643" s="1" t="s">
        <v>66</v>
      </c>
      <c r="F643" s="1" t="s">
        <v>35</v>
      </c>
      <c r="G643" s="1" t="s">
        <v>36</v>
      </c>
      <c r="H643" s="1" t="s">
        <v>22</v>
      </c>
      <c r="I643" s="1" t="s">
        <v>65</v>
      </c>
      <c r="J643" s="1">
        <v>-459.67</v>
      </c>
      <c r="L643" s="1">
        <v>80.329999999999984</v>
      </c>
      <c r="N643" s="1">
        <v>42.66595347884504</v>
      </c>
      <c r="O643" s="11"/>
      <c r="P643" s="11"/>
      <c r="Q643" s="11"/>
      <c r="R643" s="11"/>
    </row>
    <row r="644" spans="4:18">
      <c r="D644" s="1" t="s">
        <v>138</v>
      </c>
      <c r="E644" s="1" t="s">
        <v>67</v>
      </c>
      <c r="F644" s="1" t="s">
        <v>41</v>
      </c>
      <c r="G644" s="1" t="s">
        <v>42</v>
      </c>
      <c r="H644" s="1" t="s">
        <v>22</v>
      </c>
      <c r="I644" s="1" t="s">
        <v>65</v>
      </c>
      <c r="L644" s="1">
        <v>1.8</v>
      </c>
      <c r="N644" s="1">
        <v>0</v>
      </c>
      <c r="O644" s="11"/>
      <c r="P644" s="11"/>
      <c r="Q644" s="11"/>
      <c r="R644" s="11"/>
    </row>
    <row r="645" spans="4:18">
      <c r="D645" s="1" t="s">
        <v>138</v>
      </c>
      <c r="E645" s="1" t="s">
        <v>68</v>
      </c>
      <c r="F645" s="1" t="s">
        <v>45</v>
      </c>
      <c r="G645" s="1" t="s">
        <v>46</v>
      </c>
      <c r="H645" s="1" t="s">
        <v>22</v>
      </c>
      <c r="I645" s="1" t="s">
        <v>65</v>
      </c>
      <c r="L645" s="1">
        <v>4.2992261378713571E-4</v>
      </c>
      <c r="N645" s="1">
        <v>36.184295294455765</v>
      </c>
      <c r="O645" s="11"/>
      <c r="P645" s="11"/>
      <c r="Q645" s="11"/>
      <c r="R645" s="11"/>
    </row>
    <row r="646" spans="4:18">
      <c r="D646" s="1" t="s">
        <v>138</v>
      </c>
      <c r="E646" s="1" t="s">
        <v>69</v>
      </c>
      <c r="H646" s="1" t="s">
        <v>25</v>
      </c>
      <c r="I646" s="1" t="s">
        <v>70</v>
      </c>
      <c r="N646" s="1">
        <v>0</v>
      </c>
      <c r="O646" s="11"/>
      <c r="P646" s="11"/>
      <c r="Q646" s="11"/>
      <c r="R646" s="11"/>
    </row>
    <row r="647" spans="4:18">
      <c r="D647" s="1" t="s">
        <v>138</v>
      </c>
      <c r="E647" s="1" t="s">
        <v>71</v>
      </c>
      <c r="F647" s="1" t="s">
        <v>52</v>
      </c>
      <c r="G647" s="1" t="s">
        <v>53</v>
      </c>
      <c r="H647" s="1" t="s">
        <v>22</v>
      </c>
      <c r="I647" s="1" t="s">
        <v>65</v>
      </c>
      <c r="L647" s="1">
        <v>7936.6414386555998</v>
      </c>
      <c r="N647" s="1">
        <v>166380.48880651718</v>
      </c>
      <c r="O647" s="11"/>
      <c r="P647" s="11"/>
      <c r="Q647" s="11"/>
      <c r="R647" s="11"/>
    </row>
    <row r="648" spans="4:18">
      <c r="D648" s="1" t="s">
        <v>138</v>
      </c>
      <c r="E648" s="1" t="s">
        <v>72</v>
      </c>
      <c r="F648" s="1" t="s">
        <v>56</v>
      </c>
      <c r="G648" s="1" t="s">
        <v>57</v>
      </c>
      <c r="H648" s="1" t="s">
        <v>22</v>
      </c>
      <c r="I648" s="1" t="s">
        <v>65</v>
      </c>
      <c r="J648" s="1">
        <v>0</v>
      </c>
      <c r="L648" s="1">
        <v>14.503773773020921</v>
      </c>
      <c r="N648" s="1">
        <v>52.365935601344113</v>
      </c>
      <c r="O648" s="11"/>
      <c r="P648" s="11"/>
      <c r="Q648" s="11"/>
      <c r="R648" s="11"/>
    </row>
    <row r="649" spans="4:18">
      <c r="D649" s="1" t="s">
        <v>138</v>
      </c>
      <c r="E649" s="1" t="s">
        <v>73</v>
      </c>
      <c r="F649" s="1" t="s">
        <v>60</v>
      </c>
      <c r="G649" s="1" t="s">
        <v>61</v>
      </c>
      <c r="H649" s="1" t="s">
        <v>22</v>
      </c>
      <c r="I649" s="1" t="s">
        <v>65</v>
      </c>
      <c r="L649" s="1">
        <v>2.38845896627E-4</v>
      </c>
      <c r="N649" s="1">
        <v>7.6496640437381136E-2</v>
      </c>
      <c r="O649" s="11"/>
      <c r="P649" s="11"/>
      <c r="Q649" s="11"/>
      <c r="R649" s="11"/>
    </row>
    <row r="650" spans="4:18">
      <c r="D650" s="1" t="s">
        <v>138</v>
      </c>
      <c r="E650" s="1" t="s">
        <v>74</v>
      </c>
      <c r="F650" s="1" t="s">
        <v>75</v>
      </c>
      <c r="G650" s="1" t="s">
        <v>76</v>
      </c>
      <c r="H650" s="1" t="s">
        <v>22</v>
      </c>
      <c r="I650" s="1" t="s">
        <v>65</v>
      </c>
      <c r="J650" s="1">
        <v>0</v>
      </c>
      <c r="L650" s="1">
        <v>16.018463521800001</v>
      </c>
      <c r="N650" s="1">
        <v>0.12451157285379215</v>
      </c>
      <c r="O650" s="11"/>
      <c r="P650" s="11"/>
      <c r="Q650" s="11"/>
      <c r="R650" s="11"/>
    </row>
    <row r="651" spans="4:18">
      <c r="D651" s="1" t="s">
        <v>138</v>
      </c>
      <c r="E651" s="1" t="s">
        <v>77</v>
      </c>
      <c r="H651" s="1" t="s">
        <v>22</v>
      </c>
      <c r="I651" s="1" t="s">
        <v>65</v>
      </c>
      <c r="L651" s="1">
        <v>1</v>
      </c>
      <c r="N651" s="1">
        <v>0.12524506223693779</v>
      </c>
      <c r="O651" s="11"/>
      <c r="P651" s="11"/>
      <c r="Q651" s="11"/>
      <c r="R651" s="11"/>
    </row>
    <row r="652" spans="4:18">
      <c r="D652" s="1" t="s">
        <v>138</v>
      </c>
      <c r="E652" s="1" t="s">
        <v>78</v>
      </c>
      <c r="H652" s="1" t="s">
        <v>25</v>
      </c>
      <c r="I652" s="1" t="s">
        <v>23</v>
      </c>
      <c r="M652" s="1" t="b">
        <v>0</v>
      </c>
      <c r="N652" s="1">
        <v>0</v>
      </c>
      <c r="O652" s="11"/>
      <c r="P652" s="11"/>
      <c r="Q652" s="11"/>
      <c r="R652" s="11"/>
    </row>
    <row r="653" spans="4:18">
      <c r="D653" s="1" t="s">
        <v>138</v>
      </c>
      <c r="E653" s="1" t="s">
        <v>79</v>
      </c>
      <c r="F653" s="1" t="s">
        <v>75</v>
      </c>
      <c r="G653" s="1" t="s">
        <v>76</v>
      </c>
      <c r="H653" s="1" t="s">
        <v>22</v>
      </c>
      <c r="I653" s="1" t="s">
        <v>23</v>
      </c>
      <c r="J653" s="1">
        <v>0</v>
      </c>
      <c r="K653" s="1">
        <v>96.110781130800007</v>
      </c>
      <c r="L653" s="1">
        <v>16.018463521800001</v>
      </c>
      <c r="M653" s="1">
        <v>1.6018463521800002</v>
      </c>
      <c r="N653" s="1">
        <v>1.6018463521800002</v>
      </c>
      <c r="O653" s="11"/>
      <c r="P653" s="11"/>
      <c r="Q653" s="11"/>
      <c r="R653" s="11"/>
    </row>
    <row r="654" spans="4:18">
      <c r="D654" s="1" t="s">
        <v>138</v>
      </c>
      <c r="E654" s="1" t="s">
        <v>80</v>
      </c>
      <c r="H654" s="1" t="s">
        <v>25</v>
      </c>
      <c r="I654" s="1" t="s">
        <v>23</v>
      </c>
      <c r="M654" s="1" t="b">
        <v>0</v>
      </c>
      <c r="N654" s="1">
        <v>0</v>
      </c>
      <c r="O654" s="11"/>
      <c r="P654" s="11"/>
      <c r="Q654" s="11"/>
      <c r="R654" s="11"/>
    </row>
    <row r="655" spans="4:18">
      <c r="D655" s="1" t="s">
        <v>138</v>
      </c>
      <c r="E655" s="1" t="s">
        <v>81</v>
      </c>
      <c r="H655" s="1" t="s">
        <v>25</v>
      </c>
      <c r="I655" s="1" t="s">
        <v>23</v>
      </c>
      <c r="M655" s="1" t="b">
        <v>0</v>
      </c>
      <c r="N655" s="1">
        <v>0</v>
      </c>
      <c r="O655" s="11"/>
      <c r="P655" s="11"/>
      <c r="Q655" s="11"/>
      <c r="R655" s="11"/>
    </row>
    <row r="656" spans="4:18">
      <c r="D656" s="1" t="s">
        <v>138</v>
      </c>
      <c r="E656" s="1" t="s">
        <v>82</v>
      </c>
      <c r="H656" s="1" t="s">
        <v>22</v>
      </c>
      <c r="I656" s="1" t="s">
        <v>23</v>
      </c>
      <c r="J656" s="1">
        <v>-1</v>
      </c>
      <c r="K656" s="1">
        <v>3</v>
      </c>
      <c r="L656" s="1">
        <v>1</v>
      </c>
      <c r="M656" s="1">
        <v>1.01</v>
      </c>
      <c r="N656" s="1">
        <v>1.01</v>
      </c>
      <c r="O656" s="11"/>
      <c r="P656" s="11"/>
      <c r="Q656" s="11"/>
      <c r="R656" s="11"/>
    </row>
    <row r="657" spans="1:18">
      <c r="D657" s="1" t="s">
        <v>139</v>
      </c>
      <c r="E657" s="1" t="s">
        <v>99</v>
      </c>
      <c r="H657" s="1" t="s">
        <v>25</v>
      </c>
      <c r="I657" s="1" t="s">
        <v>23</v>
      </c>
      <c r="M657" s="1" t="b">
        <v>0</v>
      </c>
      <c r="N657" s="1">
        <v>0</v>
      </c>
      <c r="O657" s="11"/>
      <c r="P657" s="11"/>
      <c r="Q657" s="11"/>
      <c r="R657" s="11"/>
    </row>
    <row r="658" spans="1:18">
      <c r="D658" s="1" t="s">
        <v>139</v>
      </c>
      <c r="E658" s="1" t="s">
        <v>100</v>
      </c>
      <c r="H658" s="1" t="s">
        <v>22</v>
      </c>
      <c r="I658" s="1" t="s">
        <v>23</v>
      </c>
      <c r="L658" s="1">
        <v>1</v>
      </c>
      <c r="M658" s="1">
        <v>100</v>
      </c>
      <c r="N658" s="1">
        <v>100</v>
      </c>
      <c r="O658" s="11"/>
      <c r="P658" s="11"/>
      <c r="Q658" s="11"/>
      <c r="R658" s="11"/>
    </row>
    <row r="659" spans="1:18">
      <c r="D659" s="1" t="s">
        <v>139</v>
      </c>
      <c r="E659" s="1" t="s">
        <v>101</v>
      </c>
      <c r="H659" s="1" t="s">
        <v>22</v>
      </c>
      <c r="I659" s="1" t="s">
        <v>23</v>
      </c>
      <c r="L659" s="1">
        <v>1</v>
      </c>
      <c r="M659" s="1">
        <v>0</v>
      </c>
      <c r="N659" s="1">
        <v>0</v>
      </c>
      <c r="O659" s="11"/>
      <c r="P659" s="11"/>
      <c r="Q659" s="11"/>
      <c r="R659" s="11"/>
    </row>
    <row r="660" spans="1:18">
      <c r="D660" s="1" t="s">
        <v>139</v>
      </c>
      <c r="E660" s="1" t="s">
        <v>102</v>
      </c>
      <c r="H660" s="1" t="s">
        <v>22</v>
      </c>
      <c r="I660" s="1" t="s">
        <v>23</v>
      </c>
      <c r="L660" s="1">
        <v>1</v>
      </c>
      <c r="M660" s="1">
        <v>20</v>
      </c>
      <c r="N660" s="1">
        <v>20</v>
      </c>
      <c r="O660" s="11"/>
      <c r="P660" s="11"/>
      <c r="Q660" s="11"/>
      <c r="R660" s="11"/>
    </row>
    <row r="661" spans="1:18">
      <c r="D661" s="1" t="s">
        <v>139</v>
      </c>
      <c r="E661" s="1" t="s">
        <v>103</v>
      </c>
      <c r="H661" s="1" t="s">
        <v>22</v>
      </c>
      <c r="I661" s="1" t="s">
        <v>29</v>
      </c>
      <c r="J661" s="1">
        <v>0</v>
      </c>
      <c r="K661" s="1">
        <v>100</v>
      </c>
      <c r="L661" s="1">
        <v>50</v>
      </c>
      <c r="N661" s="1">
        <v>64.562145739753817</v>
      </c>
      <c r="O661" s="11"/>
      <c r="P661" s="11"/>
      <c r="Q661" s="11"/>
      <c r="R661" s="11"/>
    </row>
    <row r="662" spans="1:18">
      <c r="D662" s="1" t="s">
        <v>140</v>
      </c>
      <c r="H662" s="1" t="s">
        <v>22</v>
      </c>
      <c r="I662" s="1" t="s">
        <v>23</v>
      </c>
      <c r="L662" s="1">
        <v>1</v>
      </c>
      <c r="M662" s="1">
        <v>0.55000000000000004</v>
      </c>
      <c r="N662" s="1">
        <v>0.55000000000000004</v>
      </c>
      <c r="O662" s="11"/>
      <c r="P662" s="11"/>
      <c r="Q662" s="11"/>
      <c r="R662" s="11"/>
    </row>
    <row r="663" spans="1:18">
      <c r="B663" s="3" t="s">
        <v>1705</v>
      </c>
      <c r="D663" s="1" t="s">
        <v>141</v>
      </c>
      <c r="E663" s="1" t="s">
        <v>142</v>
      </c>
      <c r="F663" s="1" t="s">
        <v>143</v>
      </c>
      <c r="G663" s="1" t="s">
        <v>144</v>
      </c>
      <c r="H663" s="1" t="s">
        <v>22</v>
      </c>
      <c r="I663" s="1" t="s">
        <v>23</v>
      </c>
      <c r="L663" s="1">
        <v>5.6782633429906824</v>
      </c>
      <c r="M663" s="1">
        <v>2.5000000000000001E-4</v>
      </c>
      <c r="N663" s="1">
        <v>2.5000000000000001E-4</v>
      </c>
      <c r="O663" s="11">
        <v>2.5000000008264901E-4</v>
      </c>
      <c r="P663" s="11">
        <v>2.5000000008264901E-4</v>
      </c>
      <c r="Q663" s="11">
        <v>2.5000000008264901E-4</v>
      </c>
      <c r="R663" s="11">
        <v>2.5000000008264901E-4</v>
      </c>
    </row>
    <row r="664" spans="1:18">
      <c r="B664" s="3" t="s">
        <v>1705</v>
      </c>
      <c r="D664" s="1" t="s">
        <v>141</v>
      </c>
      <c r="E664" s="1" t="s">
        <v>145</v>
      </c>
      <c r="F664" s="1" t="s">
        <v>143</v>
      </c>
      <c r="G664" s="1" t="s">
        <v>144</v>
      </c>
      <c r="H664" s="1" t="s">
        <v>22</v>
      </c>
      <c r="I664" s="1" t="s">
        <v>23</v>
      </c>
      <c r="L664" s="1">
        <v>5.6782633429906824</v>
      </c>
      <c r="M664" s="1">
        <v>9.9999999999999978E-5</v>
      </c>
      <c r="N664" s="1">
        <v>9.9999999999999978E-5</v>
      </c>
      <c r="O664" s="11">
        <v>1.00000000033059E-4</v>
      </c>
      <c r="P664" s="11">
        <v>1.00000000033059E-4</v>
      </c>
      <c r="Q664" s="11">
        <v>1.00000000033059E-4</v>
      </c>
      <c r="R664" s="11">
        <v>1.00000000033059E-4</v>
      </c>
    </row>
    <row r="665" spans="1:18">
      <c r="B665" s="3" t="s">
        <v>1705</v>
      </c>
      <c r="D665" s="1" t="s">
        <v>141</v>
      </c>
      <c r="E665" s="1" t="s">
        <v>146</v>
      </c>
      <c r="F665" s="1" t="s">
        <v>147</v>
      </c>
      <c r="G665" s="1" t="s">
        <v>148</v>
      </c>
      <c r="H665" s="1" t="s">
        <v>22</v>
      </c>
      <c r="I665" s="1" t="s">
        <v>23</v>
      </c>
      <c r="L665" s="1">
        <v>3.4121416351331</v>
      </c>
      <c r="M665" s="1">
        <v>10799836.354944</v>
      </c>
      <c r="N665" s="1">
        <v>10799836.354944</v>
      </c>
      <c r="O665" s="11"/>
      <c r="P665" s="11">
        <f>O2680*0.75</f>
        <v>0</v>
      </c>
      <c r="Q665" s="11">
        <f>O2680*0.5</f>
        <v>0</v>
      </c>
      <c r="R665" s="11">
        <f>O2680*0.25</f>
        <v>0</v>
      </c>
    </row>
    <row r="666" spans="1:18">
      <c r="D666" s="1" t="s">
        <v>141</v>
      </c>
      <c r="E666" s="1" t="s">
        <v>149</v>
      </c>
      <c r="H666" s="1" t="s">
        <v>150</v>
      </c>
      <c r="I666" s="1" t="s">
        <v>23</v>
      </c>
      <c r="M666" s="1" t="s">
        <v>151</v>
      </c>
      <c r="N666" s="1" t="s">
        <v>1812</v>
      </c>
      <c r="O666" s="11"/>
      <c r="P666" s="11"/>
      <c r="Q666" s="11"/>
      <c r="R666" s="11"/>
    </row>
    <row r="667" spans="1:18">
      <c r="D667" s="1" t="s">
        <v>141</v>
      </c>
      <c r="E667" s="1" t="s">
        <v>152</v>
      </c>
      <c r="H667" s="1" t="s">
        <v>150</v>
      </c>
      <c r="I667" s="1" t="s">
        <v>23</v>
      </c>
      <c r="M667" s="1" t="s">
        <v>153</v>
      </c>
      <c r="N667" s="1" t="s">
        <v>1813</v>
      </c>
      <c r="O667" s="11"/>
      <c r="P667" s="11"/>
      <c r="Q667" s="11"/>
      <c r="R667" s="11"/>
    </row>
    <row r="668" spans="1:18">
      <c r="D668" s="1" t="s">
        <v>141</v>
      </c>
      <c r="E668" s="1" t="s">
        <v>154</v>
      </c>
      <c r="H668" s="1" t="s">
        <v>150</v>
      </c>
      <c r="I668" s="1" t="s">
        <v>23</v>
      </c>
      <c r="M668" s="1" t="s">
        <v>155</v>
      </c>
      <c r="N668" s="1" t="s">
        <v>1814</v>
      </c>
      <c r="O668" s="11"/>
      <c r="P668" s="11"/>
      <c r="Q668" s="11"/>
      <c r="R668" s="11"/>
    </row>
    <row r="669" spans="1:18">
      <c r="D669" s="1" t="s">
        <v>141</v>
      </c>
      <c r="E669" s="1" t="s">
        <v>156</v>
      </c>
      <c r="H669" s="1" t="s">
        <v>150</v>
      </c>
      <c r="I669" s="1" t="s">
        <v>23</v>
      </c>
      <c r="M669" s="1" t="s">
        <v>157</v>
      </c>
      <c r="N669" s="1" t="s">
        <v>1815</v>
      </c>
      <c r="O669" s="11"/>
      <c r="P669" s="11"/>
      <c r="Q669" s="11"/>
      <c r="R669" s="11"/>
    </row>
    <row r="670" spans="1:18">
      <c r="B670" s="3" t="s">
        <v>1705</v>
      </c>
      <c r="D670" s="1" t="s">
        <v>151</v>
      </c>
      <c r="E670" s="1" t="s">
        <v>33</v>
      </c>
      <c r="H670" s="1" t="s">
        <v>25</v>
      </c>
      <c r="I670" s="1" t="s">
        <v>23</v>
      </c>
      <c r="M670" s="1" t="b">
        <v>1</v>
      </c>
      <c r="N670" s="1">
        <v>1</v>
      </c>
      <c r="O670" s="11" t="b">
        <v>1</v>
      </c>
      <c r="P670" s="11" t="b">
        <v>0</v>
      </c>
      <c r="Q670" s="11" t="b">
        <v>0</v>
      </c>
      <c r="R670" s="11" t="b">
        <v>0</v>
      </c>
    </row>
    <row r="671" spans="1:18">
      <c r="D671" s="1" t="s">
        <v>151</v>
      </c>
      <c r="E671" s="1" t="s">
        <v>158</v>
      </c>
      <c r="H671" s="1" t="s">
        <v>22</v>
      </c>
      <c r="I671" s="1" t="s">
        <v>29</v>
      </c>
      <c r="J671" s="1">
        <v>238.14</v>
      </c>
      <c r="K671" s="1">
        <v>398.15</v>
      </c>
      <c r="L671" s="1">
        <v>300</v>
      </c>
      <c r="N671" s="1">
        <v>307.76111111110998</v>
      </c>
      <c r="O671" s="11"/>
      <c r="P671" s="11"/>
      <c r="Q671" s="11"/>
      <c r="R671" s="11"/>
    </row>
    <row r="672" spans="1:18">
      <c r="A672" s="2" t="s">
        <v>1722</v>
      </c>
      <c r="B672" s="3" t="s">
        <v>1714</v>
      </c>
      <c r="D672" s="1" t="s">
        <v>151</v>
      </c>
      <c r="E672" s="1" t="s">
        <v>34</v>
      </c>
      <c r="F672" s="1" t="s">
        <v>35</v>
      </c>
      <c r="G672" s="1" t="s">
        <v>36</v>
      </c>
      <c r="H672" s="1" t="s">
        <v>22</v>
      </c>
      <c r="I672" s="1" t="s">
        <v>23</v>
      </c>
      <c r="J672" s="1">
        <v>-99.670000000000016</v>
      </c>
      <c r="K672" s="1">
        <v>980.32999999999993</v>
      </c>
      <c r="L672" s="1">
        <v>80.329999999999984</v>
      </c>
      <c r="M672" s="1">
        <v>94.299999999997965</v>
      </c>
      <c r="N672" s="1">
        <v>94.299999999997965</v>
      </c>
      <c r="O672" s="11">
        <v>94.299999999999898</v>
      </c>
      <c r="P672" s="11"/>
      <c r="Q672" s="11"/>
      <c r="R672" s="11"/>
    </row>
    <row r="673" spans="4:18">
      <c r="D673" s="1" t="s">
        <v>151</v>
      </c>
      <c r="E673" s="1" t="s">
        <v>159</v>
      </c>
      <c r="H673" s="1" t="s">
        <v>25</v>
      </c>
      <c r="I673" s="1" t="s">
        <v>23</v>
      </c>
      <c r="M673" s="1" t="b">
        <v>0</v>
      </c>
      <c r="N673" s="1">
        <v>0</v>
      </c>
      <c r="O673" s="11"/>
      <c r="P673" s="11"/>
      <c r="Q673" s="11"/>
      <c r="R673" s="11"/>
    </row>
    <row r="674" spans="4:18">
      <c r="D674" s="1" t="s">
        <v>151</v>
      </c>
      <c r="E674" s="1" t="s">
        <v>160</v>
      </c>
      <c r="F674" s="1" t="s">
        <v>161</v>
      </c>
      <c r="G674" s="1" t="s">
        <v>162</v>
      </c>
      <c r="H674" s="1" t="s">
        <v>22</v>
      </c>
      <c r="I674" s="1" t="s">
        <v>23</v>
      </c>
      <c r="J674" s="1">
        <v>0</v>
      </c>
      <c r="K674" s="1">
        <v>9510193342.230648</v>
      </c>
      <c r="L674" s="1">
        <v>15850.322237051079</v>
      </c>
      <c r="M674" s="1">
        <v>1585.032223705108</v>
      </c>
      <c r="N674" s="1">
        <v>1585.032223705108</v>
      </c>
      <c r="O674" s="11"/>
      <c r="P674" s="11"/>
      <c r="Q674" s="11"/>
      <c r="R674" s="11"/>
    </row>
    <row r="675" spans="4:18">
      <c r="D675" s="1" t="s">
        <v>151</v>
      </c>
      <c r="E675" s="1" t="s">
        <v>163</v>
      </c>
      <c r="H675" s="1" t="s">
        <v>22</v>
      </c>
      <c r="I675" s="1" t="s">
        <v>23</v>
      </c>
      <c r="J675" s="1">
        <v>0</v>
      </c>
      <c r="K675" s="1">
        <v>1</v>
      </c>
      <c r="L675" s="1">
        <v>0.1</v>
      </c>
      <c r="M675" s="1">
        <v>0.2</v>
      </c>
      <c r="N675" s="1">
        <v>0.2</v>
      </c>
      <c r="O675" s="11"/>
      <c r="P675" s="11"/>
      <c r="Q675" s="11"/>
      <c r="R675" s="11"/>
    </row>
    <row r="676" spans="4:18">
      <c r="D676" s="1" t="s">
        <v>151</v>
      </c>
      <c r="E676" s="1" t="s">
        <v>164</v>
      </c>
      <c r="F676" s="1" t="s">
        <v>35</v>
      </c>
      <c r="G676" s="1" t="s">
        <v>36</v>
      </c>
      <c r="H676" s="1" t="s">
        <v>22</v>
      </c>
      <c r="I676" s="1" t="s">
        <v>29</v>
      </c>
      <c r="J676" s="1">
        <v>-31.018000000000029</v>
      </c>
      <c r="K676" s="1">
        <v>256.99999999999994</v>
      </c>
      <c r="L676" s="1">
        <v>80.329999999999984</v>
      </c>
      <c r="N676" s="1">
        <v>94.299999999998647</v>
      </c>
      <c r="O676" s="11"/>
      <c r="P676" s="11"/>
      <c r="Q676" s="11"/>
      <c r="R676" s="11"/>
    </row>
    <row r="677" spans="4:18">
      <c r="D677" s="1" t="s">
        <v>151</v>
      </c>
      <c r="E677" s="1" t="s">
        <v>43</v>
      </c>
      <c r="H677" s="1" t="s">
        <v>25</v>
      </c>
      <c r="I677" s="1" t="s">
        <v>23</v>
      </c>
      <c r="M677" s="1" t="b">
        <v>0</v>
      </c>
      <c r="N677" s="1">
        <v>0</v>
      </c>
      <c r="O677" s="11"/>
      <c r="P677" s="11"/>
      <c r="Q677" s="11"/>
      <c r="R677" s="11"/>
    </row>
    <row r="678" spans="4:18">
      <c r="D678" s="1" t="s">
        <v>151</v>
      </c>
      <c r="E678" s="1" t="s">
        <v>44</v>
      </c>
      <c r="F678" s="1" t="s">
        <v>45</v>
      </c>
      <c r="G678" s="1" t="s">
        <v>46</v>
      </c>
      <c r="H678" s="1" t="s">
        <v>22</v>
      </c>
      <c r="I678" s="1" t="s">
        <v>23</v>
      </c>
      <c r="J678" s="1">
        <v>-85.984522757427143</v>
      </c>
      <c r="K678" s="1">
        <v>859.84522757427146</v>
      </c>
      <c r="L678" s="1">
        <v>429.92261378713573</v>
      </c>
      <c r="M678" s="1">
        <v>128.97678413614071</v>
      </c>
      <c r="N678" s="1">
        <v>128.97678413614071</v>
      </c>
      <c r="O678" s="11"/>
      <c r="P678" s="11"/>
      <c r="Q678" s="11"/>
      <c r="R678" s="11"/>
    </row>
    <row r="679" spans="4:18">
      <c r="D679" s="1" t="s">
        <v>151</v>
      </c>
      <c r="E679" s="1" t="s">
        <v>47</v>
      </c>
      <c r="H679" s="1" t="s">
        <v>25</v>
      </c>
      <c r="I679" s="1" t="s">
        <v>23</v>
      </c>
      <c r="M679" s="1" t="b">
        <v>0</v>
      </c>
      <c r="N679" s="1">
        <v>0</v>
      </c>
      <c r="O679" s="11"/>
      <c r="P679" s="11"/>
      <c r="Q679" s="11"/>
      <c r="R679" s="11"/>
    </row>
    <row r="680" spans="4:18">
      <c r="D680" s="1" t="s">
        <v>151</v>
      </c>
      <c r="E680" s="1" t="s">
        <v>54</v>
      </c>
      <c r="H680" s="1" t="s">
        <v>25</v>
      </c>
      <c r="I680" s="1" t="s">
        <v>23</v>
      </c>
      <c r="M680" s="1" t="b">
        <v>1</v>
      </c>
      <c r="N680" s="1">
        <v>1</v>
      </c>
      <c r="O680" s="11"/>
      <c r="P680" s="11"/>
      <c r="Q680" s="11"/>
      <c r="R680" s="11"/>
    </row>
    <row r="681" spans="4:18">
      <c r="D681" s="1" t="s">
        <v>151</v>
      </c>
      <c r="E681" s="1" t="s">
        <v>165</v>
      </c>
      <c r="H681" s="1" t="s">
        <v>22</v>
      </c>
      <c r="I681" s="1" t="s">
        <v>29</v>
      </c>
      <c r="J681" s="1">
        <v>1000</v>
      </c>
      <c r="K681" s="1">
        <v>10000000</v>
      </c>
      <c r="L681" s="1">
        <v>100000</v>
      </c>
      <c r="N681" s="1">
        <v>100000</v>
      </c>
      <c r="O681" s="11"/>
      <c r="P681" s="11"/>
      <c r="Q681" s="11"/>
      <c r="R681" s="11"/>
    </row>
    <row r="682" spans="4:18">
      <c r="D682" s="1" t="s">
        <v>151</v>
      </c>
      <c r="E682" s="1" t="s">
        <v>55</v>
      </c>
      <c r="F682" s="1" t="s">
        <v>56</v>
      </c>
      <c r="G682" s="1" t="s">
        <v>57</v>
      </c>
      <c r="H682" s="1" t="s">
        <v>22</v>
      </c>
      <c r="I682" s="1" t="s">
        <v>23</v>
      </c>
      <c r="J682" s="1">
        <v>0</v>
      </c>
      <c r="K682" s="1">
        <v>942.74529524635989</v>
      </c>
      <c r="L682" s="1">
        <v>14.503773773020921</v>
      </c>
      <c r="M682" s="1">
        <v>14.503773773020921</v>
      </c>
      <c r="N682" s="1">
        <v>14.503773773020921</v>
      </c>
      <c r="O682" s="11"/>
      <c r="P682" s="11"/>
      <c r="Q682" s="11"/>
      <c r="R682" s="11"/>
    </row>
    <row r="683" spans="4:18">
      <c r="D683" s="1" t="s">
        <v>151</v>
      </c>
      <c r="E683" s="1" t="s">
        <v>58</v>
      </c>
      <c r="H683" s="1" t="s">
        <v>25</v>
      </c>
      <c r="I683" s="1" t="s">
        <v>23</v>
      </c>
      <c r="M683" s="1" t="b">
        <v>0</v>
      </c>
      <c r="N683" s="1">
        <v>0</v>
      </c>
      <c r="O683" s="11"/>
      <c r="P683" s="11"/>
      <c r="Q683" s="11"/>
      <c r="R683" s="11"/>
    </row>
    <row r="684" spans="4:18">
      <c r="D684" s="1" t="s">
        <v>151</v>
      </c>
      <c r="E684" s="1" t="s">
        <v>59</v>
      </c>
      <c r="F684" s="1" t="s">
        <v>60</v>
      </c>
      <c r="G684" s="1" t="s">
        <v>61</v>
      </c>
      <c r="H684" s="1" t="s">
        <v>22</v>
      </c>
      <c r="I684" s="1" t="s">
        <v>23</v>
      </c>
      <c r="J684" s="1">
        <v>-0.95538358650800004</v>
      </c>
      <c r="K684" s="1">
        <v>9.5538358650799999</v>
      </c>
      <c r="L684" s="1">
        <v>0.23884589662700001</v>
      </c>
      <c r="M684" s="1">
        <v>0.23884589662700001</v>
      </c>
      <c r="N684" s="1">
        <v>0.23884589662700001</v>
      </c>
      <c r="O684" s="11"/>
      <c r="P684" s="11"/>
      <c r="Q684" s="11"/>
      <c r="R684" s="11"/>
    </row>
    <row r="685" spans="4:18">
      <c r="D685" s="1" t="s">
        <v>151</v>
      </c>
      <c r="E685" s="1" t="s">
        <v>64</v>
      </c>
      <c r="F685" s="1" t="s">
        <v>35</v>
      </c>
      <c r="G685" s="1" t="s">
        <v>36</v>
      </c>
      <c r="H685" s="1" t="s">
        <v>22</v>
      </c>
      <c r="I685" s="1" t="s">
        <v>65</v>
      </c>
      <c r="J685" s="1">
        <v>-459.67</v>
      </c>
      <c r="L685" s="1">
        <v>80.329999999999984</v>
      </c>
      <c r="N685" s="1">
        <v>94.299999999998647</v>
      </c>
      <c r="O685" s="11"/>
      <c r="P685" s="11"/>
      <c r="Q685" s="11"/>
      <c r="R685" s="11"/>
    </row>
    <row r="686" spans="4:18">
      <c r="D686" s="1" t="s">
        <v>151</v>
      </c>
      <c r="E686" s="1" t="s">
        <v>166</v>
      </c>
      <c r="F686" s="1" t="s">
        <v>161</v>
      </c>
      <c r="G686" s="1" t="s">
        <v>162</v>
      </c>
      <c r="H686" s="1" t="s">
        <v>22</v>
      </c>
      <c r="I686" s="1" t="s">
        <v>65</v>
      </c>
      <c r="L686" s="1">
        <v>15850.322237051079</v>
      </c>
      <c r="N686" s="1">
        <v>3045.416404177603</v>
      </c>
      <c r="O686" s="11"/>
      <c r="P686" s="11"/>
      <c r="Q686" s="11"/>
      <c r="R686" s="11"/>
    </row>
    <row r="687" spans="4:18">
      <c r="D687" s="1" t="s">
        <v>151</v>
      </c>
      <c r="E687" s="1" t="s">
        <v>68</v>
      </c>
      <c r="F687" s="1" t="s">
        <v>45</v>
      </c>
      <c r="G687" s="1" t="s">
        <v>46</v>
      </c>
      <c r="H687" s="1" t="s">
        <v>22</v>
      </c>
      <c r="I687" s="1" t="s">
        <v>65</v>
      </c>
      <c r="L687" s="1">
        <v>4.2992261378713571E-4</v>
      </c>
      <c r="N687" s="1">
        <v>62.379351989018836</v>
      </c>
      <c r="O687" s="11"/>
      <c r="P687" s="11"/>
      <c r="Q687" s="11"/>
      <c r="R687" s="11"/>
    </row>
    <row r="688" spans="4:18">
      <c r="D688" s="1" t="s">
        <v>151</v>
      </c>
      <c r="E688" s="1" t="s">
        <v>69</v>
      </c>
      <c r="H688" s="1" t="s">
        <v>25</v>
      </c>
      <c r="I688" s="1" t="s">
        <v>70</v>
      </c>
      <c r="N688" s="1">
        <v>0</v>
      </c>
      <c r="O688" s="11"/>
      <c r="P688" s="11"/>
      <c r="Q688" s="11"/>
      <c r="R688" s="11"/>
    </row>
    <row r="689" spans="1:18">
      <c r="D689" s="1" t="s">
        <v>151</v>
      </c>
      <c r="E689" s="1" t="s">
        <v>72</v>
      </c>
      <c r="F689" s="1" t="s">
        <v>56</v>
      </c>
      <c r="G689" s="1" t="s">
        <v>57</v>
      </c>
      <c r="H689" s="1" t="s">
        <v>22</v>
      </c>
      <c r="I689" s="1" t="s">
        <v>65</v>
      </c>
      <c r="J689" s="1">
        <v>0</v>
      </c>
      <c r="L689" s="1">
        <v>14.503773773020921</v>
      </c>
      <c r="N689" s="1">
        <v>14.503773773020921</v>
      </c>
      <c r="O689" s="11"/>
      <c r="P689" s="11"/>
      <c r="Q689" s="11"/>
      <c r="R689" s="11"/>
    </row>
    <row r="690" spans="1:18">
      <c r="D690" s="1" t="s">
        <v>151</v>
      </c>
      <c r="E690" s="1" t="s">
        <v>73</v>
      </c>
      <c r="F690" s="1" t="s">
        <v>60</v>
      </c>
      <c r="G690" s="1" t="s">
        <v>61</v>
      </c>
      <c r="H690" s="1" t="s">
        <v>22</v>
      </c>
      <c r="I690" s="1" t="s">
        <v>65</v>
      </c>
      <c r="L690" s="1">
        <v>2.38845896627E-4</v>
      </c>
      <c r="N690" s="1">
        <v>0.11907526054625121</v>
      </c>
      <c r="O690" s="11"/>
      <c r="P690" s="11"/>
      <c r="Q690" s="11"/>
      <c r="R690" s="11"/>
    </row>
    <row r="691" spans="1:18">
      <c r="D691" s="1" t="s">
        <v>151</v>
      </c>
      <c r="E691" s="1" t="s">
        <v>74</v>
      </c>
      <c r="F691" s="1" t="s">
        <v>75</v>
      </c>
      <c r="G691" s="1" t="s">
        <v>76</v>
      </c>
      <c r="H691" s="1" t="s">
        <v>22</v>
      </c>
      <c r="I691" s="1" t="s">
        <v>65</v>
      </c>
      <c r="J691" s="1">
        <v>0</v>
      </c>
      <c r="L691" s="1">
        <v>16.018463521800001</v>
      </c>
      <c r="N691" s="1">
        <v>1.6116867969183702E-2</v>
      </c>
      <c r="O691" s="11"/>
      <c r="P691" s="11"/>
      <c r="Q691" s="11"/>
      <c r="R691" s="11"/>
    </row>
    <row r="692" spans="1:18">
      <c r="D692" s="1" t="s">
        <v>151</v>
      </c>
      <c r="E692" s="1" t="s">
        <v>78</v>
      </c>
      <c r="H692" s="1" t="s">
        <v>25</v>
      </c>
      <c r="I692" s="1" t="s">
        <v>23</v>
      </c>
      <c r="M692" s="1" t="b">
        <v>0</v>
      </c>
      <c r="N692" s="1">
        <v>0</v>
      </c>
      <c r="O692" s="11"/>
      <c r="P692" s="11"/>
      <c r="Q692" s="11"/>
      <c r="R692" s="11"/>
    </row>
    <row r="693" spans="1:18">
      <c r="D693" s="1" t="s">
        <v>151</v>
      </c>
      <c r="E693" s="1" t="s">
        <v>79</v>
      </c>
      <c r="F693" s="1" t="s">
        <v>75</v>
      </c>
      <c r="G693" s="1" t="s">
        <v>76</v>
      </c>
      <c r="H693" s="1" t="s">
        <v>22</v>
      </c>
      <c r="I693" s="1" t="s">
        <v>23</v>
      </c>
      <c r="J693" s="1">
        <v>0</v>
      </c>
      <c r="K693" s="1">
        <v>0.96110781130800005</v>
      </c>
      <c r="L693" s="1">
        <v>16.018463521800001</v>
      </c>
      <c r="M693" s="1">
        <v>1.6018463521800002</v>
      </c>
      <c r="N693" s="1">
        <v>1.6018463521800002</v>
      </c>
      <c r="O693" s="11"/>
      <c r="P693" s="11"/>
      <c r="Q693" s="11"/>
      <c r="R693" s="11"/>
    </row>
    <row r="694" spans="1:18">
      <c r="B694" s="3" t="s">
        <v>1705</v>
      </c>
      <c r="D694" s="1" t="s">
        <v>153</v>
      </c>
      <c r="E694" s="1" t="s">
        <v>33</v>
      </c>
      <c r="H694" s="1" t="s">
        <v>25</v>
      </c>
      <c r="I694" s="1" t="s">
        <v>23</v>
      </c>
      <c r="M694" s="1" t="b">
        <v>1</v>
      </c>
      <c r="N694" s="1">
        <v>1</v>
      </c>
      <c r="O694" s="11" t="b">
        <v>1</v>
      </c>
      <c r="P694" s="11" t="b">
        <v>1</v>
      </c>
      <c r="Q694" s="11" t="b">
        <v>1</v>
      </c>
      <c r="R694" s="11" t="b">
        <v>1</v>
      </c>
    </row>
    <row r="695" spans="1:18">
      <c r="D695" s="1" t="s">
        <v>153</v>
      </c>
      <c r="E695" s="1" t="s">
        <v>158</v>
      </c>
      <c r="H695" s="1" t="s">
        <v>22</v>
      </c>
      <c r="I695" s="1" t="s">
        <v>29</v>
      </c>
      <c r="J695" s="1">
        <v>238.14</v>
      </c>
      <c r="K695" s="1">
        <v>398.15</v>
      </c>
      <c r="L695" s="1">
        <v>300</v>
      </c>
      <c r="N695" s="1">
        <v>279.81666666667002</v>
      </c>
      <c r="O695" s="11"/>
      <c r="P695" s="11"/>
      <c r="Q695" s="11"/>
      <c r="R695" s="11"/>
    </row>
    <row r="696" spans="1:18">
      <c r="A696" s="2" t="s">
        <v>1722</v>
      </c>
      <c r="B696" s="3" t="s">
        <v>1716</v>
      </c>
      <c r="D696" s="1" t="s">
        <v>153</v>
      </c>
      <c r="E696" s="1" t="s">
        <v>34</v>
      </c>
      <c r="F696" s="1" t="s">
        <v>35</v>
      </c>
      <c r="G696" s="1" t="s">
        <v>36</v>
      </c>
      <c r="H696" s="1" t="s">
        <v>22</v>
      </c>
      <c r="I696" s="1" t="s">
        <v>23</v>
      </c>
      <c r="J696" s="1">
        <v>-99.670000000000016</v>
      </c>
      <c r="K696" s="1">
        <v>980.32999999999993</v>
      </c>
      <c r="L696" s="1">
        <v>80.329999999999984</v>
      </c>
      <c r="M696" s="1">
        <v>44.000000000006025</v>
      </c>
      <c r="N696" s="1">
        <v>44.000000000006025</v>
      </c>
      <c r="O696" s="11">
        <v>44</v>
      </c>
      <c r="P696" s="11">
        <v>44</v>
      </c>
      <c r="Q696" s="11">
        <v>44</v>
      </c>
      <c r="R696" s="11">
        <v>44</v>
      </c>
    </row>
    <row r="697" spans="1:18">
      <c r="D697" s="1" t="s">
        <v>153</v>
      </c>
      <c r="E697" s="1" t="s">
        <v>159</v>
      </c>
      <c r="H697" s="1" t="s">
        <v>25</v>
      </c>
      <c r="I697" s="1" t="s">
        <v>23</v>
      </c>
      <c r="M697" s="1" t="b">
        <v>0</v>
      </c>
      <c r="N697" s="1">
        <v>0</v>
      </c>
      <c r="O697" s="11"/>
      <c r="P697" s="11"/>
      <c r="Q697" s="11"/>
      <c r="R697" s="11"/>
    </row>
    <row r="698" spans="1:18">
      <c r="D698" s="1" t="s">
        <v>153</v>
      </c>
      <c r="E698" s="1" t="s">
        <v>160</v>
      </c>
      <c r="F698" s="1" t="s">
        <v>161</v>
      </c>
      <c r="G698" s="1" t="s">
        <v>162</v>
      </c>
      <c r="H698" s="1" t="s">
        <v>22</v>
      </c>
      <c r="I698" s="1" t="s">
        <v>23</v>
      </c>
      <c r="J698" s="1">
        <v>0</v>
      </c>
      <c r="K698" s="1">
        <v>9510193342.230648</v>
      </c>
      <c r="L698" s="1">
        <v>15850.322237051079</v>
      </c>
      <c r="M698" s="1">
        <v>1585.032223705108</v>
      </c>
      <c r="N698" s="1">
        <v>1585.032223705108</v>
      </c>
      <c r="O698" s="11"/>
      <c r="P698" s="11"/>
      <c r="Q698" s="11"/>
      <c r="R698" s="11"/>
    </row>
    <row r="699" spans="1:18">
      <c r="D699" s="1" t="s">
        <v>153</v>
      </c>
      <c r="E699" s="1" t="s">
        <v>163</v>
      </c>
      <c r="H699" s="1" t="s">
        <v>22</v>
      </c>
      <c r="I699" s="1" t="s">
        <v>23</v>
      </c>
      <c r="J699" s="1">
        <v>0</v>
      </c>
      <c r="K699" s="1">
        <v>1</v>
      </c>
      <c r="L699" s="1">
        <v>0.1</v>
      </c>
      <c r="M699" s="1">
        <v>0.2</v>
      </c>
      <c r="N699" s="1">
        <v>0.2</v>
      </c>
      <c r="O699" s="11"/>
      <c r="P699" s="11"/>
      <c r="Q699" s="11"/>
      <c r="R699" s="11"/>
    </row>
    <row r="700" spans="1:18">
      <c r="D700" s="1" t="s">
        <v>153</v>
      </c>
      <c r="E700" s="1" t="s">
        <v>164</v>
      </c>
      <c r="F700" s="1" t="s">
        <v>35</v>
      </c>
      <c r="G700" s="1" t="s">
        <v>36</v>
      </c>
      <c r="H700" s="1" t="s">
        <v>22</v>
      </c>
      <c r="I700" s="1" t="s">
        <v>29</v>
      </c>
      <c r="J700" s="1">
        <v>-31.018000000000029</v>
      </c>
      <c r="K700" s="1">
        <v>256.99999999999994</v>
      </c>
      <c r="L700" s="1">
        <v>80.329999999999984</v>
      </c>
      <c r="N700" s="1">
        <v>44.000000000005798</v>
      </c>
      <c r="O700" s="11"/>
      <c r="P700" s="11"/>
      <c r="Q700" s="11"/>
      <c r="R700" s="11"/>
    </row>
    <row r="701" spans="1:18">
      <c r="D701" s="1" t="s">
        <v>153</v>
      </c>
      <c r="E701" s="1" t="s">
        <v>43</v>
      </c>
      <c r="H701" s="1" t="s">
        <v>25</v>
      </c>
      <c r="I701" s="1" t="s">
        <v>23</v>
      </c>
      <c r="M701" s="1" t="b">
        <v>0</v>
      </c>
      <c r="N701" s="1">
        <v>0</v>
      </c>
      <c r="O701" s="11"/>
      <c r="P701" s="11"/>
      <c r="Q701" s="11"/>
      <c r="R701" s="11"/>
    </row>
    <row r="702" spans="1:18">
      <c r="D702" s="1" t="s">
        <v>153</v>
      </c>
      <c r="E702" s="1" t="s">
        <v>44</v>
      </c>
      <c r="F702" s="1" t="s">
        <v>45</v>
      </c>
      <c r="G702" s="1" t="s">
        <v>46</v>
      </c>
      <c r="H702" s="1" t="s">
        <v>22</v>
      </c>
      <c r="I702" s="1" t="s">
        <v>23</v>
      </c>
      <c r="J702" s="1">
        <v>-85.984522757427143</v>
      </c>
      <c r="K702" s="1">
        <v>859.84522757427146</v>
      </c>
      <c r="L702" s="1">
        <v>429.92261378713573</v>
      </c>
      <c r="M702" s="1">
        <v>128.97678413614071</v>
      </c>
      <c r="N702" s="1">
        <v>128.97678413614071</v>
      </c>
      <c r="O702" s="11"/>
      <c r="P702" s="11"/>
      <c r="Q702" s="11"/>
      <c r="R702" s="11"/>
    </row>
    <row r="703" spans="1:18">
      <c r="D703" s="1" t="s">
        <v>153</v>
      </c>
      <c r="E703" s="1" t="s">
        <v>47</v>
      </c>
      <c r="H703" s="1" t="s">
        <v>25</v>
      </c>
      <c r="I703" s="1" t="s">
        <v>23</v>
      </c>
      <c r="M703" s="1" t="b">
        <v>0</v>
      </c>
      <c r="N703" s="1">
        <v>0</v>
      </c>
      <c r="O703" s="11"/>
      <c r="P703" s="11"/>
      <c r="Q703" s="11"/>
      <c r="R703" s="11"/>
    </row>
    <row r="704" spans="1:18">
      <c r="D704" s="1" t="s">
        <v>153</v>
      </c>
      <c r="E704" s="1" t="s">
        <v>54</v>
      </c>
      <c r="H704" s="1" t="s">
        <v>25</v>
      </c>
      <c r="I704" s="1" t="s">
        <v>23</v>
      </c>
      <c r="M704" s="1" t="b">
        <v>1</v>
      </c>
      <c r="N704" s="1">
        <v>1</v>
      </c>
      <c r="O704" s="11"/>
      <c r="P704" s="11"/>
      <c r="Q704" s="11"/>
      <c r="R704" s="11"/>
    </row>
    <row r="705" spans="1:18">
      <c r="D705" s="1" t="s">
        <v>153</v>
      </c>
      <c r="E705" s="1" t="s">
        <v>165</v>
      </c>
      <c r="H705" s="1" t="s">
        <v>22</v>
      </c>
      <c r="I705" s="1" t="s">
        <v>29</v>
      </c>
      <c r="J705" s="1">
        <v>1000</v>
      </c>
      <c r="K705" s="1">
        <v>10000000</v>
      </c>
      <c r="L705" s="1">
        <v>100000</v>
      </c>
      <c r="N705" s="1">
        <v>100000</v>
      </c>
      <c r="O705" s="11"/>
      <c r="P705" s="11"/>
      <c r="Q705" s="11"/>
      <c r="R705" s="11"/>
    </row>
    <row r="706" spans="1:18">
      <c r="D706" s="1" t="s">
        <v>153</v>
      </c>
      <c r="E706" s="1" t="s">
        <v>55</v>
      </c>
      <c r="F706" s="1" t="s">
        <v>56</v>
      </c>
      <c r="G706" s="1" t="s">
        <v>57</v>
      </c>
      <c r="H706" s="1" t="s">
        <v>22</v>
      </c>
      <c r="I706" s="1" t="s">
        <v>23</v>
      </c>
      <c r="J706" s="1">
        <v>0</v>
      </c>
      <c r="K706" s="1">
        <v>942.74529524635989</v>
      </c>
      <c r="L706" s="1">
        <v>14.503773773020921</v>
      </c>
      <c r="M706" s="1">
        <v>14.503773773020921</v>
      </c>
      <c r="N706" s="1">
        <v>14.503773773020921</v>
      </c>
      <c r="O706" s="11"/>
      <c r="P706" s="11"/>
      <c r="Q706" s="11"/>
      <c r="R706" s="11"/>
    </row>
    <row r="707" spans="1:18">
      <c r="D707" s="1" t="s">
        <v>153</v>
      </c>
      <c r="E707" s="1" t="s">
        <v>58</v>
      </c>
      <c r="H707" s="1" t="s">
        <v>25</v>
      </c>
      <c r="I707" s="1" t="s">
        <v>23</v>
      </c>
      <c r="M707" s="1" t="b">
        <v>0</v>
      </c>
      <c r="N707" s="1">
        <v>0</v>
      </c>
      <c r="O707" s="11"/>
      <c r="P707" s="11"/>
      <c r="Q707" s="11"/>
      <c r="R707" s="11"/>
    </row>
    <row r="708" spans="1:18">
      <c r="D708" s="1" t="s">
        <v>153</v>
      </c>
      <c r="E708" s="1" t="s">
        <v>59</v>
      </c>
      <c r="F708" s="1" t="s">
        <v>60</v>
      </c>
      <c r="G708" s="1" t="s">
        <v>61</v>
      </c>
      <c r="H708" s="1" t="s">
        <v>22</v>
      </c>
      <c r="I708" s="1" t="s">
        <v>23</v>
      </c>
      <c r="J708" s="1">
        <v>-0.95538358650800004</v>
      </c>
      <c r="K708" s="1">
        <v>9.5538358650799999</v>
      </c>
      <c r="L708" s="1">
        <v>0.23884589662700001</v>
      </c>
      <c r="M708" s="1">
        <v>0.23884589662700001</v>
      </c>
      <c r="N708" s="1">
        <v>0.23884589662700001</v>
      </c>
      <c r="O708" s="11"/>
      <c r="P708" s="11"/>
      <c r="Q708" s="11"/>
      <c r="R708" s="11"/>
    </row>
    <row r="709" spans="1:18">
      <c r="D709" s="1" t="s">
        <v>153</v>
      </c>
      <c r="E709" s="1" t="s">
        <v>64</v>
      </c>
      <c r="F709" s="1" t="s">
        <v>35</v>
      </c>
      <c r="G709" s="1" t="s">
        <v>36</v>
      </c>
      <c r="H709" s="1" t="s">
        <v>22</v>
      </c>
      <c r="I709" s="1" t="s">
        <v>65</v>
      </c>
      <c r="J709" s="1">
        <v>-459.67</v>
      </c>
      <c r="L709" s="1">
        <v>80.329999999999984</v>
      </c>
      <c r="N709" s="1">
        <v>44.000000000005798</v>
      </c>
      <c r="O709" s="11"/>
      <c r="P709" s="11"/>
      <c r="Q709" s="11"/>
      <c r="R709" s="11"/>
    </row>
    <row r="710" spans="1:18">
      <c r="D710" s="1" t="s">
        <v>153</v>
      </c>
      <c r="E710" s="1" t="s">
        <v>166</v>
      </c>
      <c r="F710" s="1" t="s">
        <v>161</v>
      </c>
      <c r="G710" s="1" t="s">
        <v>162</v>
      </c>
      <c r="H710" s="1" t="s">
        <v>22</v>
      </c>
      <c r="I710" s="1" t="s">
        <v>65</v>
      </c>
      <c r="L710" s="1">
        <v>15850.322237051079</v>
      </c>
      <c r="N710" s="1">
        <v>2390.3427500039638</v>
      </c>
      <c r="O710" s="11"/>
      <c r="P710" s="11"/>
      <c r="Q710" s="11"/>
      <c r="R710" s="11"/>
    </row>
    <row r="711" spans="1:18">
      <c r="D711" s="1" t="s">
        <v>153</v>
      </c>
      <c r="E711" s="1" t="s">
        <v>68</v>
      </c>
      <c r="F711" s="1" t="s">
        <v>45</v>
      </c>
      <c r="G711" s="1" t="s">
        <v>46</v>
      </c>
      <c r="H711" s="1" t="s">
        <v>22</v>
      </c>
      <c r="I711" s="1" t="s">
        <v>65</v>
      </c>
      <c r="L711" s="1">
        <v>4.2992261378713571E-4</v>
      </c>
      <c r="N711" s="1">
        <v>12.090482592752208</v>
      </c>
      <c r="O711" s="11"/>
      <c r="P711" s="11"/>
      <c r="Q711" s="11"/>
      <c r="R711" s="11"/>
    </row>
    <row r="712" spans="1:18">
      <c r="D712" s="1" t="s">
        <v>153</v>
      </c>
      <c r="E712" s="1" t="s">
        <v>69</v>
      </c>
      <c r="H712" s="1" t="s">
        <v>25</v>
      </c>
      <c r="I712" s="1" t="s">
        <v>70</v>
      </c>
      <c r="N712" s="1">
        <v>0</v>
      </c>
      <c r="O712" s="11"/>
      <c r="P712" s="11"/>
      <c r="Q712" s="11"/>
      <c r="R712" s="11"/>
    </row>
    <row r="713" spans="1:18">
      <c r="D713" s="1" t="s">
        <v>153</v>
      </c>
      <c r="E713" s="1" t="s">
        <v>72</v>
      </c>
      <c r="F713" s="1" t="s">
        <v>56</v>
      </c>
      <c r="G713" s="1" t="s">
        <v>57</v>
      </c>
      <c r="H713" s="1" t="s">
        <v>22</v>
      </c>
      <c r="I713" s="1" t="s">
        <v>65</v>
      </c>
      <c r="J713" s="1">
        <v>0</v>
      </c>
      <c r="L713" s="1">
        <v>14.503773773020921</v>
      </c>
      <c r="N713" s="1">
        <v>14.503773773020921</v>
      </c>
      <c r="O713" s="11"/>
      <c r="P713" s="11"/>
      <c r="Q713" s="11"/>
      <c r="R713" s="11"/>
    </row>
    <row r="714" spans="1:18">
      <c r="D714" s="1" t="s">
        <v>153</v>
      </c>
      <c r="E714" s="1" t="s">
        <v>73</v>
      </c>
      <c r="F714" s="1" t="s">
        <v>60</v>
      </c>
      <c r="G714" s="1" t="s">
        <v>61</v>
      </c>
      <c r="H714" s="1" t="s">
        <v>22</v>
      </c>
      <c r="I714" s="1" t="s">
        <v>65</v>
      </c>
      <c r="L714" s="1">
        <v>2.38845896627E-4</v>
      </c>
      <c r="N714" s="1">
        <v>2.4199606968717029E-2</v>
      </c>
      <c r="O714" s="11"/>
      <c r="P714" s="11"/>
      <c r="Q714" s="11"/>
      <c r="R714" s="11"/>
    </row>
    <row r="715" spans="1:18">
      <c r="D715" s="1" t="s">
        <v>153</v>
      </c>
      <c r="E715" s="1" t="s">
        <v>74</v>
      </c>
      <c r="F715" s="1" t="s">
        <v>75</v>
      </c>
      <c r="G715" s="1" t="s">
        <v>76</v>
      </c>
      <c r="H715" s="1" t="s">
        <v>22</v>
      </c>
      <c r="I715" s="1" t="s">
        <v>65</v>
      </c>
      <c r="J715" s="1">
        <v>0</v>
      </c>
      <c r="L715" s="1">
        <v>16.018463521800001</v>
      </c>
      <c r="N715" s="1">
        <v>1.6015507301327277E-2</v>
      </c>
      <c r="O715" s="11"/>
      <c r="P715" s="11"/>
      <c r="Q715" s="11"/>
      <c r="R715" s="11"/>
    </row>
    <row r="716" spans="1:18">
      <c r="D716" s="1" t="s">
        <v>153</v>
      </c>
      <c r="E716" s="1" t="s">
        <v>78</v>
      </c>
      <c r="H716" s="1" t="s">
        <v>25</v>
      </c>
      <c r="I716" s="1" t="s">
        <v>23</v>
      </c>
      <c r="M716" s="1" t="b">
        <v>0</v>
      </c>
      <c r="N716" s="1">
        <v>0</v>
      </c>
      <c r="O716" s="11"/>
      <c r="P716" s="11"/>
      <c r="Q716" s="11"/>
      <c r="R716" s="11"/>
    </row>
    <row r="717" spans="1:18">
      <c r="D717" s="1" t="s">
        <v>153</v>
      </c>
      <c r="E717" s="1" t="s">
        <v>79</v>
      </c>
      <c r="F717" s="1" t="s">
        <v>75</v>
      </c>
      <c r="G717" s="1" t="s">
        <v>76</v>
      </c>
      <c r="H717" s="1" t="s">
        <v>22</v>
      </c>
      <c r="I717" s="1" t="s">
        <v>23</v>
      </c>
      <c r="J717" s="1">
        <v>0</v>
      </c>
      <c r="K717" s="1">
        <v>0.96110781130800005</v>
      </c>
      <c r="L717" s="1">
        <v>16.018463521800001</v>
      </c>
      <c r="M717" s="1">
        <v>1.6018463521800002</v>
      </c>
      <c r="N717" s="1">
        <v>1.6018463521800002</v>
      </c>
      <c r="O717" s="11"/>
      <c r="P717" s="11"/>
      <c r="Q717" s="11"/>
      <c r="R717" s="11"/>
    </row>
    <row r="718" spans="1:18">
      <c r="B718" s="3" t="s">
        <v>1705</v>
      </c>
      <c r="D718" s="1" t="s">
        <v>155</v>
      </c>
      <c r="E718" s="1" t="s">
        <v>33</v>
      </c>
      <c r="H718" s="1" t="s">
        <v>25</v>
      </c>
      <c r="I718" s="1" t="s">
        <v>23</v>
      </c>
      <c r="M718" s="1" t="b">
        <v>1</v>
      </c>
      <c r="N718" s="1">
        <v>1</v>
      </c>
      <c r="O718" s="11" t="b">
        <v>1</v>
      </c>
      <c r="P718" s="11" t="b">
        <v>1</v>
      </c>
      <c r="Q718" s="11" t="b">
        <v>1</v>
      </c>
      <c r="R718" s="11" t="b">
        <v>1</v>
      </c>
    </row>
    <row r="719" spans="1:18">
      <c r="D719" s="1" t="s">
        <v>155</v>
      </c>
      <c r="E719" s="1" t="s">
        <v>158</v>
      </c>
      <c r="H719" s="1" t="s">
        <v>22</v>
      </c>
      <c r="I719" s="1" t="s">
        <v>29</v>
      </c>
      <c r="J719" s="1">
        <v>238.14</v>
      </c>
      <c r="K719" s="1">
        <v>398.15</v>
      </c>
      <c r="L719" s="1">
        <v>300</v>
      </c>
      <c r="N719" s="1">
        <v>302.59444444444</v>
      </c>
      <c r="O719" s="11"/>
      <c r="P719" s="11"/>
      <c r="Q719" s="11"/>
      <c r="R719" s="11"/>
    </row>
    <row r="720" spans="1:18">
      <c r="A720" s="2" t="s">
        <v>1722</v>
      </c>
      <c r="B720" s="3" t="s">
        <v>1718</v>
      </c>
      <c r="D720" s="1" t="s">
        <v>155</v>
      </c>
      <c r="E720" s="1" t="s">
        <v>34</v>
      </c>
      <c r="F720" s="1" t="s">
        <v>35</v>
      </c>
      <c r="G720" s="1" t="s">
        <v>36</v>
      </c>
      <c r="H720" s="1" t="s">
        <v>22</v>
      </c>
      <c r="I720" s="1" t="s">
        <v>23</v>
      </c>
      <c r="J720" s="1">
        <v>-99.670000000000016</v>
      </c>
      <c r="K720" s="1">
        <v>980.32999999999993</v>
      </c>
      <c r="L720" s="1">
        <v>80.329999999999984</v>
      </c>
      <c r="M720" s="1">
        <v>84.999999999991985</v>
      </c>
      <c r="N720" s="1">
        <v>84.999999999991985</v>
      </c>
      <c r="O720" s="11">
        <v>84.999999999999901</v>
      </c>
      <c r="P720" s="11">
        <v>75.000000000000099</v>
      </c>
      <c r="Q720" s="11">
        <v>64.999999999999901</v>
      </c>
      <c r="R720" s="11">
        <v>64.999999999999901</v>
      </c>
    </row>
    <row r="721" spans="2:18">
      <c r="B721" s="3" t="s">
        <v>1705</v>
      </c>
      <c r="D721" s="1" t="s">
        <v>155</v>
      </c>
      <c r="E721" s="1" t="s">
        <v>159</v>
      </c>
      <c r="H721" s="1" t="s">
        <v>25</v>
      </c>
      <c r="I721" s="1" t="s">
        <v>23</v>
      </c>
      <c r="M721" s="1" t="b">
        <v>0</v>
      </c>
      <c r="N721" s="1">
        <v>0</v>
      </c>
      <c r="O721" s="11" t="b">
        <v>0</v>
      </c>
      <c r="P721" s="11" t="b">
        <v>1</v>
      </c>
      <c r="Q721" s="11" t="b">
        <v>1</v>
      </c>
      <c r="R721" s="11" t="b">
        <v>1</v>
      </c>
    </row>
    <row r="722" spans="2:18">
      <c r="D722" s="1" t="s">
        <v>155</v>
      </c>
      <c r="E722" s="1" t="s">
        <v>167</v>
      </c>
      <c r="H722" s="1" t="s">
        <v>22</v>
      </c>
      <c r="I722" s="1" t="s">
        <v>29</v>
      </c>
      <c r="J722" s="1">
        <v>9.9999999999999995E-8</v>
      </c>
      <c r="K722" s="1">
        <v>100</v>
      </c>
      <c r="L722" s="1">
        <v>0.2</v>
      </c>
      <c r="N722" s="1">
        <v>0.1918317776710278</v>
      </c>
      <c r="O722" s="11"/>
      <c r="P722" s="11"/>
      <c r="Q722" s="11"/>
      <c r="R722" s="11"/>
    </row>
    <row r="723" spans="2:18">
      <c r="B723" s="3" t="s">
        <v>1705</v>
      </c>
      <c r="D723" s="1" t="s">
        <v>155</v>
      </c>
      <c r="E723" s="1" t="s">
        <v>160</v>
      </c>
      <c r="F723" s="1" t="s">
        <v>161</v>
      </c>
      <c r="G723" s="1" t="s">
        <v>162</v>
      </c>
      <c r="H723" s="1" t="s">
        <v>22</v>
      </c>
      <c r="I723" s="1" t="s">
        <v>23</v>
      </c>
      <c r="J723" s="1">
        <v>0</v>
      </c>
      <c r="K723" s="1">
        <v>9510193342.230648</v>
      </c>
      <c r="L723" s="1">
        <v>15850.322237051079</v>
      </c>
      <c r="M723" s="1">
        <v>1756.3001068311719</v>
      </c>
      <c r="N723" s="1">
        <v>1756.3001068311719</v>
      </c>
      <c r="O723" s="11">
        <v>158.503222370511</v>
      </c>
      <c r="P723" s="11">
        <f>O734</f>
        <v>0</v>
      </c>
      <c r="Q723" s="11">
        <f>O734</f>
        <v>0</v>
      </c>
      <c r="R723" s="11">
        <f>O734</f>
        <v>0</v>
      </c>
    </row>
    <row r="724" spans="2:18">
      <c r="D724" s="1" t="s">
        <v>155</v>
      </c>
      <c r="E724" s="1" t="s">
        <v>163</v>
      </c>
      <c r="H724" s="1" t="s">
        <v>22</v>
      </c>
      <c r="I724" s="1" t="s">
        <v>23</v>
      </c>
      <c r="J724" s="1">
        <v>0</v>
      </c>
      <c r="K724" s="1">
        <v>1</v>
      </c>
      <c r="L724" s="1">
        <v>0.1</v>
      </c>
      <c r="M724" s="1">
        <v>0.2</v>
      </c>
      <c r="N724" s="1">
        <v>0.2</v>
      </c>
      <c r="O724" s="11"/>
      <c r="P724" s="11"/>
      <c r="Q724" s="11"/>
      <c r="R724" s="11"/>
    </row>
    <row r="725" spans="2:18">
      <c r="D725" s="1" t="s">
        <v>155</v>
      </c>
      <c r="E725" s="1" t="s">
        <v>164</v>
      </c>
      <c r="F725" s="1" t="s">
        <v>35</v>
      </c>
      <c r="G725" s="1" t="s">
        <v>36</v>
      </c>
      <c r="H725" s="1" t="s">
        <v>22</v>
      </c>
      <c r="I725" s="1" t="s">
        <v>29</v>
      </c>
      <c r="J725" s="1">
        <v>-31.018000000000029</v>
      </c>
      <c r="K725" s="1">
        <v>256.99999999999994</v>
      </c>
      <c r="L725" s="1">
        <v>80.329999999999984</v>
      </c>
      <c r="N725" s="1">
        <v>84.999999999992212</v>
      </c>
      <c r="O725" s="11"/>
      <c r="P725" s="11"/>
      <c r="Q725" s="11"/>
      <c r="R725" s="11"/>
    </row>
    <row r="726" spans="2:18">
      <c r="D726" s="1" t="s">
        <v>155</v>
      </c>
      <c r="E726" s="1" t="s">
        <v>43</v>
      </c>
      <c r="H726" s="1" t="s">
        <v>25</v>
      </c>
      <c r="I726" s="1" t="s">
        <v>23</v>
      </c>
      <c r="M726" s="1" t="b">
        <v>0</v>
      </c>
      <c r="N726" s="1">
        <v>0</v>
      </c>
      <c r="O726" s="11"/>
      <c r="P726" s="11"/>
      <c r="Q726" s="11"/>
      <c r="R726" s="11"/>
    </row>
    <row r="727" spans="2:18">
      <c r="D727" s="1" t="s">
        <v>155</v>
      </c>
      <c r="E727" s="1" t="s">
        <v>44</v>
      </c>
      <c r="F727" s="1" t="s">
        <v>45</v>
      </c>
      <c r="G727" s="1" t="s">
        <v>46</v>
      </c>
      <c r="H727" s="1" t="s">
        <v>22</v>
      </c>
      <c r="I727" s="1" t="s">
        <v>23</v>
      </c>
      <c r="J727" s="1">
        <v>-85.984522757427143</v>
      </c>
      <c r="K727" s="1">
        <v>859.84522757427146</v>
      </c>
      <c r="L727" s="1">
        <v>429.92261378713573</v>
      </c>
      <c r="M727" s="1">
        <v>128.97678413614071</v>
      </c>
      <c r="N727" s="1">
        <v>128.97678413614071</v>
      </c>
      <c r="O727" s="11"/>
      <c r="P727" s="11"/>
      <c r="Q727" s="11"/>
      <c r="R727" s="11"/>
    </row>
    <row r="728" spans="2:18">
      <c r="D728" s="1" t="s">
        <v>155</v>
      </c>
      <c r="E728" s="1" t="s">
        <v>47</v>
      </c>
      <c r="H728" s="1" t="s">
        <v>25</v>
      </c>
      <c r="I728" s="1" t="s">
        <v>23</v>
      </c>
      <c r="M728" s="1" t="b">
        <v>0</v>
      </c>
      <c r="N728" s="1">
        <v>0</v>
      </c>
      <c r="O728" s="11"/>
      <c r="P728" s="11"/>
      <c r="Q728" s="11"/>
      <c r="R728" s="11"/>
    </row>
    <row r="729" spans="2:18">
      <c r="D729" s="1" t="s">
        <v>155</v>
      </c>
      <c r="E729" s="1" t="s">
        <v>54</v>
      </c>
      <c r="H729" s="1" t="s">
        <v>25</v>
      </c>
      <c r="I729" s="1" t="s">
        <v>23</v>
      </c>
      <c r="M729" s="1" t="b">
        <v>0</v>
      </c>
      <c r="N729" s="1">
        <v>0</v>
      </c>
      <c r="O729" s="11"/>
      <c r="P729" s="11"/>
      <c r="Q729" s="11"/>
      <c r="R729" s="11"/>
    </row>
    <row r="730" spans="2:18">
      <c r="D730" s="1" t="s">
        <v>155</v>
      </c>
      <c r="E730" s="1" t="s">
        <v>55</v>
      </c>
      <c r="F730" s="1" t="s">
        <v>56</v>
      </c>
      <c r="G730" s="1" t="s">
        <v>57</v>
      </c>
      <c r="H730" s="1" t="s">
        <v>22</v>
      </c>
      <c r="I730" s="1" t="s">
        <v>23</v>
      </c>
      <c r="J730" s="1">
        <v>0</v>
      </c>
      <c r="K730" s="1">
        <v>942.74529524635989</v>
      </c>
      <c r="L730" s="1">
        <v>14.503773773020921</v>
      </c>
      <c r="M730" s="1">
        <v>39.999998299180966</v>
      </c>
      <c r="N730" s="1">
        <v>39.999998299180966</v>
      </c>
      <c r="O730" s="11"/>
      <c r="P730" s="11"/>
      <c r="Q730" s="11"/>
      <c r="R730" s="11"/>
    </row>
    <row r="731" spans="2:18">
      <c r="D731" s="1" t="s">
        <v>155</v>
      </c>
      <c r="E731" s="1" t="s">
        <v>58</v>
      </c>
      <c r="H731" s="1" t="s">
        <v>25</v>
      </c>
      <c r="I731" s="1" t="s">
        <v>23</v>
      </c>
      <c r="M731" s="1" t="b">
        <v>0</v>
      </c>
      <c r="N731" s="1">
        <v>0</v>
      </c>
      <c r="O731" s="11"/>
      <c r="P731" s="11"/>
      <c r="Q731" s="11"/>
      <c r="R731" s="11"/>
    </row>
    <row r="732" spans="2:18">
      <c r="D732" s="1" t="s">
        <v>155</v>
      </c>
      <c r="E732" s="1" t="s">
        <v>59</v>
      </c>
      <c r="F732" s="1" t="s">
        <v>60</v>
      </c>
      <c r="G732" s="1" t="s">
        <v>61</v>
      </c>
      <c r="H732" s="1" t="s">
        <v>22</v>
      </c>
      <c r="I732" s="1" t="s">
        <v>23</v>
      </c>
      <c r="J732" s="1">
        <v>-0.95538358650800004</v>
      </c>
      <c r="K732" s="1">
        <v>9.5538358650799999</v>
      </c>
      <c r="L732" s="1">
        <v>0.23884589662700001</v>
      </c>
      <c r="M732" s="1">
        <v>0.23884589662700001</v>
      </c>
      <c r="N732" s="1">
        <v>0.23884589662700001</v>
      </c>
      <c r="O732" s="11"/>
      <c r="P732" s="11"/>
      <c r="Q732" s="11"/>
      <c r="R732" s="11"/>
    </row>
    <row r="733" spans="2:18">
      <c r="D733" s="1" t="s">
        <v>155</v>
      </c>
      <c r="E733" s="1" t="s">
        <v>64</v>
      </c>
      <c r="F733" s="1" t="s">
        <v>35</v>
      </c>
      <c r="G733" s="1" t="s">
        <v>36</v>
      </c>
      <c r="H733" s="1" t="s">
        <v>22</v>
      </c>
      <c r="I733" s="1" t="s">
        <v>65</v>
      </c>
      <c r="J733" s="1">
        <v>-459.67</v>
      </c>
      <c r="L733" s="1">
        <v>80.329999999999984</v>
      </c>
      <c r="N733" s="1">
        <v>84.999999999992212</v>
      </c>
      <c r="O733" s="11"/>
      <c r="P733" s="11"/>
      <c r="Q733" s="11"/>
      <c r="R733" s="11"/>
    </row>
    <row r="734" spans="2:18">
      <c r="B734" s="3" t="s">
        <v>1706</v>
      </c>
      <c r="D734" s="1" t="s">
        <v>155</v>
      </c>
      <c r="E734" s="1" t="s">
        <v>166</v>
      </c>
      <c r="F734" s="1" t="s">
        <v>161</v>
      </c>
      <c r="G734" s="1" t="s">
        <v>162</v>
      </c>
      <c r="H734" s="1" t="s">
        <v>22</v>
      </c>
      <c r="I734" s="1" t="s">
        <v>65</v>
      </c>
      <c r="L734" s="1">
        <v>15850.322237051079</v>
      </c>
      <c r="N734" s="1">
        <v>3040.595491392131</v>
      </c>
      <c r="O734" s="11"/>
      <c r="P734" s="11"/>
      <c r="Q734" s="11"/>
      <c r="R734" s="11"/>
    </row>
    <row r="735" spans="2:18">
      <c r="D735" s="1" t="s">
        <v>155</v>
      </c>
      <c r="E735" s="1" t="s">
        <v>68</v>
      </c>
      <c r="F735" s="1" t="s">
        <v>45</v>
      </c>
      <c r="G735" s="1" t="s">
        <v>46</v>
      </c>
      <c r="H735" s="1" t="s">
        <v>22</v>
      </c>
      <c r="I735" s="1" t="s">
        <v>65</v>
      </c>
      <c r="L735" s="1">
        <v>4.2992261378713571E-4</v>
      </c>
      <c r="N735" s="1">
        <v>53.096497264508898</v>
      </c>
      <c r="O735" s="11"/>
      <c r="P735" s="11"/>
      <c r="Q735" s="11"/>
      <c r="R735" s="11"/>
    </row>
    <row r="736" spans="2:18">
      <c r="D736" s="1" t="s">
        <v>155</v>
      </c>
      <c r="E736" s="1" t="s">
        <v>69</v>
      </c>
      <c r="H736" s="1" t="s">
        <v>25</v>
      </c>
      <c r="I736" s="1" t="s">
        <v>70</v>
      </c>
      <c r="N736" s="1">
        <v>0</v>
      </c>
      <c r="O736" s="11"/>
      <c r="P736" s="11"/>
      <c r="Q736" s="11"/>
      <c r="R736" s="11"/>
    </row>
    <row r="737" spans="1:18">
      <c r="D737" s="1" t="s">
        <v>155</v>
      </c>
      <c r="E737" s="1" t="s">
        <v>72</v>
      </c>
      <c r="F737" s="1" t="s">
        <v>56</v>
      </c>
      <c r="G737" s="1" t="s">
        <v>57</v>
      </c>
      <c r="H737" s="1" t="s">
        <v>22</v>
      </c>
      <c r="I737" s="1" t="s">
        <v>65</v>
      </c>
      <c r="J737" s="1">
        <v>0</v>
      </c>
      <c r="L737" s="1">
        <v>14.503773773020921</v>
      </c>
      <c r="N737" s="1">
        <v>27.651249712853247</v>
      </c>
      <c r="O737" s="11"/>
      <c r="P737" s="11"/>
      <c r="Q737" s="11"/>
      <c r="R737" s="11"/>
    </row>
    <row r="738" spans="1:18">
      <c r="D738" s="1" t="s">
        <v>155</v>
      </c>
      <c r="E738" s="1" t="s">
        <v>73</v>
      </c>
      <c r="F738" s="1" t="s">
        <v>60</v>
      </c>
      <c r="G738" s="1" t="s">
        <v>61</v>
      </c>
      <c r="H738" s="1" t="s">
        <v>22</v>
      </c>
      <c r="I738" s="1" t="s">
        <v>65</v>
      </c>
      <c r="L738" s="1">
        <v>2.38845896627E-4</v>
      </c>
      <c r="N738" s="1">
        <v>0.10219445447121051</v>
      </c>
      <c r="O738" s="11"/>
      <c r="P738" s="11"/>
      <c r="Q738" s="11"/>
      <c r="R738" s="11"/>
    </row>
    <row r="739" spans="1:18">
      <c r="D739" s="1" t="s">
        <v>155</v>
      </c>
      <c r="E739" s="1" t="s">
        <v>74</v>
      </c>
      <c r="F739" s="1" t="s">
        <v>75</v>
      </c>
      <c r="G739" s="1" t="s">
        <v>76</v>
      </c>
      <c r="H739" s="1" t="s">
        <v>22</v>
      </c>
      <c r="I739" s="1" t="s">
        <v>65</v>
      </c>
      <c r="J739" s="1">
        <v>0</v>
      </c>
      <c r="L739" s="1">
        <v>16.018463521800001</v>
      </c>
      <c r="N739" s="1">
        <v>1.6091354868660628E-2</v>
      </c>
      <c r="O739" s="11"/>
      <c r="P739" s="11"/>
      <c r="Q739" s="11"/>
      <c r="R739" s="11"/>
    </row>
    <row r="740" spans="1:18">
      <c r="D740" s="1" t="s">
        <v>155</v>
      </c>
      <c r="E740" s="1" t="s">
        <v>78</v>
      </c>
      <c r="H740" s="1" t="s">
        <v>25</v>
      </c>
      <c r="I740" s="1" t="s">
        <v>23</v>
      </c>
      <c r="M740" s="1" t="b">
        <v>0</v>
      </c>
      <c r="N740" s="1">
        <v>0</v>
      </c>
      <c r="O740" s="11"/>
      <c r="P740" s="11"/>
      <c r="Q740" s="11"/>
      <c r="R740" s="11"/>
    </row>
    <row r="741" spans="1:18">
      <c r="D741" s="1" t="s">
        <v>155</v>
      </c>
      <c r="E741" s="1" t="s">
        <v>79</v>
      </c>
      <c r="F741" s="1" t="s">
        <v>75</v>
      </c>
      <c r="G741" s="1" t="s">
        <v>76</v>
      </c>
      <c r="H741" s="1" t="s">
        <v>22</v>
      </c>
      <c r="I741" s="1" t="s">
        <v>23</v>
      </c>
      <c r="J741" s="1">
        <v>0</v>
      </c>
      <c r="K741" s="1">
        <v>0.96110781130800005</v>
      </c>
      <c r="L741" s="1">
        <v>16.018463521800001</v>
      </c>
      <c r="M741" s="1">
        <v>1.6018463521800003E-2</v>
      </c>
      <c r="N741" s="1">
        <v>1.6018463521800003E-2</v>
      </c>
      <c r="O741" s="11"/>
      <c r="P741" s="11"/>
      <c r="Q741" s="11"/>
      <c r="R741" s="11"/>
    </row>
    <row r="742" spans="1:18">
      <c r="B742" s="3" t="s">
        <v>1705</v>
      </c>
      <c r="D742" s="1" t="s">
        <v>157</v>
      </c>
      <c r="E742" s="1" t="s">
        <v>33</v>
      </c>
      <c r="H742" s="1" t="s">
        <v>25</v>
      </c>
      <c r="I742" s="1" t="s">
        <v>23</v>
      </c>
      <c r="M742" s="1" t="b">
        <v>1</v>
      </c>
      <c r="N742" s="1">
        <v>1</v>
      </c>
      <c r="O742" s="11" t="b">
        <v>1</v>
      </c>
      <c r="P742" s="11" t="b">
        <v>0</v>
      </c>
      <c r="Q742" s="11" t="b">
        <v>0</v>
      </c>
      <c r="R742" s="11" t="b">
        <v>0</v>
      </c>
    </row>
    <row r="743" spans="1:18">
      <c r="D743" s="1" t="s">
        <v>157</v>
      </c>
      <c r="E743" s="1" t="s">
        <v>158</v>
      </c>
      <c r="H743" s="1" t="s">
        <v>22</v>
      </c>
      <c r="I743" s="1" t="s">
        <v>29</v>
      </c>
      <c r="J743" s="1">
        <v>238.14</v>
      </c>
      <c r="K743" s="1">
        <v>398.15</v>
      </c>
      <c r="L743" s="1">
        <v>300</v>
      </c>
      <c r="N743" s="1">
        <v>285.37222222221999</v>
      </c>
      <c r="O743" s="11"/>
      <c r="P743" s="11"/>
      <c r="Q743" s="11"/>
      <c r="R743" s="11"/>
    </row>
    <row r="744" spans="1:18">
      <c r="A744" s="2" t="s">
        <v>1722</v>
      </c>
      <c r="B744" s="3" t="s">
        <v>1720</v>
      </c>
      <c r="D744" s="1" t="s">
        <v>157</v>
      </c>
      <c r="E744" s="1" t="s">
        <v>34</v>
      </c>
      <c r="F744" s="1" t="s">
        <v>35</v>
      </c>
      <c r="G744" s="1" t="s">
        <v>36</v>
      </c>
      <c r="H744" s="1" t="s">
        <v>22</v>
      </c>
      <c r="I744" s="1" t="s">
        <v>23</v>
      </c>
      <c r="J744" s="1">
        <v>-99.670000000000016</v>
      </c>
      <c r="K744" s="1">
        <v>980.32999999999993</v>
      </c>
      <c r="L744" s="1">
        <v>80.329999999999984</v>
      </c>
      <c r="M744" s="1">
        <v>53.999999999995964</v>
      </c>
      <c r="N744" s="1">
        <v>53.999999999995964</v>
      </c>
      <c r="O744" s="11">
        <v>53.999999999999901</v>
      </c>
      <c r="P744" s="11"/>
      <c r="Q744" s="11"/>
      <c r="R744" s="11"/>
    </row>
    <row r="745" spans="1:18">
      <c r="B745" s="3" t="s">
        <v>1705</v>
      </c>
      <c r="D745" s="1" t="s">
        <v>157</v>
      </c>
      <c r="E745" s="1" t="s">
        <v>159</v>
      </c>
      <c r="H745" s="1" t="s">
        <v>25</v>
      </c>
      <c r="I745" s="1" t="s">
        <v>23</v>
      </c>
      <c r="M745" s="1" t="b">
        <v>0</v>
      </c>
      <c r="N745" s="1">
        <v>0</v>
      </c>
      <c r="O745" s="11" t="b">
        <v>0</v>
      </c>
      <c r="P745" s="11" t="b">
        <v>1</v>
      </c>
      <c r="Q745" s="11" t="b">
        <v>1</v>
      </c>
      <c r="R745" s="11" t="b">
        <v>1</v>
      </c>
    </row>
    <row r="746" spans="1:18">
      <c r="D746" s="1" t="s">
        <v>157</v>
      </c>
      <c r="E746" s="1" t="s">
        <v>167</v>
      </c>
      <c r="H746" s="1" t="s">
        <v>22</v>
      </c>
      <c r="I746" s="1" t="s">
        <v>29</v>
      </c>
      <c r="J746" s="1">
        <v>9.9999999999999995E-8</v>
      </c>
      <c r="K746" s="1">
        <v>100</v>
      </c>
      <c r="L746" s="1">
        <v>0.2</v>
      </c>
      <c r="N746" s="1">
        <v>0.15093007153515078</v>
      </c>
      <c r="O746" s="11"/>
      <c r="P746" s="11"/>
      <c r="Q746" s="11"/>
      <c r="R746" s="11"/>
    </row>
    <row r="747" spans="1:18">
      <c r="B747" s="3" t="s">
        <v>1705</v>
      </c>
      <c r="D747" s="1" t="s">
        <v>157</v>
      </c>
      <c r="E747" s="1" t="s">
        <v>160</v>
      </c>
      <c r="F747" s="1" t="s">
        <v>161</v>
      </c>
      <c r="G747" s="1" t="s">
        <v>162</v>
      </c>
      <c r="H747" s="1" t="s">
        <v>22</v>
      </c>
      <c r="I747" s="1" t="s">
        <v>23</v>
      </c>
      <c r="J747" s="1">
        <v>0</v>
      </c>
      <c r="K747" s="1">
        <v>9510193342.230648</v>
      </c>
      <c r="L747" s="1">
        <v>15850.322237051079</v>
      </c>
      <c r="M747" s="1">
        <v>1438.0607923259079</v>
      </c>
      <c r="N747" s="1">
        <v>1438.0607923259079</v>
      </c>
      <c r="O747" s="11">
        <v>158.503222370511</v>
      </c>
      <c r="P747" s="11">
        <f>O758</f>
        <v>0</v>
      </c>
      <c r="Q747" s="11">
        <f>O758</f>
        <v>0</v>
      </c>
      <c r="R747" s="11">
        <f>O758</f>
        <v>0</v>
      </c>
    </row>
    <row r="748" spans="1:18">
      <c r="D748" s="1" t="s">
        <v>157</v>
      </c>
      <c r="E748" s="1" t="s">
        <v>163</v>
      </c>
      <c r="H748" s="1" t="s">
        <v>22</v>
      </c>
      <c r="I748" s="1" t="s">
        <v>23</v>
      </c>
      <c r="J748" s="1">
        <v>0</v>
      </c>
      <c r="K748" s="1">
        <v>1</v>
      </c>
      <c r="L748" s="1">
        <v>0.1</v>
      </c>
      <c r="M748" s="1">
        <v>0.2</v>
      </c>
      <c r="N748" s="1">
        <v>0.2</v>
      </c>
      <c r="O748" s="11"/>
      <c r="P748" s="11"/>
      <c r="Q748" s="11"/>
      <c r="R748" s="11"/>
    </row>
    <row r="749" spans="1:18">
      <c r="D749" s="1" t="s">
        <v>157</v>
      </c>
      <c r="E749" s="1" t="s">
        <v>164</v>
      </c>
      <c r="F749" s="1" t="s">
        <v>35</v>
      </c>
      <c r="G749" s="1" t="s">
        <v>36</v>
      </c>
      <c r="H749" s="1" t="s">
        <v>22</v>
      </c>
      <c r="I749" s="1" t="s">
        <v>29</v>
      </c>
      <c r="J749" s="1">
        <v>-31.018000000000029</v>
      </c>
      <c r="K749" s="1">
        <v>256.99999999999994</v>
      </c>
      <c r="L749" s="1">
        <v>80.329999999999984</v>
      </c>
      <c r="N749" s="1">
        <v>53.99999999999585</v>
      </c>
      <c r="O749" s="11"/>
      <c r="P749" s="11"/>
      <c r="Q749" s="11"/>
      <c r="R749" s="11"/>
    </row>
    <row r="750" spans="1:18">
      <c r="D750" s="1" t="s">
        <v>157</v>
      </c>
      <c r="E750" s="1" t="s">
        <v>43</v>
      </c>
      <c r="H750" s="1" t="s">
        <v>25</v>
      </c>
      <c r="I750" s="1" t="s">
        <v>23</v>
      </c>
      <c r="M750" s="1" t="b">
        <v>0</v>
      </c>
      <c r="N750" s="1">
        <v>0</v>
      </c>
      <c r="O750" s="11"/>
      <c r="P750" s="11"/>
      <c r="Q750" s="11"/>
      <c r="R750" s="11"/>
    </row>
    <row r="751" spans="1:18">
      <c r="D751" s="1" t="s">
        <v>157</v>
      </c>
      <c r="E751" s="1" t="s">
        <v>44</v>
      </c>
      <c r="F751" s="1" t="s">
        <v>45</v>
      </c>
      <c r="G751" s="1" t="s">
        <v>46</v>
      </c>
      <c r="H751" s="1" t="s">
        <v>22</v>
      </c>
      <c r="I751" s="1" t="s">
        <v>23</v>
      </c>
      <c r="J751" s="1">
        <v>-85.984522757427143</v>
      </c>
      <c r="K751" s="1">
        <v>859.84522757427146</v>
      </c>
      <c r="L751" s="1">
        <v>429.92261378713573</v>
      </c>
      <c r="M751" s="1">
        <v>128.97678413614071</v>
      </c>
      <c r="N751" s="1">
        <v>128.97678413614071</v>
      </c>
      <c r="O751" s="11"/>
      <c r="P751" s="11"/>
      <c r="Q751" s="11"/>
      <c r="R751" s="11"/>
    </row>
    <row r="752" spans="1:18">
      <c r="D752" s="1" t="s">
        <v>157</v>
      </c>
      <c r="E752" s="1" t="s">
        <v>47</v>
      </c>
      <c r="H752" s="1" t="s">
        <v>25</v>
      </c>
      <c r="I752" s="1" t="s">
        <v>23</v>
      </c>
      <c r="M752" s="1" t="b">
        <v>0</v>
      </c>
      <c r="N752" s="1">
        <v>0</v>
      </c>
      <c r="O752" s="11"/>
      <c r="P752" s="11"/>
      <c r="Q752" s="11"/>
      <c r="R752" s="11"/>
    </row>
    <row r="753" spans="2:18">
      <c r="D753" s="1" t="s">
        <v>157</v>
      </c>
      <c r="E753" s="1" t="s">
        <v>54</v>
      </c>
      <c r="H753" s="1" t="s">
        <v>25</v>
      </c>
      <c r="I753" s="1" t="s">
        <v>23</v>
      </c>
      <c r="M753" s="1" t="b">
        <v>0</v>
      </c>
      <c r="N753" s="1">
        <v>0</v>
      </c>
      <c r="O753" s="11"/>
      <c r="P753" s="11"/>
      <c r="Q753" s="11"/>
      <c r="R753" s="11"/>
    </row>
    <row r="754" spans="2:18">
      <c r="D754" s="1" t="s">
        <v>157</v>
      </c>
      <c r="E754" s="1" t="s">
        <v>55</v>
      </c>
      <c r="F754" s="1" t="s">
        <v>56</v>
      </c>
      <c r="G754" s="1" t="s">
        <v>57</v>
      </c>
      <c r="H754" s="1" t="s">
        <v>22</v>
      </c>
      <c r="I754" s="1" t="s">
        <v>23</v>
      </c>
      <c r="J754" s="1">
        <v>0</v>
      </c>
      <c r="K754" s="1">
        <v>942.74529524635989</v>
      </c>
      <c r="L754" s="1">
        <v>14.503773773020921</v>
      </c>
      <c r="M754" s="1">
        <v>39.999998299180966</v>
      </c>
      <c r="N754" s="1">
        <v>39.999998299180966</v>
      </c>
      <c r="O754" s="11"/>
      <c r="P754" s="11"/>
      <c r="Q754" s="11"/>
      <c r="R754" s="11"/>
    </row>
    <row r="755" spans="2:18">
      <c r="D755" s="1" t="s">
        <v>157</v>
      </c>
      <c r="E755" s="1" t="s">
        <v>58</v>
      </c>
      <c r="H755" s="1" t="s">
        <v>25</v>
      </c>
      <c r="I755" s="1" t="s">
        <v>23</v>
      </c>
      <c r="M755" s="1" t="b">
        <v>0</v>
      </c>
      <c r="N755" s="1">
        <v>0</v>
      </c>
      <c r="O755" s="11"/>
      <c r="P755" s="11"/>
      <c r="Q755" s="11"/>
      <c r="R755" s="11"/>
    </row>
    <row r="756" spans="2:18">
      <c r="D756" s="1" t="s">
        <v>157</v>
      </c>
      <c r="E756" s="1" t="s">
        <v>59</v>
      </c>
      <c r="F756" s="1" t="s">
        <v>60</v>
      </c>
      <c r="G756" s="1" t="s">
        <v>61</v>
      </c>
      <c r="H756" s="1" t="s">
        <v>22</v>
      </c>
      <c r="I756" s="1" t="s">
        <v>23</v>
      </c>
      <c r="J756" s="1">
        <v>-0.95538358650800004</v>
      </c>
      <c r="K756" s="1">
        <v>9.5538358650799999</v>
      </c>
      <c r="L756" s="1">
        <v>0.23884589662700001</v>
      </c>
      <c r="M756" s="1">
        <v>0.23884589662700001</v>
      </c>
      <c r="N756" s="1">
        <v>0.23884589662700001</v>
      </c>
      <c r="O756" s="11"/>
      <c r="P756" s="11"/>
      <c r="Q756" s="11"/>
      <c r="R756" s="11"/>
    </row>
    <row r="757" spans="2:18">
      <c r="D757" s="1" t="s">
        <v>157</v>
      </c>
      <c r="E757" s="1" t="s">
        <v>64</v>
      </c>
      <c r="F757" s="1" t="s">
        <v>35</v>
      </c>
      <c r="G757" s="1" t="s">
        <v>36</v>
      </c>
      <c r="H757" s="1" t="s">
        <v>22</v>
      </c>
      <c r="I757" s="1" t="s">
        <v>65</v>
      </c>
      <c r="J757" s="1">
        <v>-459.67</v>
      </c>
      <c r="L757" s="1">
        <v>80.329999999999984</v>
      </c>
      <c r="N757" s="1">
        <v>53.99999999999585</v>
      </c>
      <c r="O757" s="11"/>
      <c r="P757" s="11"/>
      <c r="Q757" s="11"/>
      <c r="R757" s="11"/>
    </row>
    <row r="758" spans="2:18">
      <c r="B758" s="3" t="s">
        <v>1706</v>
      </c>
      <c r="D758" s="1" t="s">
        <v>157</v>
      </c>
      <c r="E758" s="1" t="s">
        <v>166</v>
      </c>
      <c r="F758" s="1" t="s">
        <v>161</v>
      </c>
      <c r="G758" s="1" t="s">
        <v>162</v>
      </c>
      <c r="H758" s="1" t="s">
        <v>22</v>
      </c>
      <c r="I758" s="1" t="s">
        <v>65</v>
      </c>
      <c r="L758" s="1">
        <v>15850.322237051079</v>
      </c>
      <c r="N758" s="1">
        <v>2392.2902690933106</v>
      </c>
      <c r="O758" s="11"/>
      <c r="P758" s="11"/>
      <c r="Q758" s="11"/>
      <c r="R758" s="11"/>
    </row>
    <row r="759" spans="2:18">
      <c r="D759" s="1" t="s">
        <v>157</v>
      </c>
      <c r="E759" s="1" t="s">
        <v>68</v>
      </c>
      <c r="F759" s="1" t="s">
        <v>45</v>
      </c>
      <c r="G759" s="1" t="s">
        <v>46</v>
      </c>
      <c r="H759" s="1" t="s">
        <v>22</v>
      </c>
      <c r="I759" s="1" t="s">
        <v>65</v>
      </c>
      <c r="L759" s="1">
        <v>4.2992261378713571E-4</v>
      </c>
      <c r="N759" s="1">
        <v>22.1145100124815</v>
      </c>
      <c r="O759" s="11"/>
      <c r="P759" s="11"/>
      <c r="Q759" s="11"/>
      <c r="R759" s="11"/>
    </row>
    <row r="760" spans="2:18">
      <c r="D760" s="1" t="s">
        <v>157</v>
      </c>
      <c r="E760" s="1" t="s">
        <v>69</v>
      </c>
      <c r="H760" s="1" t="s">
        <v>25</v>
      </c>
      <c r="I760" s="1" t="s">
        <v>70</v>
      </c>
      <c r="N760" s="1">
        <v>0</v>
      </c>
      <c r="O760" s="11"/>
      <c r="P760" s="11"/>
      <c r="Q760" s="11"/>
      <c r="R760" s="11"/>
    </row>
    <row r="761" spans="2:18">
      <c r="D761" s="1" t="s">
        <v>157</v>
      </c>
      <c r="E761" s="1" t="s">
        <v>72</v>
      </c>
      <c r="F761" s="1" t="s">
        <v>56</v>
      </c>
      <c r="G761" s="1" t="s">
        <v>57</v>
      </c>
      <c r="H761" s="1" t="s">
        <v>22</v>
      </c>
      <c r="I761" s="1" t="s">
        <v>65</v>
      </c>
      <c r="J761" s="1">
        <v>0</v>
      </c>
      <c r="L761" s="1">
        <v>14.503773773020921</v>
      </c>
      <c r="N761" s="1">
        <v>27.831148984898199</v>
      </c>
      <c r="O761" s="11"/>
      <c r="P761" s="11"/>
      <c r="Q761" s="11"/>
      <c r="R761" s="11"/>
    </row>
    <row r="762" spans="2:18">
      <c r="D762" s="1" t="s">
        <v>157</v>
      </c>
      <c r="E762" s="1" t="s">
        <v>73</v>
      </c>
      <c r="F762" s="1" t="s">
        <v>60</v>
      </c>
      <c r="G762" s="1" t="s">
        <v>61</v>
      </c>
      <c r="H762" s="1" t="s">
        <v>22</v>
      </c>
      <c r="I762" s="1" t="s">
        <v>65</v>
      </c>
      <c r="L762" s="1">
        <v>2.38845896627E-4</v>
      </c>
      <c r="N762" s="1">
        <v>4.3832796915359157E-2</v>
      </c>
      <c r="O762" s="11"/>
      <c r="P762" s="11"/>
      <c r="Q762" s="11"/>
      <c r="R762" s="11"/>
    </row>
    <row r="763" spans="2:18">
      <c r="D763" s="1" t="s">
        <v>157</v>
      </c>
      <c r="E763" s="1" t="s">
        <v>74</v>
      </c>
      <c r="F763" s="1" t="s">
        <v>75</v>
      </c>
      <c r="G763" s="1" t="s">
        <v>76</v>
      </c>
      <c r="H763" s="1" t="s">
        <v>22</v>
      </c>
      <c r="I763" s="1" t="s">
        <v>65</v>
      </c>
      <c r="J763" s="1">
        <v>0</v>
      </c>
      <c r="L763" s="1">
        <v>16.018463521800001</v>
      </c>
      <c r="N763" s="1">
        <v>1.6028555851036248E-2</v>
      </c>
      <c r="O763" s="11"/>
      <c r="P763" s="11"/>
      <c r="Q763" s="11"/>
      <c r="R763" s="11"/>
    </row>
    <row r="764" spans="2:18">
      <c r="D764" s="1" t="s">
        <v>157</v>
      </c>
      <c r="E764" s="1" t="s">
        <v>78</v>
      </c>
      <c r="H764" s="1" t="s">
        <v>25</v>
      </c>
      <c r="I764" s="1" t="s">
        <v>23</v>
      </c>
      <c r="M764" s="1" t="b">
        <v>0</v>
      </c>
      <c r="N764" s="1">
        <v>0</v>
      </c>
      <c r="O764" s="11"/>
      <c r="P764" s="11"/>
      <c r="Q764" s="11"/>
      <c r="R764" s="11"/>
    </row>
    <row r="765" spans="2:18">
      <c r="D765" s="1" t="s">
        <v>157</v>
      </c>
      <c r="E765" s="1" t="s">
        <v>79</v>
      </c>
      <c r="F765" s="1" t="s">
        <v>75</v>
      </c>
      <c r="G765" s="1" t="s">
        <v>76</v>
      </c>
      <c r="H765" s="1" t="s">
        <v>22</v>
      </c>
      <c r="I765" s="1" t="s">
        <v>23</v>
      </c>
      <c r="J765" s="1">
        <v>0</v>
      </c>
      <c r="K765" s="1">
        <v>0.96110781130800005</v>
      </c>
      <c r="L765" s="1">
        <v>16.018463521800001</v>
      </c>
      <c r="M765" s="1">
        <v>1.6018463521800003E-2</v>
      </c>
      <c r="N765" s="1">
        <v>1.6018463521800003E-2</v>
      </c>
      <c r="O765" s="11"/>
      <c r="P765" s="11"/>
      <c r="Q765" s="11"/>
      <c r="R765" s="11"/>
    </row>
    <row r="766" spans="2:18">
      <c r="D766" s="1" t="s">
        <v>168</v>
      </c>
      <c r="E766" s="1" t="s">
        <v>169</v>
      </c>
      <c r="H766" s="1" t="s">
        <v>25</v>
      </c>
      <c r="I766" s="1" t="s">
        <v>23</v>
      </c>
      <c r="M766" s="1" t="b">
        <v>1</v>
      </c>
      <c r="N766" s="1">
        <v>1</v>
      </c>
      <c r="O766" s="11"/>
      <c r="P766" s="11"/>
      <c r="Q766" s="11"/>
      <c r="R766" s="11"/>
    </row>
    <row r="767" spans="2:18">
      <c r="D767" s="1" t="s">
        <v>170</v>
      </c>
      <c r="E767" s="1" t="s">
        <v>171</v>
      </c>
      <c r="H767" s="1" t="s">
        <v>22</v>
      </c>
      <c r="I767" s="1" t="s">
        <v>23</v>
      </c>
      <c r="L767" s="1">
        <v>1</v>
      </c>
      <c r="M767" s="1">
        <v>3.0558000000000001</v>
      </c>
      <c r="N767" s="1">
        <v>3.0558000000000001</v>
      </c>
      <c r="O767" s="11"/>
      <c r="P767" s="11"/>
      <c r="Q767" s="11"/>
      <c r="R767" s="11"/>
    </row>
    <row r="768" spans="2:18">
      <c r="D768" s="1" t="s">
        <v>170</v>
      </c>
      <c r="E768" s="1" t="s">
        <v>172</v>
      </c>
      <c r="H768" s="1" t="s">
        <v>22</v>
      </c>
      <c r="I768" s="1" t="s">
        <v>29</v>
      </c>
      <c r="J768" s="1">
        <v>0</v>
      </c>
      <c r="K768" s="1">
        <v>10000</v>
      </c>
      <c r="L768" s="1">
        <v>5000</v>
      </c>
      <c r="N768" s="1">
        <v>0.15405099999999999</v>
      </c>
      <c r="O768" s="11"/>
      <c r="P768" s="11"/>
      <c r="Q768" s="11"/>
      <c r="R768" s="11"/>
    </row>
    <row r="769" spans="1:18">
      <c r="D769" s="1" t="s">
        <v>170</v>
      </c>
      <c r="E769" s="1" t="s">
        <v>173</v>
      </c>
      <c r="H769" s="1" t="s">
        <v>22</v>
      </c>
      <c r="I769" s="1" t="s">
        <v>29</v>
      </c>
      <c r="J769" s="1">
        <v>9.9999999999999995E-7</v>
      </c>
      <c r="K769" s="1">
        <v>0.01</v>
      </c>
      <c r="L769" s="1">
        <v>5.0004999999999997E-3</v>
      </c>
      <c r="N769" s="1">
        <v>1.9900000000000001E-4</v>
      </c>
      <c r="O769" s="11"/>
      <c r="P769" s="11"/>
      <c r="Q769" s="11"/>
      <c r="R769" s="11"/>
    </row>
    <row r="770" spans="1:18">
      <c r="D770" s="1" t="s">
        <v>170</v>
      </c>
      <c r="E770" s="1" t="s">
        <v>174</v>
      </c>
      <c r="H770" s="1" t="s">
        <v>25</v>
      </c>
      <c r="I770" s="1" t="s">
        <v>23</v>
      </c>
      <c r="M770" s="1" t="b">
        <v>1</v>
      </c>
      <c r="N770" s="1">
        <v>1</v>
      </c>
      <c r="O770" s="11"/>
      <c r="P770" s="11"/>
      <c r="Q770" s="11"/>
      <c r="R770" s="11"/>
    </row>
    <row r="771" spans="1:18">
      <c r="A771" s="2" t="s">
        <v>1722</v>
      </c>
      <c r="B771" s="3" t="s">
        <v>1723</v>
      </c>
      <c r="D771" s="1" t="s">
        <v>170</v>
      </c>
      <c r="E771" s="1" t="s">
        <v>175</v>
      </c>
      <c r="F771" s="1" t="s">
        <v>176</v>
      </c>
      <c r="G771" s="1" t="s">
        <v>177</v>
      </c>
      <c r="H771" s="1" t="s">
        <v>22</v>
      </c>
      <c r="I771" s="1" t="s">
        <v>23</v>
      </c>
      <c r="L771" s="1">
        <v>39.370078740157467</v>
      </c>
      <c r="M771" s="1">
        <v>6.0649999999999977</v>
      </c>
      <c r="N771" s="1">
        <v>6.0649999999999977</v>
      </c>
      <c r="O771" s="11"/>
      <c r="P771" s="11"/>
      <c r="Q771" s="11"/>
      <c r="R771" s="11"/>
    </row>
    <row r="772" spans="1:18">
      <c r="D772" s="1" t="s">
        <v>170</v>
      </c>
      <c r="E772" s="1" t="s">
        <v>178</v>
      </c>
      <c r="H772" s="1" t="s">
        <v>25</v>
      </c>
      <c r="I772" s="1" t="s">
        <v>23</v>
      </c>
      <c r="M772" s="1" t="b">
        <v>0</v>
      </c>
      <c r="N772" s="1">
        <v>0</v>
      </c>
      <c r="O772" s="11"/>
      <c r="P772" s="11"/>
      <c r="Q772" s="11"/>
      <c r="R772" s="11"/>
    </row>
    <row r="773" spans="1:18">
      <c r="D773" s="1" t="s">
        <v>170</v>
      </c>
      <c r="E773" s="1" t="s">
        <v>111</v>
      </c>
      <c r="F773" s="1" t="s">
        <v>56</v>
      </c>
      <c r="G773" s="1" t="s">
        <v>57</v>
      </c>
      <c r="H773" s="1" t="s">
        <v>22</v>
      </c>
      <c r="I773" s="1" t="s">
        <v>23</v>
      </c>
      <c r="L773" s="1">
        <v>1.4503773773020921E-4</v>
      </c>
      <c r="M773" s="1">
        <v>7.2518868865104604E-3</v>
      </c>
      <c r="N773" s="1">
        <v>7.2518868865104604E-3</v>
      </c>
      <c r="O773" s="11"/>
      <c r="P773" s="11"/>
      <c r="Q773" s="11"/>
      <c r="R773" s="11"/>
    </row>
    <row r="774" spans="1:18">
      <c r="D774" s="1" t="s">
        <v>170</v>
      </c>
      <c r="E774" s="1" t="s">
        <v>179</v>
      </c>
      <c r="H774" s="1" t="s">
        <v>22</v>
      </c>
      <c r="I774" s="1" t="s">
        <v>23</v>
      </c>
      <c r="L774" s="1">
        <v>1</v>
      </c>
      <c r="M774" s="1">
        <v>10000</v>
      </c>
      <c r="N774" s="1">
        <v>10000</v>
      </c>
      <c r="O774" s="11"/>
      <c r="P774" s="11"/>
      <c r="Q774" s="11"/>
      <c r="R774" s="11"/>
    </row>
    <row r="775" spans="1:18">
      <c r="D775" s="1" t="s">
        <v>170</v>
      </c>
      <c r="E775" s="1" t="s">
        <v>180</v>
      </c>
      <c r="H775" s="1" t="s">
        <v>181</v>
      </c>
      <c r="I775" s="1" t="s">
        <v>23</v>
      </c>
      <c r="J775" s="1">
        <v>1</v>
      </c>
      <c r="K775" s="1">
        <v>3</v>
      </c>
      <c r="M775" s="1" t="s">
        <v>182</v>
      </c>
      <c r="N775" s="1" t="s">
        <v>1816</v>
      </c>
      <c r="O775" s="11"/>
      <c r="P775" s="11"/>
      <c r="Q775" s="11"/>
      <c r="R775" s="11"/>
    </row>
    <row r="776" spans="1:18">
      <c r="D776" s="1" t="s">
        <v>170</v>
      </c>
      <c r="E776" s="1" t="s">
        <v>47</v>
      </c>
      <c r="H776" s="1" t="s">
        <v>25</v>
      </c>
      <c r="I776" s="1" t="s">
        <v>23</v>
      </c>
      <c r="M776" s="1" t="b">
        <v>0</v>
      </c>
      <c r="N776" s="1">
        <v>0</v>
      </c>
      <c r="O776" s="11"/>
      <c r="P776" s="11"/>
      <c r="Q776" s="11"/>
      <c r="R776" s="11"/>
    </row>
    <row r="777" spans="1:18">
      <c r="D777" s="1" t="s">
        <v>170</v>
      </c>
      <c r="E777" s="1" t="s">
        <v>183</v>
      </c>
      <c r="H777" s="1" t="s">
        <v>25</v>
      </c>
      <c r="I777" s="1" t="s">
        <v>23</v>
      </c>
      <c r="M777" s="1" t="b">
        <v>1</v>
      </c>
      <c r="N777" s="1">
        <v>1</v>
      </c>
      <c r="O777" s="11"/>
      <c r="P777" s="11"/>
      <c r="Q777" s="11"/>
      <c r="R777" s="11"/>
    </row>
    <row r="778" spans="1:18">
      <c r="D778" s="1" t="s">
        <v>170</v>
      </c>
      <c r="E778" s="1" t="s">
        <v>112</v>
      </c>
      <c r="F778" s="1" t="s">
        <v>56</v>
      </c>
      <c r="G778" s="1" t="s">
        <v>57</v>
      </c>
      <c r="H778" s="1" t="s">
        <v>22</v>
      </c>
      <c r="I778" s="1" t="s">
        <v>29</v>
      </c>
      <c r="J778" s="1">
        <v>4.9312830828271128</v>
      </c>
      <c r="K778" s="1">
        <v>623.66227223989961</v>
      </c>
      <c r="L778" s="1">
        <v>50.713895374744951</v>
      </c>
      <c r="N778" s="1">
        <v>139.86433035700753</v>
      </c>
      <c r="O778" s="11"/>
      <c r="P778" s="11"/>
      <c r="Q778" s="11"/>
      <c r="R778" s="11"/>
    </row>
    <row r="779" spans="1:18">
      <c r="D779" s="1" t="s">
        <v>170</v>
      </c>
      <c r="E779" s="1" t="s">
        <v>62</v>
      </c>
      <c r="H779" s="1" t="s">
        <v>63</v>
      </c>
      <c r="I779" s="1" t="s">
        <v>23</v>
      </c>
      <c r="M779" s="1">
        <v>1</v>
      </c>
      <c r="N779" s="1">
        <v>1</v>
      </c>
      <c r="O779" s="11"/>
      <c r="P779" s="11"/>
      <c r="Q779" s="11"/>
      <c r="R779" s="11"/>
    </row>
    <row r="780" spans="1:18">
      <c r="D780" s="1" t="s">
        <v>170</v>
      </c>
      <c r="E780" s="1" t="s">
        <v>184</v>
      </c>
      <c r="H780" s="1" t="s">
        <v>22</v>
      </c>
      <c r="I780" s="1" t="s">
        <v>120</v>
      </c>
      <c r="L780" s="1">
        <v>1</v>
      </c>
      <c r="N780" s="1">
        <v>1</v>
      </c>
      <c r="O780" s="11"/>
      <c r="P780" s="11"/>
      <c r="Q780" s="11"/>
      <c r="R780" s="11"/>
    </row>
    <row r="781" spans="1:18">
      <c r="D781" s="1" t="s">
        <v>170</v>
      </c>
      <c r="E781" s="1" t="s">
        <v>185</v>
      </c>
      <c r="F781" s="1" t="s">
        <v>176</v>
      </c>
      <c r="G781" s="1" t="s">
        <v>177</v>
      </c>
      <c r="H781" s="1" t="s">
        <v>22</v>
      </c>
      <c r="I781" s="1" t="s">
        <v>65</v>
      </c>
      <c r="L781" s="1">
        <v>39.370078740157467</v>
      </c>
      <c r="N781" s="1">
        <v>6.0649999999999977</v>
      </c>
      <c r="O781" s="11"/>
      <c r="P781" s="11"/>
      <c r="Q781" s="11"/>
      <c r="R781" s="11"/>
    </row>
    <row r="782" spans="1:18">
      <c r="A782" s="2" t="s">
        <v>1759</v>
      </c>
      <c r="B782" s="3" t="s">
        <v>1784</v>
      </c>
      <c r="D782" s="1" t="s">
        <v>170</v>
      </c>
      <c r="E782" s="1" t="s">
        <v>115</v>
      </c>
      <c r="F782" s="1" t="s">
        <v>56</v>
      </c>
      <c r="G782" s="1" t="s">
        <v>57</v>
      </c>
      <c r="H782" s="1" t="s">
        <v>22</v>
      </c>
      <c r="I782" s="1" t="s">
        <v>65</v>
      </c>
      <c r="L782" s="1">
        <v>1.4503773773020921E-4</v>
      </c>
      <c r="N782" s="1">
        <v>4.5400048117650531</v>
      </c>
      <c r="O782" s="11"/>
      <c r="P782" s="11"/>
      <c r="Q782" s="11"/>
      <c r="R782" s="11"/>
    </row>
    <row r="783" spans="1:18">
      <c r="D783" s="1" t="s">
        <v>170</v>
      </c>
      <c r="E783" s="1" t="s">
        <v>69</v>
      </c>
      <c r="H783" s="1" t="s">
        <v>25</v>
      </c>
      <c r="I783" s="1" t="s">
        <v>70</v>
      </c>
      <c r="N783" s="1">
        <v>0</v>
      </c>
      <c r="O783" s="11"/>
      <c r="P783" s="11"/>
      <c r="Q783" s="11"/>
      <c r="R783" s="11"/>
    </row>
    <row r="784" spans="1:18">
      <c r="D784" s="1" t="s">
        <v>170</v>
      </c>
      <c r="E784" s="1" t="s">
        <v>186</v>
      </c>
      <c r="H784" s="1" t="s">
        <v>22</v>
      </c>
      <c r="I784" s="1" t="s">
        <v>65</v>
      </c>
      <c r="L784" s="1">
        <v>1</v>
      </c>
      <c r="N784" s="1">
        <v>1.9900000000000001E-4</v>
      </c>
      <c r="O784" s="11"/>
      <c r="P784" s="11"/>
      <c r="Q784" s="11"/>
      <c r="R784" s="11"/>
    </row>
    <row r="785" spans="4:18">
      <c r="D785" s="1" t="s">
        <v>170</v>
      </c>
      <c r="E785" s="1" t="s">
        <v>71</v>
      </c>
      <c r="F785" s="1" t="s">
        <v>52</v>
      </c>
      <c r="G785" s="1" t="s">
        <v>53</v>
      </c>
      <c r="H785" s="1" t="s">
        <v>22</v>
      </c>
      <c r="I785" s="1" t="s">
        <v>65</v>
      </c>
      <c r="L785" s="1">
        <v>7936.6414386555998</v>
      </c>
      <c r="N785" s="1">
        <v>183317.80538679316</v>
      </c>
      <c r="O785" s="11"/>
      <c r="P785" s="11"/>
      <c r="Q785" s="11"/>
      <c r="R785" s="11"/>
    </row>
    <row r="786" spans="4:18">
      <c r="D786" s="1" t="s">
        <v>170</v>
      </c>
      <c r="E786" s="1" t="s">
        <v>117</v>
      </c>
      <c r="F786" s="1" t="s">
        <v>118</v>
      </c>
      <c r="G786" s="1" t="s">
        <v>119</v>
      </c>
      <c r="H786" s="1" t="s">
        <v>22</v>
      </c>
      <c r="I786" s="1" t="s">
        <v>120</v>
      </c>
      <c r="J786" s="1">
        <v>0</v>
      </c>
      <c r="L786" s="1">
        <v>2.20462262185</v>
      </c>
      <c r="N786" s="1">
        <v>0</v>
      </c>
      <c r="O786" s="11"/>
      <c r="P786" s="11"/>
      <c r="Q786" s="11"/>
      <c r="R786" s="11"/>
    </row>
    <row r="787" spans="4:18">
      <c r="D787" s="1" t="s">
        <v>170</v>
      </c>
      <c r="E787" s="1" t="s">
        <v>123</v>
      </c>
      <c r="F787" s="1" t="s">
        <v>124</v>
      </c>
      <c r="G787" s="1" t="s">
        <v>125</v>
      </c>
      <c r="H787" s="1" t="s">
        <v>22</v>
      </c>
      <c r="I787" s="1" t="s">
        <v>120</v>
      </c>
      <c r="L787" s="1">
        <v>35.314666699999997</v>
      </c>
      <c r="N787" s="1">
        <v>0</v>
      </c>
      <c r="O787" s="11"/>
      <c r="P787" s="11"/>
      <c r="Q787" s="11"/>
      <c r="R787" s="11"/>
    </row>
    <row r="788" spans="4:18">
      <c r="D788" s="1" t="s">
        <v>170</v>
      </c>
      <c r="E788" s="1" t="s">
        <v>126</v>
      </c>
      <c r="H788" s="1" t="s">
        <v>22</v>
      </c>
      <c r="I788" s="1" t="s">
        <v>65</v>
      </c>
      <c r="L788" s="1">
        <v>1</v>
      </c>
      <c r="N788" s="1">
        <v>1.0489698180793809</v>
      </c>
      <c r="O788" s="11"/>
      <c r="P788" s="11"/>
      <c r="Q788" s="11"/>
      <c r="R788" s="11"/>
    </row>
    <row r="789" spans="4:18">
      <c r="D789" s="1" t="s">
        <v>187</v>
      </c>
      <c r="E789" s="1" t="s">
        <v>28</v>
      </c>
      <c r="H789" s="1" t="s">
        <v>22</v>
      </c>
      <c r="I789" s="1" t="s">
        <v>29</v>
      </c>
      <c r="J789" s="1">
        <v>34000</v>
      </c>
      <c r="K789" s="1">
        <v>4300000</v>
      </c>
      <c r="L789" s="1">
        <v>349660</v>
      </c>
      <c r="N789" s="1">
        <v>350000</v>
      </c>
      <c r="O789" s="11"/>
      <c r="P789" s="11"/>
      <c r="Q789" s="11"/>
      <c r="R789" s="11"/>
    </row>
    <row r="790" spans="4:18">
      <c r="D790" s="1" t="s">
        <v>187</v>
      </c>
      <c r="E790" s="1" t="s">
        <v>30</v>
      </c>
      <c r="H790" s="1" t="s">
        <v>22</v>
      </c>
      <c r="I790" s="1" t="s">
        <v>29</v>
      </c>
      <c r="J790" s="1">
        <v>-3.94</v>
      </c>
      <c r="K790" s="1">
        <v>3.66</v>
      </c>
      <c r="L790" s="1">
        <v>1</v>
      </c>
      <c r="N790" s="1">
        <v>1.01</v>
      </c>
      <c r="O790" s="11"/>
      <c r="P790" s="11"/>
      <c r="Q790" s="11"/>
      <c r="R790" s="11"/>
    </row>
    <row r="791" spans="4:18">
      <c r="D791" s="1" t="s">
        <v>187</v>
      </c>
      <c r="E791" s="1" t="s">
        <v>31</v>
      </c>
      <c r="H791" s="1" t="s">
        <v>22</v>
      </c>
      <c r="I791" s="1" t="s">
        <v>29</v>
      </c>
      <c r="J791" s="1">
        <v>0</v>
      </c>
      <c r="K791" s="1">
        <v>100</v>
      </c>
      <c r="L791" s="1">
        <v>1</v>
      </c>
      <c r="N791" s="1">
        <v>0</v>
      </c>
      <c r="O791" s="11"/>
      <c r="P791" s="11"/>
      <c r="Q791" s="11"/>
      <c r="R791" s="11"/>
    </row>
    <row r="792" spans="4:18">
      <c r="D792" s="1" t="s">
        <v>187</v>
      </c>
      <c r="E792" s="1" t="s">
        <v>32</v>
      </c>
      <c r="H792" s="1" t="s">
        <v>22</v>
      </c>
      <c r="I792" s="1" t="s">
        <v>29</v>
      </c>
      <c r="J792" s="1">
        <v>-3.94</v>
      </c>
      <c r="K792" s="1">
        <v>3.66</v>
      </c>
      <c r="L792" s="1">
        <v>1</v>
      </c>
      <c r="N792" s="1">
        <v>1.01</v>
      </c>
      <c r="O792" s="11"/>
      <c r="P792" s="11"/>
      <c r="Q792" s="11"/>
      <c r="R792" s="11"/>
    </row>
    <row r="793" spans="4:18">
      <c r="D793" s="1" t="s">
        <v>187</v>
      </c>
      <c r="E793" s="1" t="s">
        <v>33</v>
      </c>
      <c r="H793" s="1" t="s">
        <v>25</v>
      </c>
      <c r="I793" s="1" t="s">
        <v>23</v>
      </c>
      <c r="M793" s="1" t="b">
        <v>0</v>
      </c>
      <c r="N793" s="1">
        <v>0</v>
      </c>
      <c r="O793" s="11"/>
      <c r="P793" s="11"/>
      <c r="Q793" s="11"/>
      <c r="R793" s="11"/>
    </row>
    <row r="794" spans="4:18">
      <c r="D794" s="1" t="s">
        <v>187</v>
      </c>
      <c r="E794" s="1" t="s">
        <v>34</v>
      </c>
      <c r="F794" s="1" t="s">
        <v>35</v>
      </c>
      <c r="G794" s="1" t="s">
        <v>36</v>
      </c>
      <c r="H794" s="1" t="s">
        <v>22</v>
      </c>
      <c r="I794" s="1" t="s">
        <v>23</v>
      </c>
      <c r="J794" s="1">
        <v>-459.67</v>
      </c>
      <c r="K794" s="1">
        <v>980.32999999999993</v>
      </c>
      <c r="L794" s="1">
        <v>80.329999999999984</v>
      </c>
      <c r="M794" s="1">
        <v>67.999999999999943</v>
      </c>
      <c r="N794" s="1">
        <v>67.999999999999943</v>
      </c>
      <c r="O794" s="11"/>
      <c r="P794" s="11"/>
      <c r="Q794" s="11"/>
      <c r="R794" s="11"/>
    </row>
    <row r="795" spans="4:18">
      <c r="D795" s="1" t="s">
        <v>187</v>
      </c>
      <c r="E795" s="1" t="s">
        <v>37</v>
      </c>
      <c r="H795" s="1" t="s">
        <v>25</v>
      </c>
      <c r="I795" s="1" t="s">
        <v>23</v>
      </c>
      <c r="M795" s="1" t="b">
        <v>0</v>
      </c>
      <c r="N795" s="1">
        <v>0</v>
      </c>
      <c r="O795" s="11"/>
      <c r="P795" s="11"/>
      <c r="Q795" s="11"/>
      <c r="R795" s="11"/>
    </row>
    <row r="796" spans="4:18">
      <c r="D796" s="1" t="s">
        <v>187</v>
      </c>
      <c r="E796" s="1" t="s">
        <v>38</v>
      </c>
      <c r="F796" s="1" t="s">
        <v>35</v>
      </c>
      <c r="G796" s="1" t="s">
        <v>36</v>
      </c>
      <c r="H796" s="1" t="s">
        <v>22</v>
      </c>
      <c r="I796" s="1" t="s">
        <v>23</v>
      </c>
      <c r="J796" s="1">
        <v>-99.670000000000016</v>
      </c>
      <c r="K796" s="1">
        <v>980.32999999999993</v>
      </c>
      <c r="L796" s="1">
        <v>80.329999999999984</v>
      </c>
      <c r="M796" s="1">
        <v>13.999999999999943</v>
      </c>
      <c r="N796" s="1">
        <v>13.999999999999943</v>
      </c>
      <c r="O796" s="11"/>
      <c r="P796" s="11"/>
      <c r="Q796" s="11"/>
      <c r="R796" s="11"/>
    </row>
    <row r="797" spans="4:18">
      <c r="D797" s="1" t="s">
        <v>187</v>
      </c>
      <c r="E797" s="1" t="s">
        <v>39</v>
      </c>
      <c r="H797" s="1" t="s">
        <v>25</v>
      </c>
      <c r="I797" s="1" t="s">
        <v>23</v>
      </c>
      <c r="M797" s="1" t="b">
        <v>0</v>
      </c>
      <c r="N797" s="1">
        <v>0</v>
      </c>
      <c r="O797" s="11"/>
      <c r="P797" s="11"/>
      <c r="Q797" s="11"/>
      <c r="R797" s="11"/>
    </row>
    <row r="798" spans="4:18">
      <c r="D798" s="1" t="s">
        <v>187</v>
      </c>
      <c r="E798" s="1" t="s">
        <v>40</v>
      </c>
      <c r="F798" s="1" t="s">
        <v>41</v>
      </c>
      <c r="G798" s="1" t="s">
        <v>42</v>
      </c>
      <c r="H798" s="1" t="s">
        <v>22</v>
      </c>
      <c r="I798" s="1" t="s">
        <v>23</v>
      </c>
      <c r="J798" s="1">
        <v>-900</v>
      </c>
      <c r="K798" s="1">
        <v>900</v>
      </c>
      <c r="L798" s="1">
        <v>1.8</v>
      </c>
      <c r="M798" s="1">
        <v>9</v>
      </c>
      <c r="N798" s="1">
        <v>9</v>
      </c>
      <c r="O798" s="11"/>
      <c r="P798" s="11"/>
      <c r="Q798" s="11"/>
      <c r="R798" s="11"/>
    </row>
    <row r="799" spans="4:18">
      <c r="D799" s="1" t="s">
        <v>187</v>
      </c>
      <c r="E799" s="1" t="s">
        <v>43</v>
      </c>
      <c r="H799" s="1" t="s">
        <v>25</v>
      </c>
      <c r="I799" s="1" t="s">
        <v>23</v>
      </c>
      <c r="M799" s="1" t="b">
        <v>0</v>
      </c>
      <c r="N799" s="1">
        <v>0</v>
      </c>
      <c r="O799" s="11"/>
      <c r="P799" s="11"/>
      <c r="Q799" s="11"/>
      <c r="R799" s="11"/>
    </row>
    <row r="800" spans="4:18">
      <c r="D800" s="1" t="s">
        <v>187</v>
      </c>
      <c r="E800" s="1" t="s">
        <v>44</v>
      </c>
      <c r="F800" s="1" t="s">
        <v>45</v>
      </c>
      <c r="G800" s="1" t="s">
        <v>46</v>
      </c>
      <c r="H800" s="1" t="s">
        <v>22</v>
      </c>
      <c r="I800" s="1" t="s">
        <v>23</v>
      </c>
      <c r="J800" s="1">
        <v>-85.984522757427143</v>
      </c>
      <c r="K800" s="1">
        <v>8598.4522757427148</v>
      </c>
      <c r="L800" s="1">
        <v>114.79148749423418</v>
      </c>
      <c r="M800" s="1">
        <v>128.97678413614071</v>
      </c>
      <c r="N800" s="1">
        <v>128.97678413614071</v>
      </c>
      <c r="O800" s="11"/>
      <c r="P800" s="11"/>
      <c r="Q800" s="11"/>
      <c r="R800" s="11"/>
    </row>
    <row r="801" spans="4:18">
      <c r="D801" s="1" t="s">
        <v>187</v>
      </c>
      <c r="E801" s="1" t="s">
        <v>47</v>
      </c>
      <c r="H801" s="1" t="s">
        <v>25</v>
      </c>
      <c r="I801" s="1" t="s">
        <v>23</v>
      </c>
      <c r="M801" s="1" t="b">
        <v>0</v>
      </c>
      <c r="N801" s="1">
        <v>0</v>
      </c>
      <c r="O801" s="11"/>
      <c r="P801" s="11"/>
      <c r="Q801" s="11"/>
      <c r="R801" s="11"/>
    </row>
    <row r="802" spans="4:18">
      <c r="D802" s="1" t="s">
        <v>187</v>
      </c>
      <c r="E802" s="1" t="s">
        <v>48</v>
      </c>
      <c r="H802" s="1" t="s">
        <v>25</v>
      </c>
      <c r="I802" s="1" t="s">
        <v>23</v>
      </c>
      <c r="M802" s="1" t="b">
        <v>0</v>
      </c>
      <c r="N802" s="1">
        <v>0</v>
      </c>
      <c r="O802" s="11"/>
      <c r="P802" s="11"/>
      <c r="Q802" s="11"/>
      <c r="R802" s="11"/>
    </row>
    <row r="803" spans="4:18">
      <c r="D803" s="1" t="s">
        <v>187</v>
      </c>
      <c r="E803" s="1" t="s">
        <v>49</v>
      </c>
      <c r="H803" s="1" t="s">
        <v>25</v>
      </c>
      <c r="I803" s="1" t="s">
        <v>23</v>
      </c>
      <c r="M803" s="1" t="b">
        <v>0</v>
      </c>
      <c r="N803" s="1">
        <v>0</v>
      </c>
      <c r="O803" s="11"/>
      <c r="P803" s="11"/>
      <c r="Q803" s="11"/>
      <c r="R803" s="11"/>
    </row>
    <row r="804" spans="4:18">
      <c r="D804" s="1" t="s">
        <v>187</v>
      </c>
      <c r="E804" s="1" t="s">
        <v>50</v>
      </c>
      <c r="H804" s="1" t="s">
        <v>25</v>
      </c>
      <c r="I804" s="1" t="s">
        <v>23</v>
      </c>
      <c r="M804" s="1" t="b">
        <v>0</v>
      </c>
      <c r="N804" s="1">
        <v>0</v>
      </c>
      <c r="O804" s="11"/>
      <c r="P804" s="11"/>
      <c r="Q804" s="11"/>
      <c r="R804" s="11"/>
    </row>
    <row r="805" spans="4:18">
      <c r="D805" s="1" t="s">
        <v>187</v>
      </c>
      <c r="E805" s="1" t="s">
        <v>51</v>
      </c>
      <c r="F805" s="1" t="s">
        <v>52</v>
      </c>
      <c r="G805" s="1" t="s">
        <v>53</v>
      </c>
      <c r="H805" s="1" t="s">
        <v>22</v>
      </c>
      <c r="I805" s="1" t="s">
        <v>23</v>
      </c>
      <c r="J805" s="1">
        <v>0</v>
      </c>
      <c r="K805" s="1">
        <v>7936641438.6555996</v>
      </c>
      <c r="L805" s="1">
        <v>7936.6414386555998</v>
      </c>
      <c r="M805" s="1">
        <v>7936.6414386555998</v>
      </c>
      <c r="N805" s="1">
        <v>7936.6414386555998</v>
      </c>
      <c r="O805" s="11"/>
      <c r="P805" s="11"/>
      <c r="Q805" s="11"/>
      <c r="R805" s="11"/>
    </row>
    <row r="806" spans="4:18">
      <c r="D806" s="1" t="s">
        <v>187</v>
      </c>
      <c r="E806" s="1" t="s">
        <v>54</v>
      </c>
      <c r="H806" s="1" t="s">
        <v>25</v>
      </c>
      <c r="I806" s="1" t="s">
        <v>23</v>
      </c>
      <c r="M806" s="1" t="b">
        <v>0</v>
      </c>
      <c r="N806" s="1">
        <v>0</v>
      </c>
      <c r="O806" s="11"/>
      <c r="P806" s="11"/>
      <c r="Q806" s="11"/>
      <c r="R806" s="11"/>
    </row>
    <row r="807" spans="4:18">
      <c r="D807" s="1" t="s">
        <v>187</v>
      </c>
      <c r="E807" s="1" t="s">
        <v>55</v>
      </c>
      <c r="F807" s="1" t="s">
        <v>56</v>
      </c>
      <c r="G807" s="1" t="s">
        <v>57</v>
      </c>
      <c r="H807" s="1" t="s">
        <v>22</v>
      </c>
      <c r="I807" s="1" t="s">
        <v>23</v>
      </c>
      <c r="J807" s="1">
        <v>0</v>
      </c>
      <c r="K807" s="1">
        <v>9427.4529524635982</v>
      </c>
      <c r="L807" s="1">
        <v>50.713895374744951</v>
      </c>
      <c r="M807" s="1">
        <v>50.763208205573221</v>
      </c>
      <c r="N807" s="1">
        <v>50.763208205573221</v>
      </c>
      <c r="O807" s="11"/>
      <c r="P807" s="11"/>
      <c r="Q807" s="11"/>
      <c r="R807" s="11"/>
    </row>
    <row r="808" spans="4:18">
      <c r="D808" s="1" t="s">
        <v>187</v>
      </c>
      <c r="E808" s="1" t="s">
        <v>58</v>
      </c>
      <c r="H808" s="1" t="s">
        <v>25</v>
      </c>
      <c r="I808" s="1" t="s">
        <v>23</v>
      </c>
      <c r="M808" s="1" t="b">
        <v>0</v>
      </c>
      <c r="N808" s="1">
        <v>0</v>
      </c>
      <c r="O808" s="11"/>
      <c r="P808" s="11"/>
      <c r="Q808" s="11"/>
      <c r="R808" s="11"/>
    </row>
    <row r="809" spans="4:18">
      <c r="D809" s="1" t="s">
        <v>187</v>
      </c>
      <c r="E809" s="1" t="s">
        <v>59</v>
      </c>
      <c r="F809" s="1" t="s">
        <v>60</v>
      </c>
      <c r="G809" s="1" t="s">
        <v>61</v>
      </c>
      <c r="H809" s="1" t="s">
        <v>22</v>
      </c>
      <c r="I809" s="1" t="s">
        <v>23</v>
      </c>
      <c r="J809" s="1">
        <v>-9.5538358650799999</v>
      </c>
      <c r="K809" s="1">
        <v>9.5538358650799999</v>
      </c>
      <c r="L809" s="1">
        <v>0.23884589662700001</v>
      </c>
      <c r="M809" s="1">
        <v>0.23884589662700001</v>
      </c>
      <c r="N809" s="1">
        <v>0.23884589662700001</v>
      </c>
      <c r="O809" s="11"/>
      <c r="P809" s="11"/>
      <c r="Q809" s="11"/>
      <c r="R809" s="11"/>
    </row>
    <row r="810" spans="4:18">
      <c r="D810" s="1" t="s">
        <v>187</v>
      </c>
      <c r="E810" s="1" t="s">
        <v>62</v>
      </c>
      <c r="H810" s="1" t="s">
        <v>63</v>
      </c>
      <c r="I810" s="1" t="s">
        <v>23</v>
      </c>
      <c r="M810" s="1">
        <v>1</v>
      </c>
      <c r="N810" s="1">
        <v>1</v>
      </c>
      <c r="O810" s="11"/>
      <c r="P810" s="11"/>
      <c r="Q810" s="11"/>
      <c r="R810" s="11"/>
    </row>
    <row r="811" spans="4:18">
      <c r="D811" s="1" t="s">
        <v>187</v>
      </c>
      <c r="E811" s="1" t="s">
        <v>64</v>
      </c>
      <c r="F811" s="1" t="s">
        <v>35</v>
      </c>
      <c r="G811" s="1" t="s">
        <v>36</v>
      </c>
      <c r="H811" s="1" t="s">
        <v>22</v>
      </c>
      <c r="I811" s="1" t="s">
        <v>65</v>
      </c>
      <c r="J811" s="1">
        <v>-459.67</v>
      </c>
      <c r="L811" s="1">
        <v>80.329999999999984</v>
      </c>
      <c r="N811" s="1">
        <v>111.71454298992836</v>
      </c>
      <c r="O811" s="11"/>
      <c r="P811" s="11"/>
      <c r="Q811" s="11"/>
      <c r="R811" s="11"/>
    </row>
    <row r="812" spans="4:18">
      <c r="D812" s="1" t="s">
        <v>187</v>
      </c>
      <c r="E812" s="1" t="s">
        <v>66</v>
      </c>
      <c r="F812" s="1" t="s">
        <v>35</v>
      </c>
      <c r="G812" s="1" t="s">
        <v>36</v>
      </c>
      <c r="H812" s="1" t="s">
        <v>22</v>
      </c>
      <c r="I812" s="1" t="s">
        <v>65</v>
      </c>
      <c r="J812" s="1">
        <v>-459.67</v>
      </c>
      <c r="L812" s="1">
        <v>80.329999999999984</v>
      </c>
      <c r="N812" s="1">
        <v>98.303841676649142</v>
      </c>
      <c r="O812" s="11"/>
      <c r="P812" s="11"/>
      <c r="Q812" s="11"/>
      <c r="R812" s="11"/>
    </row>
    <row r="813" spans="4:18">
      <c r="D813" s="1" t="s">
        <v>187</v>
      </c>
      <c r="E813" s="1" t="s">
        <v>67</v>
      </c>
      <c r="F813" s="1" t="s">
        <v>41</v>
      </c>
      <c r="G813" s="1" t="s">
        <v>42</v>
      </c>
      <c r="H813" s="1" t="s">
        <v>22</v>
      </c>
      <c r="I813" s="1" t="s">
        <v>65</v>
      </c>
      <c r="L813" s="1">
        <v>1.8</v>
      </c>
      <c r="N813" s="1">
        <v>13.410701313279175</v>
      </c>
      <c r="O813" s="11"/>
      <c r="P813" s="11"/>
      <c r="Q813" s="11"/>
      <c r="R813" s="11"/>
    </row>
    <row r="814" spans="4:18">
      <c r="D814" s="1" t="s">
        <v>187</v>
      </c>
      <c r="E814" s="1" t="s">
        <v>68</v>
      </c>
      <c r="F814" s="1" t="s">
        <v>45</v>
      </c>
      <c r="G814" s="1" t="s">
        <v>46</v>
      </c>
      <c r="H814" s="1" t="s">
        <v>22</v>
      </c>
      <c r="I814" s="1" t="s">
        <v>65</v>
      </c>
      <c r="L814" s="1">
        <v>4.2992261378713571E-4</v>
      </c>
      <c r="N814" s="1">
        <v>119.53026101639318</v>
      </c>
      <c r="O814" s="11"/>
      <c r="P814" s="11"/>
      <c r="Q814" s="11"/>
      <c r="R814" s="11"/>
    </row>
    <row r="815" spans="4:18">
      <c r="D815" s="1" t="s">
        <v>187</v>
      </c>
      <c r="E815" s="1" t="s">
        <v>69</v>
      </c>
      <c r="H815" s="1" t="s">
        <v>25</v>
      </c>
      <c r="I815" s="1" t="s">
        <v>70</v>
      </c>
      <c r="N815" s="1">
        <v>0</v>
      </c>
      <c r="O815" s="11"/>
      <c r="P815" s="11"/>
      <c r="Q815" s="11"/>
      <c r="R815" s="11"/>
    </row>
    <row r="816" spans="4:18">
      <c r="D816" s="1" t="s">
        <v>187</v>
      </c>
      <c r="E816" s="1" t="s">
        <v>71</v>
      </c>
      <c r="F816" s="1" t="s">
        <v>52</v>
      </c>
      <c r="G816" s="1" t="s">
        <v>53</v>
      </c>
      <c r="H816" s="1" t="s">
        <v>22</v>
      </c>
      <c r="I816" s="1" t="s">
        <v>65</v>
      </c>
      <c r="L816" s="1">
        <v>7936.6414386555998</v>
      </c>
      <c r="N816" s="1">
        <v>183317.80538679316</v>
      </c>
      <c r="O816" s="11"/>
      <c r="P816" s="11"/>
      <c r="Q816" s="11"/>
      <c r="R816" s="11"/>
    </row>
    <row r="817" spans="1:18">
      <c r="D817" s="1" t="s">
        <v>187</v>
      </c>
      <c r="E817" s="1" t="s">
        <v>72</v>
      </c>
      <c r="F817" s="1" t="s">
        <v>56</v>
      </c>
      <c r="G817" s="1" t="s">
        <v>57</v>
      </c>
      <c r="H817" s="1" t="s">
        <v>22</v>
      </c>
      <c r="I817" s="1" t="s">
        <v>65</v>
      </c>
      <c r="J817" s="1">
        <v>0</v>
      </c>
      <c r="L817" s="1">
        <v>14.503773773020921</v>
      </c>
      <c r="N817" s="1">
        <v>135.32432554524246</v>
      </c>
      <c r="O817" s="11"/>
      <c r="P817" s="11"/>
      <c r="Q817" s="11"/>
      <c r="R817" s="11"/>
    </row>
    <row r="818" spans="1:18">
      <c r="D818" s="1" t="s">
        <v>187</v>
      </c>
      <c r="E818" s="1" t="s">
        <v>73</v>
      </c>
      <c r="F818" s="1" t="s">
        <v>60</v>
      </c>
      <c r="G818" s="1" t="s">
        <v>61</v>
      </c>
      <c r="H818" s="1" t="s">
        <v>22</v>
      </c>
      <c r="I818" s="1" t="s">
        <v>65</v>
      </c>
      <c r="L818" s="1">
        <v>2.38845896627E-4</v>
      </c>
      <c r="N818" s="1">
        <v>0.22511233237833303</v>
      </c>
      <c r="O818" s="11"/>
      <c r="P818" s="11"/>
      <c r="Q818" s="11"/>
      <c r="R818" s="11"/>
    </row>
    <row r="819" spans="1:18">
      <c r="D819" s="1" t="s">
        <v>187</v>
      </c>
      <c r="E819" s="1" t="s">
        <v>74</v>
      </c>
      <c r="F819" s="1" t="s">
        <v>75</v>
      </c>
      <c r="G819" s="1" t="s">
        <v>76</v>
      </c>
      <c r="H819" s="1" t="s">
        <v>22</v>
      </c>
      <c r="I819" s="1" t="s">
        <v>65</v>
      </c>
      <c r="J819" s="1">
        <v>0</v>
      </c>
      <c r="L819" s="1">
        <v>16.018463521800001</v>
      </c>
      <c r="N819" s="1">
        <v>0.36764231046745255</v>
      </c>
      <c r="O819" s="11"/>
      <c r="P819" s="11"/>
      <c r="Q819" s="11"/>
      <c r="R819" s="11"/>
    </row>
    <row r="820" spans="1:18">
      <c r="D820" s="1" t="s">
        <v>187</v>
      </c>
      <c r="E820" s="1" t="s">
        <v>77</v>
      </c>
      <c r="H820" s="1" t="s">
        <v>22</v>
      </c>
      <c r="I820" s="1" t="s">
        <v>65</v>
      </c>
      <c r="L820" s="1">
        <v>1</v>
      </c>
      <c r="N820" s="1">
        <v>1.0489698180793809</v>
      </c>
      <c r="O820" s="11"/>
      <c r="P820" s="11"/>
      <c r="Q820" s="11"/>
      <c r="R820" s="11"/>
    </row>
    <row r="821" spans="1:18">
      <c r="D821" s="1" t="s">
        <v>187</v>
      </c>
      <c r="E821" s="1" t="s">
        <v>78</v>
      </c>
      <c r="H821" s="1" t="s">
        <v>25</v>
      </c>
      <c r="I821" s="1" t="s">
        <v>23</v>
      </c>
      <c r="M821" s="1" t="b">
        <v>0</v>
      </c>
      <c r="N821" s="1">
        <v>0</v>
      </c>
      <c r="O821" s="11"/>
      <c r="P821" s="11"/>
      <c r="Q821" s="11"/>
      <c r="R821" s="11"/>
    </row>
    <row r="822" spans="1:18">
      <c r="D822" s="1" t="s">
        <v>187</v>
      </c>
      <c r="E822" s="1" t="s">
        <v>79</v>
      </c>
      <c r="F822" s="1" t="s">
        <v>75</v>
      </c>
      <c r="G822" s="1" t="s">
        <v>76</v>
      </c>
      <c r="H822" s="1" t="s">
        <v>22</v>
      </c>
      <c r="I822" s="1" t="s">
        <v>23</v>
      </c>
      <c r="J822" s="1">
        <v>0</v>
      </c>
      <c r="K822" s="1">
        <v>96.110781130800007</v>
      </c>
      <c r="L822" s="1">
        <v>16.018463521800001</v>
      </c>
      <c r="M822" s="1">
        <v>1.6018463521800002</v>
      </c>
      <c r="N822" s="1">
        <v>1.6018463521800002</v>
      </c>
      <c r="O822" s="11"/>
      <c r="P822" s="11"/>
      <c r="Q822" s="11"/>
      <c r="R822" s="11"/>
    </row>
    <row r="823" spans="1:18">
      <c r="D823" s="1" t="s">
        <v>187</v>
      </c>
      <c r="E823" s="1" t="s">
        <v>80</v>
      </c>
      <c r="H823" s="1" t="s">
        <v>25</v>
      </c>
      <c r="I823" s="1" t="s">
        <v>23</v>
      </c>
      <c r="M823" s="1" t="b">
        <v>0</v>
      </c>
      <c r="N823" s="1">
        <v>0</v>
      </c>
      <c r="O823" s="11"/>
      <c r="P823" s="11"/>
      <c r="Q823" s="11"/>
      <c r="R823" s="11"/>
    </row>
    <row r="824" spans="1:18">
      <c r="D824" s="1" t="s">
        <v>187</v>
      </c>
      <c r="E824" s="1" t="s">
        <v>81</v>
      </c>
      <c r="H824" s="1" t="s">
        <v>25</v>
      </c>
      <c r="I824" s="1" t="s">
        <v>23</v>
      </c>
      <c r="M824" s="1" t="b">
        <v>0</v>
      </c>
      <c r="N824" s="1">
        <v>0</v>
      </c>
      <c r="O824" s="11"/>
      <c r="P824" s="11"/>
      <c r="Q824" s="11"/>
      <c r="R824" s="11"/>
    </row>
    <row r="825" spans="1:18">
      <c r="D825" s="1" t="s">
        <v>187</v>
      </c>
      <c r="E825" s="1" t="s">
        <v>82</v>
      </c>
      <c r="H825" s="1" t="s">
        <v>22</v>
      </c>
      <c r="I825" s="1" t="s">
        <v>23</v>
      </c>
      <c r="J825" s="1">
        <v>-1</v>
      </c>
      <c r="K825" s="1">
        <v>3</v>
      </c>
      <c r="L825" s="1">
        <v>1</v>
      </c>
      <c r="M825" s="1">
        <v>1.01</v>
      </c>
      <c r="N825" s="1">
        <v>1.01</v>
      </c>
      <c r="O825" s="11"/>
      <c r="P825" s="11"/>
      <c r="Q825" s="11"/>
      <c r="R825" s="11"/>
    </row>
    <row r="826" spans="1:18">
      <c r="D826" s="1" t="s">
        <v>188</v>
      </c>
      <c r="E826" s="1" t="s">
        <v>171</v>
      </c>
      <c r="H826" s="1" t="s">
        <v>22</v>
      </c>
      <c r="I826" s="1" t="s">
        <v>23</v>
      </c>
      <c r="L826" s="1">
        <v>1</v>
      </c>
      <c r="M826" s="1">
        <v>3.0558000000000001</v>
      </c>
      <c r="N826" s="1">
        <v>3.0558000000000001</v>
      </c>
      <c r="O826" s="11"/>
      <c r="P826" s="11"/>
      <c r="Q826" s="11"/>
      <c r="R826" s="11"/>
    </row>
    <row r="827" spans="1:18">
      <c r="D827" s="1" t="s">
        <v>188</v>
      </c>
      <c r="E827" s="1" t="s">
        <v>172</v>
      </c>
      <c r="H827" s="1" t="s">
        <v>22</v>
      </c>
      <c r="I827" s="1" t="s">
        <v>29</v>
      </c>
      <c r="J827" s="1">
        <v>0</v>
      </c>
      <c r="K827" s="1">
        <v>10000</v>
      </c>
      <c r="L827" s="1">
        <v>5000</v>
      </c>
      <c r="N827" s="1">
        <v>0.15405099999999999</v>
      </c>
      <c r="O827" s="11"/>
      <c r="P827" s="11"/>
      <c r="Q827" s="11"/>
      <c r="R827" s="11"/>
    </row>
    <row r="828" spans="1:18">
      <c r="D828" s="1" t="s">
        <v>188</v>
      </c>
      <c r="E828" s="1" t="s">
        <v>173</v>
      </c>
      <c r="H828" s="1" t="s">
        <v>22</v>
      </c>
      <c r="I828" s="1" t="s">
        <v>29</v>
      </c>
      <c r="J828" s="1">
        <v>9.9999999999999995E-7</v>
      </c>
      <c r="K828" s="1">
        <v>0.01</v>
      </c>
      <c r="L828" s="1">
        <v>5.0004999999999997E-3</v>
      </c>
      <c r="N828" s="1">
        <v>1.1900000000000001E-4</v>
      </c>
      <c r="O828" s="11"/>
      <c r="P828" s="11"/>
      <c r="Q828" s="11"/>
      <c r="R828" s="11"/>
    </row>
    <row r="829" spans="1:18">
      <c r="D829" s="1" t="s">
        <v>188</v>
      </c>
      <c r="E829" s="1" t="s">
        <v>174</v>
      </c>
      <c r="H829" s="1" t="s">
        <v>25</v>
      </c>
      <c r="I829" s="1" t="s">
        <v>23</v>
      </c>
      <c r="M829" s="1" t="b">
        <v>1</v>
      </c>
      <c r="N829" s="1">
        <v>1</v>
      </c>
      <c r="O829" s="11"/>
      <c r="P829" s="11"/>
      <c r="Q829" s="11"/>
      <c r="R829" s="11"/>
    </row>
    <row r="830" spans="1:18">
      <c r="A830" s="2" t="s">
        <v>1722</v>
      </c>
      <c r="B830" s="3" t="s">
        <v>1724</v>
      </c>
      <c r="D830" s="1" t="s">
        <v>188</v>
      </c>
      <c r="E830" s="1" t="s">
        <v>175</v>
      </c>
      <c r="F830" s="1" t="s">
        <v>176</v>
      </c>
      <c r="G830" s="1" t="s">
        <v>177</v>
      </c>
      <c r="H830" s="1" t="s">
        <v>22</v>
      </c>
      <c r="I830" s="1" t="s">
        <v>23</v>
      </c>
      <c r="L830" s="1">
        <v>39.370078740157467</v>
      </c>
      <c r="M830" s="1">
        <v>6.0649999999999977</v>
      </c>
      <c r="N830" s="1">
        <v>6.0649999999999977</v>
      </c>
      <c r="O830" s="11"/>
      <c r="P830" s="11"/>
      <c r="Q830" s="11"/>
      <c r="R830" s="11"/>
    </row>
    <row r="831" spans="1:18">
      <c r="D831" s="1" t="s">
        <v>188</v>
      </c>
      <c r="E831" s="1" t="s">
        <v>178</v>
      </c>
      <c r="H831" s="1" t="s">
        <v>25</v>
      </c>
      <c r="I831" s="1" t="s">
        <v>23</v>
      </c>
      <c r="M831" s="1" t="b">
        <v>0</v>
      </c>
      <c r="N831" s="1">
        <v>0</v>
      </c>
      <c r="O831" s="11"/>
      <c r="P831" s="11"/>
      <c r="Q831" s="11"/>
      <c r="R831" s="11"/>
    </row>
    <row r="832" spans="1:18">
      <c r="D832" s="1" t="s">
        <v>188</v>
      </c>
      <c r="E832" s="1" t="s">
        <v>111</v>
      </c>
      <c r="F832" s="1" t="s">
        <v>56</v>
      </c>
      <c r="G832" s="1" t="s">
        <v>57</v>
      </c>
      <c r="H832" s="1" t="s">
        <v>22</v>
      </c>
      <c r="I832" s="1" t="s">
        <v>23</v>
      </c>
      <c r="L832" s="1">
        <v>1.4503773773020921E-4</v>
      </c>
      <c r="M832" s="1">
        <v>7.2518868865104604E-3</v>
      </c>
      <c r="N832" s="1">
        <v>7.2518868865104604E-3</v>
      </c>
      <c r="O832" s="11"/>
      <c r="P832" s="11"/>
      <c r="Q832" s="11"/>
      <c r="R832" s="11"/>
    </row>
    <row r="833" spans="1:18">
      <c r="D833" s="1" t="s">
        <v>188</v>
      </c>
      <c r="E833" s="1" t="s">
        <v>179</v>
      </c>
      <c r="H833" s="1" t="s">
        <v>22</v>
      </c>
      <c r="I833" s="1" t="s">
        <v>23</v>
      </c>
      <c r="L833" s="1">
        <v>1</v>
      </c>
      <c r="M833" s="1">
        <v>10000</v>
      </c>
      <c r="N833" s="1">
        <v>10000</v>
      </c>
      <c r="O833" s="11"/>
      <c r="P833" s="11"/>
      <c r="Q833" s="11"/>
      <c r="R833" s="11"/>
    </row>
    <row r="834" spans="1:18">
      <c r="D834" s="1" t="s">
        <v>188</v>
      </c>
      <c r="E834" s="1" t="s">
        <v>180</v>
      </c>
      <c r="H834" s="1" t="s">
        <v>181</v>
      </c>
      <c r="I834" s="1" t="s">
        <v>23</v>
      </c>
      <c r="J834" s="1">
        <v>1</v>
      </c>
      <c r="K834" s="1">
        <v>3</v>
      </c>
      <c r="M834" s="1" t="s">
        <v>182</v>
      </c>
      <c r="N834" s="1" t="s">
        <v>1816</v>
      </c>
      <c r="O834" s="11"/>
      <c r="P834" s="11"/>
      <c r="Q834" s="11"/>
      <c r="R834" s="11"/>
    </row>
    <row r="835" spans="1:18">
      <c r="D835" s="1" t="s">
        <v>188</v>
      </c>
      <c r="E835" s="1" t="s">
        <v>47</v>
      </c>
      <c r="H835" s="1" t="s">
        <v>25</v>
      </c>
      <c r="I835" s="1" t="s">
        <v>23</v>
      </c>
      <c r="M835" s="1" t="b">
        <v>0</v>
      </c>
      <c r="N835" s="1">
        <v>0</v>
      </c>
      <c r="O835" s="11"/>
      <c r="P835" s="11"/>
      <c r="Q835" s="11"/>
      <c r="R835" s="11"/>
    </row>
    <row r="836" spans="1:18">
      <c r="D836" s="1" t="s">
        <v>188</v>
      </c>
      <c r="E836" s="1" t="s">
        <v>183</v>
      </c>
      <c r="H836" s="1" t="s">
        <v>25</v>
      </c>
      <c r="I836" s="1" t="s">
        <v>23</v>
      </c>
      <c r="M836" s="1" t="b">
        <v>1</v>
      </c>
      <c r="N836" s="1">
        <v>1</v>
      </c>
      <c r="O836" s="11"/>
      <c r="P836" s="11"/>
      <c r="Q836" s="11"/>
      <c r="R836" s="11"/>
    </row>
    <row r="837" spans="1:18">
      <c r="D837" s="1" t="s">
        <v>188</v>
      </c>
      <c r="E837" s="1" t="s">
        <v>189</v>
      </c>
      <c r="H837" s="1" t="s">
        <v>22</v>
      </c>
      <c r="I837" s="1" t="s">
        <v>23</v>
      </c>
      <c r="L837" s="1">
        <v>1</v>
      </c>
      <c r="M837" s="1">
        <v>1.1900000000000001E-4</v>
      </c>
      <c r="N837" s="1">
        <v>1.1900000000000001E-4</v>
      </c>
      <c r="O837" s="11"/>
      <c r="P837" s="11"/>
      <c r="Q837" s="11"/>
      <c r="R837" s="11"/>
    </row>
    <row r="838" spans="1:18">
      <c r="D838" s="1" t="s">
        <v>188</v>
      </c>
      <c r="E838" s="1" t="s">
        <v>112</v>
      </c>
      <c r="F838" s="1" t="s">
        <v>56</v>
      </c>
      <c r="G838" s="1" t="s">
        <v>57</v>
      </c>
      <c r="H838" s="1" t="s">
        <v>22</v>
      </c>
      <c r="I838" s="1" t="s">
        <v>29</v>
      </c>
      <c r="J838" s="1">
        <v>4.9312830828271128</v>
      </c>
      <c r="K838" s="1">
        <v>623.66227223989961</v>
      </c>
      <c r="L838" s="1">
        <v>50.713895374744951</v>
      </c>
      <c r="N838" s="1">
        <v>142.5216587360417</v>
      </c>
      <c r="O838" s="11"/>
      <c r="P838" s="11"/>
      <c r="Q838" s="11"/>
      <c r="R838" s="11"/>
    </row>
    <row r="839" spans="1:18">
      <c r="D839" s="1" t="s">
        <v>188</v>
      </c>
      <c r="E839" s="1" t="s">
        <v>62</v>
      </c>
      <c r="H839" s="1" t="s">
        <v>63</v>
      </c>
      <c r="I839" s="1" t="s">
        <v>23</v>
      </c>
      <c r="M839" s="1">
        <v>1</v>
      </c>
      <c r="N839" s="1">
        <v>1</v>
      </c>
      <c r="O839" s="11"/>
      <c r="P839" s="11"/>
      <c r="Q839" s="11"/>
      <c r="R839" s="11"/>
    </row>
    <row r="840" spans="1:18">
      <c r="D840" s="1" t="s">
        <v>188</v>
      </c>
      <c r="E840" s="1" t="s">
        <v>184</v>
      </c>
      <c r="H840" s="1" t="s">
        <v>22</v>
      </c>
      <c r="I840" s="1" t="s">
        <v>120</v>
      </c>
      <c r="L840" s="1">
        <v>1</v>
      </c>
      <c r="N840" s="1">
        <v>1</v>
      </c>
      <c r="O840" s="11"/>
      <c r="P840" s="11"/>
      <c r="Q840" s="11"/>
      <c r="R840" s="11"/>
    </row>
    <row r="841" spans="1:18">
      <c r="D841" s="1" t="s">
        <v>188</v>
      </c>
      <c r="E841" s="1" t="s">
        <v>185</v>
      </c>
      <c r="F841" s="1" t="s">
        <v>176</v>
      </c>
      <c r="G841" s="1" t="s">
        <v>177</v>
      </c>
      <c r="H841" s="1" t="s">
        <v>22</v>
      </c>
      <c r="I841" s="1" t="s">
        <v>65</v>
      </c>
      <c r="L841" s="1">
        <v>39.370078740157467</v>
      </c>
      <c r="N841" s="1">
        <v>6.0649999999999977</v>
      </c>
      <c r="O841" s="11"/>
      <c r="P841" s="11"/>
      <c r="Q841" s="11"/>
      <c r="R841" s="11"/>
    </row>
    <row r="842" spans="1:18">
      <c r="A842" s="2" t="s">
        <v>1759</v>
      </c>
      <c r="B842" s="3" t="s">
        <v>1785</v>
      </c>
      <c r="D842" s="1" t="s">
        <v>188</v>
      </c>
      <c r="E842" s="1" t="s">
        <v>115</v>
      </c>
      <c r="F842" s="1" t="s">
        <v>56</v>
      </c>
      <c r="G842" s="1" t="s">
        <v>57</v>
      </c>
      <c r="H842" s="1" t="s">
        <v>22</v>
      </c>
      <c r="I842" s="1" t="s">
        <v>65</v>
      </c>
      <c r="L842" s="1">
        <v>1.4503773773020921E-4</v>
      </c>
      <c r="N842" s="1">
        <v>2.6573283790341828</v>
      </c>
      <c r="O842" s="11"/>
      <c r="P842" s="11"/>
      <c r="Q842" s="11"/>
      <c r="R842" s="11"/>
    </row>
    <row r="843" spans="1:18">
      <c r="D843" s="1" t="s">
        <v>188</v>
      </c>
      <c r="E843" s="1" t="s">
        <v>69</v>
      </c>
      <c r="H843" s="1" t="s">
        <v>25</v>
      </c>
      <c r="I843" s="1" t="s">
        <v>70</v>
      </c>
      <c r="N843" s="1">
        <v>0</v>
      </c>
      <c r="O843" s="11"/>
      <c r="P843" s="11"/>
      <c r="Q843" s="11"/>
      <c r="R843" s="11"/>
    </row>
    <row r="844" spans="1:18">
      <c r="D844" s="1" t="s">
        <v>188</v>
      </c>
      <c r="E844" s="1" t="s">
        <v>186</v>
      </c>
      <c r="H844" s="1" t="s">
        <v>22</v>
      </c>
      <c r="I844" s="1" t="s">
        <v>65</v>
      </c>
      <c r="L844" s="1">
        <v>1</v>
      </c>
      <c r="N844" s="1">
        <v>1.1900000000000001E-4</v>
      </c>
      <c r="O844" s="11"/>
      <c r="P844" s="11"/>
      <c r="Q844" s="11"/>
      <c r="R844" s="11"/>
    </row>
    <row r="845" spans="1:18">
      <c r="D845" s="1" t="s">
        <v>188</v>
      </c>
      <c r="E845" s="1" t="s">
        <v>71</v>
      </c>
      <c r="F845" s="1" t="s">
        <v>52</v>
      </c>
      <c r="G845" s="1" t="s">
        <v>53</v>
      </c>
      <c r="H845" s="1" t="s">
        <v>22</v>
      </c>
      <c r="I845" s="1" t="s">
        <v>65</v>
      </c>
      <c r="L845" s="1">
        <v>7936.6414386555998</v>
      </c>
      <c r="N845" s="1">
        <v>183317.80538679316</v>
      </c>
      <c r="O845" s="11"/>
      <c r="P845" s="11"/>
      <c r="Q845" s="11"/>
      <c r="R845" s="11"/>
    </row>
    <row r="846" spans="1:18">
      <c r="D846" s="1" t="s">
        <v>188</v>
      </c>
      <c r="E846" s="1" t="s">
        <v>117</v>
      </c>
      <c r="F846" s="1" t="s">
        <v>118</v>
      </c>
      <c r="G846" s="1" t="s">
        <v>119</v>
      </c>
      <c r="H846" s="1" t="s">
        <v>22</v>
      </c>
      <c r="I846" s="1" t="s">
        <v>120</v>
      </c>
      <c r="J846" s="1">
        <v>0</v>
      </c>
      <c r="L846" s="1">
        <v>2.20462262185</v>
      </c>
      <c r="N846" s="1">
        <v>0</v>
      </c>
      <c r="O846" s="11"/>
      <c r="P846" s="11"/>
      <c r="Q846" s="11"/>
      <c r="R846" s="11"/>
    </row>
    <row r="847" spans="1:18">
      <c r="D847" s="1" t="s">
        <v>188</v>
      </c>
      <c r="E847" s="1" t="s">
        <v>123</v>
      </c>
      <c r="F847" s="1" t="s">
        <v>124</v>
      </c>
      <c r="G847" s="1" t="s">
        <v>125</v>
      </c>
      <c r="H847" s="1" t="s">
        <v>22</v>
      </c>
      <c r="I847" s="1" t="s">
        <v>120</v>
      </c>
      <c r="L847" s="1">
        <v>35.314666699999997</v>
      </c>
      <c r="N847" s="1">
        <v>0</v>
      </c>
      <c r="O847" s="11"/>
      <c r="P847" s="11"/>
      <c r="Q847" s="11"/>
      <c r="R847" s="11"/>
    </row>
    <row r="848" spans="1:18">
      <c r="D848" s="1" t="s">
        <v>188</v>
      </c>
      <c r="E848" s="1" t="s">
        <v>126</v>
      </c>
      <c r="H848" s="1" t="s">
        <v>22</v>
      </c>
      <c r="I848" s="1" t="s">
        <v>65</v>
      </c>
      <c r="L848" s="1">
        <v>1</v>
      </c>
      <c r="N848" s="1">
        <v>1.0460543236154038</v>
      </c>
      <c r="O848" s="11"/>
      <c r="P848" s="11"/>
      <c r="Q848" s="11"/>
      <c r="R848" s="11"/>
    </row>
    <row r="849" spans="4:18">
      <c r="D849" s="1" t="s">
        <v>190</v>
      </c>
      <c r="E849" s="1" t="s">
        <v>28</v>
      </c>
      <c r="H849" s="1" t="s">
        <v>22</v>
      </c>
      <c r="I849" s="1" t="s">
        <v>29</v>
      </c>
      <c r="J849" s="1">
        <v>34000</v>
      </c>
      <c r="K849" s="1">
        <v>4300000</v>
      </c>
      <c r="L849" s="1">
        <v>349660</v>
      </c>
      <c r="N849" s="1">
        <v>350000</v>
      </c>
      <c r="O849" s="11"/>
      <c r="P849" s="11"/>
      <c r="Q849" s="11"/>
      <c r="R849" s="11"/>
    </row>
    <row r="850" spans="4:18">
      <c r="D850" s="1" t="s">
        <v>190</v>
      </c>
      <c r="E850" s="1" t="s">
        <v>30</v>
      </c>
      <c r="H850" s="1" t="s">
        <v>22</v>
      </c>
      <c r="I850" s="1" t="s">
        <v>29</v>
      </c>
      <c r="J850" s="1">
        <v>-3.94</v>
      </c>
      <c r="K850" s="1">
        <v>3.66</v>
      </c>
      <c r="L850" s="1">
        <v>1</v>
      </c>
      <c r="N850" s="1">
        <v>1.01</v>
      </c>
      <c r="O850" s="11"/>
      <c r="P850" s="11"/>
      <c r="Q850" s="11"/>
      <c r="R850" s="11"/>
    </row>
    <row r="851" spans="4:18">
      <c r="D851" s="1" t="s">
        <v>190</v>
      </c>
      <c r="E851" s="1" t="s">
        <v>31</v>
      </c>
      <c r="H851" s="1" t="s">
        <v>22</v>
      </c>
      <c r="I851" s="1" t="s">
        <v>29</v>
      </c>
      <c r="J851" s="1">
        <v>0</v>
      </c>
      <c r="K851" s="1">
        <v>100</v>
      </c>
      <c r="L851" s="1">
        <v>1</v>
      </c>
      <c r="N851" s="1">
        <v>0</v>
      </c>
      <c r="O851" s="11"/>
      <c r="P851" s="11"/>
      <c r="Q851" s="11"/>
      <c r="R851" s="11"/>
    </row>
    <row r="852" spans="4:18">
      <c r="D852" s="1" t="s">
        <v>190</v>
      </c>
      <c r="E852" s="1" t="s">
        <v>32</v>
      </c>
      <c r="H852" s="1" t="s">
        <v>22</v>
      </c>
      <c r="I852" s="1" t="s">
        <v>29</v>
      </c>
      <c r="J852" s="1">
        <v>-3.94</v>
      </c>
      <c r="K852" s="1">
        <v>3.66</v>
      </c>
      <c r="L852" s="1">
        <v>1</v>
      </c>
      <c r="N852" s="1">
        <v>1.01</v>
      </c>
      <c r="O852" s="11"/>
      <c r="P852" s="11"/>
      <c r="Q852" s="11"/>
      <c r="R852" s="11"/>
    </row>
    <row r="853" spans="4:18">
      <c r="D853" s="1" t="s">
        <v>190</v>
      </c>
      <c r="E853" s="1" t="s">
        <v>33</v>
      </c>
      <c r="H853" s="1" t="s">
        <v>25</v>
      </c>
      <c r="I853" s="1" t="s">
        <v>23</v>
      </c>
      <c r="M853" s="1" t="b">
        <v>0</v>
      </c>
      <c r="N853" s="1">
        <v>0</v>
      </c>
      <c r="O853" s="11"/>
      <c r="P853" s="11"/>
      <c r="Q853" s="11"/>
      <c r="R853" s="11"/>
    </row>
    <row r="854" spans="4:18">
      <c r="D854" s="1" t="s">
        <v>190</v>
      </c>
      <c r="E854" s="1" t="s">
        <v>34</v>
      </c>
      <c r="F854" s="1" t="s">
        <v>35</v>
      </c>
      <c r="G854" s="1" t="s">
        <v>36</v>
      </c>
      <c r="H854" s="1" t="s">
        <v>22</v>
      </c>
      <c r="I854" s="1" t="s">
        <v>23</v>
      </c>
      <c r="J854" s="1">
        <v>-459.67</v>
      </c>
      <c r="K854" s="1">
        <v>980.32999999999993</v>
      </c>
      <c r="L854" s="1">
        <v>80.329999999999984</v>
      </c>
      <c r="M854" s="1">
        <v>67.999999999999943</v>
      </c>
      <c r="N854" s="1">
        <v>67.999999999999943</v>
      </c>
      <c r="O854" s="11"/>
      <c r="P854" s="11"/>
      <c r="Q854" s="11"/>
      <c r="R854" s="11"/>
    </row>
    <row r="855" spans="4:18">
      <c r="D855" s="1" t="s">
        <v>190</v>
      </c>
      <c r="E855" s="1" t="s">
        <v>37</v>
      </c>
      <c r="H855" s="1" t="s">
        <v>25</v>
      </c>
      <c r="I855" s="1" t="s">
        <v>23</v>
      </c>
      <c r="M855" s="1" t="b">
        <v>0</v>
      </c>
      <c r="N855" s="1">
        <v>0</v>
      </c>
      <c r="O855" s="11"/>
      <c r="P855" s="11"/>
      <c r="Q855" s="11"/>
      <c r="R855" s="11"/>
    </row>
    <row r="856" spans="4:18">
      <c r="D856" s="1" t="s">
        <v>190</v>
      </c>
      <c r="E856" s="1" t="s">
        <v>38</v>
      </c>
      <c r="F856" s="1" t="s">
        <v>35</v>
      </c>
      <c r="G856" s="1" t="s">
        <v>36</v>
      </c>
      <c r="H856" s="1" t="s">
        <v>22</v>
      </c>
      <c r="I856" s="1" t="s">
        <v>23</v>
      </c>
      <c r="J856" s="1">
        <v>-99.670000000000016</v>
      </c>
      <c r="K856" s="1">
        <v>980.32999999999993</v>
      </c>
      <c r="L856" s="1">
        <v>80.329999999999984</v>
      </c>
      <c r="M856" s="1">
        <v>13.999999999999943</v>
      </c>
      <c r="N856" s="1">
        <v>13.999999999999943</v>
      </c>
      <c r="O856" s="11"/>
      <c r="P856" s="11"/>
      <c r="Q856" s="11"/>
      <c r="R856" s="11"/>
    </row>
    <row r="857" spans="4:18">
      <c r="D857" s="1" t="s">
        <v>190</v>
      </c>
      <c r="E857" s="1" t="s">
        <v>39</v>
      </c>
      <c r="H857" s="1" t="s">
        <v>25</v>
      </c>
      <c r="I857" s="1" t="s">
        <v>23</v>
      </c>
      <c r="M857" s="1" t="b">
        <v>0</v>
      </c>
      <c r="N857" s="1">
        <v>0</v>
      </c>
      <c r="O857" s="11"/>
      <c r="P857" s="11"/>
      <c r="Q857" s="11"/>
      <c r="R857" s="11"/>
    </row>
    <row r="858" spans="4:18">
      <c r="D858" s="1" t="s">
        <v>190</v>
      </c>
      <c r="E858" s="1" t="s">
        <v>40</v>
      </c>
      <c r="F858" s="1" t="s">
        <v>41</v>
      </c>
      <c r="G858" s="1" t="s">
        <v>42</v>
      </c>
      <c r="H858" s="1" t="s">
        <v>22</v>
      </c>
      <c r="I858" s="1" t="s">
        <v>23</v>
      </c>
      <c r="J858" s="1">
        <v>-900</v>
      </c>
      <c r="K858" s="1">
        <v>900</v>
      </c>
      <c r="L858" s="1">
        <v>1.8</v>
      </c>
      <c r="M858" s="1">
        <v>9</v>
      </c>
      <c r="N858" s="1">
        <v>9</v>
      </c>
      <c r="O858" s="11"/>
      <c r="P858" s="11"/>
      <c r="Q858" s="11"/>
      <c r="R858" s="11"/>
    </row>
    <row r="859" spans="4:18">
      <c r="D859" s="1" t="s">
        <v>190</v>
      </c>
      <c r="E859" s="1" t="s">
        <v>43</v>
      </c>
      <c r="H859" s="1" t="s">
        <v>25</v>
      </c>
      <c r="I859" s="1" t="s">
        <v>23</v>
      </c>
      <c r="M859" s="1" t="b">
        <v>0</v>
      </c>
      <c r="N859" s="1">
        <v>0</v>
      </c>
      <c r="O859" s="11"/>
      <c r="P859" s="11"/>
      <c r="Q859" s="11"/>
      <c r="R859" s="11"/>
    </row>
    <row r="860" spans="4:18">
      <c r="D860" s="1" t="s">
        <v>190</v>
      </c>
      <c r="E860" s="1" t="s">
        <v>44</v>
      </c>
      <c r="F860" s="1" t="s">
        <v>45</v>
      </c>
      <c r="G860" s="1" t="s">
        <v>46</v>
      </c>
      <c r="H860" s="1" t="s">
        <v>22</v>
      </c>
      <c r="I860" s="1" t="s">
        <v>23</v>
      </c>
      <c r="J860" s="1">
        <v>-85.984522757427143</v>
      </c>
      <c r="K860" s="1">
        <v>8598.4522757427148</v>
      </c>
      <c r="L860" s="1">
        <v>114.79148749423418</v>
      </c>
      <c r="M860" s="1">
        <v>128.97678413614071</v>
      </c>
      <c r="N860" s="1">
        <v>128.97678413614071</v>
      </c>
      <c r="O860" s="11"/>
      <c r="P860" s="11"/>
      <c r="Q860" s="11"/>
      <c r="R860" s="11"/>
    </row>
    <row r="861" spans="4:18">
      <c r="D861" s="1" t="s">
        <v>190</v>
      </c>
      <c r="E861" s="1" t="s">
        <v>47</v>
      </c>
      <c r="H861" s="1" t="s">
        <v>25</v>
      </c>
      <c r="I861" s="1" t="s">
        <v>23</v>
      </c>
      <c r="M861" s="1" t="b">
        <v>0</v>
      </c>
      <c r="N861" s="1">
        <v>0</v>
      </c>
      <c r="O861" s="11"/>
      <c r="P861" s="11"/>
      <c r="Q861" s="11"/>
      <c r="R861" s="11"/>
    </row>
    <row r="862" spans="4:18">
      <c r="D862" s="1" t="s">
        <v>190</v>
      </c>
      <c r="E862" s="1" t="s">
        <v>48</v>
      </c>
      <c r="H862" s="1" t="s">
        <v>25</v>
      </c>
      <c r="I862" s="1" t="s">
        <v>23</v>
      </c>
      <c r="M862" s="1" t="b">
        <v>0</v>
      </c>
      <c r="N862" s="1">
        <v>0</v>
      </c>
      <c r="O862" s="11"/>
      <c r="P862" s="11"/>
      <c r="Q862" s="11"/>
      <c r="R862" s="11"/>
    </row>
    <row r="863" spans="4:18">
      <c r="D863" s="1" t="s">
        <v>190</v>
      </c>
      <c r="E863" s="1" t="s">
        <v>49</v>
      </c>
      <c r="H863" s="1" t="s">
        <v>25</v>
      </c>
      <c r="I863" s="1" t="s">
        <v>23</v>
      </c>
      <c r="M863" s="1" t="b">
        <v>0</v>
      </c>
      <c r="N863" s="1">
        <v>0</v>
      </c>
      <c r="O863" s="11"/>
      <c r="P863" s="11"/>
      <c r="Q863" s="11"/>
      <c r="R863" s="11"/>
    </row>
    <row r="864" spans="4:18">
      <c r="D864" s="1" t="s">
        <v>190</v>
      </c>
      <c r="E864" s="1" t="s">
        <v>50</v>
      </c>
      <c r="H864" s="1" t="s">
        <v>25</v>
      </c>
      <c r="I864" s="1" t="s">
        <v>23</v>
      </c>
      <c r="M864" s="1" t="b">
        <v>0</v>
      </c>
      <c r="N864" s="1">
        <v>0</v>
      </c>
      <c r="O864" s="11"/>
      <c r="P864" s="11"/>
      <c r="Q864" s="11"/>
      <c r="R864" s="11"/>
    </row>
    <row r="865" spans="4:18">
      <c r="D865" s="1" t="s">
        <v>190</v>
      </c>
      <c r="E865" s="1" t="s">
        <v>51</v>
      </c>
      <c r="F865" s="1" t="s">
        <v>52</v>
      </c>
      <c r="G865" s="1" t="s">
        <v>53</v>
      </c>
      <c r="H865" s="1" t="s">
        <v>22</v>
      </c>
      <c r="I865" s="1" t="s">
        <v>23</v>
      </c>
      <c r="J865" s="1">
        <v>0</v>
      </c>
      <c r="K865" s="1">
        <v>7936641438.6555996</v>
      </c>
      <c r="L865" s="1">
        <v>7936.6414386555998</v>
      </c>
      <c r="M865" s="1">
        <v>7936.6414386555998</v>
      </c>
      <c r="N865" s="1">
        <v>7936.6414386555998</v>
      </c>
      <c r="O865" s="11"/>
      <c r="P865" s="11"/>
      <c r="Q865" s="11"/>
      <c r="R865" s="11"/>
    </row>
    <row r="866" spans="4:18">
      <c r="D866" s="1" t="s">
        <v>190</v>
      </c>
      <c r="E866" s="1" t="s">
        <v>54</v>
      </c>
      <c r="H866" s="1" t="s">
        <v>25</v>
      </c>
      <c r="I866" s="1" t="s">
        <v>23</v>
      </c>
      <c r="M866" s="1" t="b">
        <v>0</v>
      </c>
      <c r="N866" s="1">
        <v>0</v>
      </c>
      <c r="O866" s="11"/>
      <c r="P866" s="11"/>
      <c r="Q866" s="11"/>
      <c r="R866" s="11"/>
    </row>
    <row r="867" spans="4:18">
      <c r="D867" s="1" t="s">
        <v>190</v>
      </c>
      <c r="E867" s="1" t="s">
        <v>55</v>
      </c>
      <c r="F867" s="1" t="s">
        <v>56</v>
      </c>
      <c r="G867" s="1" t="s">
        <v>57</v>
      </c>
      <c r="H867" s="1" t="s">
        <v>22</v>
      </c>
      <c r="I867" s="1" t="s">
        <v>23</v>
      </c>
      <c r="J867" s="1">
        <v>0</v>
      </c>
      <c r="K867" s="1">
        <v>9427.4529524635982</v>
      </c>
      <c r="L867" s="1">
        <v>50.713895374744951</v>
      </c>
      <c r="M867" s="1">
        <v>50.763208205573221</v>
      </c>
      <c r="N867" s="1">
        <v>50.763208205573221</v>
      </c>
      <c r="O867" s="11"/>
      <c r="P867" s="11"/>
      <c r="Q867" s="11"/>
      <c r="R867" s="11"/>
    </row>
    <row r="868" spans="4:18">
      <c r="D868" s="1" t="s">
        <v>190</v>
      </c>
      <c r="E868" s="1" t="s">
        <v>58</v>
      </c>
      <c r="H868" s="1" t="s">
        <v>25</v>
      </c>
      <c r="I868" s="1" t="s">
        <v>23</v>
      </c>
      <c r="M868" s="1" t="b">
        <v>0</v>
      </c>
      <c r="N868" s="1">
        <v>0</v>
      </c>
      <c r="O868" s="11"/>
      <c r="P868" s="11"/>
      <c r="Q868" s="11"/>
      <c r="R868" s="11"/>
    </row>
    <row r="869" spans="4:18">
      <c r="D869" s="1" t="s">
        <v>190</v>
      </c>
      <c r="E869" s="1" t="s">
        <v>59</v>
      </c>
      <c r="F869" s="1" t="s">
        <v>60</v>
      </c>
      <c r="G869" s="1" t="s">
        <v>61</v>
      </c>
      <c r="H869" s="1" t="s">
        <v>22</v>
      </c>
      <c r="I869" s="1" t="s">
        <v>23</v>
      </c>
      <c r="J869" s="1">
        <v>-9.5538358650799999</v>
      </c>
      <c r="K869" s="1">
        <v>9.5538358650799999</v>
      </c>
      <c r="L869" s="1">
        <v>0.23884589662700001</v>
      </c>
      <c r="M869" s="1">
        <v>0.23884589662700001</v>
      </c>
      <c r="N869" s="1">
        <v>0.23884589662700001</v>
      </c>
      <c r="O869" s="11"/>
      <c r="P869" s="11"/>
      <c r="Q869" s="11"/>
      <c r="R869" s="11"/>
    </row>
    <row r="870" spans="4:18">
      <c r="D870" s="1" t="s">
        <v>190</v>
      </c>
      <c r="E870" s="1" t="s">
        <v>62</v>
      </c>
      <c r="H870" s="1" t="s">
        <v>63</v>
      </c>
      <c r="I870" s="1" t="s">
        <v>23</v>
      </c>
      <c r="M870" s="1">
        <v>1</v>
      </c>
      <c r="N870" s="1">
        <v>1</v>
      </c>
      <c r="O870" s="11"/>
      <c r="P870" s="11"/>
      <c r="Q870" s="11"/>
      <c r="R870" s="11"/>
    </row>
    <row r="871" spans="4:18">
      <c r="D871" s="1" t="s">
        <v>190</v>
      </c>
      <c r="E871" s="1" t="s">
        <v>64</v>
      </c>
      <c r="F871" s="1" t="s">
        <v>35</v>
      </c>
      <c r="G871" s="1" t="s">
        <v>36</v>
      </c>
      <c r="H871" s="1" t="s">
        <v>22</v>
      </c>
      <c r="I871" s="1" t="s">
        <v>65</v>
      </c>
      <c r="J871" s="1">
        <v>-459.67</v>
      </c>
      <c r="L871" s="1">
        <v>80.329999999999984</v>
      </c>
      <c r="N871" s="1">
        <v>113.55973289693799</v>
      </c>
      <c r="O871" s="11"/>
      <c r="P871" s="11"/>
      <c r="Q871" s="11"/>
      <c r="R871" s="11"/>
    </row>
    <row r="872" spans="4:18">
      <c r="D872" s="1" t="s">
        <v>190</v>
      </c>
      <c r="E872" s="1" t="s">
        <v>66</v>
      </c>
      <c r="F872" s="1" t="s">
        <v>35</v>
      </c>
      <c r="G872" s="1" t="s">
        <v>36</v>
      </c>
      <c r="H872" s="1" t="s">
        <v>22</v>
      </c>
      <c r="I872" s="1" t="s">
        <v>65</v>
      </c>
      <c r="J872" s="1">
        <v>-459.67</v>
      </c>
      <c r="L872" s="1">
        <v>80.329999999999984</v>
      </c>
      <c r="N872" s="1">
        <v>101.73044457512043</v>
      </c>
      <c r="O872" s="11"/>
      <c r="P872" s="11"/>
      <c r="Q872" s="11"/>
      <c r="R872" s="11"/>
    </row>
    <row r="873" spans="4:18">
      <c r="D873" s="1" t="s">
        <v>190</v>
      </c>
      <c r="E873" s="1" t="s">
        <v>67</v>
      </c>
      <c r="F873" s="1" t="s">
        <v>41</v>
      </c>
      <c r="G873" s="1" t="s">
        <v>42</v>
      </c>
      <c r="H873" s="1" t="s">
        <v>22</v>
      </c>
      <c r="I873" s="1" t="s">
        <v>65</v>
      </c>
      <c r="L873" s="1">
        <v>1.8</v>
      </c>
      <c r="N873" s="1">
        <v>11.829288321817478</v>
      </c>
      <c r="O873" s="11"/>
      <c r="P873" s="11"/>
      <c r="Q873" s="11"/>
      <c r="R873" s="11"/>
    </row>
    <row r="874" spans="4:18">
      <c r="D874" s="1" t="s">
        <v>190</v>
      </c>
      <c r="E874" s="1" t="s">
        <v>68</v>
      </c>
      <c r="F874" s="1" t="s">
        <v>45</v>
      </c>
      <c r="G874" s="1" t="s">
        <v>46</v>
      </c>
      <c r="H874" s="1" t="s">
        <v>22</v>
      </c>
      <c r="I874" s="1" t="s">
        <v>65</v>
      </c>
      <c r="L874" s="1">
        <v>4.2992261378713571E-4</v>
      </c>
      <c r="N874" s="1">
        <v>119.53026101639318</v>
      </c>
      <c r="O874" s="11"/>
      <c r="P874" s="11"/>
      <c r="Q874" s="11"/>
      <c r="R874" s="11"/>
    </row>
    <row r="875" spans="4:18">
      <c r="D875" s="1" t="s">
        <v>190</v>
      </c>
      <c r="E875" s="1" t="s">
        <v>69</v>
      </c>
      <c r="H875" s="1" t="s">
        <v>25</v>
      </c>
      <c r="I875" s="1" t="s">
        <v>70</v>
      </c>
      <c r="N875" s="1">
        <v>0</v>
      </c>
      <c r="O875" s="11"/>
      <c r="P875" s="11"/>
      <c r="Q875" s="11"/>
      <c r="R875" s="11"/>
    </row>
    <row r="876" spans="4:18">
      <c r="D876" s="1" t="s">
        <v>190</v>
      </c>
      <c r="E876" s="1" t="s">
        <v>71</v>
      </c>
      <c r="F876" s="1" t="s">
        <v>52</v>
      </c>
      <c r="G876" s="1" t="s">
        <v>53</v>
      </c>
      <c r="H876" s="1" t="s">
        <v>22</v>
      </c>
      <c r="I876" s="1" t="s">
        <v>65</v>
      </c>
      <c r="L876" s="1">
        <v>7936.6414386555998</v>
      </c>
      <c r="N876" s="1">
        <v>183317.80538679316</v>
      </c>
      <c r="O876" s="11"/>
      <c r="P876" s="11"/>
      <c r="Q876" s="11"/>
      <c r="R876" s="11"/>
    </row>
    <row r="877" spans="4:18">
      <c r="D877" s="1" t="s">
        <v>190</v>
      </c>
      <c r="E877" s="1" t="s">
        <v>72</v>
      </c>
      <c r="F877" s="1" t="s">
        <v>56</v>
      </c>
      <c r="G877" s="1" t="s">
        <v>57</v>
      </c>
      <c r="H877" s="1" t="s">
        <v>22</v>
      </c>
      <c r="I877" s="1" t="s">
        <v>65</v>
      </c>
      <c r="J877" s="1">
        <v>0</v>
      </c>
      <c r="L877" s="1">
        <v>14.503773773020921</v>
      </c>
      <c r="N877" s="1">
        <v>142.5216587360417</v>
      </c>
      <c r="O877" s="11"/>
      <c r="P877" s="11"/>
      <c r="Q877" s="11"/>
      <c r="R877" s="11"/>
    </row>
    <row r="878" spans="4:18">
      <c r="D878" s="1" t="s">
        <v>190</v>
      </c>
      <c r="E878" s="1" t="s">
        <v>73</v>
      </c>
      <c r="F878" s="1" t="s">
        <v>60</v>
      </c>
      <c r="G878" s="1" t="s">
        <v>61</v>
      </c>
      <c r="H878" s="1" t="s">
        <v>22</v>
      </c>
      <c r="I878" s="1" t="s">
        <v>65</v>
      </c>
      <c r="L878" s="1">
        <v>2.38845896627E-4</v>
      </c>
      <c r="N878" s="1">
        <v>0.22428254685905349</v>
      </c>
      <c r="O878" s="11"/>
      <c r="P878" s="11"/>
      <c r="Q878" s="11"/>
      <c r="R878" s="11"/>
    </row>
    <row r="879" spans="4:18">
      <c r="D879" s="1" t="s">
        <v>190</v>
      </c>
      <c r="E879" s="1" t="s">
        <v>74</v>
      </c>
      <c r="F879" s="1" t="s">
        <v>75</v>
      </c>
      <c r="G879" s="1" t="s">
        <v>76</v>
      </c>
      <c r="H879" s="1" t="s">
        <v>22</v>
      </c>
      <c r="I879" s="1" t="s">
        <v>65</v>
      </c>
      <c r="J879" s="1">
        <v>0</v>
      </c>
      <c r="L879" s="1">
        <v>16.018463521800001</v>
      </c>
      <c r="N879" s="1">
        <v>0.34662895503072599</v>
      </c>
      <c r="O879" s="11"/>
      <c r="P879" s="11"/>
      <c r="Q879" s="11"/>
      <c r="R879" s="11"/>
    </row>
    <row r="880" spans="4:18">
      <c r="D880" s="1" t="s">
        <v>190</v>
      </c>
      <c r="E880" s="1" t="s">
        <v>77</v>
      </c>
      <c r="H880" s="1" t="s">
        <v>22</v>
      </c>
      <c r="I880" s="1" t="s">
        <v>65</v>
      </c>
      <c r="L880" s="1">
        <v>1</v>
      </c>
      <c r="N880" s="1">
        <v>1.0443848500673389</v>
      </c>
      <c r="O880" s="11"/>
      <c r="P880" s="11"/>
      <c r="Q880" s="11"/>
      <c r="R880" s="11"/>
    </row>
    <row r="881" spans="4:18">
      <c r="D881" s="1" t="s">
        <v>190</v>
      </c>
      <c r="E881" s="1" t="s">
        <v>78</v>
      </c>
      <c r="H881" s="1" t="s">
        <v>25</v>
      </c>
      <c r="I881" s="1" t="s">
        <v>23</v>
      </c>
      <c r="M881" s="1" t="b">
        <v>0</v>
      </c>
      <c r="N881" s="1">
        <v>0</v>
      </c>
      <c r="O881" s="11"/>
      <c r="P881" s="11"/>
      <c r="Q881" s="11"/>
      <c r="R881" s="11"/>
    </row>
    <row r="882" spans="4:18">
      <c r="D882" s="1" t="s">
        <v>190</v>
      </c>
      <c r="E882" s="1" t="s">
        <v>79</v>
      </c>
      <c r="F882" s="1" t="s">
        <v>75</v>
      </c>
      <c r="G882" s="1" t="s">
        <v>76</v>
      </c>
      <c r="H882" s="1" t="s">
        <v>22</v>
      </c>
      <c r="I882" s="1" t="s">
        <v>23</v>
      </c>
      <c r="J882" s="1">
        <v>0</v>
      </c>
      <c r="K882" s="1">
        <v>96.110781130800007</v>
      </c>
      <c r="L882" s="1">
        <v>16.018463521800001</v>
      </c>
      <c r="M882" s="1">
        <v>1.6018463521800002</v>
      </c>
      <c r="N882" s="1">
        <v>1.6018463521800002</v>
      </c>
      <c r="O882" s="11"/>
      <c r="P882" s="11"/>
      <c r="Q882" s="11"/>
      <c r="R882" s="11"/>
    </row>
    <row r="883" spans="4:18">
      <c r="D883" s="1" t="s">
        <v>190</v>
      </c>
      <c r="E883" s="1" t="s">
        <v>80</v>
      </c>
      <c r="H883" s="1" t="s">
        <v>25</v>
      </c>
      <c r="I883" s="1" t="s">
        <v>23</v>
      </c>
      <c r="M883" s="1" t="b">
        <v>0</v>
      </c>
      <c r="N883" s="1">
        <v>0</v>
      </c>
      <c r="O883" s="11"/>
      <c r="P883" s="11"/>
      <c r="Q883" s="11"/>
      <c r="R883" s="11"/>
    </row>
    <row r="884" spans="4:18">
      <c r="D884" s="1" t="s">
        <v>190</v>
      </c>
      <c r="E884" s="1" t="s">
        <v>81</v>
      </c>
      <c r="H884" s="1" t="s">
        <v>25</v>
      </c>
      <c r="I884" s="1" t="s">
        <v>23</v>
      </c>
      <c r="M884" s="1" t="b">
        <v>0</v>
      </c>
      <c r="N884" s="1">
        <v>0</v>
      </c>
      <c r="O884" s="11"/>
      <c r="P884" s="11"/>
      <c r="Q884" s="11"/>
      <c r="R884" s="11"/>
    </row>
    <row r="885" spans="4:18">
      <c r="D885" s="1" t="s">
        <v>190</v>
      </c>
      <c r="E885" s="1" t="s">
        <v>82</v>
      </c>
      <c r="H885" s="1" t="s">
        <v>22</v>
      </c>
      <c r="I885" s="1" t="s">
        <v>23</v>
      </c>
      <c r="J885" s="1">
        <v>-1</v>
      </c>
      <c r="K885" s="1">
        <v>3</v>
      </c>
      <c r="L885" s="1">
        <v>1</v>
      </c>
      <c r="M885" s="1">
        <v>1.01</v>
      </c>
      <c r="N885" s="1">
        <v>1.01</v>
      </c>
      <c r="O885" s="11"/>
      <c r="P885" s="11"/>
      <c r="Q885" s="11"/>
      <c r="R885" s="11"/>
    </row>
    <row r="886" spans="4:18">
      <c r="D886" s="1" t="s">
        <v>191</v>
      </c>
      <c r="E886" s="1" t="s">
        <v>28</v>
      </c>
      <c r="H886" s="1" t="s">
        <v>22</v>
      </c>
      <c r="I886" s="1" t="s">
        <v>29</v>
      </c>
      <c r="J886" s="1">
        <v>34000</v>
      </c>
      <c r="K886" s="1">
        <v>4300000</v>
      </c>
      <c r="L886" s="1">
        <v>349660</v>
      </c>
      <c r="N886" s="1">
        <v>350000</v>
      </c>
      <c r="O886" s="11"/>
      <c r="P886" s="11"/>
      <c r="Q886" s="11"/>
      <c r="R886" s="11"/>
    </row>
    <row r="887" spans="4:18">
      <c r="D887" s="1" t="s">
        <v>191</v>
      </c>
      <c r="E887" s="1" t="s">
        <v>30</v>
      </c>
      <c r="H887" s="1" t="s">
        <v>22</v>
      </c>
      <c r="I887" s="1" t="s">
        <v>29</v>
      </c>
      <c r="J887" s="1">
        <v>-3.94</v>
      </c>
      <c r="K887" s="1">
        <v>3.66</v>
      </c>
      <c r="L887" s="1">
        <v>1</v>
      </c>
      <c r="N887" s="1">
        <v>1.01</v>
      </c>
      <c r="O887" s="11"/>
      <c r="P887" s="11"/>
      <c r="Q887" s="11"/>
      <c r="R887" s="11"/>
    </row>
    <row r="888" spans="4:18">
      <c r="D888" s="1" t="s">
        <v>191</v>
      </c>
      <c r="E888" s="1" t="s">
        <v>31</v>
      </c>
      <c r="H888" s="1" t="s">
        <v>22</v>
      </c>
      <c r="I888" s="1" t="s">
        <v>29</v>
      </c>
      <c r="J888" s="1">
        <v>0</v>
      </c>
      <c r="K888" s="1">
        <v>100</v>
      </c>
      <c r="L888" s="1">
        <v>1</v>
      </c>
      <c r="N888" s="1">
        <v>0</v>
      </c>
      <c r="O888" s="11"/>
      <c r="P888" s="11"/>
      <c r="Q888" s="11"/>
      <c r="R888" s="11"/>
    </row>
    <row r="889" spans="4:18">
      <c r="D889" s="1" t="s">
        <v>191</v>
      </c>
      <c r="E889" s="1" t="s">
        <v>32</v>
      </c>
      <c r="H889" s="1" t="s">
        <v>22</v>
      </c>
      <c r="I889" s="1" t="s">
        <v>29</v>
      </c>
      <c r="J889" s="1">
        <v>-3.94</v>
      </c>
      <c r="K889" s="1">
        <v>3.66</v>
      </c>
      <c r="L889" s="1">
        <v>1</v>
      </c>
      <c r="N889" s="1">
        <v>1.01</v>
      </c>
      <c r="O889" s="11"/>
      <c r="P889" s="11"/>
      <c r="Q889" s="11"/>
      <c r="R889" s="11"/>
    </row>
    <row r="890" spans="4:18">
      <c r="D890" s="1" t="s">
        <v>191</v>
      </c>
      <c r="E890" s="1" t="s">
        <v>33</v>
      </c>
      <c r="H890" s="1" t="s">
        <v>25</v>
      </c>
      <c r="I890" s="1" t="s">
        <v>23</v>
      </c>
      <c r="M890" s="1" t="b">
        <v>0</v>
      </c>
      <c r="N890" s="1">
        <v>0</v>
      </c>
      <c r="O890" s="11"/>
      <c r="P890" s="11"/>
      <c r="Q890" s="11"/>
      <c r="R890" s="11"/>
    </row>
    <row r="891" spans="4:18">
      <c r="D891" s="1" t="s">
        <v>191</v>
      </c>
      <c r="E891" s="1" t="s">
        <v>34</v>
      </c>
      <c r="F891" s="1" t="s">
        <v>35</v>
      </c>
      <c r="G891" s="1" t="s">
        <v>36</v>
      </c>
      <c r="H891" s="1" t="s">
        <v>22</v>
      </c>
      <c r="I891" s="1" t="s">
        <v>23</v>
      </c>
      <c r="J891" s="1">
        <v>-459.67</v>
      </c>
      <c r="K891" s="1">
        <v>980.32999999999993</v>
      </c>
      <c r="L891" s="1">
        <v>80.329999999999984</v>
      </c>
      <c r="M891" s="1">
        <v>67.999999999999943</v>
      </c>
      <c r="N891" s="1">
        <v>67.999999999999943</v>
      </c>
      <c r="O891" s="11"/>
      <c r="P891" s="11"/>
      <c r="Q891" s="11"/>
      <c r="R891" s="11"/>
    </row>
    <row r="892" spans="4:18">
      <c r="D892" s="1" t="s">
        <v>191</v>
      </c>
      <c r="E892" s="1" t="s">
        <v>37</v>
      </c>
      <c r="H892" s="1" t="s">
        <v>25</v>
      </c>
      <c r="I892" s="1" t="s">
        <v>23</v>
      </c>
      <c r="M892" s="1" t="b">
        <v>0</v>
      </c>
      <c r="N892" s="1">
        <v>0</v>
      </c>
      <c r="O892" s="11"/>
      <c r="P892" s="11"/>
      <c r="Q892" s="11"/>
      <c r="R892" s="11"/>
    </row>
    <row r="893" spans="4:18">
      <c r="D893" s="1" t="s">
        <v>191</v>
      </c>
      <c r="E893" s="1" t="s">
        <v>38</v>
      </c>
      <c r="F893" s="1" t="s">
        <v>35</v>
      </c>
      <c r="G893" s="1" t="s">
        <v>36</v>
      </c>
      <c r="H893" s="1" t="s">
        <v>22</v>
      </c>
      <c r="I893" s="1" t="s">
        <v>23</v>
      </c>
      <c r="J893" s="1">
        <v>-99.670000000000016</v>
      </c>
      <c r="K893" s="1">
        <v>980.32999999999993</v>
      </c>
      <c r="L893" s="1">
        <v>80.329999999999984</v>
      </c>
      <c r="M893" s="1">
        <v>13.999999999999943</v>
      </c>
      <c r="N893" s="1">
        <v>13.999999999999943</v>
      </c>
      <c r="O893" s="11"/>
      <c r="P893" s="11"/>
      <c r="Q893" s="11"/>
      <c r="R893" s="11"/>
    </row>
    <row r="894" spans="4:18">
      <c r="D894" s="1" t="s">
        <v>191</v>
      </c>
      <c r="E894" s="1" t="s">
        <v>39</v>
      </c>
      <c r="H894" s="1" t="s">
        <v>25</v>
      </c>
      <c r="I894" s="1" t="s">
        <v>23</v>
      </c>
      <c r="M894" s="1" t="b">
        <v>0</v>
      </c>
      <c r="N894" s="1">
        <v>0</v>
      </c>
      <c r="O894" s="11"/>
      <c r="P894" s="11"/>
      <c r="Q894" s="11"/>
      <c r="R894" s="11"/>
    </row>
    <row r="895" spans="4:18">
      <c r="D895" s="1" t="s">
        <v>191</v>
      </c>
      <c r="E895" s="1" t="s">
        <v>40</v>
      </c>
      <c r="F895" s="1" t="s">
        <v>41</v>
      </c>
      <c r="G895" s="1" t="s">
        <v>42</v>
      </c>
      <c r="H895" s="1" t="s">
        <v>22</v>
      </c>
      <c r="I895" s="1" t="s">
        <v>23</v>
      </c>
      <c r="J895" s="1">
        <v>-900</v>
      </c>
      <c r="K895" s="1">
        <v>900</v>
      </c>
      <c r="L895" s="1">
        <v>1.8</v>
      </c>
      <c r="M895" s="1">
        <v>9</v>
      </c>
      <c r="N895" s="1">
        <v>9</v>
      </c>
      <c r="O895" s="11"/>
      <c r="P895" s="11"/>
      <c r="Q895" s="11"/>
      <c r="R895" s="11"/>
    </row>
    <row r="896" spans="4:18">
      <c r="D896" s="1" t="s">
        <v>191</v>
      </c>
      <c r="E896" s="1" t="s">
        <v>43</v>
      </c>
      <c r="H896" s="1" t="s">
        <v>25</v>
      </c>
      <c r="I896" s="1" t="s">
        <v>23</v>
      </c>
      <c r="M896" s="1" t="b">
        <v>0</v>
      </c>
      <c r="N896" s="1">
        <v>0</v>
      </c>
      <c r="O896" s="11"/>
      <c r="P896" s="11"/>
      <c r="Q896" s="11"/>
      <c r="R896" s="11"/>
    </row>
    <row r="897" spans="4:18">
      <c r="D897" s="1" t="s">
        <v>191</v>
      </c>
      <c r="E897" s="1" t="s">
        <v>44</v>
      </c>
      <c r="F897" s="1" t="s">
        <v>45</v>
      </c>
      <c r="G897" s="1" t="s">
        <v>46</v>
      </c>
      <c r="H897" s="1" t="s">
        <v>22</v>
      </c>
      <c r="I897" s="1" t="s">
        <v>23</v>
      </c>
      <c r="J897" s="1">
        <v>-85.984522757427143</v>
      </c>
      <c r="K897" s="1">
        <v>8598.4522757427148</v>
      </c>
      <c r="L897" s="1">
        <v>114.79148749423418</v>
      </c>
      <c r="M897" s="1">
        <v>128.97678413614071</v>
      </c>
      <c r="N897" s="1">
        <v>128.97678413614071</v>
      </c>
      <c r="O897" s="11"/>
      <c r="P897" s="11"/>
      <c r="Q897" s="11"/>
      <c r="R897" s="11"/>
    </row>
    <row r="898" spans="4:18">
      <c r="D898" s="1" t="s">
        <v>191</v>
      </c>
      <c r="E898" s="1" t="s">
        <v>47</v>
      </c>
      <c r="H898" s="1" t="s">
        <v>25</v>
      </c>
      <c r="I898" s="1" t="s">
        <v>23</v>
      </c>
      <c r="M898" s="1" t="b">
        <v>0</v>
      </c>
      <c r="N898" s="1">
        <v>0</v>
      </c>
      <c r="O898" s="11"/>
      <c r="P898" s="11"/>
      <c r="Q898" s="11"/>
      <c r="R898" s="11"/>
    </row>
    <row r="899" spans="4:18">
      <c r="D899" s="1" t="s">
        <v>191</v>
      </c>
      <c r="E899" s="1" t="s">
        <v>48</v>
      </c>
      <c r="H899" s="1" t="s">
        <v>25</v>
      </c>
      <c r="I899" s="1" t="s">
        <v>23</v>
      </c>
      <c r="M899" s="1" t="b">
        <v>0</v>
      </c>
      <c r="N899" s="1">
        <v>0</v>
      </c>
      <c r="O899" s="11"/>
      <c r="P899" s="11"/>
      <c r="Q899" s="11"/>
      <c r="R899" s="11"/>
    </row>
    <row r="900" spans="4:18">
      <c r="D900" s="1" t="s">
        <v>191</v>
      </c>
      <c r="E900" s="1" t="s">
        <v>49</v>
      </c>
      <c r="H900" s="1" t="s">
        <v>25</v>
      </c>
      <c r="I900" s="1" t="s">
        <v>23</v>
      </c>
      <c r="M900" s="1" t="b">
        <v>0</v>
      </c>
      <c r="N900" s="1">
        <v>0</v>
      </c>
      <c r="O900" s="11"/>
      <c r="P900" s="11"/>
      <c r="Q900" s="11"/>
      <c r="R900" s="11"/>
    </row>
    <row r="901" spans="4:18">
      <c r="D901" s="1" t="s">
        <v>191</v>
      </c>
      <c r="E901" s="1" t="s">
        <v>50</v>
      </c>
      <c r="H901" s="1" t="s">
        <v>25</v>
      </c>
      <c r="I901" s="1" t="s">
        <v>23</v>
      </c>
      <c r="M901" s="1" t="b">
        <v>0</v>
      </c>
      <c r="N901" s="1">
        <v>0</v>
      </c>
      <c r="O901" s="11"/>
      <c r="P901" s="11"/>
      <c r="Q901" s="11"/>
      <c r="R901" s="11"/>
    </row>
    <row r="902" spans="4:18">
      <c r="D902" s="1" t="s">
        <v>191</v>
      </c>
      <c r="E902" s="1" t="s">
        <v>51</v>
      </c>
      <c r="F902" s="1" t="s">
        <v>52</v>
      </c>
      <c r="G902" s="1" t="s">
        <v>53</v>
      </c>
      <c r="H902" s="1" t="s">
        <v>22</v>
      </c>
      <c r="I902" s="1" t="s">
        <v>23</v>
      </c>
      <c r="J902" s="1">
        <v>0</v>
      </c>
      <c r="K902" s="1">
        <v>7936641438.6555996</v>
      </c>
      <c r="L902" s="1">
        <v>7936.6414386555998</v>
      </c>
      <c r="M902" s="1">
        <v>7936.6414386555998</v>
      </c>
      <c r="N902" s="1">
        <v>7936.6414386555998</v>
      </c>
      <c r="O902" s="11"/>
      <c r="P902" s="11"/>
      <c r="Q902" s="11"/>
      <c r="R902" s="11"/>
    </row>
    <row r="903" spans="4:18">
      <c r="D903" s="1" t="s">
        <v>191</v>
      </c>
      <c r="E903" s="1" t="s">
        <v>54</v>
      </c>
      <c r="H903" s="1" t="s">
        <v>25</v>
      </c>
      <c r="I903" s="1" t="s">
        <v>23</v>
      </c>
      <c r="M903" s="1" t="b">
        <v>0</v>
      </c>
      <c r="N903" s="1">
        <v>0</v>
      </c>
      <c r="O903" s="11"/>
      <c r="P903" s="11"/>
      <c r="Q903" s="11"/>
      <c r="R903" s="11"/>
    </row>
    <row r="904" spans="4:18">
      <c r="D904" s="1" t="s">
        <v>191</v>
      </c>
      <c r="E904" s="1" t="s">
        <v>55</v>
      </c>
      <c r="F904" s="1" t="s">
        <v>56</v>
      </c>
      <c r="G904" s="1" t="s">
        <v>57</v>
      </c>
      <c r="H904" s="1" t="s">
        <v>22</v>
      </c>
      <c r="I904" s="1" t="s">
        <v>23</v>
      </c>
      <c r="J904" s="1">
        <v>0</v>
      </c>
      <c r="K904" s="1">
        <v>9427.4529524635982</v>
      </c>
      <c r="L904" s="1">
        <v>50.713895374744951</v>
      </c>
      <c r="M904" s="1">
        <v>50.763208205573221</v>
      </c>
      <c r="N904" s="1">
        <v>50.763208205573221</v>
      </c>
      <c r="O904" s="11"/>
      <c r="P904" s="11"/>
      <c r="Q904" s="11"/>
      <c r="R904" s="11"/>
    </row>
    <row r="905" spans="4:18">
      <c r="D905" s="1" t="s">
        <v>191</v>
      </c>
      <c r="E905" s="1" t="s">
        <v>58</v>
      </c>
      <c r="H905" s="1" t="s">
        <v>25</v>
      </c>
      <c r="I905" s="1" t="s">
        <v>23</v>
      </c>
      <c r="M905" s="1" t="b">
        <v>0</v>
      </c>
      <c r="N905" s="1">
        <v>0</v>
      </c>
      <c r="O905" s="11"/>
      <c r="P905" s="11"/>
      <c r="Q905" s="11"/>
      <c r="R905" s="11"/>
    </row>
    <row r="906" spans="4:18">
      <c r="D906" s="1" t="s">
        <v>191</v>
      </c>
      <c r="E906" s="1" t="s">
        <v>59</v>
      </c>
      <c r="F906" s="1" t="s">
        <v>60</v>
      </c>
      <c r="G906" s="1" t="s">
        <v>61</v>
      </c>
      <c r="H906" s="1" t="s">
        <v>22</v>
      </c>
      <c r="I906" s="1" t="s">
        <v>23</v>
      </c>
      <c r="J906" s="1">
        <v>-9.5538358650799999</v>
      </c>
      <c r="K906" s="1">
        <v>9.5538358650799999</v>
      </c>
      <c r="L906" s="1">
        <v>0.23884589662700001</v>
      </c>
      <c r="M906" s="1">
        <v>0.23884589662700001</v>
      </c>
      <c r="N906" s="1">
        <v>0.23884589662700001</v>
      </c>
      <c r="O906" s="11"/>
      <c r="P906" s="11"/>
      <c r="Q906" s="11"/>
      <c r="R906" s="11"/>
    </row>
    <row r="907" spans="4:18">
      <c r="D907" s="1" t="s">
        <v>191</v>
      </c>
      <c r="E907" s="1" t="s">
        <v>62</v>
      </c>
      <c r="H907" s="1" t="s">
        <v>63</v>
      </c>
      <c r="I907" s="1" t="s">
        <v>23</v>
      </c>
      <c r="M907" s="1">
        <v>1</v>
      </c>
      <c r="N907" s="1">
        <v>1</v>
      </c>
      <c r="O907" s="11"/>
      <c r="P907" s="11"/>
      <c r="Q907" s="11"/>
      <c r="R907" s="11"/>
    </row>
    <row r="908" spans="4:18">
      <c r="D908" s="1" t="s">
        <v>191</v>
      </c>
      <c r="E908" s="1" t="s">
        <v>64</v>
      </c>
      <c r="F908" s="1" t="s">
        <v>35</v>
      </c>
      <c r="G908" s="1" t="s">
        <v>36</v>
      </c>
      <c r="H908" s="1" t="s">
        <v>22</v>
      </c>
      <c r="I908" s="1" t="s">
        <v>65</v>
      </c>
      <c r="J908" s="1">
        <v>-459.67</v>
      </c>
      <c r="L908" s="1">
        <v>80.329999999999984</v>
      </c>
      <c r="N908" s="1">
        <v>112.8790364447986</v>
      </c>
      <c r="O908" s="11"/>
      <c r="P908" s="11"/>
      <c r="Q908" s="11"/>
      <c r="R908" s="11"/>
    </row>
    <row r="909" spans="4:18">
      <c r="D909" s="1" t="s">
        <v>191</v>
      </c>
      <c r="E909" s="1" t="s">
        <v>66</v>
      </c>
      <c r="F909" s="1" t="s">
        <v>35</v>
      </c>
      <c r="G909" s="1" t="s">
        <v>36</v>
      </c>
      <c r="H909" s="1" t="s">
        <v>22</v>
      </c>
      <c r="I909" s="1" t="s">
        <v>65</v>
      </c>
      <c r="J909" s="1">
        <v>-459.67</v>
      </c>
      <c r="L909" s="1">
        <v>80.329999999999984</v>
      </c>
      <c r="N909" s="1">
        <v>100.48067887728843</v>
      </c>
      <c r="O909" s="11"/>
      <c r="P909" s="11"/>
      <c r="Q909" s="11"/>
      <c r="R909" s="11"/>
    </row>
    <row r="910" spans="4:18">
      <c r="D910" s="1" t="s">
        <v>191</v>
      </c>
      <c r="E910" s="1" t="s">
        <v>67</v>
      </c>
      <c r="F910" s="1" t="s">
        <v>41</v>
      </c>
      <c r="G910" s="1" t="s">
        <v>42</v>
      </c>
      <c r="H910" s="1" t="s">
        <v>22</v>
      </c>
      <c r="I910" s="1" t="s">
        <v>65</v>
      </c>
      <c r="L910" s="1">
        <v>1.8</v>
      </c>
      <c r="N910" s="1">
        <v>12.398357567510232</v>
      </c>
      <c r="O910" s="11"/>
      <c r="P910" s="11"/>
      <c r="Q910" s="11"/>
      <c r="R910" s="11"/>
    </row>
    <row r="911" spans="4:18">
      <c r="D911" s="1" t="s">
        <v>191</v>
      </c>
      <c r="E911" s="1" t="s">
        <v>68</v>
      </c>
      <c r="F911" s="1" t="s">
        <v>45</v>
      </c>
      <c r="G911" s="1" t="s">
        <v>46</v>
      </c>
      <c r="H911" s="1" t="s">
        <v>22</v>
      </c>
      <c r="I911" s="1" t="s">
        <v>65</v>
      </c>
      <c r="L911" s="1">
        <v>4.2992261378713571E-4</v>
      </c>
      <c r="N911" s="1">
        <v>119.53026101639318</v>
      </c>
      <c r="O911" s="11"/>
      <c r="P911" s="11"/>
      <c r="Q911" s="11"/>
      <c r="R911" s="11"/>
    </row>
    <row r="912" spans="4:18">
      <c r="D912" s="1" t="s">
        <v>191</v>
      </c>
      <c r="E912" s="1" t="s">
        <v>69</v>
      </c>
      <c r="H912" s="1" t="s">
        <v>25</v>
      </c>
      <c r="I912" s="1" t="s">
        <v>70</v>
      </c>
      <c r="N912" s="1">
        <v>0</v>
      </c>
      <c r="O912" s="11"/>
      <c r="P912" s="11"/>
      <c r="Q912" s="11"/>
      <c r="R912" s="11"/>
    </row>
    <row r="913" spans="1:18">
      <c r="D913" s="1" t="s">
        <v>191</v>
      </c>
      <c r="E913" s="1" t="s">
        <v>71</v>
      </c>
      <c r="F913" s="1" t="s">
        <v>52</v>
      </c>
      <c r="G913" s="1" t="s">
        <v>53</v>
      </c>
      <c r="H913" s="1" t="s">
        <v>22</v>
      </c>
      <c r="I913" s="1" t="s">
        <v>65</v>
      </c>
      <c r="L913" s="1">
        <v>7936.6414386555998</v>
      </c>
      <c r="N913" s="1">
        <v>183317.80538679316</v>
      </c>
      <c r="O913" s="11"/>
      <c r="P913" s="11"/>
      <c r="Q913" s="11"/>
      <c r="R913" s="11"/>
    </row>
    <row r="914" spans="1:18">
      <c r="D914" s="1" t="s">
        <v>191</v>
      </c>
      <c r="E914" s="1" t="s">
        <v>72</v>
      </c>
      <c r="F914" s="1" t="s">
        <v>56</v>
      </c>
      <c r="G914" s="1" t="s">
        <v>57</v>
      </c>
      <c r="H914" s="1" t="s">
        <v>22</v>
      </c>
      <c r="I914" s="1" t="s">
        <v>65</v>
      </c>
      <c r="J914" s="1">
        <v>0</v>
      </c>
      <c r="L914" s="1">
        <v>14.503773773020921</v>
      </c>
      <c r="N914" s="1">
        <v>139.86433035700753</v>
      </c>
      <c r="O914" s="11"/>
      <c r="P914" s="11"/>
      <c r="Q914" s="11"/>
      <c r="R914" s="11"/>
    </row>
    <row r="915" spans="1:18">
      <c r="D915" s="1" t="s">
        <v>191</v>
      </c>
      <c r="E915" s="1" t="s">
        <v>73</v>
      </c>
      <c r="F915" s="1" t="s">
        <v>60</v>
      </c>
      <c r="G915" s="1" t="s">
        <v>61</v>
      </c>
      <c r="H915" s="1" t="s">
        <v>22</v>
      </c>
      <c r="I915" s="1" t="s">
        <v>65</v>
      </c>
      <c r="L915" s="1">
        <v>2.38845896627E-4</v>
      </c>
      <c r="N915" s="1">
        <v>0.22458282584900086</v>
      </c>
      <c r="O915" s="11"/>
      <c r="P915" s="11"/>
      <c r="Q915" s="11"/>
      <c r="R915" s="11"/>
    </row>
    <row r="916" spans="1:18">
      <c r="D916" s="1" t="s">
        <v>191</v>
      </c>
      <c r="E916" s="1" t="s">
        <v>74</v>
      </c>
      <c r="F916" s="1" t="s">
        <v>75</v>
      </c>
      <c r="G916" s="1" t="s">
        <v>76</v>
      </c>
      <c r="H916" s="1" t="s">
        <v>22</v>
      </c>
      <c r="I916" s="1" t="s">
        <v>65</v>
      </c>
      <c r="J916" s="1">
        <v>0</v>
      </c>
      <c r="L916" s="1">
        <v>16.018463521800001</v>
      </c>
      <c r="N916" s="1">
        <v>0.35413578215162816</v>
      </c>
      <c r="O916" s="11"/>
      <c r="P916" s="11"/>
      <c r="Q916" s="11"/>
      <c r="R916" s="11"/>
    </row>
    <row r="917" spans="1:18">
      <c r="D917" s="1" t="s">
        <v>191</v>
      </c>
      <c r="E917" s="1" t="s">
        <v>77</v>
      </c>
      <c r="H917" s="1" t="s">
        <v>22</v>
      </c>
      <c r="I917" s="1" t="s">
        <v>65</v>
      </c>
      <c r="L917" s="1">
        <v>1</v>
      </c>
      <c r="N917" s="1">
        <v>1.0460543236154038</v>
      </c>
      <c r="O917" s="11"/>
      <c r="P917" s="11"/>
      <c r="Q917" s="11"/>
      <c r="R917" s="11"/>
    </row>
    <row r="918" spans="1:18">
      <c r="D918" s="1" t="s">
        <v>191</v>
      </c>
      <c r="E918" s="1" t="s">
        <v>78</v>
      </c>
      <c r="H918" s="1" t="s">
        <v>25</v>
      </c>
      <c r="I918" s="1" t="s">
        <v>23</v>
      </c>
      <c r="M918" s="1" t="b">
        <v>0</v>
      </c>
      <c r="N918" s="1">
        <v>0</v>
      </c>
      <c r="O918" s="11"/>
      <c r="P918" s="11"/>
      <c r="Q918" s="11"/>
      <c r="R918" s="11"/>
    </row>
    <row r="919" spans="1:18">
      <c r="D919" s="1" t="s">
        <v>191</v>
      </c>
      <c r="E919" s="1" t="s">
        <v>79</v>
      </c>
      <c r="F919" s="1" t="s">
        <v>75</v>
      </c>
      <c r="G919" s="1" t="s">
        <v>76</v>
      </c>
      <c r="H919" s="1" t="s">
        <v>22</v>
      </c>
      <c r="I919" s="1" t="s">
        <v>23</v>
      </c>
      <c r="J919" s="1">
        <v>0</v>
      </c>
      <c r="K919" s="1">
        <v>96.110781130800007</v>
      </c>
      <c r="L919" s="1">
        <v>16.018463521800001</v>
      </c>
      <c r="M919" s="1">
        <v>1.6018463521800002</v>
      </c>
      <c r="N919" s="1">
        <v>1.6018463521800002</v>
      </c>
      <c r="O919" s="11"/>
      <c r="P919" s="11"/>
      <c r="Q919" s="11"/>
      <c r="R919" s="11"/>
    </row>
    <row r="920" spans="1:18">
      <c r="D920" s="1" t="s">
        <v>191</v>
      </c>
      <c r="E920" s="1" t="s">
        <v>80</v>
      </c>
      <c r="H920" s="1" t="s">
        <v>25</v>
      </c>
      <c r="I920" s="1" t="s">
        <v>23</v>
      </c>
      <c r="M920" s="1" t="b">
        <v>0</v>
      </c>
      <c r="N920" s="1">
        <v>0</v>
      </c>
      <c r="O920" s="11"/>
      <c r="P920" s="11"/>
      <c r="Q920" s="11"/>
      <c r="R920" s="11"/>
    </row>
    <row r="921" spans="1:18">
      <c r="D921" s="1" t="s">
        <v>191</v>
      </c>
      <c r="E921" s="1" t="s">
        <v>81</v>
      </c>
      <c r="H921" s="1" t="s">
        <v>25</v>
      </c>
      <c r="I921" s="1" t="s">
        <v>23</v>
      </c>
      <c r="M921" s="1" t="b">
        <v>0</v>
      </c>
      <c r="N921" s="1">
        <v>0</v>
      </c>
      <c r="O921" s="11"/>
      <c r="P921" s="11"/>
      <c r="Q921" s="11"/>
      <c r="R921" s="11"/>
    </row>
    <row r="922" spans="1:18">
      <c r="D922" s="1" t="s">
        <v>191</v>
      </c>
      <c r="E922" s="1" t="s">
        <v>82</v>
      </c>
      <c r="H922" s="1" t="s">
        <v>22</v>
      </c>
      <c r="I922" s="1" t="s">
        <v>23</v>
      </c>
      <c r="J922" s="1">
        <v>-1</v>
      </c>
      <c r="K922" s="1">
        <v>3</v>
      </c>
      <c r="L922" s="1">
        <v>1</v>
      </c>
      <c r="M922" s="1">
        <v>1.01</v>
      </c>
      <c r="N922" s="1">
        <v>1.01</v>
      </c>
      <c r="O922" s="11"/>
      <c r="P922" s="11"/>
      <c r="Q922" s="11"/>
      <c r="R922" s="11"/>
    </row>
    <row r="923" spans="1:18">
      <c r="D923" s="1" t="s">
        <v>192</v>
      </c>
      <c r="E923" s="1" t="s">
        <v>171</v>
      </c>
      <c r="H923" s="1" t="s">
        <v>22</v>
      </c>
      <c r="I923" s="1" t="s">
        <v>23</v>
      </c>
      <c r="L923" s="1">
        <v>1</v>
      </c>
      <c r="M923" s="1">
        <v>3.0558000000000001</v>
      </c>
      <c r="N923" s="1">
        <v>3.0558000000000001</v>
      </c>
      <c r="O923" s="11"/>
      <c r="P923" s="11"/>
      <c r="Q923" s="11"/>
      <c r="R923" s="11"/>
    </row>
    <row r="924" spans="1:18">
      <c r="D924" s="1" t="s">
        <v>192</v>
      </c>
      <c r="E924" s="1" t="s">
        <v>172</v>
      </c>
      <c r="H924" s="1" t="s">
        <v>22</v>
      </c>
      <c r="I924" s="1" t="s">
        <v>29</v>
      </c>
      <c r="J924" s="1">
        <v>0</v>
      </c>
      <c r="K924" s="1">
        <v>10000</v>
      </c>
      <c r="L924" s="1">
        <v>5000</v>
      </c>
      <c r="N924" s="1">
        <v>6.1849000000000001E-2</v>
      </c>
      <c r="O924" s="11"/>
      <c r="P924" s="11"/>
      <c r="Q924" s="11"/>
      <c r="R924" s="11"/>
    </row>
    <row r="925" spans="1:18">
      <c r="D925" s="1" t="s">
        <v>192</v>
      </c>
      <c r="E925" s="1" t="s">
        <v>173</v>
      </c>
      <c r="H925" s="1" t="s">
        <v>22</v>
      </c>
      <c r="I925" s="1" t="s">
        <v>29</v>
      </c>
      <c r="J925" s="1">
        <v>9.9999999999999995E-7</v>
      </c>
      <c r="K925" s="1">
        <v>0.01</v>
      </c>
      <c r="L925" s="1">
        <v>5.0004999999999997E-3</v>
      </c>
      <c r="N925" s="1">
        <v>3.2400000000000001E-4</v>
      </c>
      <c r="O925" s="11"/>
      <c r="P925" s="11"/>
      <c r="Q925" s="11"/>
      <c r="R925" s="11"/>
    </row>
    <row r="926" spans="1:18">
      <c r="D926" s="1" t="s">
        <v>192</v>
      </c>
      <c r="E926" s="1" t="s">
        <v>174</v>
      </c>
      <c r="H926" s="1" t="s">
        <v>25</v>
      </c>
      <c r="I926" s="1" t="s">
        <v>23</v>
      </c>
      <c r="M926" s="1" t="b">
        <v>1</v>
      </c>
      <c r="N926" s="1">
        <v>1</v>
      </c>
      <c r="O926" s="11"/>
      <c r="P926" s="11"/>
      <c r="Q926" s="11"/>
      <c r="R926" s="11"/>
    </row>
    <row r="927" spans="1:18">
      <c r="A927" s="2" t="s">
        <v>1722</v>
      </c>
      <c r="B927" s="3" t="s">
        <v>1725</v>
      </c>
      <c r="D927" s="1" t="s">
        <v>192</v>
      </c>
      <c r="E927" s="1" t="s">
        <v>175</v>
      </c>
      <c r="F927" s="1" t="s">
        <v>176</v>
      </c>
      <c r="G927" s="1" t="s">
        <v>177</v>
      </c>
      <c r="H927" s="1" t="s">
        <v>22</v>
      </c>
      <c r="I927" s="1" t="s">
        <v>23</v>
      </c>
      <c r="L927" s="1">
        <v>39.370078740157467</v>
      </c>
      <c r="M927" s="1">
        <v>2.4349999999999992</v>
      </c>
      <c r="N927" s="1">
        <v>2.4349999999999992</v>
      </c>
      <c r="O927" s="11"/>
      <c r="P927" s="11"/>
      <c r="Q927" s="11"/>
      <c r="R927" s="11"/>
    </row>
    <row r="928" spans="1:18">
      <c r="D928" s="1" t="s">
        <v>192</v>
      </c>
      <c r="E928" s="1" t="s">
        <v>178</v>
      </c>
      <c r="H928" s="1" t="s">
        <v>25</v>
      </c>
      <c r="I928" s="1" t="s">
        <v>23</v>
      </c>
      <c r="M928" s="1" t="b">
        <v>0</v>
      </c>
      <c r="N928" s="1">
        <v>0</v>
      </c>
      <c r="O928" s="11"/>
      <c r="P928" s="11"/>
      <c r="Q928" s="11"/>
      <c r="R928" s="11"/>
    </row>
    <row r="929" spans="1:18">
      <c r="D929" s="1" t="s">
        <v>192</v>
      </c>
      <c r="E929" s="1" t="s">
        <v>111</v>
      </c>
      <c r="F929" s="1" t="s">
        <v>56</v>
      </c>
      <c r="G929" s="1" t="s">
        <v>57</v>
      </c>
      <c r="H929" s="1" t="s">
        <v>22</v>
      </c>
      <c r="I929" s="1" t="s">
        <v>23</v>
      </c>
      <c r="L929" s="1">
        <v>1.4503773773020921E-4</v>
      </c>
      <c r="M929" s="1">
        <v>7.2518868865104604E-3</v>
      </c>
      <c r="N929" s="1">
        <v>7.2518868865104604E-3</v>
      </c>
      <c r="O929" s="11"/>
      <c r="P929" s="11"/>
      <c r="Q929" s="11"/>
      <c r="R929" s="11"/>
    </row>
    <row r="930" spans="1:18">
      <c r="D930" s="1" t="s">
        <v>192</v>
      </c>
      <c r="E930" s="1" t="s">
        <v>179</v>
      </c>
      <c r="H930" s="1" t="s">
        <v>22</v>
      </c>
      <c r="I930" s="1" t="s">
        <v>23</v>
      </c>
      <c r="L930" s="1">
        <v>1</v>
      </c>
      <c r="M930" s="1">
        <v>10000</v>
      </c>
      <c r="N930" s="1">
        <v>10000</v>
      </c>
      <c r="O930" s="11"/>
      <c r="P930" s="11"/>
      <c r="Q930" s="11"/>
      <c r="R930" s="11"/>
    </row>
    <row r="931" spans="1:18">
      <c r="D931" s="1" t="s">
        <v>192</v>
      </c>
      <c r="E931" s="1" t="s">
        <v>180</v>
      </c>
      <c r="H931" s="1" t="s">
        <v>181</v>
      </c>
      <c r="I931" s="1" t="s">
        <v>23</v>
      </c>
      <c r="J931" s="1">
        <v>1</v>
      </c>
      <c r="K931" s="1">
        <v>3</v>
      </c>
      <c r="M931" s="1" t="s">
        <v>182</v>
      </c>
      <c r="N931" s="1" t="s">
        <v>1816</v>
      </c>
      <c r="O931" s="11"/>
      <c r="P931" s="11"/>
      <c r="Q931" s="11"/>
      <c r="R931" s="11"/>
    </row>
    <row r="932" spans="1:18">
      <c r="D932" s="1" t="s">
        <v>192</v>
      </c>
      <c r="E932" s="1" t="s">
        <v>47</v>
      </c>
      <c r="H932" s="1" t="s">
        <v>25</v>
      </c>
      <c r="I932" s="1" t="s">
        <v>23</v>
      </c>
      <c r="M932" s="1" t="b">
        <v>0</v>
      </c>
      <c r="N932" s="1">
        <v>0</v>
      </c>
      <c r="O932" s="11"/>
      <c r="P932" s="11"/>
      <c r="Q932" s="11"/>
      <c r="R932" s="11"/>
    </row>
    <row r="933" spans="1:18">
      <c r="D933" s="1" t="s">
        <v>192</v>
      </c>
      <c r="E933" s="1" t="s">
        <v>183</v>
      </c>
      <c r="H933" s="1" t="s">
        <v>25</v>
      </c>
      <c r="I933" s="1" t="s">
        <v>23</v>
      </c>
      <c r="M933" s="1" t="b">
        <v>1</v>
      </c>
      <c r="N933" s="1">
        <v>1</v>
      </c>
      <c r="O933" s="11"/>
      <c r="P933" s="11"/>
      <c r="Q933" s="11"/>
      <c r="R933" s="11"/>
    </row>
    <row r="934" spans="1:18">
      <c r="D934" s="1" t="s">
        <v>192</v>
      </c>
      <c r="E934" s="1" t="s">
        <v>189</v>
      </c>
      <c r="H934" s="1" t="s">
        <v>22</v>
      </c>
      <c r="I934" s="1" t="s">
        <v>23</v>
      </c>
      <c r="L934" s="1">
        <v>1</v>
      </c>
      <c r="M934" s="1">
        <v>3.2400000000000001E-4</v>
      </c>
      <c r="N934" s="1">
        <v>3.2400000000000001E-4</v>
      </c>
      <c r="O934" s="11"/>
      <c r="P934" s="11"/>
      <c r="Q934" s="11"/>
      <c r="R934" s="11"/>
    </row>
    <row r="935" spans="1:18">
      <c r="D935" s="1" t="s">
        <v>192</v>
      </c>
      <c r="E935" s="1" t="s">
        <v>112</v>
      </c>
      <c r="F935" s="1" t="s">
        <v>56</v>
      </c>
      <c r="G935" s="1" t="s">
        <v>57</v>
      </c>
      <c r="H935" s="1" t="s">
        <v>22</v>
      </c>
      <c r="I935" s="1" t="s">
        <v>29</v>
      </c>
      <c r="J935" s="1">
        <v>4.9312830828271128</v>
      </c>
      <c r="K935" s="1">
        <v>623.66227223989961</v>
      </c>
      <c r="L935" s="1">
        <v>50.713895374744951</v>
      </c>
      <c r="N935" s="1">
        <v>92.062658125001619</v>
      </c>
      <c r="O935" s="11"/>
      <c r="P935" s="11"/>
      <c r="Q935" s="11"/>
      <c r="R935" s="11"/>
    </row>
    <row r="936" spans="1:18">
      <c r="D936" s="1" t="s">
        <v>192</v>
      </c>
      <c r="E936" s="1" t="s">
        <v>62</v>
      </c>
      <c r="H936" s="1" t="s">
        <v>63</v>
      </c>
      <c r="I936" s="1" t="s">
        <v>23</v>
      </c>
      <c r="M936" s="1">
        <v>1</v>
      </c>
      <c r="N936" s="1">
        <v>1</v>
      </c>
      <c r="O936" s="11"/>
      <c r="P936" s="11"/>
      <c r="Q936" s="11"/>
      <c r="R936" s="11"/>
    </row>
    <row r="937" spans="1:18">
      <c r="D937" s="1" t="s">
        <v>192</v>
      </c>
      <c r="E937" s="1" t="s">
        <v>184</v>
      </c>
      <c r="H937" s="1" t="s">
        <v>22</v>
      </c>
      <c r="I937" s="1" t="s">
        <v>120</v>
      </c>
      <c r="L937" s="1">
        <v>1</v>
      </c>
      <c r="N937" s="1">
        <v>1</v>
      </c>
      <c r="O937" s="11"/>
      <c r="P937" s="11"/>
      <c r="Q937" s="11"/>
      <c r="R937" s="11"/>
    </row>
    <row r="938" spans="1:18">
      <c r="D938" s="1" t="s">
        <v>192</v>
      </c>
      <c r="E938" s="1" t="s">
        <v>185</v>
      </c>
      <c r="F938" s="1" t="s">
        <v>176</v>
      </c>
      <c r="G938" s="1" t="s">
        <v>177</v>
      </c>
      <c r="H938" s="1" t="s">
        <v>22</v>
      </c>
      <c r="I938" s="1" t="s">
        <v>65</v>
      </c>
      <c r="L938" s="1">
        <v>39.370078740157467</v>
      </c>
      <c r="N938" s="1">
        <v>2.4349999999999992</v>
      </c>
      <c r="O938" s="11"/>
      <c r="P938" s="11"/>
      <c r="Q938" s="11"/>
      <c r="R938" s="11"/>
    </row>
    <row r="939" spans="1:18">
      <c r="A939" s="2" t="s">
        <v>1759</v>
      </c>
      <c r="B939" s="3" t="s">
        <v>1786</v>
      </c>
      <c r="D939" s="1" t="s">
        <v>192</v>
      </c>
      <c r="E939" s="1" t="s">
        <v>115</v>
      </c>
      <c r="F939" s="1" t="s">
        <v>56</v>
      </c>
      <c r="G939" s="1" t="s">
        <v>57</v>
      </c>
      <c r="H939" s="1" t="s">
        <v>22</v>
      </c>
      <c r="I939" s="1" t="s">
        <v>65</v>
      </c>
      <c r="L939" s="1">
        <v>1.4503773773020921E-4</v>
      </c>
      <c r="N939" s="1">
        <v>3.0144634103103165</v>
      </c>
      <c r="O939" s="11"/>
      <c r="P939" s="11"/>
      <c r="Q939" s="11"/>
      <c r="R939" s="11"/>
    </row>
    <row r="940" spans="1:18">
      <c r="D940" s="1" t="s">
        <v>192</v>
      </c>
      <c r="E940" s="1" t="s">
        <v>69</v>
      </c>
      <c r="H940" s="1" t="s">
        <v>25</v>
      </c>
      <c r="I940" s="1" t="s">
        <v>70</v>
      </c>
      <c r="N940" s="1">
        <v>0</v>
      </c>
      <c r="O940" s="11"/>
      <c r="P940" s="11"/>
      <c r="Q940" s="11"/>
      <c r="R940" s="11"/>
    </row>
    <row r="941" spans="1:18">
      <c r="D941" s="1" t="s">
        <v>192</v>
      </c>
      <c r="E941" s="1" t="s">
        <v>186</v>
      </c>
      <c r="H941" s="1" t="s">
        <v>22</v>
      </c>
      <c r="I941" s="1" t="s">
        <v>65</v>
      </c>
      <c r="L941" s="1">
        <v>1</v>
      </c>
      <c r="N941" s="1">
        <v>3.2400000000000001E-4</v>
      </c>
      <c r="O941" s="11"/>
      <c r="P941" s="11"/>
      <c r="Q941" s="11"/>
      <c r="R941" s="11"/>
    </row>
    <row r="942" spans="1:18">
      <c r="D942" s="1" t="s">
        <v>192</v>
      </c>
      <c r="E942" s="1" t="s">
        <v>71</v>
      </c>
      <c r="F942" s="1" t="s">
        <v>52</v>
      </c>
      <c r="G942" s="1" t="s">
        <v>53</v>
      </c>
      <c r="H942" s="1" t="s">
        <v>22</v>
      </c>
      <c r="I942" s="1" t="s">
        <v>65</v>
      </c>
      <c r="L942" s="1">
        <v>7936.6414386555998</v>
      </c>
      <c r="N942" s="1">
        <v>15583.590275430581</v>
      </c>
      <c r="O942" s="11"/>
      <c r="P942" s="11"/>
      <c r="Q942" s="11"/>
      <c r="R942" s="11"/>
    </row>
    <row r="943" spans="1:18">
      <c r="D943" s="1" t="s">
        <v>192</v>
      </c>
      <c r="E943" s="1" t="s">
        <v>117</v>
      </c>
      <c r="F943" s="1" t="s">
        <v>118</v>
      </c>
      <c r="G943" s="1" t="s">
        <v>119</v>
      </c>
      <c r="H943" s="1" t="s">
        <v>22</v>
      </c>
      <c r="I943" s="1" t="s">
        <v>120</v>
      </c>
      <c r="J943" s="1">
        <v>0</v>
      </c>
      <c r="L943" s="1">
        <v>2.20462262185</v>
      </c>
      <c r="N943" s="1">
        <v>0</v>
      </c>
      <c r="O943" s="11"/>
      <c r="P943" s="11"/>
      <c r="Q943" s="11"/>
      <c r="R943" s="11"/>
    </row>
    <row r="944" spans="1:18">
      <c r="D944" s="1" t="s">
        <v>192</v>
      </c>
      <c r="E944" s="1" t="s">
        <v>123</v>
      </c>
      <c r="F944" s="1" t="s">
        <v>124</v>
      </c>
      <c r="G944" s="1" t="s">
        <v>125</v>
      </c>
      <c r="H944" s="1" t="s">
        <v>22</v>
      </c>
      <c r="I944" s="1" t="s">
        <v>120</v>
      </c>
      <c r="L944" s="1">
        <v>35.314666699999997</v>
      </c>
      <c r="N944" s="1">
        <v>0</v>
      </c>
      <c r="O944" s="11"/>
      <c r="P944" s="11"/>
      <c r="Q944" s="11"/>
      <c r="R944" s="11"/>
    </row>
    <row r="945" spans="4:18">
      <c r="D945" s="1" t="s">
        <v>192</v>
      </c>
      <c r="E945" s="1" t="s">
        <v>126</v>
      </c>
      <c r="H945" s="1" t="s">
        <v>22</v>
      </c>
      <c r="I945" s="1" t="s">
        <v>65</v>
      </c>
      <c r="L945" s="1">
        <v>1</v>
      </c>
      <c r="N945" s="1">
        <v>1.0031489480822893</v>
      </c>
      <c r="O945" s="11"/>
      <c r="P945" s="11"/>
      <c r="Q945" s="11"/>
      <c r="R945" s="11"/>
    </row>
    <row r="946" spans="4:18">
      <c r="D946" s="1" t="s">
        <v>193</v>
      </c>
      <c r="E946" s="1" t="s">
        <v>28</v>
      </c>
      <c r="H946" s="1" t="s">
        <v>22</v>
      </c>
      <c r="I946" s="1" t="s">
        <v>29</v>
      </c>
      <c r="J946" s="1">
        <v>34000</v>
      </c>
      <c r="K946" s="1">
        <v>4300000</v>
      </c>
      <c r="L946" s="1">
        <v>349660</v>
      </c>
      <c r="N946" s="1">
        <v>350000</v>
      </c>
      <c r="O946" s="11"/>
      <c r="P946" s="11"/>
      <c r="Q946" s="11"/>
      <c r="R946" s="11"/>
    </row>
    <row r="947" spans="4:18">
      <c r="D947" s="1" t="s">
        <v>193</v>
      </c>
      <c r="E947" s="1" t="s">
        <v>30</v>
      </c>
      <c r="H947" s="1" t="s">
        <v>22</v>
      </c>
      <c r="I947" s="1" t="s">
        <v>29</v>
      </c>
      <c r="J947" s="1">
        <v>-3.94</v>
      </c>
      <c r="K947" s="1">
        <v>3.66</v>
      </c>
      <c r="L947" s="1">
        <v>1</v>
      </c>
      <c r="N947" s="1">
        <v>1.01</v>
      </c>
      <c r="O947" s="11"/>
      <c r="P947" s="11"/>
      <c r="Q947" s="11"/>
      <c r="R947" s="11"/>
    </row>
    <row r="948" spans="4:18">
      <c r="D948" s="1" t="s">
        <v>193</v>
      </c>
      <c r="E948" s="1" t="s">
        <v>31</v>
      </c>
      <c r="H948" s="1" t="s">
        <v>22</v>
      </c>
      <c r="I948" s="1" t="s">
        <v>29</v>
      </c>
      <c r="J948" s="1">
        <v>0</v>
      </c>
      <c r="K948" s="1">
        <v>100</v>
      </c>
      <c r="L948" s="1">
        <v>1</v>
      </c>
      <c r="N948" s="1">
        <v>0</v>
      </c>
      <c r="O948" s="11"/>
      <c r="P948" s="11"/>
      <c r="Q948" s="11"/>
      <c r="R948" s="11"/>
    </row>
    <row r="949" spans="4:18">
      <c r="D949" s="1" t="s">
        <v>193</v>
      </c>
      <c r="E949" s="1" t="s">
        <v>32</v>
      </c>
      <c r="H949" s="1" t="s">
        <v>22</v>
      </c>
      <c r="I949" s="1" t="s">
        <v>29</v>
      </c>
      <c r="J949" s="1">
        <v>-3.94</v>
      </c>
      <c r="K949" s="1">
        <v>3.66</v>
      </c>
      <c r="L949" s="1">
        <v>1</v>
      </c>
      <c r="N949" s="1">
        <v>1.01</v>
      </c>
      <c r="O949" s="11"/>
      <c r="P949" s="11"/>
      <c r="Q949" s="11"/>
      <c r="R949" s="11"/>
    </row>
    <row r="950" spans="4:18">
      <c r="D950" s="1" t="s">
        <v>193</v>
      </c>
      <c r="E950" s="1" t="s">
        <v>33</v>
      </c>
      <c r="H950" s="1" t="s">
        <v>25</v>
      </c>
      <c r="I950" s="1" t="s">
        <v>23</v>
      </c>
      <c r="M950" s="1" t="b">
        <v>0</v>
      </c>
      <c r="N950" s="1">
        <v>0</v>
      </c>
      <c r="O950" s="11"/>
      <c r="P950" s="11"/>
      <c r="Q950" s="11"/>
      <c r="R950" s="11"/>
    </row>
    <row r="951" spans="4:18">
      <c r="D951" s="1" t="s">
        <v>193</v>
      </c>
      <c r="E951" s="1" t="s">
        <v>34</v>
      </c>
      <c r="F951" s="1" t="s">
        <v>35</v>
      </c>
      <c r="G951" s="1" t="s">
        <v>36</v>
      </c>
      <c r="H951" s="1" t="s">
        <v>22</v>
      </c>
      <c r="I951" s="1" t="s">
        <v>23</v>
      </c>
      <c r="J951" s="1">
        <v>-459.67</v>
      </c>
      <c r="K951" s="1">
        <v>980.32999999999993</v>
      </c>
      <c r="L951" s="1">
        <v>80.329999999999984</v>
      </c>
      <c r="M951" s="1">
        <v>67.999999999999943</v>
      </c>
      <c r="N951" s="1">
        <v>67.999999999999943</v>
      </c>
      <c r="O951" s="11"/>
      <c r="P951" s="11"/>
      <c r="Q951" s="11"/>
      <c r="R951" s="11"/>
    </row>
    <row r="952" spans="4:18">
      <c r="D952" s="1" t="s">
        <v>193</v>
      </c>
      <c r="E952" s="1" t="s">
        <v>37</v>
      </c>
      <c r="H952" s="1" t="s">
        <v>25</v>
      </c>
      <c r="I952" s="1" t="s">
        <v>23</v>
      </c>
      <c r="M952" s="1" t="b">
        <v>0</v>
      </c>
      <c r="N952" s="1">
        <v>0</v>
      </c>
      <c r="O952" s="11"/>
      <c r="P952" s="11"/>
      <c r="Q952" s="11"/>
      <c r="R952" s="11"/>
    </row>
    <row r="953" spans="4:18">
      <c r="D953" s="1" t="s">
        <v>193</v>
      </c>
      <c r="E953" s="1" t="s">
        <v>38</v>
      </c>
      <c r="F953" s="1" t="s">
        <v>35</v>
      </c>
      <c r="G953" s="1" t="s">
        <v>36</v>
      </c>
      <c r="H953" s="1" t="s">
        <v>22</v>
      </c>
      <c r="I953" s="1" t="s">
        <v>23</v>
      </c>
      <c r="J953" s="1">
        <v>-99.670000000000016</v>
      </c>
      <c r="K953" s="1">
        <v>980.32999999999993</v>
      </c>
      <c r="L953" s="1">
        <v>80.329999999999984</v>
      </c>
      <c r="M953" s="1">
        <v>13.999999999999943</v>
      </c>
      <c r="N953" s="1">
        <v>13.999999999999943</v>
      </c>
      <c r="O953" s="11"/>
      <c r="P953" s="11"/>
      <c r="Q953" s="11"/>
      <c r="R953" s="11"/>
    </row>
    <row r="954" spans="4:18">
      <c r="D954" s="1" t="s">
        <v>193</v>
      </c>
      <c r="E954" s="1" t="s">
        <v>39</v>
      </c>
      <c r="H954" s="1" t="s">
        <v>25</v>
      </c>
      <c r="I954" s="1" t="s">
        <v>23</v>
      </c>
      <c r="M954" s="1" t="b">
        <v>0</v>
      </c>
      <c r="N954" s="1">
        <v>0</v>
      </c>
      <c r="O954" s="11"/>
      <c r="P954" s="11"/>
      <c r="Q954" s="11"/>
      <c r="R954" s="11"/>
    </row>
    <row r="955" spans="4:18">
      <c r="D955" s="1" t="s">
        <v>193</v>
      </c>
      <c r="E955" s="1" t="s">
        <v>40</v>
      </c>
      <c r="F955" s="1" t="s">
        <v>41</v>
      </c>
      <c r="G955" s="1" t="s">
        <v>42</v>
      </c>
      <c r="H955" s="1" t="s">
        <v>22</v>
      </c>
      <c r="I955" s="1" t="s">
        <v>23</v>
      </c>
      <c r="J955" s="1">
        <v>-900</v>
      </c>
      <c r="K955" s="1">
        <v>900</v>
      </c>
      <c r="L955" s="1">
        <v>1.8</v>
      </c>
      <c r="M955" s="1">
        <v>9</v>
      </c>
      <c r="N955" s="1">
        <v>9</v>
      </c>
      <c r="O955" s="11"/>
      <c r="P955" s="11"/>
      <c r="Q955" s="11"/>
      <c r="R955" s="11"/>
    </row>
    <row r="956" spans="4:18">
      <c r="D956" s="1" t="s">
        <v>193</v>
      </c>
      <c r="E956" s="1" t="s">
        <v>43</v>
      </c>
      <c r="H956" s="1" t="s">
        <v>25</v>
      </c>
      <c r="I956" s="1" t="s">
        <v>23</v>
      </c>
      <c r="M956" s="1" t="b">
        <v>0</v>
      </c>
      <c r="N956" s="1">
        <v>0</v>
      </c>
      <c r="O956" s="11"/>
      <c r="P956" s="11"/>
      <c r="Q956" s="11"/>
      <c r="R956" s="11"/>
    </row>
    <row r="957" spans="4:18">
      <c r="D957" s="1" t="s">
        <v>193</v>
      </c>
      <c r="E957" s="1" t="s">
        <v>44</v>
      </c>
      <c r="F957" s="1" t="s">
        <v>45</v>
      </c>
      <c r="G957" s="1" t="s">
        <v>46</v>
      </c>
      <c r="H957" s="1" t="s">
        <v>22</v>
      </c>
      <c r="I957" s="1" t="s">
        <v>23</v>
      </c>
      <c r="J957" s="1">
        <v>-85.984522757427143</v>
      </c>
      <c r="K957" s="1">
        <v>8598.4522757427148</v>
      </c>
      <c r="L957" s="1">
        <v>114.79148749423418</v>
      </c>
      <c r="M957" s="1">
        <v>128.97678413614071</v>
      </c>
      <c r="N957" s="1">
        <v>128.97678413614071</v>
      </c>
      <c r="O957" s="11"/>
      <c r="P957" s="11"/>
      <c r="Q957" s="11"/>
      <c r="R957" s="11"/>
    </row>
    <row r="958" spans="4:18">
      <c r="D958" s="1" t="s">
        <v>193</v>
      </c>
      <c r="E958" s="1" t="s">
        <v>47</v>
      </c>
      <c r="H958" s="1" t="s">
        <v>25</v>
      </c>
      <c r="I958" s="1" t="s">
        <v>23</v>
      </c>
      <c r="M958" s="1" t="b">
        <v>0</v>
      </c>
      <c r="N958" s="1">
        <v>0</v>
      </c>
      <c r="O958" s="11"/>
      <c r="P958" s="11"/>
      <c r="Q958" s="11"/>
      <c r="R958" s="11"/>
    </row>
    <row r="959" spans="4:18">
      <c r="D959" s="1" t="s">
        <v>193</v>
      </c>
      <c r="E959" s="1" t="s">
        <v>48</v>
      </c>
      <c r="H959" s="1" t="s">
        <v>25</v>
      </c>
      <c r="I959" s="1" t="s">
        <v>23</v>
      </c>
      <c r="M959" s="1" t="b">
        <v>0</v>
      </c>
      <c r="N959" s="1">
        <v>0</v>
      </c>
      <c r="O959" s="11"/>
      <c r="P959" s="11"/>
      <c r="Q959" s="11"/>
      <c r="R959" s="11"/>
    </row>
    <row r="960" spans="4:18">
      <c r="D960" s="1" t="s">
        <v>193</v>
      </c>
      <c r="E960" s="1" t="s">
        <v>49</v>
      </c>
      <c r="H960" s="1" t="s">
        <v>25</v>
      </c>
      <c r="I960" s="1" t="s">
        <v>23</v>
      </c>
      <c r="M960" s="1" t="b">
        <v>0</v>
      </c>
      <c r="N960" s="1">
        <v>0</v>
      </c>
      <c r="O960" s="11"/>
      <c r="P960" s="11"/>
      <c r="Q960" s="11"/>
      <c r="R960" s="11"/>
    </row>
    <row r="961" spans="4:18">
      <c r="D961" s="1" t="s">
        <v>193</v>
      </c>
      <c r="E961" s="1" t="s">
        <v>50</v>
      </c>
      <c r="H961" s="1" t="s">
        <v>25</v>
      </c>
      <c r="I961" s="1" t="s">
        <v>23</v>
      </c>
      <c r="M961" s="1" t="b">
        <v>0</v>
      </c>
      <c r="N961" s="1">
        <v>0</v>
      </c>
      <c r="O961" s="11"/>
      <c r="P961" s="11"/>
      <c r="Q961" s="11"/>
      <c r="R961" s="11"/>
    </row>
    <row r="962" spans="4:18">
      <c r="D962" s="1" t="s">
        <v>193</v>
      </c>
      <c r="E962" s="1" t="s">
        <v>51</v>
      </c>
      <c r="F962" s="1" t="s">
        <v>52</v>
      </c>
      <c r="G962" s="1" t="s">
        <v>53</v>
      </c>
      <c r="H962" s="1" t="s">
        <v>22</v>
      </c>
      <c r="I962" s="1" t="s">
        <v>23</v>
      </c>
      <c r="J962" s="1">
        <v>0</v>
      </c>
      <c r="K962" s="1">
        <v>7936641438.6555996</v>
      </c>
      <c r="L962" s="1">
        <v>7936.6414386555998</v>
      </c>
      <c r="M962" s="1">
        <v>7936.6414386555998</v>
      </c>
      <c r="N962" s="1">
        <v>7936.6414386555998</v>
      </c>
      <c r="O962" s="11"/>
      <c r="P962" s="11"/>
      <c r="Q962" s="11"/>
      <c r="R962" s="11"/>
    </row>
    <row r="963" spans="4:18">
      <c r="D963" s="1" t="s">
        <v>193</v>
      </c>
      <c r="E963" s="1" t="s">
        <v>54</v>
      </c>
      <c r="H963" s="1" t="s">
        <v>25</v>
      </c>
      <c r="I963" s="1" t="s">
        <v>23</v>
      </c>
      <c r="M963" s="1" t="b">
        <v>0</v>
      </c>
      <c r="N963" s="1">
        <v>0</v>
      </c>
      <c r="O963" s="11"/>
      <c r="P963" s="11"/>
      <c r="Q963" s="11"/>
      <c r="R963" s="11"/>
    </row>
    <row r="964" spans="4:18">
      <c r="D964" s="1" t="s">
        <v>193</v>
      </c>
      <c r="E964" s="1" t="s">
        <v>55</v>
      </c>
      <c r="F964" s="1" t="s">
        <v>56</v>
      </c>
      <c r="G964" s="1" t="s">
        <v>57</v>
      </c>
      <c r="H964" s="1" t="s">
        <v>22</v>
      </c>
      <c r="I964" s="1" t="s">
        <v>23</v>
      </c>
      <c r="J964" s="1">
        <v>0</v>
      </c>
      <c r="K964" s="1">
        <v>9427.4529524635982</v>
      </c>
      <c r="L964" s="1">
        <v>50.713895374744951</v>
      </c>
      <c r="M964" s="1">
        <v>50.763208205573221</v>
      </c>
      <c r="N964" s="1">
        <v>50.763208205573221</v>
      </c>
      <c r="O964" s="11"/>
      <c r="P964" s="11"/>
      <c r="Q964" s="11"/>
      <c r="R964" s="11"/>
    </row>
    <row r="965" spans="4:18">
      <c r="D965" s="1" t="s">
        <v>193</v>
      </c>
      <c r="E965" s="1" t="s">
        <v>58</v>
      </c>
      <c r="H965" s="1" t="s">
        <v>25</v>
      </c>
      <c r="I965" s="1" t="s">
        <v>23</v>
      </c>
      <c r="M965" s="1" t="b">
        <v>0</v>
      </c>
      <c r="N965" s="1">
        <v>0</v>
      </c>
      <c r="O965" s="11"/>
      <c r="P965" s="11"/>
      <c r="Q965" s="11"/>
      <c r="R965" s="11"/>
    </row>
    <row r="966" spans="4:18">
      <c r="D966" s="1" t="s">
        <v>193</v>
      </c>
      <c r="E966" s="1" t="s">
        <v>59</v>
      </c>
      <c r="F966" s="1" t="s">
        <v>60</v>
      </c>
      <c r="G966" s="1" t="s">
        <v>61</v>
      </c>
      <c r="H966" s="1" t="s">
        <v>22</v>
      </c>
      <c r="I966" s="1" t="s">
        <v>23</v>
      </c>
      <c r="J966" s="1">
        <v>-9.5538358650799999</v>
      </c>
      <c r="K966" s="1">
        <v>9.5538358650799999</v>
      </c>
      <c r="L966" s="1">
        <v>0.23884589662700001</v>
      </c>
      <c r="M966" s="1">
        <v>0.23884589662700001</v>
      </c>
      <c r="N966" s="1">
        <v>0.23884589662700001</v>
      </c>
      <c r="O966" s="11"/>
      <c r="P966" s="11"/>
      <c r="Q966" s="11"/>
      <c r="R966" s="11"/>
    </row>
    <row r="967" spans="4:18">
      <c r="D967" s="1" t="s">
        <v>193</v>
      </c>
      <c r="E967" s="1" t="s">
        <v>62</v>
      </c>
      <c r="H967" s="1" t="s">
        <v>63</v>
      </c>
      <c r="I967" s="1" t="s">
        <v>23</v>
      </c>
      <c r="M967" s="1">
        <v>1</v>
      </c>
      <c r="N967" s="1">
        <v>1</v>
      </c>
      <c r="O967" s="11"/>
      <c r="P967" s="11"/>
      <c r="Q967" s="11"/>
      <c r="R967" s="11"/>
    </row>
    <row r="968" spans="4:18">
      <c r="D968" s="1" t="s">
        <v>193</v>
      </c>
      <c r="E968" s="1" t="s">
        <v>64</v>
      </c>
      <c r="F968" s="1" t="s">
        <v>35</v>
      </c>
      <c r="G968" s="1" t="s">
        <v>36</v>
      </c>
      <c r="H968" s="1" t="s">
        <v>22</v>
      </c>
      <c r="I968" s="1" t="s">
        <v>65</v>
      </c>
      <c r="J968" s="1">
        <v>-459.67</v>
      </c>
      <c r="L968" s="1">
        <v>80.329999999999984</v>
      </c>
      <c r="N968" s="1">
        <v>73.202116048251185</v>
      </c>
      <c r="O968" s="11"/>
      <c r="P968" s="11"/>
      <c r="Q968" s="11"/>
      <c r="R968" s="11"/>
    </row>
    <row r="969" spans="4:18">
      <c r="D969" s="1" t="s">
        <v>193</v>
      </c>
      <c r="E969" s="1" t="s">
        <v>66</v>
      </c>
      <c r="F969" s="1" t="s">
        <v>35</v>
      </c>
      <c r="G969" s="1" t="s">
        <v>36</v>
      </c>
      <c r="H969" s="1" t="s">
        <v>22</v>
      </c>
      <c r="I969" s="1" t="s">
        <v>65</v>
      </c>
      <c r="J969" s="1">
        <v>-459.67</v>
      </c>
      <c r="L969" s="1">
        <v>80.329999999999984</v>
      </c>
      <c r="N969" s="1">
        <v>72.188085393193489</v>
      </c>
      <c r="O969" s="11"/>
      <c r="P969" s="11"/>
      <c r="Q969" s="11"/>
      <c r="R969" s="11"/>
    </row>
    <row r="970" spans="4:18">
      <c r="D970" s="1" t="s">
        <v>193</v>
      </c>
      <c r="E970" s="1" t="s">
        <v>67</v>
      </c>
      <c r="F970" s="1" t="s">
        <v>41</v>
      </c>
      <c r="G970" s="1" t="s">
        <v>42</v>
      </c>
      <c r="H970" s="1" t="s">
        <v>22</v>
      </c>
      <c r="I970" s="1" t="s">
        <v>65</v>
      </c>
      <c r="L970" s="1">
        <v>1.8</v>
      </c>
      <c r="N970" s="1">
        <v>1.0140306550577294</v>
      </c>
      <c r="O970" s="11"/>
      <c r="P970" s="11"/>
      <c r="Q970" s="11"/>
      <c r="R970" s="11"/>
    </row>
    <row r="971" spans="4:18">
      <c r="D971" s="1" t="s">
        <v>193</v>
      </c>
      <c r="E971" s="1" t="s">
        <v>68</v>
      </c>
      <c r="F971" s="1" t="s">
        <v>45</v>
      </c>
      <c r="G971" s="1" t="s">
        <v>46</v>
      </c>
      <c r="H971" s="1" t="s">
        <v>22</v>
      </c>
      <c r="I971" s="1" t="s">
        <v>65</v>
      </c>
      <c r="L971" s="1">
        <v>4.2992261378713571E-4</v>
      </c>
      <c r="N971" s="1">
        <v>113.23591665950397</v>
      </c>
      <c r="O971" s="11"/>
      <c r="P971" s="11"/>
      <c r="Q971" s="11"/>
      <c r="R971" s="11"/>
    </row>
    <row r="972" spans="4:18">
      <c r="D972" s="1" t="s">
        <v>193</v>
      </c>
      <c r="E972" s="1" t="s">
        <v>69</v>
      </c>
      <c r="H972" s="1" t="s">
        <v>25</v>
      </c>
      <c r="I972" s="1" t="s">
        <v>70</v>
      </c>
      <c r="N972" s="1">
        <v>0</v>
      </c>
      <c r="O972" s="11"/>
      <c r="P972" s="11"/>
      <c r="Q972" s="11"/>
      <c r="R972" s="11"/>
    </row>
    <row r="973" spans="4:18">
      <c r="D973" s="1" t="s">
        <v>193</v>
      </c>
      <c r="E973" s="1" t="s">
        <v>71</v>
      </c>
      <c r="F973" s="1" t="s">
        <v>52</v>
      </c>
      <c r="G973" s="1" t="s">
        <v>53</v>
      </c>
      <c r="H973" s="1" t="s">
        <v>22</v>
      </c>
      <c r="I973" s="1" t="s">
        <v>65</v>
      </c>
      <c r="L973" s="1">
        <v>7936.6414386555998</v>
      </c>
      <c r="N973" s="1">
        <v>15583.590275430581</v>
      </c>
      <c r="O973" s="11"/>
      <c r="P973" s="11"/>
      <c r="Q973" s="11"/>
      <c r="R973" s="11"/>
    </row>
    <row r="974" spans="4:18">
      <c r="D974" s="1" t="s">
        <v>193</v>
      </c>
      <c r="E974" s="1" t="s">
        <v>72</v>
      </c>
      <c r="F974" s="1" t="s">
        <v>56</v>
      </c>
      <c r="G974" s="1" t="s">
        <v>57</v>
      </c>
      <c r="H974" s="1" t="s">
        <v>22</v>
      </c>
      <c r="I974" s="1" t="s">
        <v>65</v>
      </c>
      <c r="J974" s="1">
        <v>0</v>
      </c>
      <c r="L974" s="1">
        <v>14.503773773020921</v>
      </c>
      <c r="N974" s="1">
        <v>89.048194714691306</v>
      </c>
      <c r="O974" s="11"/>
      <c r="P974" s="11"/>
      <c r="Q974" s="11"/>
      <c r="R974" s="11"/>
    </row>
    <row r="975" spans="4:18">
      <c r="D975" s="1" t="s">
        <v>193</v>
      </c>
      <c r="E975" s="1" t="s">
        <v>73</v>
      </c>
      <c r="F975" s="1" t="s">
        <v>60</v>
      </c>
      <c r="G975" s="1" t="s">
        <v>61</v>
      </c>
      <c r="H975" s="1" t="s">
        <v>22</v>
      </c>
      <c r="I975" s="1" t="s">
        <v>65</v>
      </c>
      <c r="L975" s="1">
        <v>2.38845896627E-4</v>
      </c>
      <c r="N975" s="1">
        <v>0.22056973526803797</v>
      </c>
      <c r="O975" s="11"/>
      <c r="P975" s="11"/>
      <c r="Q975" s="11"/>
      <c r="R975" s="11"/>
    </row>
    <row r="976" spans="4:18">
      <c r="D976" s="1" t="s">
        <v>193</v>
      </c>
      <c r="E976" s="1" t="s">
        <v>74</v>
      </c>
      <c r="F976" s="1" t="s">
        <v>75</v>
      </c>
      <c r="G976" s="1" t="s">
        <v>76</v>
      </c>
      <c r="H976" s="1" t="s">
        <v>22</v>
      </c>
      <c r="I976" s="1" t="s">
        <v>65</v>
      </c>
      <c r="J976" s="1">
        <v>0</v>
      </c>
      <c r="L976" s="1">
        <v>16.018463521800001</v>
      </c>
      <c r="N976" s="1">
        <v>0.53871837897808961</v>
      </c>
      <c r="O976" s="11"/>
      <c r="P976" s="11"/>
      <c r="Q976" s="11"/>
      <c r="R976" s="11"/>
    </row>
    <row r="977" spans="1:18">
      <c r="D977" s="1" t="s">
        <v>193</v>
      </c>
      <c r="E977" s="1" t="s">
        <v>77</v>
      </c>
      <c r="H977" s="1" t="s">
        <v>22</v>
      </c>
      <c r="I977" s="1" t="s">
        <v>65</v>
      </c>
      <c r="L977" s="1">
        <v>1</v>
      </c>
      <c r="N977" s="1">
        <v>1.0031489480822893</v>
      </c>
      <c r="O977" s="11"/>
      <c r="P977" s="11"/>
      <c r="Q977" s="11"/>
      <c r="R977" s="11"/>
    </row>
    <row r="978" spans="1:18">
      <c r="D978" s="1" t="s">
        <v>193</v>
      </c>
      <c r="E978" s="1" t="s">
        <v>78</v>
      </c>
      <c r="H978" s="1" t="s">
        <v>25</v>
      </c>
      <c r="I978" s="1" t="s">
        <v>23</v>
      </c>
      <c r="M978" s="1" t="b">
        <v>0</v>
      </c>
      <c r="N978" s="1">
        <v>0</v>
      </c>
      <c r="O978" s="11"/>
      <c r="P978" s="11"/>
      <c r="Q978" s="11"/>
      <c r="R978" s="11"/>
    </row>
    <row r="979" spans="1:18">
      <c r="D979" s="1" t="s">
        <v>193</v>
      </c>
      <c r="E979" s="1" t="s">
        <v>79</v>
      </c>
      <c r="F979" s="1" t="s">
        <v>75</v>
      </c>
      <c r="G979" s="1" t="s">
        <v>76</v>
      </c>
      <c r="H979" s="1" t="s">
        <v>22</v>
      </c>
      <c r="I979" s="1" t="s">
        <v>23</v>
      </c>
      <c r="J979" s="1">
        <v>0</v>
      </c>
      <c r="K979" s="1">
        <v>96.110781130800007</v>
      </c>
      <c r="L979" s="1">
        <v>16.018463521800001</v>
      </c>
      <c r="M979" s="1">
        <v>1.6018463521800002</v>
      </c>
      <c r="N979" s="1">
        <v>1.6018463521800002</v>
      </c>
      <c r="O979" s="11"/>
      <c r="P979" s="11"/>
      <c r="Q979" s="11"/>
      <c r="R979" s="11"/>
    </row>
    <row r="980" spans="1:18">
      <c r="D980" s="1" t="s">
        <v>193</v>
      </c>
      <c r="E980" s="1" t="s">
        <v>80</v>
      </c>
      <c r="H980" s="1" t="s">
        <v>25</v>
      </c>
      <c r="I980" s="1" t="s">
        <v>23</v>
      </c>
      <c r="M980" s="1" t="b">
        <v>0</v>
      </c>
      <c r="N980" s="1">
        <v>0</v>
      </c>
      <c r="O980" s="11"/>
      <c r="P980" s="11"/>
      <c r="Q980" s="11"/>
      <c r="R980" s="11"/>
    </row>
    <row r="981" spans="1:18">
      <c r="D981" s="1" t="s">
        <v>193</v>
      </c>
      <c r="E981" s="1" t="s">
        <v>81</v>
      </c>
      <c r="H981" s="1" t="s">
        <v>25</v>
      </c>
      <c r="I981" s="1" t="s">
        <v>23</v>
      </c>
      <c r="M981" s="1" t="b">
        <v>0</v>
      </c>
      <c r="N981" s="1">
        <v>0</v>
      </c>
      <c r="O981" s="11"/>
      <c r="P981" s="11"/>
      <c r="Q981" s="11"/>
      <c r="R981" s="11"/>
    </row>
    <row r="982" spans="1:18">
      <c r="D982" s="1" t="s">
        <v>193</v>
      </c>
      <c r="E982" s="1" t="s">
        <v>82</v>
      </c>
      <c r="H982" s="1" t="s">
        <v>22</v>
      </c>
      <c r="I982" s="1" t="s">
        <v>23</v>
      </c>
      <c r="J982" s="1">
        <v>-1</v>
      </c>
      <c r="K982" s="1">
        <v>3</v>
      </c>
      <c r="L982" s="1">
        <v>1</v>
      </c>
      <c r="M982" s="1">
        <v>1.01</v>
      </c>
      <c r="N982" s="1">
        <v>1.01</v>
      </c>
      <c r="O982" s="11"/>
      <c r="P982" s="11"/>
      <c r="Q982" s="11"/>
      <c r="R982" s="11"/>
    </row>
    <row r="983" spans="1:18">
      <c r="D983" s="1" t="s">
        <v>194</v>
      </c>
      <c r="E983" s="1" t="s">
        <v>171</v>
      </c>
      <c r="H983" s="1" t="s">
        <v>22</v>
      </c>
      <c r="I983" s="1" t="s">
        <v>23</v>
      </c>
      <c r="L983" s="1">
        <v>1</v>
      </c>
      <c r="M983" s="1">
        <v>3.0558000000000001</v>
      </c>
      <c r="N983" s="1">
        <v>3.0558000000000001</v>
      </c>
      <c r="O983" s="11"/>
      <c r="P983" s="11"/>
      <c r="Q983" s="11"/>
      <c r="R983" s="11"/>
    </row>
    <row r="984" spans="1:18">
      <c r="D984" s="1" t="s">
        <v>194</v>
      </c>
      <c r="E984" s="1" t="s">
        <v>172</v>
      </c>
      <c r="H984" s="1" t="s">
        <v>22</v>
      </c>
      <c r="I984" s="1" t="s">
        <v>29</v>
      </c>
      <c r="J984" s="1">
        <v>0</v>
      </c>
      <c r="K984" s="1">
        <v>10000</v>
      </c>
      <c r="L984" s="1">
        <v>5000</v>
      </c>
      <c r="N984" s="1">
        <v>0.20271739999999999</v>
      </c>
      <c r="O984" s="11"/>
      <c r="P984" s="11"/>
      <c r="Q984" s="11"/>
      <c r="R984" s="11"/>
    </row>
    <row r="985" spans="1:18">
      <c r="D985" s="1" t="s">
        <v>194</v>
      </c>
      <c r="E985" s="1" t="s">
        <v>173</v>
      </c>
      <c r="H985" s="1" t="s">
        <v>22</v>
      </c>
      <c r="I985" s="1" t="s">
        <v>29</v>
      </c>
      <c r="J985" s="1">
        <v>9.9999999999999995E-7</v>
      </c>
      <c r="K985" s="1">
        <v>0.01</v>
      </c>
      <c r="L985" s="1">
        <v>5.0004999999999997E-3</v>
      </c>
      <c r="N985" s="1">
        <v>3.5599999999999998E-4</v>
      </c>
      <c r="O985" s="11"/>
      <c r="P985" s="11"/>
      <c r="Q985" s="11"/>
      <c r="R985" s="11"/>
    </row>
    <row r="986" spans="1:18">
      <c r="D986" s="1" t="s">
        <v>194</v>
      </c>
      <c r="E986" s="1" t="s">
        <v>174</v>
      </c>
      <c r="H986" s="1" t="s">
        <v>25</v>
      </c>
      <c r="I986" s="1" t="s">
        <v>23</v>
      </c>
      <c r="M986" s="1" t="b">
        <v>1</v>
      </c>
      <c r="N986" s="1">
        <v>1</v>
      </c>
      <c r="O986" s="11"/>
      <c r="P986" s="11"/>
      <c r="Q986" s="11"/>
      <c r="R986" s="11"/>
    </row>
    <row r="987" spans="1:18">
      <c r="A987" s="2" t="s">
        <v>1722</v>
      </c>
      <c r="B987" s="3" t="s">
        <v>1726</v>
      </c>
      <c r="D987" s="1" t="s">
        <v>194</v>
      </c>
      <c r="E987" s="1" t="s">
        <v>175</v>
      </c>
      <c r="F987" s="1" t="s">
        <v>176</v>
      </c>
      <c r="G987" s="1" t="s">
        <v>177</v>
      </c>
      <c r="H987" s="1" t="s">
        <v>22</v>
      </c>
      <c r="I987" s="1" t="s">
        <v>23</v>
      </c>
      <c r="L987" s="1">
        <v>39.370078740157467</v>
      </c>
      <c r="M987" s="1">
        <v>7.9809999999999972</v>
      </c>
      <c r="N987" s="1">
        <v>7.9809999999999972</v>
      </c>
      <c r="O987" s="11"/>
      <c r="P987" s="11"/>
      <c r="Q987" s="11"/>
      <c r="R987" s="11"/>
    </row>
    <row r="988" spans="1:18">
      <c r="D988" s="1" t="s">
        <v>194</v>
      </c>
      <c r="E988" s="1" t="s">
        <v>178</v>
      </c>
      <c r="H988" s="1" t="s">
        <v>25</v>
      </c>
      <c r="I988" s="1" t="s">
        <v>23</v>
      </c>
      <c r="M988" s="1" t="b">
        <v>0</v>
      </c>
      <c r="N988" s="1">
        <v>0</v>
      </c>
      <c r="O988" s="11"/>
      <c r="P988" s="11"/>
      <c r="Q988" s="11"/>
      <c r="R988" s="11"/>
    </row>
    <row r="989" spans="1:18">
      <c r="D989" s="1" t="s">
        <v>194</v>
      </c>
      <c r="E989" s="1" t="s">
        <v>111</v>
      </c>
      <c r="F989" s="1" t="s">
        <v>56</v>
      </c>
      <c r="G989" s="1" t="s">
        <v>57</v>
      </c>
      <c r="H989" s="1" t="s">
        <v>22</v>
      </c>
      <c r="I989" s="1" t="s">
        <v>23</v>
      </c>
      <c r="L989" s="1">
        <v>1.4503773773020921E-4</v>
      </c>
      <c r="M989" s="1">
        <v>7.2518868865104604E-3</v>
      </c>
      <c r="N989" s="1">
        <v>7.2518868865104604E-3</v>
      </c>
      <c r="O989" s="11"/>
      <c r="P989" s="11"/>
      <c r="Q989" s="11"/>
      <c r="R989" s="11"/>
    </row>
    <row r="990" spans="1:18">
      <c r="D990" s="1" t="s">
        <v>194</v>
      </c>
      <c r="E990" s="1" t="s">
        <v>179</v>
      </c>
      <c r="H990" s="1" t="s">
        <v>22</v>
      </c>
      <c r="I990" s="1" t="s">
        <v>23</v>
      </c>
      <c r="L990" s="1">
        <v>1</v>
      </c>
      <c r="M990" s="1">
        <v>10000</v>
      </c>
      <c r="N990" s="1">
        <v>10000</v>
      </c>
      <c r="O990" s="11"/>
      <c r="P990" s="11"/>
      <c r="Q990" s="11"/>
      <c r="R990" s="11"/>
    </row>
    <row r="991" spans="1:18">
      <c r="D991" s="1" t="s">
        <v>194</v>
      </c>
      <c r="E991" s="1" t="s">
        <v>180</v>
      </c>
      <c r="H991" s="1" t="s">
        <v>181</v>
      </c>
      <c r="I991" s="1" t="s">
        <v>23</v>
      </c>
      <c r="J991" s="1">
        <v>1</v>
      </c>
      <c r="K991" s="1">
        <v>3</v>
      </c>
      <c r="M991" s="1" t="s">
        <v>182</v>
      </c>
      <c r="N991" s="1" t="s">
        <v>1816</v>
      </c>
      <c r="O991" s="11"/>
      <c r="P991" s="11"/>
      <c r="Q991" s="11"/>
      <c r="R991" s="11"/>
    </row>
    <row r="992" spans="1:18">
      <c r="D992" s="1" t="s">
        <v>194</v>
      </c>
      <c r="E992" s="1" t="s">
        <v>47</v>
      </c>
      <c r="H992" s="1" t="s">
        <v>25</v>
      </c>
      <c r="I992" s="1" t="s">
        <v>23</v>
      </c>
      <c r="M992" s="1" t="b">
        <v>0</v>
      </c>
      <c r="N992" s="1">
        <v>0</v>
      </c>
      <c r="O992" s="11"/>
      <c r="P992" s="11"/>
      <c r="Q992" s="11"/>
      <c r="R992" s="11"/>
    </row>
    <row r="993" spans="1:18">
      <c r="D993" s="1" t="s">
        <v>194</v>
      </c>
      <c r="E993" s="1" t="s">
        <v>183</v>
      </c>
      <c r="H993" s="1" t="s">
        <v>25</v>
      </c>
      <c r="I993" s="1" t="s">
        <v>23</v>
      </c>
      <c r="M993" s="1" t="b">
        <v>1</v>
      </c>
      <c r="N993" s="1">
        <v>1</v>
      </c>
      <c r="O993" s="11"/>
      <c r="P993" s="11"/>
      <c r="Q993" s="11"/>
      <c r="R993" s="11"/>
    </row>
    <row r="994" spans="1:18">
      <c r="D994" s="1" t="s">
        <v>194</v>
      </c>
      <c r="E994" s="1" t="s">
        <v>189</v>
      </c>
      <c r="H994" s="1" t="s">
        <v>22</v>
      </c>
      <c r="I994" s="1" t="s">
        <v>23</v>
      </c>
      <c r="L994" s="1">
        <v>1</v>
      </c>
      <c r="M994" s="1">
        <v>3.5599999999999998E-4</v>
      </c>
      <c r="N994" s="1">
        <v>3.5599999999999998E-4</v>
      </c>
      <c r="O994" s="11"/>
      <c r="P994" s="11"/>
      <c r="Q994" s="11"/>
      <c r="R994" s="11"/>
    </row>
    <row r="995" spans="1:18">
      <c r="D995" s="1" t="s">
        <v>194</v>
      </c>
      <c r="E995" s="1" t="s">
        <v>112</v>
      </c>
      <c r="F995" s="1" t="s">
        <v>56</v>
      </c>
      <c r="G995" s="1" t="s">
        <v>57</v>
      </c>
      <c r="H995" s="1" t="s">
        <v>22</v>
      </c>
      <c r="I995" s="1" t="s">
        <v>29</v>
      </c>
      <c r="J995" s="1">
        <v>4.9312830828271128</v>
      </c>
      <c r="K995" s="1">
        <v>623.66227223989961</v>
      </c>
      <c r="L995" s="1">
        <v>50.713895374744951</v>
      </c>
      <c r="N995" s="1">
        <v>89.048194714691306</v>
      </c>
      <c r="O995" s="11"/>
      <c r="P995" s="11"/>
      <c r="Q995" s="11"/>
      <c r="R995" s="11"/>
    </row>
    <row r="996" spans="1:18">
      <c r="D996" s="1" t="s">
        <v>194</v>
      </c>
      <c r="E996" s="1" t="s">
        <v>62</v>
      </c>
      <c r="H996" s="1" t="s">
        <v>63</v>
      </c>
      <c r="I996" s="1" t="s">
        <v>23</v>
      </c>
      <c r="M996" s="1">
        <v>1</v>
      </c>
      <c r="N996" s="1">
        <v>1</v>
      </c>
      <c r="O996" s="11"/>
      <c r="P996" s="11"/>
      <c r="Q996" s="11"/>
      <c r="R996" s="11"/>
    </row>
    <row r="997" spans="1:18">
      <c r="D997" s="1" t="s">
        <v>194</v>
      </c>
      <c r="E997" s="1" t="s">
        <v>184</v>
      </c>
      <c r="H997" s="1" t="s">
        <v>22</v>
      </c>
      <c r="I997" s="1" t="s">
        <v>120</v>
      </c>
      <c r="L997" s="1">
        <v>1</v>
      </c>
      <c r="N997" s="1">
        <v>1</v>
      </c>
      <c r="O997" s="11"/>
      <c r="P997" s="11"/>
      <c r="Q997" s="11"/>
      <c r="R997" s="11"/>
    </row>
    <row r="998" spans="1:18">
      <c r="D998" s="1" t="s">
        <v>194</v>
      </c>
      <c r="E998" s="1" t="s">
        <v>185</v>
      </c>
      <c r="F998" s="1" t="s">
        <v>176</v>
      </c>
      <c r="G998" s="1" t="s">
        <v>177</v>
      </c>
      <c r="H998" s="1" t="s">
        <v>22</v>
      </c>
      <c r="I998" s="1" t="s">
        <v>65</v>
      </c>
      <c r="L998" s="1">
        <v>39.370078740157467</v>
      </c>
      <c r="N998" s="1">
        <v>7.9809999999999972</v>
      </c>
      <c r="O998" s="11"/>
      <c r="P998" s="11"/>
      <c r="Q998" s="11"/>
      <c r="R998" s="11"/>
    </row>
    <row r="999" spans="1:18">
      <c r="A999" s="2" t="s">
        <v>1759</v>
      </c>
      <c r="B999" s="3" t="s">
        <v>1787</v>
      </c>
      <c r="D999" s="1" t="s">
        <v>194</v>
      </c>
      <c r="E999" s="1" t="s">
        <v>115</v>
      </c>
      <c r="F999" s="1" t="s">
        <v>56</v>
      </c>
      <c r="G999" s="1" t="s">
        <v>57</v>
      </c>
      <c r="H999" s="1" t="s">
        <v>22</v>
      </c>
      <c r="I999" s="1" t="s">
        <v>65</v>
      </c>
      <c r="L999" s="1">
        <v>1.4503773773020921E-4</v>
      </c>
      <c r="N999" s="1">
        <v>4.2030574817290196</v>
      </c>
      <c r="O999" s="11"/>
      <c r="P999" s="11"/>
      <c r="Q999" s="11"/>
      <c r="R999" s="11"/>
    </row>
    <row r="1000" spans="1:18">
      <c r="D1000" s="1" t="s">
        <v>194</v>
      </c>
      <c r="E1000" s="1" t="s">
        <v>69</v>
      </c>
      <c r="H1000" s="1" t="s">
        <v>25</v>
      </c>
      <c r="I1000" s="1" t="s">
        <v>70</v>
      </c>
      <c r="N1000" s="1">
        <v>0</v>
      </c>
      <c r="O1000" s="11"/>
      <c r="P1000" s="11"/>
      <c r="Q1000" s="11"/>
      <c r="R1000" s="11"/>
    </row>
    <row r="1001" spans="1:18">
      <c r="D1001" s="1" t="s">
        <v>194</v>
      </c>
      <c r="E1001" s="1" t="s">
        <v>186</v>
      </c>
      <c r="H1001" s="1" t="s">
        <v>22</v>
      </c>
      <c r="I1001" s="1" t="s">
        <v>65</v>
      </c>
      <c r="L1001" s="1">
        <v>1</v>
      </c>
      <c r="N1001" s="1">
        <v>3.5599999999999998E-4</v>
      </c>
      <c r="O1001" s="11"/>
      <c r="P1001" s="11"/>
      <c r="Q1001" s="11"/>
      <c r="R1001" s="11"/>
    </row>
    <row r="1002" spans="1:18">
      <c r="D1002" s="1" t="s">
        <v>194</v>
      </c>
      <c r="E1002" s="1" t="s">
        <v>71</v>
      </c>
      <c r="F1002" s="1" t="s">
        <v>52</v>
      </c>
      <c r="G1002" s="1" t="s">
        <v>53</v>
      </c>
      <c r="H1002" s="1" t="s">
        <v>22</v>
      </c>
      <c r="I1002" s="1" t="s">
        <v>65</v>
      </c>
      <c r="L1002" s="1">
        <v>7936.6414386555998</v>
      </c>
      <c r="N1002" s="1">
        <v>183317.80538679316</v>
      </c>
      <c r="O1002" s="11"/>
      <c r="P1002" s="11"/>
      <c r="Q1002" s="11"/>
      <c r="R1002" s="11"/>
    </row>
    <row r="1003" spans="1:18">
      <c r="D1003" s="1" t="s">
        <v>194</v>
      </c>
      <c r="E1003" s="1" t="s">
        <v>117</v>
      </c>
      <c r="F1003" s="1" t="s">
        <v>118</v>
      </c>
      <c r="G1003" s="1" t="s">
        <v>119</v>
      </c>
      <c r="H1003" s="1" t="s">
        <v>22</v>
      </c>
      <c r="I1003" s="1" t="s">
        <v>120</v>
      </c>
      <c r="J1003" s="1">
        <v>0</v>
      </c>
      <c r="L1003" s="1">
        <v>2.20462262185</v>
      </c>
      <c r="N1003" s="1">
        <v>0</v>
      </c>
      <c r="O1003" s="11"/>
      <c r="P1003" s="11"/>
      <c r="Q1003" s="11"/>
      <c r="R1003" s="11"/>
    </row>
    <row r="1004" spans="1:18">
      <c r="D1004" s="1" t="s">
        <v>194</v>
      </c>
      <c r="E1004" s="1" t="s">
        <v>123</v>
      </c>
      <c r="F1004" s="1" t="s">
        <v>124</v>
      </c>
      <c r="G1004" s="1" t="s">
        <v>125</v>
      </c>
      <c r="H1004" s="1" t="s">
        <v>22</v>
      </c>
      <c r="I1004" s="1" t="s">
        <v>120</v>
      </c>
      <c r="L1004" s="1">
        <v>35.314666699999997</v>
      </c>
      <c r="N1004" s="1">
        <v>0</v>
      </c>
      <c r="O1004" s="11"/>
      <c r="P1004" s="11"/>
      <c r="Q1004" s="11"/>
      <c r="R1004" s="11"/>
    </row>
    <row r="1005" spans="1:18">
      <c r="D1005" s="1" t="s">
        <v>194</v>
      </c>
      <c r="E1005" s="1" t="s">
        <v>126</v>
      </c>
      <c r="H1005" s="1" t="s">
        <v>22</v>
      </c>
      <c r="I1005" s="1" t="s">
        <v>65</v>
      </c>
      <c r="L1005" s="1">
        <v>1</v>
      </c>
      <c r="N1005" s="1">
        <v>1.0263763535864106</v>
      </c>
      <c r="O1005" s="11"/>
      <c r="P1005" s="11"/>
      <c r="Q1005" s="11"/>
      <c r="R1005" s="11"/>
    </row>
    <row r="1006" spans="1:18">
      <c r="D1006" s="1" t="s">
        <v>195</v>
      </c>
      <c r="E1006" s="1" t="s">
        <v>28</v>
      </c>
      <c r="H1006" s="1" t="s">
        <v>22</v>
      </c>
      <c r="I1006" s="1" t="s">
        <v>29</v>
      </c>
      <c r="J1006" s="1">
        <v>34000</v>
      </c>
      <c r="K1006" s="1">
        <v>4300000</v>
      </c>
      <c r="L1006" s="1">
        <v>349660</v>
      </c>
      <c r="N1006" s="1">
        <v>350000</v>
      </c>
      <c r="O1006" s="11"/>
      <c r="P1006" s="11"/>
      <c r="Q1006" s="11"/>
      <c r="R1006" s="11"/>
    </row>
    <row r="1007" spans="1:18">
      <c r="D1007" s="1" t="s">
        <v>195</v>
      </c>
      <c r="E1007" s="1" t="s">
        <v>30</v>
      </c>
      <c r="H1007" s="1" t="s">
        <v>22</v>
      </c>
      <c r="I1007" s="1" t="s">
        <v>29</v>
      </c>
      <c r="J1007" s="1">
        <v>-3.94</v>
      </c>
      <c r="K1007" s="1">
        <v>3.66</v>
      </c>
      <c r="L1007" s="1">
        <v>1</v>
      </c>
      <c r="N1007" s="1">
        <v>1.01</v>
      </c>
      <c r="O1007" s="11"/>
      <c r="P1007" s="11"/>
      <c r="Q1007" s="11"/>
      <c r="R1007" s="11"/>
    </row>
    <row r="1008" spans="1:18">
      <c r="D1008" s="1" t="s">
        <v>195</v>
      </c>
      <c r="E1008" s="1" t="s">
        <v>31</v>
      </c>
      <c r="H1008" s="1" t="s">
        <v>22</v>
      </c>
      <c r="I1008" s="1" t="s">
        <v>29</v>
      </c>
      <c r="J1008" s="1">
        <v>0</v>
      </c>
      <c r="K1008" s="1">
        <v>100</v>
      </c>
      <c r="L1008" s="1">
        <v>1</v>
      </c>
      <c r="N1008" s="1">
        <v>0</v>
      </c>
      <c r="O1008" s="11"/>
      <c r="P1008" s="11"/>
      <c r="Q1008" s="11"/>
      <c r="R1008" s="11"/>
    </row>
    <row r="1009" spans="4:18">
      <c r="D1009" s="1" t="s">
        <v>195</v>
      </c>
      <c r="E1009" s="1" t="s">
        <v>32</v>
      </c>
      <c r="H1009" s="1" t="s">
        <v>22</v>
      </c>
      <c r="I1009" s="1" t="s">
        <v>29</v>
      </c>
      <c r="J1009" s="1">
        <v>-3.94</v>
      </c>
      <c r="K1009" s="1">
        <v>3.66</v>
      </c>
      <c r="L1009" s="1">
        <v>1</v>
      </c>
      <c r="N1009" s="1">
        <v>1.01</v>
      </c>
      <c r="O1009" s="11"/>
      <c r="P1009" s="11"/>
      <c r="Q1009" s="11"/>
      <c r="R1009" s="11"/>
    </row>
    <row r="1010" spans="4:18">
      <c r="D1010" s="1" t="s">
        <v>195</v>
      </c>
      <c r="E1010" s="1" t="s">
        <v>33</v>
      </c>
      <c r="H1010" s="1" t="s">
        <v>25</v>
      </c>
      <c r="I1010" s="1" t="s">
        <v>23</v>
      </c>
      <c r="M1010" s="1" t="b">
        <v>0</v>
      </c>
      <c r="N1010" s="1">
        <v>0</v>
      </c>
      <c r="O1010" s="11"/>
      <c r="P1010" s="11"/>
      <c r="Q1010" s="11"/>
      <c r="R1010" s="11"/>
    </row>
    <row r="1011" spans="4:18">
      <c r="D1011" s="1" t="s">
        <v>195</v>
      </c>
      <c r="E1011" s="1" t="s">
        <v>34</v>
      </c>
      <c r="F1011" s="1" t="s">
        <v>35</v>
      </c>
      <c r="G1011" s="1" t="s">
        <v>36</v>
      </c>
      <c r="H1011" s="1" t="s">
        <v>22</v>
      </c>
      <c r="I1011" s="1" t="s">
        <v>23</v>
      </c>
      <c r="J1011" s="1">
        <v>-459.67</v>
      </c>
      <c r="K1011" s="1">
        <v>980.32999999999993</v>
      </c>
      <c r="L1011" s="1">
        <v>80.329999999999984</v>
      </c>
      <c r="M1011" s="1">
        <v>67.999999999999943</v>
      </c>
      <c r="N1011" s="1">
        <v>67.999999999999943</v>
      </c>
      <c r="O1011" s="11"/>
      <c r="P1011" s="11"/>
      <c r="Q1011" s="11"/>
      <c r="R1011" s="11"/>
    </row>
    <row r="1012" spans="4:18">
      <c r="D1012" s="1" t="s">
        <v>195</v>
      </c>
      <c r="E1012" s="1" t="s">
        <v>37</v>
      </c>
      <c r="H1012" s="1" t="s">
        <v>25</v>
      </c>
      <c r="I1012" s="1" t="s">
        <v>23</v>
      </c>
      <c r="M1012" s="1" t="b">
        <v>0</v>
      </c>
      <c r="N1012" s="1">
        <v>0</v>
      </c>
      <c r="O1012" s="11"/>
      <c r="P1012" s="11"/>
      <c r="Q1012" s="11"/>
      <c r="R1012" s="11"/>
    </row>
    <row r="1013" spans="4:18">
      <c r="D1013" s="1" t="s">
        <v>195</v>
      </c>
      <c r="E1013" s="1" t="s">
        <v>38</v>
      </c>
      <c r="F1013" s="1" t="s">
        <v>35</v>
      </c>
      <c r="G1013" s="1" t="s">
        <v>36</v>
      </c>
      <c r="H1013" s="1" t="s">
        <v>22</v>
      </c>
      <c r="I1013" s="1" t="s">
        <v>23</v>
      </c>
      <c r="J1013" s="1">
        <v>-99.670000000000016</v>
      </c>
      <c r="K1013" s="1">
        <v>980.32999999999993</v>
      </c>
      <c r="L1013" s="1">
        <v>80.329999999999984</v>
      </c>
      <c r="M1013" s="1">
        <v>13.999999999999943</v>
      </c>
      <c r="N1013" s="1">
        <v>13.999999999999943</v>
      </c>
      <c r="O1013" s="11"/>
      <c r="P1013" s="11"/>
      <c r="Q1013" s="11"/>
      <c r="R1013" s="11"/>
    </row>
    <row r="1014" spans="4:18">
      <c r="D1014" s="1" t="s">
        <v>195</v>
      </c>
      <c r="E1014" s="1" t="s">
        <v>39</v>
      </c>
      <c r="H1014" s="1" t="s">
        <v>25</v>
      </c>
      <c r="I1014" s="1" t="s">
        <v>23</v>
      </c>
      <c r="M1014" s="1" t="b">
        <v>0</v>
      </c>
      <c r="N1014" s="1">
        <v>0</v>
      </c>
      <c r="O1014" s="11"/>
      <c r="P1014" s="11"/>
      <c r="Q1014" s="11"/>
      <c r="R1014" s="11"/>
    </row>
    <row r="1015" spans="4:18">
      <c r="D1015" s="1" t="s">
        <v>195</v>
      </c>
      <c r="E1015" s="1" t="s">
        <v>40</v>
      </c>
      <c r="F1015" s="1" t="s">
        <v>41</v>
      </c>
      <c r="G1015" s="1" t="s">
        <v>42</v>
      </c>
      <c r="H1015" s="1" t="s">
        <v>22</v>
      </c>
      <c r="I1015" s="1" t="s">
        <v>23</v>
      </c>
      <c r="J1015" s="1">
        <v>-900</v>
      </c>
      <c r="K1015" s="1">
        <v>900</v>
      </c>
      <c r="L1015" s="1">
        <v>1.8</v>
      </c>
      <c r="M1015" s="1">
        <v>9</v>
      </c>
      <c r="N1015" s="1">
        <v>9</v>
      </c>
      <c r="O1015" s="11"/>
      <c r="P1015" s="11"/>
      <c r="Q1015" s="11"/>
      <c r="R1015" s="11"/>
    </row>
    <row r="1016" spans="4:18">
      <c r="D1016" s="1" t="s">
        <v>195</v>
      </c>
      <c r="E1016" s="1" t="s">
        <v>43</v>
      </c>
      <c r="H1016" s="1" t="s">
        <v>25</v>
      </c>
      <c r="I1016" s="1" t="s">
        <v>23</v>
      </c>
      <c r="M1016" s="1" t="b">
        <v>0</v>
      </c>
      <c r="N1016" s="1">
        <v>0</v>
      </c>
      <c r="O1016" s="11"/>
      <c r="P1016" s="11"/>
      <c r="Q1016" s="11"/>
      <c r="R1016" s="11"/>
    </row>
    <row r="1017" spans="4:18">
      <c r="D1017" s="1" t="s">
        <v>195</v>
      </c>
      <c r="E1017" s="1" t="s">
        <v>44</v>
      </c>
      <c r="F1017" s="1" t="s">
        <v>45</v>
      </c>
      <c r="G1017" s="1" t="s">
        <v>46</v>
      </c>
      <c r="H1017" s="1" t="s">
        <v>22</v>
      </c>
      <c r="I1017" s="1" t="s">
        <v>23</v>
      </c>
      <c r="J1017" s="1">
        <v>-85.984522757427143</v>
      </c>
      <c r="K1017" s="1">
        <v>8598.4522757427148</v>
      </c>
      <c r="L1017" s="1">
        <v>114.79148749423418</v>
      </c>
      <c r="M1017" s="1">
        <v>128.97678413614071</v>
      </c>
      <c r="N1017" s="1">
        <v>128.97678413614071</v>
      </c>
      <c r="O1017" s="11"/>
      <c r="P1017" s="11"/>
      <c r="Q1017" s="11"/>
      <c r="R1017" s="11"/>
    </row>
    <row r="1018" spans="4:18">
      <c r="D1018" s="1" t="s">
        <v>195</v>
      </c>
      <c r="E1018" s="1" t="s">
        <v>47</v>
      </c>
      <c r="H1018" s="1" t="s">
        <v>25</v>
      </c>
      <c r="I1018" s="1" t="s">
        <v>23</v>
      </c>
      <c r="M1018" s="1" t="b">
        <v>0</v>
      </c>
      <c r="N1018" s="1">
        <v>0</v>
      </c>
      <c r="O1018" s="11"/>
      <c r="P1018" s="11"/>
      <c r="Q1018" s="11"/>
      <c r="R1018" s="11"/>
    </row>
    <row r="1019" spans="4:18">
      <c r="D1019" s="1" t="s">
        <v>195</v>
      </c>
      <c r="E1019" s="1" t="s">
        <v>48</v>
      </c>
      <c r="H1019" s="1" t="s">
        <v>25</v>
      </c>
      <c r="I1019" s="1" t="s">
        <v>23</v>
      </c>
      <c r="M1019" s="1" t="b">
        <v>0</v>
      </c>
      <c r="N1019" s="1">
        <v>0</v>
      </c>
      <c r="O1019" s="11"/>
      <c r="P1019" s="11"/>
      <c r="Q1019" s="11"/>
      <c r="R1019" s="11"/>
    </row>
    <row r="1020" spans="4:18">
      <c r="D1020" s="1" t="s">
        <v>195</v>
      </c>
      <c r="E1020" s="1" t="s">
        <v>49</v>
      </c>
      <c r="H1020" s="1" t="s">
        <v>25</v>
      </c>
      <c r="I1020" s="1" t="s">
        <v>23</v>
      </c>
      <c r="M1020" s="1" t="b">
        <v>0</v>
      </c>
      <c r="N1020" s="1">
        <v>0</v>
      </c>
      <c r="O1020" s="11"/>
      <c r="P1020" s="11"/>
      <c r="Q1020" s="11"/>
      <c r="R1020" s="11"/>
    </row>
    <row r="1021" spans="4:18">
      <c r="D1021" s="1" t="s">
        <v>195</v>
      </c>
      <c r="E1021" s="1" t="s">
        <v>50</v>
      </c>
      <c r="H1021" s="1" t="s">
        <v>25</v>
      </c>
      <c r="I1021" s="1" t="s">
        <v>23</v>
      </c>
      <c r="M1021" s="1" t="b">
        <v>0</v>
      </c>
      <c r="N1021" s="1">
        <v>0</v>
      </c>
      <c r="O1021" s="11"/>
      <c r="P1021" s="11"/>
      <c r="Q1021" s="11"/>
      <c r="R1021" s="11"/>
    </row>
    <row r="1022" spans="4:18">
      <c r="D1022" s="1" t="s">
        <v>195</v>
      </c>
      <c r="E1022" s="1" t="s">
        <v>51</v>
      </c>
      <c r="F1022" s="1" t="s">
        <v>52</v>
      </c>
      <c r="G1022" s="1" t="s">
        <v>53</v>
      </c>
      <c r="H1022" s="1" t="s">
        <v>22</v>
      </c>
      <c r="I1022" s="1" t="s">
        <v>23</v>
      </c>
      <c r="J1022" s="1">
        <v>0</v>
      </c>
      <c r="K1022" s="1">
        <v>7936641438.6555996</v>
      </c>
      <c r="L1022" s="1">
        <v>7936.6414386555998</v>
      </c>
      <c r="M1022" s="1">
        <v>7936.6414386555998</v>
      </c>
      <c r="N1022" s="1">
        <v>7936.6414386555998</v>
      </c>
      <c r="O1022" s="11"/>
      <c r="P1022" s="11"/>
      <c r="Q1022" s="11"/>
      <c r="R1022" s="11"/>
    </row>
    <row r="1023" spans="4:18">
      <c r="D1023" s="1" t="s">
        <v>195</v>
      </c>
      <c r="E1023" s="1" t="s">
        <v>54</v>
      </c>
      <c r="H1023" s="1" t="s">
        <v>25</v>
      </c>
      <c r="I1023" s="1" t="s">
        <v>23</v>
      </c>
      <c r="M1023" s="1" t="b">
        <v>0</v>
      </c>
      <c r="N1023" s="1">
        <v>0</v>
      </c>
      <c r="O1023" s="11"/>
      <c r="P1023" s="11"/>
      <c r="Q1023" s="11"/>
      <c r="R1023" s="11"/>
    </row>
    <row r="1024" spans="4:18">
      <c r="D1024" s="1" t="s">
        <v>195</v>
      </c>
      <c r="E1024" s="1" t="s">
        <v>55</v>
      </c>
      <c r="F1024" s="1" t="s">
        <v>56</v>
      </c>
      <c r="G1024" s="1" t="s">
        <v>57</v>
      </c>
      <c r="H1024" s="1" t="s">
        <v>22</v>
      </c>
      <c r="I1024" s="1" t="s">
        <v>23</v>
      </c>
      <c r="J1024" s="1">
        <v>0</v>
      </c>
      <c r="K1024" s="1">
        <v>9427.4529524635982</v>
      </c>
      <c r="L1024" s="1">
        <v>50.713895374744951</v>
      </c>
      <c r="M1024" s="1">
        <v>50.763208205573221</v>
      </c>
      <c r="N1024" s="1">
        <v>50.763208205573221</v>
      </c>
      <c r="O1024" s="11"/>
      <c r="P1024" s="11"/>
      <c r="Q1024" s="11"/>
      <c r="R1024" s="11"/>
    </row>
    <row r="1025" spans="4:18">
      <c r="D1025" s="1" t="s">
        <v>195</v>
      </c>
      <c r="E1025" s="1" t="s">
        <v>58</v>
      </c>
      <c r="H1025" s="1" t="s">
        <v>25</v>
      </c>
      <c r="I1025" s="1" t="s">
        <v>23</v>
      </c>
      <c r="M1025" s="1" t="b">
        <v>0</v>
      </c>
      <c r="N1025" s="1">
        <v>0</v>
      </c>
      <c r="O1025" s="11"/>
      <c r="P1025" s="11"/>
      <c r="Q1025" s="11"/>
      <c r="R1025" s="11"/>
    </row>
    <row r="1026" spans="4:18">
      <c r="D1026" s="1" t="s">
        <v>195</v>
      </c>
      <c r="E1026" s="1" t="s">
        <v>59</v>
      </c>
      <c r="F1026" s="1" t="s">
        <v>60</v>
      </c>
      <c r="G1026" s="1" t="s">
        <v>61</v>
      </c>
      <c r="H1026" s="1" t="s">
        <v>22</v>
      </c>
      <c r="I1026" s="1" t="s">
        <v>23</v>
      </c>
      <c r="J1026" s="1">
        <v>-9.5538358650799999</v>
      </c>
      <c r="K1026" s="1">
        <v>9.5538358650799999</v>
      </c>
      <c r="L1026" s="1">
        <v>0.23884589662700001</v>
      </c>
      <c r="M1026" s="1">
        <v>0.23884589662700001</v>
      </c>
      <c r="N1026" s="1">
        <v>0.23884589662700001</v>
      </c>
      <c r="O1026" s="11"/>
      <c r="P1026" s="11"/>
      <c r="Q1026" s="11"/>
      <c r="R1026" s="11"/>
    </row>
    <row r="1027" spans="4:18">
      <c r="D1027" s="1" t="s">
        <v>195</v>
      </c>
      <c r="E1027" s="1" t="s">
        <v>62</v>
      </c>
      <c r="H1027" s="1" t="s">
        <v>63</v>
      </c>
      <c r="I1027" s="1" t="s">
        <v>23</v>
      </c>
      <c r="M1027" s="1">
        <v>1</v>
      </c>
      <c r="N1027" s="1">
        <v>1</v>
      </c>
      <c r="O1027" s="11"/>
      <c r="P1027" s="11"/>
      <c r="Q1027" s="11"/>
      <c r="R1027" s="11"/>
    </row>
    <row r="1028" spans="4:18">
      <c r="D1028" s="1" t="s">
        <v>195</v>
      </c>
      <c r="E1028" s="1" t="s">
        <v>64</v>
      </c>
      <c r="F1028" s="1" t="s">
        <v>35</v>
      </c>
      <c r="G1028" s="1" t="s">
        <v>36</v>
      </c>
      <c r="H1028" s="1" t="s">
        <v>22</v>
      </c>
      <c r="I1028" s="1" t="s">
        <v>65</v>
      </c>
      <c r="J1028" s="1">
        <v>-459.67</v>
      </c>
      <c r="L1028" s="1">
        <v>80.329999999999984</v>
      </c>
      <c r="N1028" s="1">
        <v>79.28376008275319</v>
      </c>
      <c r="O1028" s="11"/>
      <c r="P1028" s="11"/>
      <c r="Q1028" s="11"/>
      <c r="R1028" s="11"/>
    </row>
    <row r="1029" spans="4:18">
      <c r="D1029" s="1" t="s">
        <v>195</v>
      </c>
      <c r="E1029" s="1" t="s">
        <v>66</v>
      </c>
      <c r="F1029" s="1" t="s">
        <v>35</v>
      </c>
      <c r="G1029" s="1" t="s">
        <v>36</v>
      </c>
      <c r="H1029" s="1" t="s">
        <v>22</v>
      </c>
      <c r="I1029" s="1" t="s">
        <v>65</v>
      </c>
      <c r="J1029" s="1">
        <v>-459.67</v>
      </c>
      <c r="L1029" s="1">
        <v>80.329999999999984</v>
      </c>
      <c r="N1029" s="1">
        <v>72.188085393193376</v>
      </c>
      <c r="O1029" s="11"/>
      <c r="P1029" s="11"/>
      <c r="Q1029" s="11"/>
      <c r="R1029" s="11"/>
    </row>
    <row r="1030" spans="4:18">
      <c r="D1030" s="1" t="s">
        <v>195</v>
      </c>
      <c r="E1030" s="1" t="s">
        <v>67</v>
      </c>
      <c r="F1030" s="1" t="s">
        <v>41</v>
      </c>
      <c r="G1030" s="1" t="s">
        <v>42</v>
      </c>
      <c r="H1030" s="1" t="s">
        <v>22</v>
      </c>
      <c r="I1030" s="1" t="s">
        <v>65</v>
      </c>
      <c r="L1030" s="1">
        <v>1.8</v>
      </c>
      <c r="N1030" s="1">
        <v>7.0956746895597922</v>
      </c>
      <c r="O1030" s="11"/>
      <c r="P1030" s="11"/>
      <c r="Q1030" s="11"/>
      <c r="R1030" s="11"/>
    </row>
    <row r="1031" spans="4:18">
      <c r="D1031" s="1" t="s">
        <v>195</v>
      </c>
      <c r="E1031" s="1" t="s">
        <v>68</v>
      </c>
      <c r="F1031" s="1" t="s">
        <v>45</v>
      </c>
      <c r="G1031" s="1" t="s">
        <v>46</v>
      </c>
      <c r="H1031" s="1" t="s">
        <v>22</v>
      </c>
      <c r="I1031" s="1" t="s">
        <v>65</v>
      </c>
      <c r="L1031" s="1">
        <v>4.2992261378713571E-4</v>
      </c>
      <c r="N1031" s="1">
        <v>114.69727292989937</v>
      </c>
      <c r="O1031" s="11"/>
      <c r="P1031" s="11"/>
      <c r="Q1031" s="11"/>
      <c r="R1031" s="11"/>
    </row>
    <row r="1032" spans="4:18">
      <c r="D1032" s="1" t="s">
        <v>195</v>
      </c>
      <c r="E1032" s="1" t="s">
        <v>69</v>
      </c>
      <c r="H1032" s="1" t="s">
        <v>25</v>
      </c>
      <c r="I1032" s="1" t="s">
        <v>70</v>
      </c>
      <c r="N1032" s="1">
        <v>0</v>
      </c>
      <c r="O1032" s="11"/>
      <c r="P1032" s="11"/>
      <c r="Q1032" s="11"/>
      <c r="R1032" s="11"/>
    </row>
    <row r="1033" spans="4:18">
      <c r="D1033" s="1" t="s">
        <v>195</v>
      </c>
      <c r="E1033" s="1" t="s">
        <v>71</v>
      </c>
      <c r="F1033" s="1" t="s">
        <v>52</v>
      </c>
      <c r="G1033" s="1" t="s">
        <v>53</v>
      </c>
      <c r="H1033" s="1" t="s">
        <v>22</v>
      </c>
      <c r="I1033" s="1" t="s">
        <v>65</v>
      </c>
      <c r="L1033" s="1">
        <v>7936.6414386555998</v>
      </c>
      <c r="N1033" s="1">
        <v>183317.80538679316</v>
      </c>
      <c r="O1033" s="11"/>
      <c r="P1033" s="11"/>
      <c r="Q1033" s="11"/>
      <c r="R1033" s="11"/>
    </row>
    <row r="1034" spans="4:18">
      <c r="D1034" s="1" t="s">
        <v>195</v>
      </c>
      <c r="E1034" s="1" t="s">
        <v>72</v>
      </c>
      <c r="F1034" s="1" t="s">
        <v>56</v>
      </c>
      <c r="G1034" s="1" t="s">
        <v>57</v>
      </c>
      <c r="H1034" s="1" t="s">
        <v>22</v>
      </c>
      <c r="I1034" s="1" t="s">
        <v>65</v>
      </c>
      <c r="J1034" s="1">
        <v>0</v>
      </c>
      <c r="L1034" s="1">
        <v>14.503773773020921</v>
      </c>
      <c r="N1034" s="1">
        <v>89.048194714691306</v>
      </c>
      <c r="O1034" s="11"/>
      <c r="P1034" s="11"/>
      <c r="Q1034" s="11"/>
      <c r="R1034" s="11"/>
    </row>
    <row r="1035" spans="4:18">
      <c r="D1035" s="1" t="s">
        <v>195</v>
      </c>
      <c r="E1035" s="1" t="s">
        <v>73</v>
      </c>
      <c r="F1035" s="1" t="s">
        <v>60</v>
      </c>
      <c r="G1035" s="1" t="s">
        <v>61</v>
      </c>
      <c r="H1035" s="1" t="s">
        <v>22</v>
      </c>
      <c r="I1035" s="1" t="s">
        <v>65</v>
      </c>
      <c r="L1035" s="1">
        <v>2.38845896627E-4</v>
      </c>
      <c r="N1035" s="1">
        <v>0.22329742617406595</v>
      </c>
      <c r="O1035" s="11"/>
      <c r="P1035" s="11"/>
      <c r="Q1035" s="11"/>
      <c r="R1035" s="11"/>
    </row>
    <row r="1036" spans="4:18">
      <c r="D1036" s="1" t="s">
        <v>195</v>
      </c>
      <c r="E1036" s="1" t="s">
        <v>74</v>
      </c>
      <c r="F1036" s="1" t="s">
        <v>75</v>
      </c>
      <c r="G1036" s="1" t="s">
        <v>76</v>
      </c>
      <c r="H1036" s="1" t="s">
        <v>22</v>
      </c>
      <c r="I1036" s="1" t="s">
        <v>65</v>
      </c>
      <c r="J1036" s="1">
        <v>0</v>
      </c>
      <c r="L1036" s="1">
        <v>16.018463521800001</v>
      </c>
      <c r="N1036" s="1">
        <v>0.54952559816650515</v>
      </c>
      <c r="O1036" s="11"/>
      <c r="P1036" s="11"/>
      <c r="Q1036" s="11"/>
      <c r="R1036" s="11"/>
    </row>
    <row r="1037" spans="4:18">
      <c r="D1037" s="1" t="s">
        <v>195</v>
      </c>
      <c r="E1037" s="1" t="s">
        <v>77</v>
      </c>
      <c r="H1037" s="1" t="s">
        <v>22</v>
      </c>
      <c r="I1037" s="1" t="s">
        <v>65</v>
      </c>
      <c r="L1037" s="1">
        <v>1</v>
      </c>
      <c r="N1037" s="1">
        <v>1.0220105389096081</v>
      </c>
      <c r="O1037" s="11"/>
      <c r="P1037" s="11"/>
      <c r="Q1037" s="11"/>
      <c r="R1037" s="11"/>
    </row>
    <row r="1038" spans="4:18">
      <c r="D1038" s="1" t="s">
        <v>195</v>
      </c>
      <c r="E1038" s="1" t="s">
        <v>78</v>
      </c>
      <c r="H1038" s="1" t="s">
        <v>25</v>
      </c>
      <c r="I1038" s="1" t="s">
        <v>23</v>
      </c>
      <c r="M1038" s="1" t="b">
        <v>0</v>
      </c>
      <c r="N1038" s="1">
        <v>0</v>
      </c>
      <c r="O1038" s="11"/>
      <c r="P1038" s="11"/>
      <c r="Q1038" s="11"/>
      <c r="R1038" s="11"/>
    </row>
    <row r="1039" spans="4:18">
      <c r="D1039" s="1" t="s">
        <v>195</v>
      </c>
      <c r="E1039" s="1" t="s">
        <v>79</v>
      </c>
      <c r="F1039" s="1" t="s">
        <v>75</v>
      </c>
      <c r="G1039" s="1" t="s">
        <v>76</v>
      </c>
      <c r="H1039" s="1" t="s">
        <v>22</v>
      </c>
      <c r="I1039" s="1" t="s">
        <v>23</v>
      </c>
      <c r="J1039" s="1">
        <v>0</v>
      </c>
      <c r="K1039" s="1">
        <v>96.110781130800007</v>
      </c>
      <c r="L1039" s="1">
        <v>16.018463521800001</v>
      </c>
      <c r="M1039" s="1">
        <v>1.6018463521800002</v>
      </c>
      <c r="N1039" s="1">
        <v>1.6018463521800002</v>
      </c>
      <c r="O1039" s="11"/>
      <c r="P1039" s="11"/>
      <c r="Q1039" s="11"/>
      <c r="R1039" s="11"/>
    </row>
    <row r="1040" spans="4:18">
      <c r="D1040" s="1" t="s">
        <v>195</v>
      </c>
      <c r="E1040" s="1" t="s">
        <v>80</v>
      </c>
      <c r="H1040" s="1" t="s">
        <v>25</v>
      </c>
      <c r="I1040" s="1" t="s">
        <v>23</v>
      </c>
      <c r="M1040" s="1" t="b">
        <v>0</v>
      </c>
      <c r="N1040" s="1">
        <v>0</v>
      </c>
      <c r="O1040" s="11"/>
      <c r="P1040" s="11"/>
      <c r="Q1040" s="11"/>
      <c r="R1040" s="11"/>
    </row>
    <row r="1041" spans="1:18">
      <c r="D1041" s="1" t="s">
        <v>195</v>
      </c>
      <c r="E1041" s="1" t="s">
        <v>81</v>
      </c>
      <c r="H1041" s="1" t="s">
        <v>25</v>
      </c>
      <c r="I1041" s="1" t="s">
        <v>23</v>
      </c>
      <c r="M1041" s="1" t="b">
        <v>0</v>
      </c>
      <c r="N1041" s="1">
        <v>0</v>
      </c>
      <c r="O1041" s="11"/>
      <c r="P1041" s="11"/>
      <c r="Q1041" s="11"/>
      <c r="R1041" s="11"/>
    </row>
    <row r="1042" spans="1:18">
      <c r="D1042" s="1" t="s">
        <v>195</v>
      </c>
      <c r="E1042" s="1" t="s">
        <v>82</v>
      </c>
      <c r="H1042" s="1" t="s">
        <v>22</v>
      </c>
      <c r="I1042" s="1" t="s">
        <v>23</v>
      </c>
      <c r="J1042" s="1">
        <v>-1</v>
      </c>
      <c r="K1042" s="1">
        <v>3</v>
      </c>
      <c r="L1042" s="1">
        <v>1</v>
      </c>
      <c r="M1042" s="1">
        <v>1.01</v>
      </c>
      <c r="N1042" s="1">
        <v>1.01</v>
      </c>
      <c r="O1042" s="11"/>
      <c r="P1042" s="11"/>
      <c r="Q1042" s="11"/>
      <c r="R1042" s="11"/>
    </row>
    <row r="1043" spans="1:18">
      <c r="D1043" s="1" t="s">
        <v>196</v>
      </c>
      <c r="E1043" s="1" t="s">
        <v>171</v>
      </c>
      <c r="H1043" s="1" t="s">
        <v>22</v>
      </c>
      <c r="I1043" s="1" t="s">
        <v>23</v>
      </c>
      <c r="L1043" s="1">
        <v>1</v>
      </c>
      <c r="M1043" s="1">
        <v>3.0558000000000001</v>
      </c>
      <c r="N1043" s="1">
        <v>3.0558000000000001</v>
      </c>
      <c r="O1043" s="11"/>
      <c r="P1043" s="11"/>
      <c r="Q1043" s="11"/>
      <c r="R1043" s="11"/>
    </row>
    <row r="1044" spans="1:18">
      <c r="D1044" s="1" t="s">
        <v>196</v>
      </c>
      <c r="E1044" s="1" t="s">
        <v>172</v>
      </c>
      <c r="H1044" s="1" t="s">
        <v>22</v>
      </c>
      <c r="I1044" s="1" t="s">
        <v>29</v>
      </c>
      <c r="J1044" s="1">
        <v>0</v>
      </c>
      <c r="K1044" s="1">
        <v>10000</v>
      </c>
      <c r="L1044" s="1">
        <v>5000</v>
      </c>
      <c r="N1044" s="1">
        <v>0.15405099999999999</v>
      </c>
      <c r="O1044" s="11"/>
      <c r="P1044" s="11"/>
      <c r="Q1044" s="11"/>
      <c r="R1044" s="11"/>
    </row>
    <row r="1045" spans="1:18">
      <c r="D1045" s="1" t="s">
        <v>196</v>
      </c>
      <c r="E1045" s="1" t="s">
        <v>173</v>
      </c>
      <c r="H1045" s="1" t="s">
        <v>22</v>
      </c>
      <c r="I1045" s="1" t="s">
        <v>29</v>
      </c>
      <c r="J1045" s="1">
        <v>9.9999999999999995E-7</v>
      </c>
      <c r="K1045" s="1">
        <v>0.01</v>
      </c>
      <c r="L1045" s="1">
        <v>5.0004999999999997E-3</v>
      </c>
      <c r="N1045" s="1">
        <v>0</v>
      </c>
      <c r="O1045" s="11"/>
      <c r="P1045" s="11"/>
      <c r="Q1045" s="11"/>
      <c r="R1045" s="11"/>
    </row>
    <row r="1046" spans="1:18">
      <c r="D1046" s="1" t="s">
        <v>196</v>
      </c>
      <c r="E1046" s="1" t="s">
        <v>174</v>
      </c>
      <c r="H1046" s="1" t="s">
        <v>25</v>
      </c>
      <c r="I1046" s="1" t="s">
        <v>23</v>
      </c>
      <c r="M1046" s="1" t="b">
        <v>1</v>
      </c>
      <c r="N1046" s="1">
        <v>1</v>
      </c>
      <c r="O1046" s="11"/>
      <c r="P1046" s="11"/>
      <c r="Q1046" s="11"/>
      <c r="R1046" s="11"/>
    </row>
    <row r="1047" spans="1:18">
      <c r="A1047" s="2" t="s">
        <v>1722</v>
      </c>
      <c r="B1047" s="3" t="s">
        <v>1727</v>
      </c>
      <c r="D1047" s="1" t="s">
        <v>196</v>
      </c>
      <c r="E1047" s="1" t="s">
        <v>175</v>
      </c>
      <c r="F1047" s="1" t="s">
        <v>176</v>
      </c>
      <c r="G1047" s="1" t="s">
        <v>177</v>
      </c>
      <c r="H1047" s="1" t="s">
        <v>22</v>
      </c>
      <c r="I1047" s="1" t="s">
        <v>23</v>
      </c>
      <c r="L1047" s="1">
        <v>39.370078740157467</v>
      </c>
      <c r="M1047" s="1">
        <v>6.0649999999999977</v>
      </c>
      <c r="N1047" s="1">
        <v>6.0649999999999977</v>
      </c>
      <c r="O1047" s="11"/>
      <c r="P1047" s="11"/>
      <c r="Q1047" s="11"/>
      <c r="R1047" s="11"/>
    </row>
    <row r="1048" spans="1:18">
      <c r="D1048" s="1" t="s">
        <v>196</v>
      </c>
      <c r="E1048" s="1" t="s">
        <v>178</v>
      </c>
      <c r="H1048" s="1" t="s">
        <v>25</v>
      </c>
      <c r="I1048" s="1" t="s">
        <v>23</v>
      </c>
      <c r="M1048" s="1" t="b">
        <v>0</v>
      </c>
      <c r="N1048" s="1">
        <v>0</v>
      </c>
      <c r="O1048" s="11"/>
      <c r="P1048" s="11"/>
      <c r="Q1048" s="11"/>
      <c r="R1048" s="11"/>
    </row>
    <row r="1049" spans="1:18">
      <c r="D1049" s="1" t="s">
        <v>196</v>
      </c>
      <c r="E1049" s="1" t="s">
        <v>111</v>
      </c>
      <c r="F1049" s="1" t="s">
        <v>56</v>
      </c>
      <c r="G1049" s="1" t="s">
        <v>57</v>
      </c>
      <c r="H1049" s="1" t="s">
        <v>22</v>
      </c>
      <c r="I1049" s="1" t="s">
        <v>23</v>
      </c>
      <c r="L1049" s="1">
        <v>1.4503773773020921E-4</v>
      </c>
      <c r="M1049" s="1">
        <v>7.2518868865104604E-3</v>
      </c>
      <c r="N1049" s="1">
        <v>7.2518868865104604E-3</v>
      </c>
      <c r="O1049" s="11"/>
      <c r="P1049" s="11"/>
      <c r="Q1049" s="11"/>
      <c r="R1049" s="11"/>
    </row>
    <row r="1050" spans="1:18">
      <c r="D1050" s="1" t="s">
        <v>196</v>
      </c>
      <c r="E1050" s="1" t="s">
        <v>179</v>
      </c>
      <c r="H1050" s="1" t="s">
        <v>22</v>
      </c>
      <c r="I1050" s="1" t="s">
        <v>23</v>
      </c>
      <c r="L1050" s="1">
        <v>1</v>
      </c>
      <c r="M1050" s="1">
        <v>10000</v>
      </c>
      <c r="N1050" s="1">
        <v>10000</v>
      </c>
      <c r="O1050" s="11"/>
      <c r="P1050" s="11"/>
      <c r="Q1050" s="11"/>
      <c r="R1050" s="11"/>
    </row>
    <row r="1051" spans="1:18">
      <c r="D1051" s="1" t="s">
        <v>196</v>
      </c>
      <c r="E1051" s="1" t="s">
        <v>180</v>
      </c>
      <c r="H1051" s="1" t="s">
        <v>181</v>
      </c>
      <c r="I1051" s="1" t="s">
        <v>23</v>
      </c>
      <c r="J1051" s="1">
        <v>1</v>
      </c>
      <c r="K1051" s="1">
        <v>3</v>
      </c>
      <c r="M1051" s="1" t="s">
        <v>182</v>
      </c>
      <c r="N1051" s="1" t="s">
        <v>1816</v>
      </c>
      <c r="O1051" s="11"/>
      <c r="P1051" s="11"/>
      <c r="Q1051" s="11"/>
      <c r="R1051" s="11"/>
    </row>
    <row r="1052" spans="1:18">
      <c r="D1052" s="1" t="s">
        <v>196</v>
      </c>
      <c r="E1052" s="1" t="s">
        <v>47</v>
      </c>
      <c r="H1052" s="1" t="s">
        <v>25</v>
      </c>
      <c r="I1052" s="1" t="s">
        <v>23</v>
      </c>
      <c r="M1052" s="1" t="b">
        <v>0</v>
      </c>
      <c r="N1052" s="1">
        <v>0</v>
      </c>
      <c r="O1052" s="11"/>
      <c r="P1052" s="11"/>
      <c r="Q1052" s="11"/>
      <c r="R1052" s="11"/>
    </row>
    <row r="1053" spans="1:18">
      <c r="D1053" s="1" t="s">
        <v>196</v>
      </c>
      <c r="E1053" s="1" t="s">
        <v>183</v>
      </c>
      <c r="H1053" s="1" t="s">
        <v>25</v>
      </c>
      <c r="I1053" s="1" t="s">
        <v>23</v>
      </c>
      <c r="M1053" s="1" t="b">
        <v>1</v>
      </c>
      <c r="N1053" s="1">
        <v>1</v>
      </c>
      <c r="O1053" s="11"/>
      <c r="P1053" s="11"/>
      <c r="Q1053" s="11"/>
      <c r="R1053" s="11"/>
    </row>
    <row r="1054" spans="1:18">
      <c r="D1054" s="1" t="s">
        <v>196</v>
      </c>
      <c r="E1054" s="1" t="s">
        <v>112</v>
      </c>
      <c r="F1054" s="1" t="s">
        <v>56</v>
      </c>
      <c r="G1054" s="1" t="s">
        <v>57</v>
      </c>
      <c r="H1054" s="1" t="s">
        <v>22</v>
      </c>
      <c r="I1054" s="1" t="s">
        <v>29</v>
      </c>
      <c r="J1054" s="1">
        <v>4.9312830828271128</v>
      </c>
      <c r="K1054" s="1">
        <v>623.66227223989961</v>
      </c>
      <c r="L1054" s="1">
        <v>50.713895374744951</v>
      </c>
      <c r="N1054" s="1">
        <v>142.5216587360417</v>
      </c>
      <c r="O1054" s="11"/>
      <c r="P1054" s="11"/>
      <c r="Q1054" s="11"/>
      <c r="R1054" s="11"/>
    </row>
    <row r="1055" spans="1:18">
      <c r="D1055" s="1" t="s">
        <v>196</v>
      </c>
      <c r="E1055" s="1" t="s">
        <v>62</v>
      </c>
      <c r="H1055" s="1" t="s">
        <v>63</v>
      </c>
      <c r="I1055" s="1" t="s">
        <v>23</v>
      </c>
      <c r="M1055" s="1">
        <v>1</v>
      </c>
      <c r="N1055" s="1">
        <v>1</v>
      </c>
      <c r="O1055" s="11"/>
      <c r="P1055" s="11"/>
      <c r="Q1055" s="11"/>
      <c r="R1055" s="11"/>
    </row>
    <row r="1056" spans="1:18">
      <c r="D1056" s="1" t="s">
        <v>196</v>
      </c>
      <c r="E1056" s="1" t="s">
        <v>184</v>
      </c>
      <c r="H1056" s="1" t="s">
        <v>22</v>
      </c>
      <c r="I1056" s="1" t="s">
        <v>120</v>
      </c>
      <c r="L1056" s="1">
        <v>1</v>
      </c>
      <c r="N1056" s="1">
        <v>1</v>
      </c>
      <c r="O1056" s="11"/>
      <c r="P1056" s="11"/>
      <c r="Q1056" s="11"/>
      <c r="R1056" s="11"/>
    </row>
    <row r="1057" spans="1:18">
      <c r="D1057" s="1" t="s">
        <v>196</v>
      </c>
      <c r="E1057" s="1" t="s">
        <v>185</v>
      </c>
      <c r="F1057" s="1" t="s">
        <v>176</v>
      </c>
      <c r="G1057" s="1" t="s">
        <v>177</v>
      </c>
      <c r="H1057" s="1" t="s">
        <v>22</v>
      </c>
      <c r="I1057" s="1" t="s">
        <v>65</v>
      </c>
      <c r="L1057" s="1">
        <v>39.370078740157467</v>
      </c>
      <c r="N1057" s="1">
        <v>6.0649999999999977</v>
      </c>
      <c r="O1057" s="11"/>
      <c r="P1057" s="11"/>
      <c r="Q1057" s="11"/>
      <c r="R1057" s="11"/>
    </row>
    <row r="1058" spans="1:18">
      <c r="A1058" s="2" t="s">
        <v>1759</v>
      </c>
      <c r="B1058" s="3" t="s">
        <v>1788</v>
      </c>
      <c r="D1058" s="1" t="s">
        <v>196</v>
      </c>
      <c r="E1058" s="1" t="s">
        <v>115</v>
      </c>
      <c r="F1058" s="1" t="s">
        <v>56</v>
      </c>
      <c r="G1058" s="1" t="s">
        <v>57</v>
      </c>
      <c r="H1058" s="1" t="s">
        <v>22</v>
      </c>
      <c r="I1058" s="1" t="s">
        <v>65</v>
      </c>
      <c r="L1058" s="1">
        <v>1.4503773773020921E-4</v>
      </c>
      <c r="N1058" s="1">
        <v>0</v>
      </c>
      <c r="O1058" s="11"/>
      <c r="P1058" s="11"/>
      <c r="Q1058" s="11"/>
      <c r="R1058" s="11"/>
    </row>
    <row r="1059" spans="1:18">
      <c r="D1059" s="1" t="s">
        <v>196</v>
      </c>
      <c r="E1059" s="1" t="s">
        <v>69</v>
      </c>
      <c r="H1059" s="1" t="s">
        <v>25</v>
      </c>
      <c r="I1059" s="1" t="s">
        <v>70</v>
      </c>
      <c r="N1059" s="1">
        <v>0</v>
      </c>
      <c r="O1059" s="11"/>
      <c r="P1059" s="11"/>
      <c r="Q1059" s="11"/>
      <c r="R1059" s="11"/>
    </row>
    <row r="1060" spans="1:18">
      <c r="D1060" s="1" t="s">
        <v>196</v>
      </c>
      <c r="E1060" s="1" t="s">
        <v>186</v>
      </c>
      <c r="H1060" s="1" t="s">
        <v>22</v>
      </c>
      <c r="I1060" s="1" t="s">
        <v>65</v>
      </c>
      <c r="L1060" s="1">
        <v>1</v>
      </c>
      <c r="N1060" s="1">
        <v>0</v>
      </c>
      <c r="O1060" s="11"/>
      <c r="P1060" s="11"/>
      <c r="Q1060" s="11"/>
      <c r="R1060" s="11"/>
    </row>
    <row r="1061" spans="1:18">
      <c r="D1061" s="1" t="s">
        <v>196</v>
      </c>
      <c r="E1061" s="1" t="s">
        <v>71</v>
      </c>
      <c r="F1061" s="1" t="s">
        <v>52</v>
      </c>
      <c r="G1061" s="1" t="s">
        <v>53</v>
      </c>
      <c r="H1061" s="1" t="s">
        <v>22</v>
      </c>
      <c r="I1061" s="1" t="s">
        <v>65</v>
      </c>
      <c r="L1061" s="1">
        <v>7936.6414386555998</v>
      </c>
      <c r="N1061" s="1">
        <v>183317.80538679316</v>
      </c>
      <c r="O1061" s="11"/>
      <c r="P1061" s="11"/>
      <c r="Q1061" s="11"/>
      <c r="R1061" s="11"/>
    </row>
    <row r="1062" spans="1:18">
      <c r="D1062" s="1" t="s">
        <v>196</v>
      </c>
      <c r="E1062" s="1" t="s">
        <v>117</v>
      </c>
      <c r="F1062" s="1" t="s">
        <v>118</v>
      </c>
      <c r="G1062" s="1" t="s">
        <v>119</v>
      </c>
      <c r="H1062" s="1" t="s">
        <v>22</v>
      </c>
      <c r="I1062" s="1" t="s">
        <v>120</v>
      </c>
      <c r="J1062" s="1">
        <v>0</v>
      </c>
      <c r="L1062" s="1">
        <v>2.20462262185</v>
      </c>
      <c r="N1062" s="1">
        <v>0</v>
      </c>
      <c r="O1062" s="11"/>
      <c r="P1062" s="11"/>
      <c r="Q1062" s="11"/>
      <c r="R1062" s="11"/>
    </row>
    <row r="1063" spans="1:18">
      <c r="D1063" s="1" t="s">
        <v>196</v>
      </c>
      <c r="E1063" s="1" t="s">
        <v>123</v>
      </c>
      <c r="F1063" s="1" t="s">
        <v>124</v>
      </c>
      <c r="G1063" s="1" t="s">
        <v>125</v>
      </c>
      <c r="H1063" s="1" t="s">
        <v>22</v>
      </c>
      <c r="I1063" s="1" t="s">
        <v>120</v>
      </c>
      <c r="L1063" s="1">
        <v>35.314666699999997</v>
      </c>
      <c r="N1063" s="1">
        <v>0</v>
      </c>
      <c r="O1063" s="11"/>
      <c r="P1063" s="11"/>
      <c r="Q1063" s="11"/>
      <c r="R1063" s="11"/>
    </row>
    <row r="1064" spans="1:18">
      <c r="D1064" s="1" t="s">
        <v>196</v>
      </c>
      <c r="E1064" s="1" t="s">
        <v>126</v>
      </c>
      <c r="H1064" s="1" t="s">
        <v>22</v>
      </c>
      <c r="I1064" s="1" t="s">
        <v>65</v>
      </c>
      <c r="L1064" s="1">
        <v>1</v>
      </c>
      <c r="N1064" s="1">
        <v>1.0443848500673389</v>
      </c>
      <c r="O1064" s="11"/>
      <c r="P1064" s="11"/>
      <c r="Q1064" s="11"/>
      <c r="R1064" s="11"/>
    </row>
    <row r="1065" spans="1:18">
      <c r="D1065" s="1" t="s">
        <v>197</v>
      </c>
      <c r="E1065" s="1" t="s">
        <v>171</v>
      </c>
      <c r="H1065" s="1" t="s">
        <v>22</v>
      </c>
      <c r="I1065" s="1" t="s">
        <v>23</v>
      </c>
      <c r="L1065" s="1">
        <v>1</v>
      </c>
      <c r="M1065" s="1">
        <v>3.0558000000000001</v>
      </c>
      <c r="N1065" s="1">
        <v>3.0558000000000001</v>
      </c>
      <c r="O1065" s="11"/>
      <c r="P1065" s="11"/>
      <c r="Q1065" s="11"/>
      <c r="R1065" s="11"/>
    </row>
    <row r="1066" spans="1:18">
      <c r="D1066" s="1" t="s">
        <v>197</v>
      </c>
      <c r="E1066" s="1" t="s">
        <v>172</v>
      </c>
      <c r="H1066" s="1" t="s">
        <v>22</v>
      </c>
      <c r="I1066" s="1" t="s">
        <v>29</v>
      </c>
      <c r="J1066" s="1">
        <v>0</v>
      </c>
      <c r="K1066" s="1">
        <v>10000</v>
      </c>
      <c r="L1066" s="1">
        <v>5000</v>
      </c>
      <c r="N1066" s="1">
        <v>0.20271739999999999</v>
      </c>
      <c r="O1066" s="11"/>
      <c r="P1066" s="11"/>
      <c r="Q1066" s="11"/>
      <c r="R1066" s="11"/>
    </row>
    <row r="1067" spans="1:18">
      <c r="D1067" s="1" t="s">
        <v>197</v>
      </c>
      <c r="E1067" s="1" t="s">
        <v>173</v>
      </c>
      <c r="H1067" s="1" t="s">
        <v>22</v>
      </c>
      <c r="I1067" s="1" t="s">
        <v>29</v>
      </c>
      <c r="J1067" s="1">
        <v>9.9999999999999995E-7</v>
      </c>
      <c r="K1067" s="1">
        <v>0.01</v>
      </c>
      <c r="L1067" s="1">
        <v>5.0004999999999997E-3</v>
      </c>
      <c r="N1067" s="1">
        <v>1.15E-4</v>
      </c>
      <c r="O1067" s="11"/>
      <c r="P1067" s="11"/>
      <c r="Q1067" s="11"/>
      <c r="R1067" s="11"/>
    </row>
    <row r="1068" spans="1:18">
      <c r="D1068" s="1" t="s">
        <v>197</v>
      </c>
      <c r="E1068" s="1" t="s">
        <v>174</v>
      </c>
      <c r="H1068" s="1" t="s">
        <v>25</v>
      </c>
      <c r="I1068" s="1" t="s">
        <v>23</v>
      </c>
      <c r="M1068" s="1" t="b">
        <v>1</v>
      </c>
      <c r="N1068" s="1">
        <v>1</v>
      </c>
      <c r="O1068" s="11"/>
      <c r="P1068" s="11"/>
      <c r="Q1068" s="11"/>
      <c r="R1068" s="11"/>
    </row>
    <row r="1069" spans="1:18">
      <c r="A1069" s="2" t="s">
        <v>1722</v>
      </c>
      <c r="B1069" s="3" t="s">
        <v>1728</v>
      </c>
      <c r="D1069" s="1" t="s">
        <v>197</v>
      </c>
      <c r="E1069" s="1" t="s">
        <v>175</v>
      </c>
      <c r="F1069" s="1" t="s">
        <v>176</v>
      </c>
      <c r="G1069" s="1" t="s">
        <v>177</v>
      </c>
      <c r="H1069" s="1" t="s">
        <v>22</v>
      </c>
      <c r="I1069" s="1" t="s">
        <v>23</v>
      </c>
      <c r="L1069" s="1">
        <v>39.370078740157467</v>
      </c>
      <c r="M1069" s="1">
        <v>7.9809999999999972</v>
      </c>
      <c r="N1069" s="1">
        <v>7.9809999999999972</v>
      </c>
      <c r="O1069" s="11"/>
      <c r="P1069" s="11"/>
      <c r="Q1069" s="11"/>
      <c r="R1069" s="11"/>
    </row>
    <row r="1070" spans="1:18">
      <c r="D1070" s="1" t="s">
        <v>197</v>
      </c>
      <c r="E1070" s="1" t="s">
        <v>178</v>
      </c>
      <c r="H1070" s="1" t="s">
        <v>25</v>
      </c>
      <c r="I1070" s="1" t="s">
        <v>23</v>
      </c>
      <c r="M1070" s="1" t="b">
        <v>0</v>
      </c>
      <c r="N1070" s="1">
        <v>0</v>
      </c>
      <c r="O1070" s="11"/>
      <c r="P1070" s="11"/>
      <c r="Q1070" s="11"/>
      <c r="R1070" s="11"/>
    </row>
    <row r="1071" spans="1:18">
      <c r="D1071" s="1" t="s">
        <v>197</v>
      </c>
      <c r="E1071" s="1" t="s">
        <v>111</v>
      </c>
      <c r="F1071" s="1" t="s">
        <v>56</v>
      </c>
      <c r="G1071" s="1" t="s">
        <v>57</v>
      </c>
      <c r="H1071" s="1" t="s">
        <v>22</v>
      </c>
      <c r="I1071" s="1" t="s">
        <v>23</v>
      </c>
      <c r="L1071" s="1">
        <v>1.4503773773020921E-4</v>
      </c>
      <c r="M1071" s="1">
        <v>7.2518868865104604E-3</v>
      </c>
      <c r="N1071" s="1">
        <v>7.2518868865104604E-3</v>
      </c>
      <c r="O1071" s="11"/>
      <c r="P1071" s="11"/>
      <c r="Q1071" s="11"/>
      <c r="R1071" s="11"/>
    </row>
    <row r="1072" spans="1:18">
      <c r="D1072" s="1" t="s">
        <v>197</v>
      </c>
      <c r="E1072" s="1" t="s">
        <v>179</v>
      </c>
      <c r="H1072" s="1" t="s">
        <v>22</v>
      </c>
      <c r="I1072" s="1" t="s">
        <v>23</v>
      </c>
      <c r="L1072" s="1">
        <v>1</v>
      </c>
      <c r="M1072" s="1">
        <v>10000</v>
      </c>
      <c r="N1072" s="1">
        <v>10000</v>
      </c>
      <c r="O1072" s="11"/>
      <c r="P1072" s="11"/>
      <c r="Q1072" s="11"/>
      <c r="R1072" s="11"/>
    </row>
    <row r="1073" spans="1:18">
      <c r="D1073" s="1" t="s">
        <v>197</v>
      </c>
      <c r="E1073" s="1" t="s">
        <v>180</v>
      </c>
      <c r="H1073" s="1" t="s">
        <v>181</v>
      </c>
      <c r="I1073" s="1" t="s">
        <v>23</v>
      </c>
      <c r="J1073" s="1">
        <v>1</v>
      </c>
      <c r="K1073" s="1">
        <v>3</v>
      </c>
      <c r="M1073" s="1" t="s">
        <v>182</v>
      </c>
      <c r="N1073" s="1" t="s">
        <v>1816</v>
      </c>
      <c r="O1073" s="11"/>
      <c r="P1073" s="11"/>
      <c r="Q1073" s="11"/>
      <c r="R1073" s="11"/>
    </row>
    <row r="1074" spans="1:18">
      <c r="D1074" s="1" t="s">
        <v>197</v>
      </c>
      <c r="E1074" s="1" t="s">
        <v>47</v>
      </c>
      <c r="H1074" s="1" t="s">
        <v>25</v>
      </c>
      <c r="I1074" s="1" t="s">
        <v>23</v>
      </c>
      <c r="M1074" s="1" t="b">
        <v>0</v>
      </c>
      <c r="N1074" s="1">
        <v>0</v>
      </c>
      <c r="O1074" s="11"/>
      <c r="P1074" s="11"/>
      <c r="Q1074" s="11"/>
      <c r="R1074" s="11"/>
    </row>
    <row r="1075" spans="1:18">
      <c r="D1075" s="1" t="s">
        <v>197</v>
      </c>
      <c r="E1075" s="1" t="s">
        <v>183</v>
      </c>
      <c r="H1075" s="1" t="s">
        <v>25</v>
      </c>
      <c r="I1075" s="1" t="s">
        <v>23</v>
      </c>
      <c r="M1075" s="1" t="b">
        <v>1</v>
      </c>
      <c r="N1075" s="1">
        <v>1</v>
      </c>
      <c r="O1075" s="11"/>
      <c r="P1075" s="11"/>
      <c r="Q1075" s="11"/>
      <c r="R1075" s="11"/>
    </row>
    <row r="1076" spans="1:18">
      <c r="D1076" s="1" t="s">
        <v>197</v>
      </c>
      <c r="E1076" s="1" t="s">
        <v>189</v>
      </c>
      <c r="H1076" s="1" t="s">
        <v>22</v>
      </c>
      <c r="I1076" s="1" t="s">
        <v>23</v>
      </c>
      <c r="L1076" s="1">
        <v>1</v>
      </c>
      <c r="M1076" s="1">
        <v>1.15E-4</v>
      </c>
      <c r="N1076" s="1">
        <v>1.15E-4</v>
      </c>
      <c r="O1076" s="11"/>
      <c r="P1076" s="11"/>
      <c r="Q1076" s="11"/>
      <c r="R1076" s="11"/>
    </row>
    <row r="1077" spans="1:18">
      <c r="D1077" s="1" t="s">
        <v>197</v>
      </c>
      <c r="E1077" s="1" t="s">
        <v>112</v>
      </c>
      <c r="F1077" s="1" t="s">
        <v>56</v>
      </c>
      <c r="G1077" s="1" t="s">
        <v>57</v>
      </c>
      <c r="H1077" s="1" t="s">
        <v>22</v>
      </c>
      <c r="I1077" s="1" t="s">
        <v>29</v>
      </c>
      <c r="J1077" s="1">
        <v>4.9312830828271128</v>
      </c>
      <c r="K1077" s="1">
        <v>623.66227223989961</v>
      </c>
      <c r="L1077" s="1">
        <v>50.713895374744951</v>
      </c>
      <c r="N1077" s="1">
        <v>52.365935601344113</v>
      </c>
      <c r="O1077" s="11"/>
      <c r="P1077" s="11"/>
      <c r="Q1077" s="11"/>
      <c r="R1077" s="11"/>
    </row>
    <row r="1078" spans="1:18">
      <c r="D1078" s="1" t="s">
        <v>197</v>
      </c>
      <c r="E1078" s="1" t="s">
        <v>62</v>
      </c>
      <c r="H1078" s="1" t="s">
        <v>63</v>
      </c>
      <c r="I1078" s="1" t="s">
        <v>23</v>
      </c>
      <c r="M1078" s="1">
        <v>1</v>
      </c>
      <c r="N1078" s="1">
        <v>1</v>
      </c>
      <c r="O1078" s="11"/>
      <c r="P1078" s="11"/>
      <c r="Q1078" s="11"/>
      <c r="R1078" s="11"/>
    </row>
    <row r="1079" spans="1:18">
      <c r="D1079" s="1" t="s">
        <v>197</v>
      </c>
      <c r="E1079" s="1" t="s">
        <v>184</v>
      </c>
      <c r="H1079" s="1" t="s">
        <v>22</v>
      </c>
      <c r="I1079" s="1" t="s">
        <v>120</v>
      </c>
      <c r="L1079" s="1">
        <v>1</v>
      </c>
      <c r="N1079" s="1">
        <v>1</v>
      </c>
      <c r="O1079" s="11"/>
      <c r="P1079" s="11"/>
      <c r="Q1079" s="11"/>
      <c r="R1079" s="11"/>
    </row>
    <row r="1080" spans="1:18">
      <c r="D1080" s="1" t="s">
        <v>197</v>
      </c>
      <c r="E1080" s="1" t="s">
        <v>185</v>
      </c>
      <c r="F1080" s="1" t="s">
        <v>176</v>
      </c>
      <c r="G1080" s="1" t="s">
        <v>177</v>
      </c>
      <c r="H1080" s="1" t="s">
        <v>22</v>
      </c>
      <c r="I1080" s="1" t="s">
        <v>65</v>
      </c>
      <c r="L1080" s="1">
        <v>39.370078740157467</v>
      </c>
      <c r="N1080" s="1">
        <v>7.9809999999999972</v>
      </c>
      <c r="O1080" s="11"/>
      <c r="P1080" s="11"/>
      <c r="Q1080" s="11"/>
      <c r="R1080" s="11"/>
    </row>
    <row r="1081" spans="1:18">
      <c r="A1081" s="2" t="s">
        <v>1759</v>
      </c>
      <c r="B1081" s="3" t="s">
        <v>1789</v>
      </c>
      <c r="D1081" s="1" t="s">
        <v>197</v>
      </c>
      <c r="E1081" s="1" t="s">
        <v>115</v>
      </c>
      <c r="F1081" s="1" t="s">
        <v>56</v>
      </c>
      <c r="G1081" s="1" t="s">
        <v>57</v>
      </c>
      <c r="H1081" s="1" t="s">
        <v>22</v>
      </c>
      <c r="I1081" s="1" t="s">
        <v>65</v>
      </c>
      <c r="L1081" s="1">
        <v>1.4503773773020921E-4</v>
      </c>
      <c r="N1081" s="1">
        <v>1.8564384770781208</v>
      </c>
      <c r="O1081" s="11"/>
      <c r="P1081" s="11"/>
      <c r="Q1081" s="11"/>
      <c r="R1081" s="11"/>
    </row>
    <row r="1082" spans="1:18">
      <c r="D1082" s="1" t="s">
        <v>197</v>
      </c>
      <c r="E1082" s="1" t="s">
        <v>69</v>
      </c>
      <c r="H1082" s="1" t="s">
        <v>25</v>
      </c>
      <c r="I1082" s="1" t="s">
        <v>70</v>
      </c>
      <c r="N1082" s="1">
        <v>0</v>
      </c>
      <c r="O1082" s="11"/>
      <c r="P1082" s="11"/>
      <c r="Q1082" s="11"/>
      <c r="R1082" s="11"/>
    </row>
    <row r="1083" spans="1:18">
      <c r="D1083" s="1" t="s">
        <v>197</v>
      </c>
      <c r="E1083" s="1" t="s">
        <v>186</v>
      </c>
      <c r="H1083" s="1" t="s">
        <v>22</v>
      </c>
      <c r="I1083" s="1" t="s">
        <v>65</v>
      </c>
      <c r="L1083" s="1">
        <v>1</v>
      </c>
      <c r="N1083" s="1">
        <v>1.15E-4</v>
      </c>
      <c r="O1083" s="11"/>
      <c r="P1083" s="11"/>
      <c r="Q1083" s="11"/>
      <c r="R1083" s="11"/>
    </row>
    <row r="1084" spans="1:18">
      <c r="D1084" s="1" t="s">
        <v>197</v>
      </c>
      <c r="E1084" s="1" t="s">
        <v>71</v>
      </c>
      <c r="F1084" s="1" t="s">
        <v>52</v>
      </c>
      <c r="G1084" s="1" t="s">
        <v>53</v>
      </c>
      <c r="H1084" s="1" t="s">
        <v>22</v>
      </c>
      <c r="I1084" s="1" t="s">
        <v>65</v>
      </c>
      <c r="L1084" s="1">
        <v>7936.6414386555998</v>
      </c>
      <c r="N1084" s="1">
        <v>167734.2151113626</v>
      </c>
      <c r="O1084" s="11"/>
      <c r="P1084" s="11"/>
      <c r="Q1084" s="11"/>
      <c r="R1084" s="11"/>
    </row>
    <row r="1085" spans="1:18">
      <c r="D1085" s="1" t="s">
        <v>197</v>
      </c>
      <c r="E1085" s="1" t="s">
        <v>117</v>
      </c>
      <c r="F1085" s="1" t="s">
        <v>118</v>
      </c>
      <c r="G1085" s="1" t="s">
        <v>119</v>
      </c>
      <c r="H1085" s="1" t="s">
        <v>22</v>
      </c>
      <c r="I1085" s="1" t="s">
        <v>120</v>
      </c>
      <c r="J1085" s="1">
        <v>0</v>
      </c>
      <c r="L1085" s="1">
        <v>2.20462262185</v>
      </c>
      <c r="N1085" s="1">
        <v>0</v>
      </c>
      <c r="O1085" s="11"/>
      <c r="P1085" s="11"/>
      <c r="Q1085" s="11"/>
      <c r="R1085" s="11"/>
    </row>
    <row r="1086" spans="1:18">
      <c r="D1086" s="1" t="s">
        <v>197</v>
      </c>
      <c r="E1086" s="1" t="s">
        <v>123</v>
      </c>
      <c r="F1086" s="1" t="s">
        <v>124</v>
      </c>
      <c r="G1086" s="1" t="s">
        <v>125</v>
      </c>
      <c r="H1086" s="1" t="s">
        <v>22</v>
      </c>
      <c r="I1086" s="1" t="s">
        <v>120</v>
      </c>
      <c r="L1086" s="1">
        <v>35.314666699999997</v>
      </c>
      <c r="N1086" s="1">
        <v>0</v>
      </c>
      <c r="O1086" s="11"/>
      <c r="P1086" s="11"/>
      <c r="Q1086" s="11"/>
      <c r="R1086" s="11"/>
    </row>
    <row r="1087" spans="1:18">
      <c r="D1087" s="1" t="s">
        <v>197</v>
      </c>
      <c r="E1087" s="1" t="s">
        <v>126</v>
      </c>
      <c r="H1087" s="1" t="s">
        <v>22</v>
      </c>
      <c r="I1087" s="1" t="s">
        <v>65</v>
      </c>
      <c r="L1087" s="1">
        <v>1</v>
      </c>
      <c r="N1087" s="1">
        <v>0.99311498100391227</v>
      </c>
      <c r="O1087" s="11"/>
      <c r="P1087" s="11"/>
      <c r="Q1087" s="11"/>
      <c r="R1087" s="11"/>
    </row>
    <row r="1088" spans="1:18">
      <c r="D1088" s="1" t="s">
        <v>198</v>
      </c>
      <c r="E1088" s="1" t="s">
        <v>28</v>
      </c>
      <c r="H1088" s="1" t="s">
        <v>22</v>
      </c>
      <c r="I1088" s="1" t="s">
        <v>29</v>
      </c>
      <c r="J1088" s="1">
        <v>34000</v>
      </c>
      <c r="K1088" s="1">
        <v>4300000</v>
      </c>
      <c r="L1088" s="1">
        <v>349660</v>
      </c>
      <c r="N1088" s="1">
        <v>350000</v>
      </c>
      <c r="O1088" s="11"/>
      <c r="P1088" s="11"/>
      <c r="Q1088" s="11"/>
      <c r="R1088" s="11"/>
    </row>
    <row r="1089" spans="4:18">
      <c r="D1089" s="1" t="s">
        <v>198</v>
      </c>
      <c r="E1089" s="1" t="s">
        <v>30</v>
      </c>
      <c r="H1089" s="1" t="s">
        <v>22</v>
      </c>
      <c r="I1089" s="1" t="s">
        <v>29</v>
      </c>
      <c r="J1089" s="1">
        <v>-3.94</v>
      </c>
      <c r="K1089" s="1">
        <v>3.66</v>
      </c>
      <c r="L1089" s="1">
        <v>1</v>
      </c>
      <c r="N1089" s="1">
        <v>1.01</v>
      </c>
      <c r="O1089" s="11"/>
      <c r="P1089" s="11"/>
      <c r="Q1089" s="11"/>
      <c r="R1089" s="11"/>
    </row>
    <row r="1090" spans="4:18">
      <c r="D1090" s="1" t="s">
        <v>198</v>
      </c>
      <c r="E1090" s="1" t="s">
        <v>31</v>
      </c>
      <c r="H1090" s="1" t="s">
        <v>22</v>
      </c>
      <c r="I1090" s="1" t="s">
        <v>29</v>
      </c>
      <c r="J1090" s="1">
        <v>0</v>
      </c>
      <c r="K1090" s="1">
        <v>100</v>
      </c>
      <c r="L1090" s="1">
        <v>1</v>
      </c>
      <c r="N1090" s="1">
        <v>0</v>
      </c>
      <c r="O1090" s="11"/>
      <c r="P1090" s="11"/>
      <c r="Q1090" s="11"/>
      <c r="R1090" s="11"/>
    </row>
    <row r="1091" spans="4:18">
      <c r="D1091" s="1" t="s">
        <v>198</v>
      </c>
      <c r="E1091" s="1" t="s">
        <v>32</v>
      </c>
      <c r="H1091" s="1" t="s">
        <v>22</v>
      </c>
      <c r="I1091" s="1" t="s">
        <v>29</v>
      </c>
      <c r="J1091" s="1">
        <v>-3.94</v>
      </c>
      <c r="K1091" s="1">
        <v>3.66</v>
      </c>
      <c r="L1091" s="1">
        <v>1</v>
      </c>
      <c r="N1091" s="1">
        <v>1.01</v>
      </c>
      <c r="O1091" s="11"/>
      <c r="P1091" s="11"/>
      <c r="Q1091" s="11"/>
      <c r="R1091" s="11"/>
    </row>
    <row r="1092" spans="4:18">
      <c r="D1092" s="1" t="s">
        <v>198</v>
      </c>
      <c r="E1092" s="1" t="s">
        <v>33</v>
      </c>
      <c r="H1092" s="1" t="s">
        <v>25</v>
      </c>
      <c r="I1092" s="1" t="s">
        <v>23</v>
      </c>
      <c r="M1092" s="1" t="b">
        <v>0</v>
      </c>
      <c r="N1092" s="1">
        <v>0</v>
      </c>
      <c r="O1092" s="11"/>
      <c r="P1092" s="11"/>
      <c r="Q1092" s="11"/>
      <c r="R1092" s="11"/>
    </row>
    <row r="1093" spans="4:18">
      <c r="D1093" s="1" t="s">
        <v>198</v>
      </c>
      <c r="E1093" s="1" t="s">
        <v>34</v>
      </c>
      <c r="F1093" s="1" t="s">
        <v>35</v>
      </c>
      <c r="G1093" s="1" t="s">
        <v>36</v>
      </c>
      <c r="H1093" s="1" t="s">
        <v>22</v>
      </c>
      <c r="I1093" s="1" t="s">
        <v>23</v>
      </c>
      <c r="J1093" s="1">
        <v>-459.67</v>
      </c>
      <c r="K1093" s="1">
        <v>980.32999999999993</v>
      </c>
      <c r="L1093" s="1">
        <v>80.329999999999984</v>
      </c>
      <c r="M1093" s="1">
        <v>67.999999999999943</v>
      </c>
      <c r="N1093" s="1">
        <v>67.999999999999943</v>
      </c>
      <c r="O1093" s="11"/>
      <c r="P1093" s="11"/>
      <c r="Q1093" s="11"/>
      <c r="R1093" s="11"/>
    </row>
    <row r="1094" spans="4:18">
      <c r="D1094" s="1" t="s">
        <v>198</v>
      </c>
      <c r="E1094" s="1" t="s">
        <v>37</v>
      </c>
      <c r="H1094" s="1" t="s">
        <v>25</v>
      </c>
      <c r="I1094" s="1" t="s">
        <v>23</v>
      </c>
      <c r="M1094" s="1" t="b">
        <v>0</v>
      </c>
      <c r="N1094" s="1">
        <v>0</v>
      </c>
      <c r="O1094" s="11"/>
      <c r="P1094" s="11"/>
      <c r="Q1094" s="11"/>
      <c r="R1094" s="11"/>
    </row>
    <row r="1095" spans="4:18">
      <c r="D1095" s="1" t="s">
        <v>198</v>
      </c>
      <c r="E1095" s="1" t="s">
        <v>38</v>
      </c>
      <c r="F1095" s="1" t="s">
        <v>35</v>
      </c>
      <c r="G1095" s="1" t="s">
        <v>36</v>
      </c>
      <c r="H1095" s="1" t="s">
        <v>22</v>
      </c>
      <c r="I1095" s="1" t="s">
        <v>23</v>
      </c>
      <c r="J1095" s="1">
        <v>-99.670000000000016</v>
      </c>
      <c r="K1095" s="1">
        <v>980.32999999999993</v>
      </c>
      <c r="L1095" s="1">
        <v>80.329999999999984</v>
      </c>
      <c r="M1095" s="1">
        <v>13.999999999999943</v>
      </c>
      <c r="N1095" s="1">
        <v>13.999999999999943</v>
      </c>
      <c r="O1095" s="11"/>
      <c r="P1095" s="11"/>
      <c r="Q1095" s="11"/>
      <c r="R1095" s="11"/>
    </row>
    <row r="1096" spans="4:18">
      <c r="D1096" s="1" t="s">
        <v>198</v>
      </c>
      <c r="E1096" s="1" t="s">
        <v>39</v>
      </c>
      <c r="H1096" s="1" t="s">
        <v>25</v>
      </c>
      <c r="I1096" s="1" t="s">
        <v>23</v>
      </c>
      <c r="M1096" s="1" t="b">
        <v>0</v>
      </c>
      <c r="N1096" s="1">
        <v>0</v>
      </c>
      <c r="O1096" s="11"/>
      <c r="P1096" s="11"/>
      <c r="Q1096" s="11"/>
      <c r="R1096" s="11"/>
    </row>
    <row r="1097" spans="4:18">
      <c r="D1097" s="1" t="s">
        <v>198</v>
      </c>
      <c r="E1097" s="1" t="s">
        <v>40</v>
      </c>
      <c r="F1097" s="1" t="s">
        <v>41</v>
      </c>
      <c r="G1097" s="1" t="s">
        <v>42</v>
      </c>
      <c r="H1097" s="1" t="s">
        <v>22</v>
      </c>
      <c r="I1097" s="1" t="s">
        <v>23</v>
      </c>
      <c r="J1097" s="1">
        <v>-900</v>
      </c>
      <c r="K1097" s="1">
        <v>900</v>
      </c>
      <c r="L1097" s="1">
        <v>1.8</v>
      </c>
      <c r="M1097" s="1">
        <v>9</v>
      </c>
      <c r="N1097" s="1">
        <v>9</v>
      </c>
      <c r="O1097" s="11"/>
      <c r="P1097" s="11"/>
      <c r="Q1097" s="11"/>
      <c r="R1097" s="11"/>
    </row>
    <row r="1098" spans="4:18">
      <c r="D1098" s="1" t="s">
        <v>198</v>
      </c>
      <c r="E1098" s="1" t="s">
        <v>43</v>
      </c>
      <c r="H1098" s="1" t="s">
        <v>25</v>
      </c>
      <c r="I1098" s="1" t="s">
        <v>23</v>
      </c>
      <c r="M1098" s="1" t="b">
        <v>0</v>
      </c>
      <c r="N1098" s="1">
        <v>0</v>
      </c>
      <c r="O1098" s="11"/>
      <c r="P1098" s="11"/>
      <c r="Q1098" s="11"/>
      <c r="R1098" s="11"/>
    </row>
    <row r="1099" spans="4:18">
      <c r="D1099" s="1" t="s">
        <v>198</v>
      </c>
      <c r="E1099" s="1" t="s">
        <v>44</v>
      </c>
      <c r="F1099" s="1" t="s">
        <v>45</v>
      </c>
      <c r="G1099" s="1" t="s">
        <v>46</v>
      </c>
      <c r="H1099" s="1" t="s">
        <v>22</v>
      </c>
      <c r="I1099" s="1" t="s">
        <v>23</v>
      </c>
      <c r="J1099" s="1">
        <v>-85.984522757427143</v>
      </c>
      <c r="K1099" s="1">
        <v>8598.4522757427148</v>
      </c>
      <c r="L1099" s="1">
        <v>114.79148749423418</v>
      </c>
      <c r="M1099" s="1">
        <v>128.97678413614071</v>
      </c>
      <c r="N1099" s="1">
        <v>128.97678413614071</v>
      </c>
      <c r="O1099" s="11"/>
      <c r="P1099" s="11"/>
      <c r="Q1099" s="11"/>
      <c r="R1099" s="11"/>
    </row>
    <row r="1100" spans="4:18">
      <c r="D1100" s="1" t="s">
        <v>198</v>
      </c>
      <c r="E1100" s="1" t="s">
        <v>47</v>
      </c>
      <c r="H1100" s="1" t="s">
        <v>25</v>
      </c>
      <c r="I1100" s="1" t="s">
        <v>23</v>
      </c>
      <c r="M1100" s="1" t="b">
        <v>0</v>
      </c>
      <c r="N1100" s="1">
        <v>0</v>
      </c>
      <c r="O1100" s="11"/>
      <c r="P1100" s="11"/>
      <c r="Q1100" s="11"/>
      <c r="R1100" s="11"/>
    </row>
    <row r="1101" spans="4:18">
      <c r="D1101" s="1" t="s">
        <v>198</v>
      </c>
      <c r="E1101" s="1" t="s">
        <v>48</v>
      </c>
      <c r="H1101" s="1" t="s">
        <v>25</v>
      </c>
      <c r="I1101" s="1" t="s">
        <v>23</v>
      </c>
      <c r="M1101" s="1" t="b">
        <v>0</v>
      </c>
      <c r="N1101" s="1">
        <v>0</v>
      </c>
      <c r="O1101" s="11"/>
      <c r="P1101" s="11"/>
      <c r="Q1101" s="11"/>
      <c r="R1101" s="11"/>
    </row>
    <row r="1102" spans="4:18">
      <c r="D1102" s="1" t="s">
        <v>198</v>
      </c>
      <c r="E1102" s="1" t="s">
        <v>49</v>
      </c>
      <c r="H1102" s="1" t="s">
        <v>25</v>
      </c>
      <c r="I1102" s="1" t="s">
        <v>23</v>
      </c>
      <c r="M1102" s="1" t="b">
        <v>0</v>
      </c>
      <c r="N1102" s="1">
        <v>0</v>
      </c>
      <c r="O1102" s="11"/>
      <c r="P1102" s="11"/>
      <c r="Q1102" s="11"/>
      <c r="R1102" s="11"/>
    </row>
    <row r="1103" spans="4:18">
      <c r="D1103" s="1" t="s">
        <v>198</v>
      </c>
      <c r="E1103" s="1" t="s">
        <v>50</v>
      </c>
      <c r="H1103" s="1" t="s">
        <v>25</v>
      </c>
      <c r="I1103" s="1" t="s">
        <v>23</v>
      </c>
      <c r="M1103" s="1" t="b">
        <v>0</v>
      </c>
      <c r="N1103" s="1">
        <v>0</v>
      </c>
      <c r="O1103" s="11"/>
      <c r="P1103" s="11"/>
      <c r="Q1103" s="11"/>
      <c r="R1103" s="11"/>
    </row>
    <row r="1104" spans="4:18">
      <c r="D1104" s="1" t="s">
        <v>198</v>
      </c>
      <c r="E1104" s="1" t="s">
        <v>51</v>
      </c>
      <c r="F1104" s="1" t="s">
        <v>52</v>
      </c>
      <c r="G1104" s="1" t="s">
        <v>53</v>
      </c>
      <c r="H1104" s="1" t="s">
        <v>22</v>
      </c>
      <c r="I1104" s="1" t="s">
        <v>23</v>
      </c>
      <c r="J1104" s="1">
        <v>0</v>
      </c>
      <c r="K1104" s="1">
        <v>7936641438.6555996</v>
      </c>
      <c r="L1104" s="1">
        <v>7936.6414386555998</v>
      </c>
      <c r="M1104" s="1">
        <v>7936.6414386555998</v>
      </c>
      <c r="N1104" s="1">
        <v>7936.6414386555998</v>
      </c>
      <c r="O1104" s="11"/>
      <c r="P1104" s="11"/>
      <c r="Q1104" s="11"/>
      <c r="R1104" s="11"/>
    </row>
    <row r="1105" spans="4:18">
      <c r="D1105" s="1" t="s">
        <v>198</v>
      </c>
      <c r="E1105" s="1" t="s">
        <v>54</v>
      </c>
      <c r="H1105" s="1" t="s">
        <v>25</v>
      </c>
      <c r="I1105" s="1" t="s">
        <v>23</v>
      </c>
      <c r="M1105" s="1" t="b">
        <v>0</v>
      </c>
      <c r="N1105" s="1">
        <v>0</v>
      </c>
      <c r="O1105" s="11"/>
      <c r="P1105" s="11"/>
      <c r="Q1105" s="11"/>
      <c r="R1105" s="11"/>
    </row>
    <row r="1106" spans="4:18">
      <c r="D1106" s="1" t="s">
        <v>198</v>
      </c>
      <c r="E1106" s="1" t="s">
        <v>55</v>
      </c>
      <c r="F1106" s="1" t="s">
        <v>56</v>
      </c>
      <c r="G1106" s="1" t="s">
        <v>57</v>
      </c>
      <c r="H1106" s="1" t="s">
        <v>22</v>
      </c>
      <c r="I1106" s="1" t="s">
        <v>23</v>
      </c>
      <c r="J1106" s="1">
        <v>0</v>
      </c>
      <c r="K1106" s="1">
        <v>9427.4529524635982</v>
      </c>
      <c r="L1106" s="1">
        <v>50.713895374744951</v>
      </c>
      <c r="M1106" s="1">
        <v>50.763208205573221</v>
      </c>
      <c r="N1106" s="1">
        <v>50.763208205573221</v>
      </c>
      <c r="O1106" s="11"/>
      <c r="P1106" s="11"/>
      <c r="Q1106" s="11"/>
      <c r="R1106" s="11"/>
    </row>
    <row r="1107" spans="4:18">
      <c r="D1107" s="1" t="s">
        <v>198</v>
      </c>
      <c r="E1107" s="1" t="s">
        <v>58</v>
      </c>
      <c r="H1107" s="1" t="s">
        <v>25</v>
      </c>
      <c r="I1107" s="1" t="s">
        <v>23</v>
      </c>
      <c r="M1107" s="1" t="b">
        <v>0</v>
      </c>
      <c r="N1107" s="1">
        <v>0</v>
      </c>
      <c r="O1107" s="11"/>
      <c r="P1107" s="11"/>
      <c r="Q1107" s="11"/>
      <c r="R1107" s="11"/>
    </row>
    <row r="1108" spans="4:18">
      <c r="D1108" s="1" t="s">
        <v>198</v>
      </c>
      <c r="E1108" s="1" t="s">
        <v>59</v>
      </c>
      <c r="F1108" s="1" t="s">
        <v>60</v>
      </c>
      <c r="G1108" s="1" t="s">
        <v>61</v>
      </c>
      <c r="H1108" s="1" t="s">
        <v>22</v>
      </c>
      <c r="I1108" s="1" t="s">
        <v>23</v>
      </c>
      <c r="J1108" s="1">
        <v>-9.5538358650799999</v>
      </c>
      <c r="K1108" s="1">
        <v>9.5538358650799999</v>
      </c>
      <c r="L1108" s="1">
        <v>0.23884589662700001</v>
      </c>
      <c r="M1108" s="1">
        <v>0.23884589662700001</v>
      </c>
      <c r="N1108" s="1">
        <v>0.23884589662700001</v>
      </c>
      <c r="O1108" s="11"/>
      <c r="P1108" s="11"/>
      <c r="Q1108" s="11"/>
      <c r="R1108" s="11"/>
    </row>
    <row r="1109" spans="4:18">
      <c r="D1109" s="1" t="s">
        <v>198</v>
      </c>
      <c r="E1109" s="1" t="s">
        <v>62</v>
      </c>
      <c r="H1109" s="1" t="s">
        <v>63</v>
      </c>
      <c r="I1109" s="1" t="s">
        <v>23</v>
      </c>
      <c r="M1109" s="1">
        <v>1</v>
      </c>
      <c r="N1109" s="1">
        <v>1</v>
      </c>
      <c r="O1109" s="11"/>
      <c r="P1109" s="11"/>
      <c r="Q1109" s="11"/>
      <c r="R1109" s="11"/>
    </row>
    <row r="1110" spans="4:18">
      <c r="D1110" s="1" t="s">
        <v>198</v>
      </c>
      <c r="E1110" s="1" t="s">
        <v>64</v>
      </c>
      <c r="F1110" s="1" t="s">
        <v>35</v>
      </c>
      <c r="G1110" s="1" t="s">
        <v>36</v>
      </c>
      <c r="H1110" s="1" t="s">
        <v>22</v>
      </c>
      <c r="I1110" s="1" t="s">
        <v>65</v>
      </c>
      <c r="J1110" s="1">
        <v>-459.67</v>
      </c>
      <c r="L1110" s="1">
        <v>80.329999999999984</v>
      </c>
      <c r="N1110" s="1">
        <v>40.791179653592451</v>
      </c>
      <c r="O1110" s="11"/>
      <c r="P1110" s="11"/>
      <c r="Q1110" s="11"/>
      <c r="R1110" s="11"/>
    </row>
    <row r="1111" spans="4:18">
      <c r="D1111" s="1" t="s">
        <v>198</v>
      </c>
      <c r="E1111" s="1" t="s">
        <v>66</v>
      </c>
      <c r="F1111" s="1" t="s">
        <v>35</v>
      </c>
      <c r="G1111" s="1" t="s">
        <v>36</v>
      </c>
      <c r="H1111" s="1" t="s">
        <v>22</v>
      </c>
      <c r="I1111" s="1" t="s">
        <v>65</v>
      </c>
      <c r="J1111" s="1">
        <v>-459.67</v>
      </c>
      <c r="L1111" s="1">
        <v>80.329999999999984</v>
      </c>
      <c r="N1111" s="1">
        <v>40.791179653592451</v>
      </c>
      <c r="O1111" s="11"/>
      <c r="P1111" s="11"/>
      <c r="Q1111" s="11"/>
      <c r="R1111" s="11"/>
    </row>
    <row r="1112" spans="4:18">
      <c r="D1112" s="1" t="s">
        <v>198</v>
      </c>
      <c r="E1112" s="1" t="s">
        <v>67</v>
      </c>
      <c r="F1112" s="1" t="s">
        <v>41</v>
      </c>
      <c r="G1112" s="1" t="s">
        <v>42</v>
      </c>
      <c r="H1112" s="1" t="s">
        <v>22</v>
      </c>
      <c r="I1112" s="1" t="s">
        <v>65</v>
      </c>
      <c r="L1112" s="1">
        <v>1.8</v>
      </c>
      <c r="N1112" s="1">
        <v>0</v>
      </c>
      <c r="O1112" s="11"/>
      <c r="P1112" s="11"/>
      <c r="Q1112" s="11"/>
      <c r="R1112" s="11"/>
    </row>
    <row r="1113" spans="4:18">
      <c r="D1113" s="1" t="s">
        <v>198</v>
      </c>
      <c r="E1113" s="1" t="s">
        <v>68</v>
      </c>
      <c r="F1113" s="1" t="s">
        <v>45</v>
      </c>
      <c r="G1113" s="1" t="s">
        <v>46</v>
      </c>
      <c r="H1113" s="1" t="s">
        <v>22</v>
      </c>
      <c r="I1113" s="1" t="s">
        <v>65</v>
      </c>
      <c r="L1113" s="1">
        <v>4.2992261378713571E-4</v>
      </c>
      <c r="N1113" s="1">
        <v>108.31491489189473</v>
      </c>
      <c r="O1113" s="11"/>
      <c r="P1113" s="11"/>
      <c r="Q1113" s="11"/>
      <c r="R1113" s="11"/>
    </row>
    <row r="1114" spans="4:18">
      <c r="D1114" s="1" t="s">
        <v>198</v>
      </c>
      <c r="E1114" s="1" t="s">
        <v>69</v>
      </c>
      <c r="H1114" s="1" t="s">
        <v>25</v>
      </c>
      <c r="I1114" s="1" t="s">
        <v>70</v>
      </c>
      <c r="N1114" s="1">
        <v>0</v>
      </c>
      <c r="O1114" s="11"/>
      <c r="P1114" s="11"/>
      <c r="Q1114" s="11"/>
      <c r="R1114" s="11"/>
    </row>
    <row r="1115" spans="4:18">
      <c r="D1115" s="1" t="s">
        <v>198</v>
      </c>
      <c r="E1115" s="1" t="s">
        <v>71</v>
      </c>
      <c r="F1115" s="1" t="s">
        <v>52</v>
      </c>
      <c r="G1115" s="1" t="s">
        <v>53</v>
      </c>
      <c r="H1115" s="1" t="s">
        <v>22</v>
      </c>
      <c r="I1115" s="1" t="s">
        <v>65</v>
      </c>
      <c r="L1115" s="1">
        <v>7936.6414386555998</v>
      </c>
      <c r="N1115" s="1">
        <v>167734.2151113626</v>
      </c>
      <c r="O1115" s="11"/>
      <c r="P1115" s="11"/>
      <c r="Q1115" s="11"/>
      <c r="R1115" s="11"/>
    </row>
    <row r="1116" spans="4:18">
      <c r="D1116" s="1" t="s">
        <v>198</v>
      </c>
      <c r="E1116" s="1" t="s">
        <v>72</v>
      </c>
      <c r="F1116" s="1" t="s">
        <v>56</v>
      </c>
      <c r="G1116" s="1" t="s">
        <v>57</v>
      </c>
      <c r="H1116" s="1" t="s">
        <v>22</v>
      </c>
      <c r="I1116" s="1" t="s">
        <v>65</v>
      </c>
      <c r="J1116" s="1">
        <v>0</v>
      </c>
      <c r="L1116" s="1">
        <v>14.503773773020921</v>
      </c>
      <c r="N1116" s="1">
        <v>50.509497124265998</v>
      </c>
      <c r="O1116" s="11"/>
      <c r="P1116" s="11"/>
      <c r="Q1116" s="11"/>
      <c r="R1116" s="11"/>
    </row>
    <row r="1117" spans="4:18">
      <c r="D1117" s="1" t="s">
        <v>198</v>
      </c>
      <c r="E1117" s="1" t="s">
        <v>73</v>
      </c>
      <c r="F1117" s="1" t="s">
        <v>60</v>
      </c>
      <c r="G1117" s="1" t="s">
        <v>61</v>
      </c>
      <c r="H1117" s="1" t="s">
        <v>22</v>
      </c>
      <c r="I1117" s="1" t="s">
        <v>65</v>
      </c>
      <c r="L1117" s="1">
        <v>2.38845896627E-4</v>
      </c>
      <c r="N1117" s="1">
        <v>0.2207137210229915</v>
      </c>
      <c r="O1117" s="11"/>
      <c r="P1117" s="11"/>
      <c r="Q1117" s="11"/>
      <c r="R1117" s="11"/>
    </row>
    <row r="1118" spans="4:18">
      <c r="D1118" s="1" t="s">
        <v>198</v>
      </c>
      <c r="E1118" s="1" t="s">
        <v>74</v>
      </c>
      <c r="F1118" s="1" t="s">
        <v>75</v>
      </c>
      <c r="G1118" s="1" t="s">
        <v>76</v>
      </c>
      <c r="H1118" s="1" t="s">
        <v>22</v>
      </c>
      <c r="I1118" s="1" t="s">
        <v>65</v>
      </c>
      <c r="J1118" s="1">
        <v>0</v>
      </c>
      <c r="L1118" s="1">
        <v>16.018463521800001</v>
      </c>
      <c r="N1118" s="1">
        <v>0.93235969543294661</v>
      </c>
      <c r="O1118" s="11"/>
      <c r="P1118" s="11"/>
      <c r="Q1118" s="11"/>
      <c r="R1118" s="11"/>
    </row>
    <row r="1119" spans="4:18">
      <c r="D1119" s="1" t="s">
        <v>198</v>
      </c>
      <c r="E1119" s="1" t="s">
        <v>77</v>
      </c>
      <c r="H1119" s="1" t="s">
        <v>22</v>
      </c>
      <c r="I1119" s="1" t="s">
        <v>65</v>
      </c>
      <c r="L1119" s="1">
        <v>1</v>
      </c>
      <c r="N1119" s="1">
        <v>0.99311498100391227</v>
      </c>
      <c r="O1119" s="11"/>
      <c r="P1119" s="11"/>
      <c r="Q1119" s="11"/>
      <c r="R1119" s="11"/>
    </row>
    <row r="1120" spans="4:18">
      <c r="D1120" s="1" t="s">
        <v>198</v>
      </c>
      <c r="E1120" s="1" t="s">
        <v>78</v>
      </c>
      <c r="H1120" s="1" t="s">
        <v>25</v>
      </c>
      <c r="I1120" s="1" t="s">
        <v>23</v>
      </c>
      <c r="M1120" s="1" t="b">
        <v>0</v>
      </c>
      <c r="N1120" s="1">
        <v>0</v>
      </c>
      <c r="O1120" s="11"/>
      <c r="P1120" s="11"/>
      <c r="Q1120" s="11"/>
      <c r="R1120" s="11"/>
    </row>
    <row r="1121" spans="4:18">
      <c r="D1121" s="1" t="s">
        <v>198</v>
      </c>
      <c r="E1121" s="1" t="s">
        <v>79</v>
      </c>
      <c r="F1121" s="1" t="s">
        <v>75</v>
      </c>
      <c r="G1121" s="1" t="s">
        <v>76</v>
      </c>
      <c r="H1121" s="1" t="s">
        <v>22</v>
      </c>
      <c r="I1121" s="1" t="s">
        <v>23</v>
      </c>
      <c r="J1121" s="1">
        <v>0</v>
      </c>
      <c r="K1121" s="1">
        <v>96.110781130800007</v>
      </c>
      <c r="L1121" s="1">
        <v>16.018463521800001</v>
      </c>
      <c r="M1121" s="1">
        <v>1.6018463521800002</v>
      </c>
      <c r="N1121" s="1">
        <v>1.6018463521800002</v>
      </c>
      <c r="O1121" s="11"/>
      <c r="P1121" s="11"/>
      <c r="Q1121" s="11"/>
      <c r="R1121" s="11"/>
    </row>
    <row r="1122" spans="4:18">
      <c r="D1122" s="1" t="s">
        <v>198</v>
      </c>
      <c r="E1122" s="1" t="s">
        <v>80</v>
      </c>
      <c r="H1122" s="1" t="s">
        <v>25</v>
      </c>
      <c r="I1122" s="1" t="s">
        <v>23</v>
      </c>
      <c r="M1122" s="1" t="b">
        <v>0</v>
      </c>
      <c r="N1122" s="1">
        <v>0</v>
      </c>
      <c r="O1122" s="11"/>
      <c r="P1122" s="11"/>
      <c r="Q1122" s="11"/>
      <c r="R1122" s="11"/>
    </row>
    <row r="1123" spans="4:18">
      <c r="D1123" s="1" t="s">
        <v>198</v>
      </c>
      <c r="E1123" s="1" t="s">
        <v>81</v>
      </c>
      <c r="H1123" s="1" t="s">
        <v>25</v>
      </c>
      <c r="I1123" s="1" t="s">
        <v>23</v>
      </c>
      <c r="M1123" s="1" t="b">
        <v>0</v>
      </c>
      <c r="N1123" s="1">
        <v>0</v>
      </c>
      <c r="O1123" s="11"/>
      <c r="P1123" s="11"/>
      <c r="Q1123" s="11"/>
      <c r="R1123" s="11"/>
    </row>
    <row r="1124" spans="4:18">
      <c r="D1124" s="1" t="s">
        <v>198</v>
      </c>
      <c r="E1124" s="1" t="s">
        <v>82</v>
      </c>
      <c r="H1124" s="1" t="s">
        <v>22</v>
      </c>
      <c r="I1124" s="1" t="s">
        <v>23</v>
      </c>
      <c r="J1124" s="1">
        <v>-1</v>
      </c>
      <c r="K1124" s="1">
        <v>3</v>
      </c>
      <c r="L1124" s="1">
        <v>1</v>
      </c>
      <c r="M1124" s="1">
        <v>1.01</v>
      </c>
      <c r="N1124" s="1">
        <v>1.01</v>
      </c>
      <c r="O1124" s="11"/>
      <c r="P1124" s="11"/>
      <c r="Q1124" s="11"/>
      <c r="R1124" s="11"/>
    </row>
    <row r="1125" spans="4:18">
      <c r="D1125" s="1" t="s">
        <v>199</v>
      </c>
      <c r="E1125" s="1" t="s">
        <v>200</v>
      </c>
      <c r="H1125" s="1" t="s">
        <v>22</v>
      </c>
      <c r="I1125" s="1" t="s">
        <v>23</v>
      </c>
      <c r="L1125" s="1">
        <v>1</v>
      </c>
      <c r="M1125" s="1">
        <v>2</v>
      </c>
      <c r="N1125" s="1">
        <v>2</v>
      </c>
      <c r="O1125" s="11"/>
      <c r="P1125" s="11"/>
      <c r="Q1125" s="11"/>
      <c r="R1125" s="11"/>
    </row>
    <row r="1126" spans="4:18">
      <c r="D1126" s="1" t="s">
        <v>199</v>
      </c>
      <c r="E1126" s="1" t="s">
        <v>201</v>
      </c>
      <c r="H1126" s="1" t="s">
        <v>22</v>
      </c>
      <c r="I1126" s="1" t="s">
        <v>23</v>
      </c>
      <c r="L1126" s="1">
        <v>1</v>
      </c>
      <c r="M1126" s="1">
        <v>1.6</v>
      </c>
      <c r="N1126" s="1">
        <v>1.6</v>
      </c>
      <c r="O1126" s="11"/>
      <c r="P1126" s="11"/>
      <c r="Q1126" s="11"/>
      <c r="R1126" s="11"/>
    </row>
    <row r="1127" spans="4:18">
      <c r="D1127" s="1" t="s">
        <v>199</v>
      </c>
      <c r="E1127" s="1" t="s">
        <v>202</v>
      </c>
      <c r="H1127" s="1" t="s">
        <v>22</v>
      </c>
      <c r="I1127" s="1" t="s">
        <v>23</v>
      </c>
      <c r="L1127" s="1">
        <v>1</v>
      </c>
      <c r="M1127" s="1">
        <v>0.6002885</v>
      </c>
      <c r="N1127" s="1">
        <v>0.6002885</v>
      </c>
      <c r="O1127" s="11"/>
      <c r="P1127" s="11"/>
      <c r="Q1127" s="11"/>
      <c r="R1127" s="11"/>
    </row>
    <row r="1128" spans="4:18">
      <c r="D1128" s="1" t="s">
        <v>199</v>
      </c>
      <c r="E1128" s="1" t="s">
        <v>203</v>
      </c>
      <c r="H1128" s="1" t="s">
        <v>22</v>
      </c>
      <c r="I1128" s="1" t="s">
        <v>23</v>
      </c>
      <c r="L1128" s="1">
        <v>1</v>
      </c>
      <c r="M1128" s="1">
        <v>0.8629445</v>
      </c>
      <c r="N1128" s="1">
        <v>0.8629445</v>
      </c>
      <c r="O1128" s="11"/>
      <c r="P1128" s="11"/>
      <c r="Q1128" s="11"/>
      <c r="R1128" s="11"/>
    </row>
    <row r="1129" spans="4:18">
      <c r="D1129" s="1" t="s">
        <v>199</v>
      </c>
      <c r="E1129" s="1" t="s">
        <v>204</v>
      </c>
      <c r="H1129" s="1" t="s">
        <v>22</v>
      </c>
      <c r="I1129" s="1" t="s">
        <v>23</v>
      </c>
      <c r="L1129" s="1">
        <v>1</v>
      </c>
      <c r="M1129" s="1">
        <v>-12.42056193</v>
      </c>
      <c r="N1129" s="1">
        <v>-12.42056193</v>
      </c>
      <c r="O1129" s="11"/>
      <c r="P1129" s="11"/>
      <c r="Q1129" s="11"/>
      <c r="R1129" s="11"/>
    </row>
    <row r="1130" spans="4:18">
      <c r="D1130" s="1" t="s">
        <v>199</v>
      </c>
      <c r="E1130" s="1" t="s">
        <v>205</v>
      </c>
      <c r="H1130" s="1" t="s">
        <v>22</v>
      </c>
      <c r="I1130" s="1" t="s">
        <v>23</v>
      </c>
      <c r="L1130" s="1">
        <v>1</v>
      </c>
      <c r="M1130" s="1">
        <v>2.783438039</v>
      </c>
      <c r="N1130" s="1">
        <v>2.783438039</v>
      </c>
      <c r="O1130" s="11"/>
      <c r="P1130" s="11"/>
      <c r="Q1130" s="11"/>
      <c r="R1130" s="11"/>
    </row>
    <row r="1131" spans="4:18">
      <c r="D1131" s="1" t="s">
        <v>199</v>
      </c>
      <c r="E1131" s="1" t="s">
        <v>206</v>
      </c>
      <c r="H1131" s="1" t="s">
        <v>22</v>
      </c>
      <c r="I1131" s="1" t="s">
        <v>23</v>
      </c>
      <c r="L1131" s="1">
        <v>1</v>
      </c>
      <c r="M1131" s="1">
        <v>0.17545599100000001</v>
      </c>
      <c r="N1131" s="1">
        <v>0.17545599100000001</v>
      </c>
      <c r="O1131" s="11"/>
      <c r="P1131" s="11"/>
      <c r="Q1131" s="11"/>
      <c r="R1131" s="11"/>
    </row>
    <row r="1132" spans="4:18">
      <c r="D1132" s="1" t="s">
        <v>199</v>
      </c>
      <c r="E1132" s="1" t="s">
        <v>207</v>
      </c>
      <c r="H1132" s="1" t="s">
        <v>22</v>
      </c>
      <c r="I1132" s="1" t="s">
        <v>23</v>
      </c>
      <c r="L1132" s="1">
        <v>1</v>
      </c>
      <c r="M1132" s="1">
        <v>-3.6437408740000001</v>
      </c>
      <c r="N1132" s="1">
        <v>-3.6437408740000001</v>
      </c>
      <c r="O1132" s="11"/>
      <c r="P1132" s="11"/>
      <c r="Q1132" s="11"/>
      <c r="R1132" s="11"/>
    </row>
    <row r="1133" spans="4:18">
      <c r="D1133" s="1" t="s">
        <v>199</v>
      </c>
      <c r="E1133" s="1" t="s">
        <v>208</v>
      </c>
      <c r="H1133" s="1" t="s">
        <v>22</v>
      </c>
      <c r="I1133" s="1" t="s">
        <v>23</v>
      </c>
      <c r="L1133" s="1">
        <v>1</v>
      </c>
      <c r="M1133" s="1">
        <v>6.5598567509999999</v>
      </c>
      <c r="N1133" s="1">
        <v>6.5598567509999999</v>
      </c>
      <c r="O1133" s="11"/>
      <c r="P1133" s="11"/>
      <c r="Q1133" s="11"/>
      <c r="R1133" s="11"/>
    </row>
    <row r="1134" spans="4:18">
      <c r="D1134" s="1" t="s">
        <v>199</v>
      </c>
      <c r="E1134" s="1" t="s">
        <v>209</v>
      </c>
      <c r="H1134" s="1" t="s">
        <v>22</v>
      </c>
      <c r="I1134" s="1" t="s">
        <v>23</v>
      </c>
      <c r="L1134" s="1">
        <v>1</v>
      </c>
      <c r="M1134" s="1">
        <v>-3.9243080429999999</v>
      </c>
      <c r="N1134" s="1">
        <v>-3.9243080429999999</v>
      </c>
      <c r="O1134" s="11"/>
      <c r="P1134" s="11"/>
      <c r="Q1134" s="11"/>
      <c r="R1134" s="11"/>
    </row>
    <row r="1135" spans="4:18">
      <c r="D1135" s="1" t="s">
        <v>199</v>
      </c>
      <c r="E1135" s="1" t="s">
        <v>210</v>
      </c>
      <c r="H1135" s="1" t="s">
        <v>22</v>
      </c>
      <c r="I1135" s="1" t="s">
        <v>23</v>
      </c>
      <c r="L1135" s="1">
        <v>1</v>
      </c>
      <c r="M1135" s="1">
        <v>-0.48861480299999999</v>
      </c>
      <c r="N1135" s="1">
        <v>-0.48861480299999999</v>
      </c>
      <c r="O1135" s="11"/>
      <c r="P1135" s="11"/>
      <c r="Q1135" s="11"/>
      <c r="R1135" s="11"/>
    </row>
    <row r="1136" spans="4:18">
      <c r="D1136" s="1" t="s">
        <v>199</v>
      </c>
      <c r="E1136" s="1" t="s">
        <v>211</v>
      </c>
      <c r="H1136" s="1" t="s">
        <v>22</v>
      </c>
      <c r="I1136" s="1" t="s">
        <v>23</v>
      </c>
      <c r="L1136" s="1">
        <v>1</v>
      </c>
      <c r="M1136" s="1">
        <v>-11.605562819999999</v>
      </c>
      <c r="N1136" s="1">
        <v>-11.605562819999999</v>
      </c>
      <c r="O1136" s="11"/>
      <c r="P1136" s="11"/>
      <c r="Q1136" s="11"/>
      <c r="R1136" s="11"/>
    </row>
    <row r="1137" spans="4:18">
      <c r="D1137" s="1" t="s">
        <v>199</v>
      </c>
      <c r="E1137" s="1" t="s">
        <v>212</v>
      </c>
      <c r="H1137" s="1" t="s">
        <v>22</v>
      </c>
      <c r="I1137" s="1" t="s">
        <v>23</v>
      </c>
      <c r="L1137" s="1">
        <v>1</v>
      </c>
      <c r="M1137" s="1">
        <v>-3.6979091359999998</v>
      </c>
      <c r="N1137" s="1">
        <v>-3.6979091359999998</v>
      </c>
      <c r="O1137" s="11"/>
      <c r="P1137" s="11"/>
      <c r="Q1137" s="11"/>
      <c r="R1137" s="11"/>
    </row>
    <row r="1138" spans="4:18">
      <c r="D1138" s="1" t="s">
        <v>199</v>
      </c>
      <c r="E1138" s="1" t="s">
        <v>213</v>
      </c>
      <c r="H1138" s="1" t="s">
        <v>22</v>
      </c>
      <c r="I1138" s="1" t="s">
        <v>23</v>
      </c>
      <c r="L1138" s="1">
        <v>1</v>
      </c>
      <c r="M1138" s="1">
        <v>53.152108370000001</v>
      </c>
      <c r="N1138" s="1">
        <v>53.152108370000001</v>
      </c>
      <c r="O1138" s="11"/>
      <c r="P1138" s="11"/>
      <c r="Q1138" s="11"/>
      <c r="R1138" s="11"/>
    </row>
    <row r="1139" spans="4:18">
      <c r="D1139" s="1" t="s">
        <v>199</v>
      </c>
      <c r="E1139" s="1" t="s">
        <v>214</v>
      </c>
      <c r="H1139" s="1" t="s">
        <v>22</v>
      </c>
      <c r="I1139" s="1" t="s">
        <v>23</v>
      </c>
      <c r="L1139" s="1">
        <v>1</v>
      </c>
      <c r="M1139" s="1">
        <v>-10.309110649999999</v>
      </c>
      <c r="N1139" s="1">
        <v>-10.309110649999999</v>
      </c>
      <c r="O1139" s="11"/>
      <c r="P1139" s="11"/>
      <c r="Q1139" s="11"/>
      <c r="R1139" s="11"/>
    </row>
    <row r="1140" spans="4:18">
      <c r="D1140" s="1" t="s">
        <v>199</v>
      </c>
      <c r="E1140" s="1" t="s">
        <v>215</v>
      </c>
      <c r="H1140" s="1" t="s">
        <v>22</v>
      </c>
      <c r="I1140" s="1" t="s">
        <v>23</v>
      </c>
      <c r="L1140" s="1">
        <v>1</v>
      </c>
      <c r="M1140" s="1">
        <v>12.46470045</v>
      </c>
      <c r="N1140" s="1">
        <v>12.46470045</v>
      </c>
      <c r="O1140" s="11"/>
      <c r="P1140" s="11"/>
      <c r="Q1140" s="11"/>
      <c r="R1140" s="11"/>
    </row>
    <row r="1141" spans="4:18">
      <c r="D1141" s="1" t="s">
        <v>199</v>
      </c>
      <c r="E1141" s="1" t="s">
        <v>216</v>
      </c>
      <c r="H1141" s="1" t="s">
        <v>22</v>
      </c>
      <c r="I1141" s="1" t="s">
        <v>23</v>
      </c>
      <c r="L1141" s="1">
        <v>1</v>
      </c>
      <c r="M1141" s="1">
        <v>-19.904975109999999</v>
      </c>
      <c r="N1141" s="1">
        <v>-19.904975109999999</v>
      </c>
      <c r="O1141" s="11"/>
      <c r="P1141" s="11"/>
      <c r="Q1141" s="11"/>
      <c r="R1141" s="11"/>
    </row>
    <row r="1142" spans="4:18">
      <c r="D1142" s="1" t="s">
        <v>199</v>
      </c>
      <c r="E1142" s="1" t="s">
        <v>217</v>
      </c>
      <c r="H1142" s="1" t="s">
        <v>22</v>
      </c>
      <c r="I1142" s="1" t="s">
        <v>23</v>
      </c>
      <c r="L1142" s="1">
        <v>1</v>
      </c>
      <c r="M1142" s="1">
        <v>2.693104988</v>
      </c>
      <c r="N1142" s="1">
        <v>2.693104988</v>
      </c>
      <c r="O1142" s="11"/>
      <c r="P1142" s="11"/>
      <c r="Q1142" s="11"/>
      <c r="R1142" s="11"/>
    </row>
    <row r="1143" spans="4:18">
      <c r="D1143" s="1" t="s">
        <v>199</v>
      </c>
      <c r="E1143" s="1" t="s">
        <v>218</v>
      </c>
      <c r="H1143" s="1" t="s">
        <v>22</v>
      </c>
      <c r="I1143" s="1" t="s">
        <v>23</v>
      </c>
      <c r="L1143" s="1">
        <v>1</v>
      </c>
      <c r="M1143" s="1">
        <v>-3.3397345189999998</v>
      </c>
      <c r="N1143" s="1">
        <v>-3.3397345189999998</v>
      </c>
      <c r="O1143" s="11"/>
      <c r="P1143" s="11"/>
      <c r="Q1143" s="11"/>
      <c r="R1143" s="11"/>
    </row>
    <row r="1144" spans="4:18">
      <c r="D1144" s="1" t="s">
        <v>199</v>
      </c>
      <c r="E1144" s="1" t="s">
        <v>219</v>
      </c>
      <c r="H1144" s="1" t="s">
        <v>22</v>
      </c>
      <c r="I1144" s="1" t="s">
        <v>23</v>
      </c>
      <c r="L1144" s="1">
        <v>1</v>
      </c>
      <c r="M1144" s="1">
        <v>56.024511269999998</v>
      </c>
      <c r="N1144" s="1">
        <v>56.024511269999998</v>
      </c>
      <c r="O1144" s="11"/>
      <c r="P1144" s="11"/>
      <c r="Q1144" s="11"/>
      <c r="R1144" s="11"/>
    </row>
    <row r="1145" spans="4:18">
      <c r="D1145" s="1" t="s">
        <v>199</v>
      </c>
      <c r="E1145" s="1" t="s">
        <v>220</v>
      </c>
      <c r="H1145" s="1" t="s">
        <v>22</v>
      </c>
      <c r="I1145" s="1" t="s">
        <v>23</v>
      </c>
      <c r="L1145" s="1">
        <v>1</v>
      </c>
      <c r="M1145" s="1">
        <v>12.4162404</v>
      </c>
      <c r="N1145" s="1">
        <v>12.4162404</v>
      </c>
      <c r="O1145" s="11"/>
      <c r="P1145" s="11"/>
      <c r="Q1145" s="11"/>
      <c r="R1145" s="11"/>
    </row>
    <row r="1146" spans="4:18">
      <c r="D1146" s="1" t="s">
        <v>199</v>
      </c>
      <c r="E1146" s="1" t="s">
        <v>221</v>
      </c>
      <c r="H1146" s="1" t="s">
        <v>22</v>
      </c>
      <c r="I1146" s="1" t="s">
        <v>23</v>
      </c>
      <c r="L1146" s="1">
        <v>1</v>
      </c>
      <c r="M1146" s="1">
        <v>-0.37074144399999998</v>
      </c>
      <c r="N1146" s="1">
        <v>-0.37074144399999998</v>
      </c>
      <c r="O1146" s="11"/>
      <c r="P1146" s="11"/>
      <c r="Q1146" s="11"/>
      <c r="R1146" s="11"/>
    </row>
    <row r="1147" spans="4:18">
      <c r="D1147" s="1" t="s">
        <v>199</v>
      </c>
      <c r="E1147" s="1" t="s">
        <v>222</v>
      </c>
      <c r="H1147" s="1" t="s">
        <v>22</v>
      </c>
      <c r="I1147" s="1" t="s">
        <v>23</v>
      </c>
      <c r="L1147" s="1">
        <v>1</v>
      </c>
      <c r="M1147" s="1">
        <v>-4.853899126</v>
      </c>
      <c r="N1147" s="1">
        <v>-4.853899126</v>
      </c>
      <c r="O1147" s="11"/>
      <c r="P1147" s="11"/>
      <c r="Q1147" s="11"/>
      <c r="R1147" s="11"/>
    </row>
    <row r="1148" spans="4:18">
      <c r="D1148" s="1" t="s">
        <v>199</v>
      </c>
      <c r="E1148" s="1" t="s">
        <v>223</v>
      </c>
      <c r="H1148" s="1" t="s">
        <v>22</v>
      </c>
      <c r="I1148" s="1" t="s">
        <v>23</v>
      </c>
      <c r="L1148" s="1">
        <v>1</v>
      </c>
      <c r="M1148" s="1">
        <v>-131.75246519999999</v>
      </c>
      <c r="N1148" s="1">
        <v>-131.75246519999999</v>
      </c>
      <c r="O1148" s="11"/>
      <c r="P1148" s="11"/>
      <c r="Q1148" s="11"/>
      <c r="R1148" s="11"/>
    </row>
    <row r="1149" spans="4:18">
      <c r="D1149" s="1" t="s">
        <v>199</v>
      </c>
      <c r="E1149" s="1" t="s">
        <v>224</v>
      </c>
      <c r="H1149" s="1" t="s">
        <v>22</v>
      </c>
      <c r="I1149" s="1" t="s">
        <v>23</v>
      </c>
      <c r="L1149" s="1">
        <v>1</v>
      </c>
      <c r="M1149" s="1">
        <v>5.8939846310000004</v>
      </c>
      <c r="N1149" s="1">
        <v>5.8939846310000004</v>
      </c>
      <c r="O1149" s="11"/>
      <c r="P1149" s="11"/>
      <c r="Q1149" s="11"/>
      <c r="R1149" s="11"/>
    </row>
    <row r="1150" spans="4:18">
      <c r="D1150" s="1" t="s">
        <v>199</v>
      </c>
      <c r="E1150" s="1" t="s">
        <v>225</v>
      </c>
      <c r="H1150" s="1" t="s">
        <v>22</v>
      </c>
      <c r="I1150" s="1" t="s">
        <v>23</v>
      </c>
      <c r="L1150" s="1">
        <v>1</v>
      </c>
      <c r="M1150" s="1">
        <v>16.722669719999999</v>
      </c>
      <c r="N1150" s="1">
        <v>16.722669719999999</v>
      </c>
      <c r="O1150" s="11"/>
      <c r="P1150" s="11"/>
      <c r="Q1150" s="11"/>
      <c r="R1150" s="11"/>
    </row>
    <row r="1151" spans="4:18">
      <c r="D1151" s="1" t="s">
        <v>199</v>
      </c>
      <c r="E1151" s="1" t="s">
        <v>226</v>
      </c>
      <c r="H1151" s="1" t="s">
        <v>22</v>
      </c>
      <c r="I1151" s="1" t="s">
        <v>23</v>
      </c>
      <c r="L1151" s="1">
        <v>1</v>
      </c>
      <c r="M1151" s="1">
        <v>36.919691919999998</v>
      </c>
      <c r="N1151" s="1">
        <v>36.919691919999998</v>
      </c>
      <c r="O1151" s="11"/>
      <c r="P1151" s="11"/>
      <c r="Q1151" s="11"/>
      <c r="R1151" s="11"/>
    </row>
    <row r="1152" spans="4:18">
      <c r="D1152" s="1" t="s">
        <v>199</v>
      </c>
      <c r="E1152" s="1" t="s">
        <v>227</v>
      </c>
      <c r="H1152" s="1" t="s">
        <v>22</v>
      </c>
      <c r="I1152" s="1" t="s">
        <v>23</v>
      </c>
      <c r="L1152" s="1">
        <v>1</v>
      </c>
      <c r="M1152" s="1">
        <v>15.51352453</v>
      </c>
      <c r="N1152" s="1">
        <v>15.51352453</v>
      </c>
      <c r="O1152" s="11"/>
      <c r="P1152" s="11"/>
      <c r="Q1152" s="11"/>
      <c r="R1152" s="11"/>
    </row>
    <row r="1153" spans="4:18">
      <c r="D1153" s="1" t="s">
        <v>199</v>
      </c>
      <c r="E1153" s="1" t="s">
        <v>228</v>
      </c>
      <c r="H1153" s="1" t="s">
        <v>22</v>
      </c>
      <c r="I1153" s="1" t="s">
        <v>23</v>
      </c>
      <c r="L1153" s="1">
        <v>1</v>
      </c>
      <c r="M1153" s="1">
        <v>-136.27810500000001</v>
      </c>
      <c r="N1153" s="1">
        <v>-136.27810500000001</v>
      </c>
      <c r="O1153" s="11"/>
      <c r="P1153" s="11"/>
      <c r="Q1153" s="11"/>
      <c r="R1153" s="11"/>
    </row>
    <row r="1154" spans="4:18">
      <c r="D1154" s="1" t="s">
        <v>199</v>
      </c>
      <c r="E1154" s="1" t="s">
        <v>229</v>
      </c>
      <c r="H1154" s="1" t="s">
        <v>22</v>
      </c>
      <c r="I1154" s="1" t="s">
        <v>23</v>
      </c>
      <c r="L1154" s="1">
        <v>1</v>
      </c>
      <c r="M1154" s="1">
        <v>-22.550678550000001</v>
      </c>
      <c r="N1154" s="1">
        <v>-22.550678550000001</v>
      </c>
      <c r="O1154" s="11"/>
      <c r="P1154" s="11"/>
      <c r="Q1154" s="11"/>
      <c r="R1154" s="11"/>
    </row>
    <row r="1155" spans="4:18">
      <c r="D1155" s="1" t="s">
        <v>199</v>
      </c>
      <c r="E1155" s="1" t="s">
        <v>230</v>
      </c>
      <c r="H1155" s="1" t="s">
        <v>22</v>
      </c>
      <c r="I1155" s="1" t="s">
        <v>23</v>
      </c>
      <c r="L1155" s="1">
        <v>1</v>
      </c>
      <c r="M1155" s="1">
        <v>9.0278701730000002</v>
      </c>
      <c r="N1155" s="1">
        <v>9.0278701730000002</v>
      </c>
      <c r="O1155" s="11"/>
      <c r="P1155" s="11"/>
      <c r="Q1155" s="11"/>
      <c r="R1155" s="11"/>
    </row>
    <row r="1156" spans="4:18">
      <c r="D1156" s="1" t="s">
        <v>199</v>
      </c>
      <c r="E1156" s="1" t="s">
        <v>231</v>
      </c>
      <c r="H1156" s="1" t="s">
        <v>22</v>
      </c>
      <c r="I1156" s="1" t="s">
        <v>23</v>
      </c>
      <c r="L1156" s="1">
        <v>1</v>
      </c>
      <c r="M1156" s="1">
        <v>24.594299190000001</v>
      </c>
      <c r="N1156" s="1">
        <v>24.594299190000001</v>
      </c>
      <c r="O1156" s="11"/>
      <c r="P1156" s="11"/>
      <c r="Q1156" s="11"/>
      <c r="R1156" s="11"/>
    </row>
    <row r="1157" spans="4:18">
      <c r="D1157" s="1" t="s">
        <v>199</v>
      </c>
      <c r="E1157" s="1" t="s">
        <v>232</v>
      </c>
      <c r="H1157" s="1" t="s">
        <v>22</v>
      </c>
      <c r="I1157" s="1" t="s">
        <v>23</v>
      </c>
      <c r="L1157" s="1">
        <v>1</v>
      </c>
      <c r="M1157" s="1">
        <v>277.41246580000001</v>
      </c>
      <c r="N1157" s="1">
        <v>277.41246580000001</v>
      </c>
      <c r="O1157" s="11"/>
      <c r="P1157" s="11"/>
      <c r="Q1157" s="11"/>
      <c r="R1157" s="11"/>
    </row>
    <row r="1158" spans="4:18">
      <c r="D1158" s="1" t="s">
        <v>199</v>
      </c>
      <c r="E1158" s="1" t="s">
        <v>233</v>
      </c>
      <c r="H1158" s="1" t="s">
        <v>22</v>
      </c>
      <c r="I1158" s="1" t="s">
        <v>23</v>
      </c>
      <c r="L1158" s="1">
        <v>1</v>
      </c>
      <c r="M1158" s="1">
        <v>-58.230071729999999</v>
      </c>
      <c r="N1158" s="1">
        <v>-58.230071729999999</v>
      </c>
      <c r="O1158" s="11"/>
      <c r="P1158" s="11"/>
      <c r="Q1158" s="11"/>
      <c r="R1158" s="11"/>
    </row>
    <row r="1159" spans="4:18">
      <c r="D1159" s="1" t="s">
        <v>199</v>
      </c>
      <c r="E1159" s="1" t="s">
        <v>234</v>
      </c>
      <c r="H1159" s="1" t="s">
        <v>22</v>
      </c>
      <c r="I1159" s="1" t="s">
        <v>23</v>
      </c>
      <c r="L1159" s="1">
        <v>1</v>
      </c>
      <c r="M1159" s="1">
        <v>-80.460904540000001</v>
      </c>
      <c r="N1159" s="1">
        <v>-80.460904540000001</v>
      </c>
      <c r="O1159" s="11"/>
      <c r="P1159" s="11"/>
      <c r="Q1159" s="11"/>
      <c r="R1159" s="11"/>
    </row>
    <row r="1160" spans="4:18">
      <c r="D1160" s="1" t="s">
        <v>199</v>
      </c>
      <c r="E1160" s="1" t="s">
        <v>235</v>
      </c>
      <c r="H1160" s="1" t="s">
        <v>22</v>
      </c>
      <c r="I1160" s="1" t="s">
        <v>23</v>
      </c>
      <c r="L1160" s="1">
        <v>1</v>
      </c>
      <c r="M1160" s="1">
        <v>-94.893821509999995</v>
      </c>
      <c r="N1160" s="1">
        <v>-94.893821509999995</v>
      </c>
      <c r="O1160" s="11"/>
      <c r="P1160" s="11"/>
      <c r="Q1160" s="11"/>
      <c r="R1160" s="11"/>
    </row>
    <row r="1161" spans="4:18">
      <c r="D1161" s="1" t="s">
        <v>199</v>
      </c>
      <c r="E1161" s="1" t="s">
        <v>236</v>
      </c>
      <c r="H1161" s="1" t="s">
        <v>22</v>
      </c>
      <c r="I1161" s="1" t="s">
        <v>23</v>
      </c>
      <c r="L1161" s="1">
        <v>1</v>
      </c>
      <c r="M1161" s="1">
        <v>259.0144267</v>
      </c>
      <c r="N1161" s="1">
        <v>259.0144267</v>
      </c>
      <c r="O1161" s="11"/>
      <c r="P1161" s="11"/>
      <c r="Q1161" s="11"/>
      <c r="R1161" s="11"/>
    </row>
    <row r="1162" spans="4:18">
      <c r="D1162" s="1" t="s">
        <v>199</v>
      </c>
      <c r="E1162" s="1" t="s">
        <v>237</v>
      </c>
      <c r="H1162" s="1" t="s">
        <v>22</v>
      </c>
      <c r="I1162" s="1" t="s">
        <v>23</v>
      </c>
      <c r="L1162" s="1">
        <v>1</v>
      </c>
      <c r="M1162" s="1">
        <v>16.922274900000001</v>
      </c>
      <c r="N1162" s="1">
        <v>16.922274900000001</v>
      </c>
      <c r="O1162" s="11"/>
      <c r="P1162" s="11"/>
      <c r="Q1162" s="11"/>
      <c r="R1162" s="11"/>
    </row>
    <row r="1163" spans="4:18">
      <c r="D1163" s="1" t="s">
        <v>199</v>
      </c>
      <c r="E1163" s="1" t="s">
        <v>238</v>
      </c>
      <c r="H1163" s="1" t="s">
        <v>22</v>
      </c>
      <c r="I1163" s="1" t="s">
        <v>23</v>
      </c>
      <c r="L1163" s="1">
        <v>1</v>
      </c>
      <c r="M1163" s="1">
        <v>-31.407204199999999</v>
      </c>
      <c r="N1163" s="1">
        <v>-31.407204199999999</v>
      </c>
      <c r="O1163" s="11"/>
      <c r="P1163" s="11"/>
      <c r="Q1163" s="11"/>
      <c r="R1163" s="11"/>
    </row>
    <row r="1164" spans="4:18">
      <c r="D1164" s="1" t="s">
        <v>199</v>
      </c>
      <c r="E1164" s="1" t="s">
        <v>239</v>
      </c>
      <c r="H1164" s="1" t="s">
        <v>22</v>
      </c>
      <c r="I1164" s="1" t="s">
        <v>23</v>
      </c>
      <c r="L1164" s="1">
        <v>1</v>
      </c>
      <c r="M1164" s="1">
        <v>-8.3447858670000006</v>
      </c>
      <c r="N1164" s="1">
        <v>-8.3447858670000006</v>
      </c>
      <c r="O1164" s="11"/>
      <c r="P1164" s="11"/>
      <c r="Q1164" s="11"/>
      <c r="R1164" s="11"/>
    </row>
    <row r="1165" spans="4:18">
      <c r="D1165" s="1" t="s">
        <v>199</v>
      </c>
      <c r="E1165" s="1" t="s">
        <v>240</v>
      </c>
      <c r="H1165" s="1" t="s">
        <v>22</v>
      </c>
      <c r="I1165" s="1" t="s">
        <v>23</v>
      </c>
      <c r="L1165" s="1">
        <v>1</v>
      </c>
      <c r="M1165" s="1">
        <v>-3.9747991649999999</v>
      </c>
      <c r="N1165" s="1">
        <v>-3.9747991649999999</v>
      </c>
      <c r="O1165" s="11"/>
      <c r="P1165" s="11"/>
      <c r="Q1165" s="11"/>
      <c r="R1165" s="11"/>
    </row>
    <row r="1166" spans="4:18">
      <c r="D1166" s="1" t="s">
        <v>199</v>
      </c>
      <c r="E1166" s="1" t="s">
        <v>241</v>
      </c>
      <c r="H1166" s="1" t="s">
        <v>22</v>
      </c>
      <c r="I1166" s="1" t="s">
        <v>23</v>
      </c>
      <c r="L1166" s="1">
        <v>1</v>
      </c>
      <c r="M1166" s="1">
        <v>-103.190184</v>
      </c>
      <c r="N1166" s="1">
        <v>-103.190184</v>
      </c>
      <c r="O1166" s="11"/>
      <c r="P1166" s="11"/>
      <c r="Q1166" s="11"/>
      <c r="R1166" s="11"/>
    </row>
    <row r="1167" spans="4:18">
      <c r="D1167" s="1" t="s">
        <v>199</v>
      </c>
      <c r="E1167" s="1" t="s">
        <v>242</v>
      </c>
      <c r="H1167" s="1" t="s">
        <v>22</v>
      </c>
      <c r="I1167" s="1" t="s">
        <v>23</v>
      </c>
      <c r="L1167" s="1">
        <v>1</v>
      </c>
      <c r="M1167" s="1">
        <v>-400.463347</v>
      </c>
      <c r="N1167" s="1">
        <v>-400.463347</v>
      </c>
      <c r="O1167" s="11"/>
      <c r="P1167" s="11"/>
      <c r="Q1167" s="11"/>
      <c r="R1167" s="11"/>
    </row>
    <row r="1168" spans="4:18">
      <c r="D1168" s="1" t="s">
        <v>199</v>
      </c>
      <c r="E1168" s="1" t="s">
        <v>243</v>
      </c>
      <c r="H1168" s="1" t="s">
        <v>22</v>
      </c>
      <c r="I1168" s="1" t="s">
        <v>23</v>
      </c>
      <c r="L1168" s="1">
        <v>1</v>
      </c>
      <c r="M1168" s="1">
        <v>205.150226</v>
      </c>
      <c r="N1168" s="1">
        <v>205.150226</v>
      </c>
      <c r="O1168" s="11"/>
      <c r="P1168" s="11"/>
      <c r="Q1168" s="11"/>
      <c r="R1168" s="11"/>
    </row>
    <row r="1169" spans="4:18">
      <c r="D1169" s="1" t="s">
        <v>199</v>
      </c>
      <c r="E1169" s="1" t="s">
        <v>244</v>
      </c>
      <c r="H1169" s="1" t="s">
        <v>22</v>
      </c>
      <c r="I1169" s="1" t="s">
        <v>23</v>
      </c>
      <c r="L1169" s="1">
        <v>1</v>
      </c>
      <c r="M1169" s="1">
        <v>221.3667519</v>
      </c>
      <c r="N1169" s="1">
        <v>221.3667519</v>
      </c>
      <c r="O1169" s="11"/>
      <c r="P1169" s="11"/>
      <c r="Q1169" s="11"/>
      <c r="R1169" s="11"/>
    </row>
    <row r="1170" spans="4:18">
      <c r="D1170" s="1" t="s">
        <v>199</v>
      </c>
      <c r="E1170" s="1" t="s">
        <v>245</v>
      </c>
      <c r="H1170" s="1" t="s">
        <v>22</v>
      </c>
      <c r="I1170" s="1" t="s">
        <v>23</v>
      </c>
      <c r="L1170" s="1">
        <v>1</v>
      </c>
      <c r="M1170" s="1">
        <v>-350.82168130000002</v>
      </c>
      <c r="N1170" s="1">
        <v>-350.82168130000002</v>
      </c>
      <c r="O1170" s="11"/>
      <c r="P1170" s="11"/>
      <c r="Q1170" s="11"/>
      <c r="R1170" s="11"/>
    </row>
    <row r="1171" spans="4:18">
      <c r="D1171" s="1" t="s">
        <v>199</v>
      </c>
      <c r="E1171" s="1" t="s">
        <v>246</v>
      </c>
      <c r="H1171" s="1" t="s">
        <v>22</v>
      </c>
      <c r="I1171" s="1" t="s">
        <v>23</v>
      </c>
      <c r="L1171" s="1">
        <v>1</v>
      </c>
      <c r="M1171" s="1">
        <v>4.3645905200000001</v>
      </c>
      <c r="N1171" s="1">
        <v>4.3645905200000001</v>
      </c>
      <c r="O1171" s="11"/>
      <c r="P1171" s="11"/>
      <c r="Q1171" s="11"/>
      <c r="R1171" s="11"/>
    </row>
    <row r="1172" spans="4:18">
      <c r="D1172" s="1" t="s">
        <v>199</v>
      </c>
      <c r="E1172" s="1" t="s">
        <v>247</v>
      </c>
      <c r="H1172" s="1" t="s">
        <v>22</v>
      </c>
      <c r="I1172" s="1" t="s">
        <v>23</v>
      </c>
      <c r="L1172" s="1">
        <v>1</v>
      </c>
      <c r="M1172" s="1">
        <v>63.353113569999998</v>
      </c>
      <c r="N1172" s="1">
        <v>63.353113569999998</v>
      </c>
      <c r="O1172" s="11"/>
      <c r="P1172" s="11"/>
      <c r="Q1172" s="11"/>
      <c r="R1172" s="11"/>
    </row>
    <row r="1173" spans="4:18">
      <c r="D1173" s="1" t="s">
        <v>199</v>
      </c>
      <c r="E1173" s="1" t="s">
        <v>248</v>
      </c>
      <c r="H1173" s="1" t="s">
        <v>22</v>
      </c>
      <c r="I1173" s="1" t="s">
        <v>23</v>
      </c>
      <c r="L1173" s="1">
        <v>1</v>
      </c>
      <c r="M1173" s="1">
        <v>36.909636480000003</v>
      </c>
      <c r="N1173" s="1">
        <v>36.909636480000003</v>
      </c>
      <c r="O1173" s="11"/>
      <c r="P1173" s="11"/>
      <c r="Q1173" s="11"/>
      <c r="R1173" s="11"/>
    </row>
    <row r="1174" spans="4:18">
      <c r="D1174" s="1" t="s">
        <v>199</v>
      </c>
      <c r="E1174" s="1" t="s">
        <v>249</v>
      </c>
      <c r="H1174" s="1" t="s">
        <v>22</v>
      </c>
      <c r="I1174" s="1" t="s">
        <v>23</v>
      </c>
      <c r="L1174" s="1">
        <v>1</v>
      </c>
      <c r="M1174" s="1">
        <v>41.061025010000002</v>
      </c>
      <c r="N1174" s="1">
        <v>41.061025010000002</v>
      </c>
      <c r="O1174" s="11"/>
      <c r="P1174" s="11"/>
      <c r="Q1174" s="11"/>
      <c r="R1174" s="11"/>
    </row>
    <row r="1175" spans="4:18">
      <c r="D1175" s="1" t="s">
        <v>199</v>
      </c>
      <c r="E1175" s="1" t="s">
        <v>250</v>
      </c>
      <c r="H1175" s="1" t="s">
        <v>22</v>
      </c>
      <c r="I1175" s="1" t="s">
        <v>23</v>
      </c>
      <c r="L1175" s="1">
        <v>1</v>
      </c>
      <c r="M1175" s="1">
        <v>182.56317490000001</v>
      </c>
      <c r="N1175" s="1">
        <v>182.56317490000001</v>
      </c>
      <c r="O1175" s="11"/>
      <c r="P1175" s="11"/>
      <c r="Q1175" s="11"/>
      <c r="R1175" s="11"/>
    </row>
    <row r="1176" spans="4:18">
      <c r="D1176" s="1" t="s">
        <v>199</v>
      </c>
      <c r="E1176" s="1" t="s">
        <v>251</v>
      </c>
      <c r="H1176" s="1" t="s">
        <v>22</v>
      </c>
      <c r="I1176" s="1" t="s">
        <v>23</v>
      </c>
      <c r="L1176" s="1">
        <v>1</v>
      </c>
      <c r="M1176" s="1">
        <v>396.31889669999998</v>
      </c>
      <c r="N1176" s="1">
        <v>396.31889669999998</v>
      </c>
      <c r="O1176" s="11"/>
      <c r="P1176" s="11"/>
      <c r="Q1176" s="11"/>
      <c r="R1176" s="11"/>
    </row>
    <row r="1177" spans="4:18">
      <c r="D1177" s="1" t="s">
        <v>199</v>
      </c>
      <c r="E1177" s="1" t="s">
        <v>252</v>
      </c>
      <c r="H1177" s="1" t="s">
        <v>22</v>
      </c>
      <c r="I1177" s="1" t="s">
        <v>23</v>
      </c>
      <c r="L1177" s="1">
        <v>1</v>
      </c>
      <c r="M1177" s="1">
        <v>-493.16641870000001</v>
      </c>
      <c r="N1177" s="1">
        <v>-493.16641870000001</v>
      </c>
      <c r="O1177" s="11"/>
      <c r="P1177" s="11"/>
      <c r="Q1177" s="11"/>
      <c r="R1177" s="11"/>
    </row>
    <row r="1178" spans="4:18">
      <c r="D1178" s="1" t="s">
        <v>199</v>
      </c>
      <c r="E1178" s="1" t="s">
        <v>253</v>
      </c>
      <c r="H1178" s="1" t="s">
        <v>22</v>
      </c>
      <c r="I1178" s="1" t="s">
        <v>23</v>
      </c>
      <c r="L1178" s="1">
        <v>1</v>
      </c>
      <c r="M1178" s="1">
        <v>368.91798390000002</v>
      </c>
      <c r="N1178" s="1">
        <v>368.91798390000002</v>
      </c>
      <c r="O1178" s="11"/>
      <c r="P1178" s="11"/>
      <c r="Q1178" s="11"/>
      <c r="R1178" s="11"/>
    </row>
    <row r="1179" spans="4:18">
      <c r="D1179" s="1" t="s">
        <v>199</v>
      </c>
      <c r="E1179" s="1" t="s">
        <v>254</v>
      </c>
      <c r="H1179" s="1" t="s">
        <v>22</v>
      </c>
      <c r="I1179" s="1" t="s">
        <v>23</v>
      </c>
      <c r="L1179" s="1">
        <v>1</v>
      </c>
      <c r="M1179" s="1">
        <v>-77.030740679999994</v>
      </c>
      <c r="N1179" s="1">
        <v>-77.030740679999994</v>
      </c>
      <c r="O1179" s="11"/>
      <c r="P1179" s="11"/>
      <c r="Q1179" s="11"/>
      <c r="R1179" s="11"/>
    </row>
    <row r="1180" spans="4:18">
      <c r="D1180" s="1" t="s">
        <v>199</v>
      </c>
      <c r="E1180" s="1" t="s">
        <v>255</v>
      </c>
      <c r="H1180" s="1" t="s">
        <v>22</v>
      </c>
      <c r="I1180" s="1" t="s">
        <v>23</v>
      </c>
      <c r="L1180" s="1">
        <v>1</v>
      </c>
      <c r="M1180" s="1">
        <v>-75.54827847</v>
      </c>
      <c r="N1180" s="1">
        <v>-75.54827847</v>
      </c>
      <c r="O1180" s="11"/>
      <c r="P1180" s="11"/>
      <c r="Q1180" s="11"/>
      <c r="R1180" s="11"/>
    </row>
    <row r="1181" spans="4:18">
      <c r="D1181" s="1" t="s">
        <v>199</v>
      </c>
      <c r="E1181" s="1" t="s">
        <v>256</v>
      </c>
      <c r="H1181" s="1" t="s">
        <v>22</v>
      </c>
      <c r="I1181" s="1" t="s">
        <v>23</v>
      </c>
      <c r="L1181" s="1">
        <v>1</v>
      </c>
      <c r="M1181" s="1">
        <v>-84.493516130000003</v>
      </c>
      <c r="N1181" s="1">
        <v>-84.493516130000003</v>
      </c>
      <c r="O1181" s="11"/>
      <c r="P1181" s="11"/>
      <c r="Q1181" s="11"/>
      <c r="R1181" s="11"/>
    </row>
    <row r="1182" spans="4:18">
      <c r="D1182" s="1" t="s">
        <v>199</v>
      </c>
      <c r="E1182" s="1" t="s">
        <v>257</v>
      </c>
      <c r="H1182" s="1" t="s">
        <v>22</v>
      </c>
      <c r="I1182" s="1" t="s">
        <v>23</v>
      </c>
      <c r="L1182" s="1">
        <v>1</v>
      </c>
      <c r="M1182" s="1">
        <v>-3.7813646369999998</v>
      </c>
      <c r="N1182" s="1">
        <v>-3.7813646369999998</v>
      </c>
      <c r="O1182" s="11"/>
      <c r="P1182" s="11"/>
      <c r="Q1182" s="11"/>
      <c r="R1182" s="11"/>
    </row>
    <row r="1183" spans="4:18">
      <c r="D1183" s="1" t="s">
        <v>199</v>
      </c>
      <c r="E1183" s="1" t="s">
        <v>258</v>
      </c>
      <c r="H1183" s="1" t="s">
        <v>22</v>
      </c>
      <c r="I1183" s="1" t="s">
        <v>23</v>
      </c>
      <c r="L1183" s="1">
        <v>1</v>
      </c>
      <c r="M1183" s="1">
        <v>-10.63279651</v>
      </c>
      <c r="N1183" s="1">
        <v>-10.63279651</v>
      </c>
      <c r="O1183" s="11"/>
      <c r="P1183" s="11"/>
      <c r="Q1183" s="11"/>
      <c r="R1183" s="11"/>
    </row>
    <row r="1184" spans="4:18">
      <c r="D1184" s="1" t="s">
        <v>199</v>
      </c>
      <c r="E1184" s="1" t="s">
        <v>259</v>
      </c>
      <c r="H1184" s="1" t="s">
        <v>22</v>
      </c>
      <c r="I1184" s="1" t="s">
        <v>23</v>
      </c>
      <c r="L1184" s="1">
        <v>1</v>
      </c>
      <c r="M1184" s="1">
        <v>-93.361319949999995</v>
      </c>
      <c r="N1184" s="1">
        <v>-93.361319949999995</v>
      </c>
      <c r="O1184" s="11"/>
      <c r="P1184" s="11"/>
      <c r="Q1184" s="11"/>
      <c r="R1184" s="11"/>
    </row>
    <row r="1185" spans="4:18">
      <c r="D1185" s="1" t="s">
        <v>199</v>
      </c>
      <c r="E1185" s="1" t="s">
        <v>260</v>
      </c>
      <c r="H1185" s="1" t="s">
        <v>22</v>
      </c>
      <c r="I1185" s="1" t="s">
        <v>23</v>
      </c>
      <c r="L1185" s="1">
        <v>1</v>
      </c>
      <c r="M1185" s="1">
        <v>-170.49056529999999</v>
      </c>
      <c r="N1185" s="1">
        <v>-170.49056529999999</v>
      </c>
      <c r="O1185" s="11"/>
      <c r="P1185" s="11"/>
      <c r="Q1185" s="11"/>
      <c r="R1185" s="11"/>
    </row>
    <row r="1186" spans="4:18">
      <c r="D1186" s="1" t="s">
        <v>199</v>
      </c>
      <c r="E1186" s="1" t="s">
        <v>261</v>
      </c>
      <c r="H1186" s="1" t="s">
        <v>22</v>
      </c>
      <c r="I1186" s="1" t="s">
        <v>23</v>
      </c>
      <c r="L1186" s="1">
        <v>1</v>
      </c>
      <c r="M1186" s="1">
        <v>-150.4916863</v>
      </c>
      <c r="N1186" s="1">
        <v>-150.4916863</v>
      </c>
      <c r="O1186" s="11"/>
      <c r="P1186" s="11"/>
      <c r="Q1186" s="11"/>
      <c r="R1186" s="11"/>
    </row>
    <row r="1187" spans="4:18">
      <c r="D1187" s="1" t="s">
        <v>199</v>
      </c>
      <c r="E1187" s="1" t="s">
        <v>262</v>
      </c>
      <c r="H1187" s="1" t="s">
        <v>22</v>
      </c>
      <c r="I1187" s="1" t="s">
        <v>23</v>
      </c>
      <c r="L1187" s="1">
        <v>1</v>
      </c>
      <c r="M1187" s="1">
        <v>-116.06465439999999</v>
      </c>
      <c r="N1187" s="1">
        <v>-116.06465439999999</v>
      </c>
      <c r="O1187" s="11"/>
      <c r="P1187" s="11"/>
      <c r="Q1187" s="11"/>
      <c r="R1187" s="11"/>
    </row>
    <row r="1188" spans="4:18">
      <c r="D1188" s="1" t="s">
        <v>199</v>
      </c>
      <c r="E1188" s="1" t="s">
        <v>263</v>
      </c>
      <c r="H1188" s="1" t="s">
        <v>22</v>
      </c>
      <c r="I1188" s="1" t="s">
        <v>23</v>
      </c>
      <c r="L1188" s="1">
        <v>1</v>
      </c>
      <c r="M1188" s="1">
        <v>238.43280240000001</v>
      </c>
      <c r="N1188" s="1">
        <v>238.43280240000001</v>
      </c>
      <c r="O1188" s="11"/>
      <c r="P1188" s="11"/>
      <c r="Q1188" s="11"/>
      <c r="R1188" s="11"/>
    </row>
    <row r="1189" spans="4:18">
      <c r="D1189" s="1" t="s">
        <v>199</v>
      </c>
      <c r="E1189" s="1" t="s">
        <v>264</v>
      </c>
      <c r="H1189" s="1" t="s">
        <v>22</v>
      </c>
      <c r="I1189" s="1" t="s">
        <v>23</v>
      </c>
      <c r="L1189" s="1">
        <v>1</v>
      </c>
      <c r="M1189" s="1">
        <v>36.213737770000002</v>
      </c>
      <c r="N1189" s="1">
        <v>36.213737770000002</v>
      </c>
      <c r="O1189" s="11"/>
      <c r="P1189" s="11"/>
      <c r="Q1189" s="11"/>
      <c r="R1189" s="11"/>
    </row>
    <row r="1190" spans="4:18">
      <c r="D1190" s="1" t="s">
        <v>199</v>
      </c>
      <c r="E1190" s="1" t="s">
        <v>265</v>
      </c>
      <c r="H1190" s="1" t="s">
        <v>22</v>
      </c>
      <c r="I1190" s="1" t="s">
        <v>23</v>
      </c>
      <c r="L1190" s="1">
        <v>1</v>
      </c>
      <c r="M1190" s="1">
        <v>118.7226658</v>
      </c>
      <c r="N1190" s="1">
        <v>118.7226658</v>
      </c>
      <c r="O1190" s="11"/>
      <c r="P1190" s="11"/>
      <c r="Q1190" s="11"/>
      <c r="R1190" s="11"/>
    </row>
    <row r="1191" spans="4:18">
      <c r="D1191" s="1" t="s">
        <v>199</v>
      </c>
      <c r="E1191" s="1" t="s">
        <v>266</v>
      </c>
      <c r="H1191" s="1" t="s">
        <v>22</v>
      </c>
      <c r="I1191" s="1" t="s">
        <v>23</v>
      </c>
      <c r="L1191" s="1">
        <v>1</v>
      </c>
      <c r="M1191" s="1">
        <v>15.10199843</v>
      </c>
      <c r="N1191" s="1">
        <v>15.10199843</v>
      </c>
      <c r="O1191" s="11"/>
      <c r="P1191" s="11"/>
      <c r="Q1191" s="11"/>
      <c r="R1191" s="11"/>
    </row>
    <row r="1192" spans="4:18">
      <c r="D1192" s="1" t="s">
        <v>199</v>
      </c>
      <c r="E1192" s="1" t="s">
        <v>267</v>
      </c>
      <c r="H1192" s="1" t="s">
        <v>22</v>
      </c>
      <c r="I1192" s="1" t="s">
        <v>23</v>
      </c>
      <c r="L1192" s="1">
        <v>1</v>
      </c>
      <c r="M1192" s="1">
        <v>42.514370139999997</v>
      </c>
      <c r="N1192" s="1">
        <v>42.514370139999997</v>
      </c>
      <c r="O1192" s="11"/>
      <c r="P1192" s="11"/>
      <c r="Q1192" s="11"/>
      <c r="R1192" s="11"/>
    </row>
    <row r="1193" spans="4:18">
      <c r="D1193" s="1" t="s">
        <v>199</v>
      </c>
      <c r="E1193" s="1" t="s">
        <v>268</v>
      </c>
      <c r="H1193" s="1" t="s">
        <v>22</v>
      </c>
      <c r="I1193" s="1" t="s">
        <v>23</v>
      </c>
      <c r="L1193" s="1">
        <v>1</v>
      </c>
      <c r="M1193" s="1">
        <v>107.5914464</v>
      </c>
      <c r="N1193" s="1">
        <v>107.5914464</v>
      </c>
      <c r="O1193" s="11"/>
      <c r="P1193" s="11"/>
      <c r="Q1193" s="11"/>
      <c r="R1193" s="11"/>
    </row>
    <row r="1194" spans="4:18">
      <c r="D1194" s="1" t="s">
        <v>199</v>
      </c>
      <c r="E1194" s="1" t="s">
        <v>269</v>
      </c>
      <c r="H1194" s="1" t="s">
        <v>22</v>
      </c>
      <c r="I1194" s="1" t="s">
        <v>23</v>
      </c>
      <c r="L1194" s="1">
        <v>1</v>
      </c>
      <c r="M1194" s="1">
        <v>-51.049708600000002</v>
      </c>
      <c r="N1194" s="1">
        <v>-51.049708600000002</v>
      </c>
      <c r="O1194" s="11"/>
      <c r="P1194" s="11"/>
      <c r="Q1194" s="11"/>
      <c r="R1194" s="11"/>
    </row>
    <row r="1195" spans="4:18">
      <c r="D1195" s="1" t="s">
        <v>199</v>
      </c>
      <c r="E1195" s="1" t="s">
        <v>270</v>
      </c>
      <c r="H1195" s="1" t="s">
        <v>22</v>
      </c>
      <c r="I1195" s="1" t="s">
        <v>23</v>
      </c>
      <c r="L1195" s="1">
        <v>1</v>
      </c>
      <c r="M1195" s="1">
        <v>744.45374149999998</v>
      </c>
      <c r="N1195" s="1">
        <v>744.45374149999998</v>
      </c>
      <c r="O1195" s="11"/>
      <c r="P1195" s="11"/>
      <c r="Q1195" s="11"/>
      <c r="R1195" s="11"/>
    </row>
    <row r="1196" spans="4:18">
      <c r="D1196" s="1" t="s">
        <v>199</v>
      </c>
      <c r="E1196" s="1" t="s">
        <v>271</v>
      </c>
      <c r="H1196" s="1" t="s">
        <v>22</v>
      </c>
      <c r="I1196" s="1" t="s">
        <v>23</v>
      </c>
      <c r="L1196" s="1">
        <v>1</v>
      </c>
      <c r="M1196" s="1">
        <v>-714.5962207</v>
      </c>
      <c r="N1196" s="1">
        <v>-714.5962207</v>
      </c>
      <c r="O1196" s="11"/>
      <c r="P1196" s="11"/>
      <c r="Q1196" s="11"/>
      <c r="R1196" s="11"/>
    </row>
    <row r="1197" spans="4:18">
      <c r="D1197" s="1" t="s">
        <v>199</v>
      </c>
      <c r="E1197" s="1" t="s">
        <v>272</v>
      </c>
      <c r="H1197" s="1" t="s">
        <v>22</v>
      </c>
      <c r="I1197" s="1" t="s">
        <v>23</v>
      </c>
      <c r="L1197" s="1">
        <v>1</v>
      </c>
      <c r="M1197" s="1">
        <v>22.525111880000001</v>
      </c>
      <c r="N1197" s="1">
        <v>22.525111880000001</v>
      </c>
      <c r="O1197" s="11"/>
      <c r="P1197" s="11"/>
      <c r="Q1197" s="11"/>
      <c r="R1197" s="11"/>
    </row>
    <row r="1198" spans="4:18">
      <c r="D1198" s="1" t="s">
        <v>199</v>
      </c>
      <c r="E1198" s="1" t="s">
        <v>273</v>
      </c>
      <c r="H1198" s="1" t="s">
        <v>22</v>
      </c>
      <c r="I1198" s="1" t="s">
        <v>23</v>
      </c>
      <c r="L1198" s="1">
        <v>1</v>
      </c>
      <c r="M1198" s="1">
        <v>-83.576441439999996</v>
      </c>
      <c r="N1198" s="1">
        <v>-83.576441439999996</v>
      </c>
      <c r="O1198" s="11"/>
      <c r="P1198" s="11"/>
      <c r="Q1198" s="11"/>
      <c r="R1198" s="11"/>
    </row>
    <row r="1199" spans="4:18">
      <c r="D1199" s="1" t="s">
        <v>199</v>
      </c>
      <c r="E1199" s="1" t="s">
        <v>274</v>
      </c>
      <c r="H1199" s="1" t="s">
        <v>22</v>
      </c>
      <c r="I1199" s="1" t="s">
        <v>23</v>
      </c>
      <c r="L1199" s="1">
        <v>1</v>
      </c>
      <c r="M1199" s="1">
        <v>-12.98305794</v>
      </c>
      <c r="N1199" s="1">
        <v>-12.98305794</v>
      </c>
      <c r="O1199" s="11"/>
      <c r="P1199" s="11"/>
      <c r="Q1199" s="11"/>
      <c r="R1199" s="11"/>
    </row>
    <row r="1200" spans="4:18">
      <c r="D1200" s="1" t="s">
        <v>199</v>
      </c>
      <c r="E1200" s="1" t="s">
        <v>275</v>
      </c>
      <c r="H1200" s="1" t="s">
        <v>22</v>
      </c>
      <c r="I1200" s="1" t="s">
        <v>23</v>
      </c>
      <c r="L1200" s="1">
        <v>1</v>
      </c>
      <c r="M1200" s="1">
        <v>-2.5960788340000001</v>
      </c>
      <c r="N1200" s="1">
        <v>-2.5960788340000001</v>
      </c>
      <c r="O1200" s="11"/>
      <c r="P1200" s="11"/>
      <c r="Q1200" s="11"/>
      <c r="R1200" s="11"/>
    </row>
    <row r="1201" spans="4:18">
      <c r="D1201" s="1" t="s">
        <v>199</v>
      </c>
      <c r="E1201" s="1" t="s">
        <v>276</v>
      </c>
      <c r="H1201" s="1" t="s">
        <v>22</v>
      </c>
      <c r="I1201" s="1" t="s">
        <v>23</v>
      </c>
      <c r="L1201" s="1">
        <v>1</v>
      </c>
      <c r="M1201" s="1">
        <v>-9.9775272729999998</v>
      </c>
      <c r="N1201" s="1">
        <v>-9.9775272729999998</v>
      </c>
      <c r="O1201" s="11"/>
      <c r="P1201" s="11"/>
      <c r="Q1201" s="11"/>
      <c r="R1201" s="11"/>
    </row>
    <row r="1202" spans="4:18">
      <c r="D1202" s="1" t="s">
        <v>199</v>
      </c>
      <c r="E1202" s="1" t="s">
        <v>277</v>
      </c>
      <c r="H1202" s="1" t="s">
        <v>22</v>
      </c>
      <c r="I1202" s="1" t="s">
        <v>23</v>
      </c>
      <c r="L1202" s="1">
        <v>1</v>
      </c>
      <c r="M1202" s="1">
        <v>-76.519942319999998</v>
      </c>
      <c r="N1202" s="1">
        <v>-76.519942319999998</v>
      </c>
      <c r="O1202" s="11"/>
      <c r="P1202" s="11"/>
      <c r="Q1202" s="11"/>
      <c r="R1202" s="11"/>
    </row>
    <row r="1203" spans="4:18">
      <c r="D1203" s="1" t="s">
        <v>199</v>
      </c>
      <c r="E1203" s="1" t="s">
        <v>278</v>
      </c>
      <c r="H1203" s="1" t="s">
        <v>22</v>
      </c>
      <c r="I1203" s="1" t="s">
        <v>23</v>
      </c>
      <c r="L1203" s="1">
        <v>1</v>
      </c>
      <c r="M1203" s="1">
        <v>13.208672679999999</v>
      </c>
      <c r="N1203" s="1">
        <v>13.208672679999999</v>
      </c>
      <c r="O1203" s="11"/>
      <c r="P1203" s="11"/>
      <c r="Q1203" s="11"/>
      <c r="R1203" s="11"/>
    </row>
    <row r="1204" spans="4:18">
      <c r="D1204" s="1" t="s">
        <v>199</v>
      </c>
      <c r="E1204" s="1" t="s">
        <v>279</v>
      </c>
      <c r="H1204" s="1" t="s">
        <v>22</v>
      </c>
      <c r="I1204" s="1" t="s">
        <v>23</v>
      </c>
      <c r="L1204" s="1">
        <v>1</v>
      </c>
      <c r="M1204" s="1">
        <v>-493.60278440000002</v>
      </c>
      <c r="N1204" s="1">
        <v>-493.60278440000002</v>
      </c>
      <c r="O1204" s="11"/>
      <c r="P1204" s="11"/>
      <c r="Q1204" s="11"/>
      <c r="R1204" s="11"/>
    </row>
    <row r="1205" spans="4:18">
      <c r="D1205" s="1" t="s">
        <v>199</v>
      </c>
      <c r="E1205" s="1" t="s">
        <v>280</v>
      </c>
      <c r="H1205" s="1" t="s">
        <v>22</v>
      </c>
      <c r="I1205" s="1" t="s">
        <v>23</v>
      </c>
      <c r="L1205" s="1">
        <v>1</v>
      </c>
      <c r="M1205" s="1">
        <v>359.44746800000001</v>
      </c>
      <c r="N1205" s="1">
        <v>359.44746800000001</v>
      </c>
      <c r="O1205" s="11"/>
      <c r="P1205" s="11"/>
      <c r="Q1205" s="11"/>
      <c r="R1205" s="11"/>
    </row>
    <row r="1206" spans="4:18">
      <c r="D1206" s="1" t="s">
        <v>199</v>
      </c>
      <c r="E1206" s="1" t="s">
        <v>281</v>
      </c>
      <c r="H1206" s="1" t="s">
        <v>22</v>
      </c>
      <c r="I1206" s="1" t="s">
        <v>23</v>
      </c>
      <c r="L1206" s="1">
        <v>1</v>
      </c>
      <c r="M1206" s="1">
        <v>203.8431616</v>
      </c>
      <c r="N1206" s="1">
        <v>203.8431616</v>
      </c>
      <c r="O1206" s="11"/>
      <c r="P1206" s="11"/>
      <c r="Q1206" s="11"/>
      <c r="R1206" s="11"/>
    </row>
    <row r="1207" spans="4:18">
      <c r="D1207" s="1" t="s">
        <v>199</v>
      </c>
      <c r="E1207" s="1" t="s">
        <v>282</v>
      </c>
      <c r="H1207" s="1" t="s">
        <v>22</v>
      </c>
      <c r="I1207" s="1" t="s">
        <v>23</v>
      </c>
      <c r="L1207" s="1">
        <v>1</v>
      </c>
      <c r="M1207" s="1">
        <v>-8.0153048309999999</v>
      </c>
      <c r="N1207" s="1">
        <v>-8.0153048309999999</v>
      </c>
      <c r="O1207" s="11"/>
      <c r="P1207" s="11"/>
      <c r="Q1207" s="11"/>
      <c r="R1207" s="11"/>
    </row>
    <row r="1208" spans="4:18">
      <c r="D1208" s="1" t="s">
        <v>199</v>
      </c>
      <c r="E1208" s="1" t="s">
        <v>283</v>
      </c>
      <c r="H1208" s="1" t="s">
        <v>22</v>
      </c>
      <c r="I1208" s="1" t="s">
        <v>23</v>
      </c>
      <c r="L1208" s="1">
        <v>1</v>
      </c>
      <c r="M1208" s="1">
        <v>-39.255992280000001</v>
      </c>
      <c r="N1208" s="1">
        <v>-39.255992280000001</v>
      </c>
      <c r="O1208" s="11"/>
      <c r="P1208" s="11"/>
      <c r="Q1208" s="11"/>
      <c r="R1208" s="11"/>
    </row>
    <row r="1209" spans="4:18">
      <c r="D1209" s="1" t="s">
        <v>199</v>
      </c>
      <c r="E1209" s="1" t="s">
        <v>284</v>
      </c>
      <c r="H1209" s="1" t="s">
        <v>22</v>
      </c>
      <c r="I1209" s="1" t="s">
        <v>23</v>
      </c>
      <c r="L1209" s="1">
        <v>1</v>
      </c>
      <c r="M1209" s="1">
        <v>0.14376508499999999</v>
      </c>
      <c r="N1209" s="1">
        <v>0.14376508499999999</v>
      </c>
      <c r="O1209" s="11"/>
      <c r="P1209" s="11"/>
      <c r="Q1209" s="11"/>
      <c r="R1209" s="11"/>
    </row>
    <row r="1210" spans="4:18">
      <c r="D1210" s="1" t="s">
        <v>199</v>
      </c>
      <c r="E1210" s="1" t="s">
        <v>285</v>
      </c>
      <c r="H1210" s="1" t="s">
        <v>22</v>
      </c>
      <c r="I1210" s="1" t="s">
        <v>23</v>
      </c>
      <c r="L1210" s="1">
        <v>1</v>
      </c>
      <c r="M1210" s="1">
        <v>31.511118150000001</v>
      </c>
      <c r="N1210" s="1">
        <v>31.511118150000001</v>
      </c>
      <c r="O1210" s="11"/>
      <c r="P1210" s="11"/>
      <c r="Q1210" s="11"/>
      <c r="R1210" s="11"/>
    </row>
    <row r="1211" spans="4:18">
      <c r="D1211" s="1" t="s">
        <v>199</v>
      </c>
      <c r="E1211" s="1" t="s">
        <v>286</v>
      </c>
      <c r="H1211" s="1" t="s">
        <v>22</v>
      </c>
      <c r="I1211" s="1" t="s">
        <v>23</v>
      </c>
      <c r="L1211" s="1">
        <v>1</v>
      </c>
      <c r="M1211" s="1">
        <v>51.612682110000002</v>
      </c>
      <c r="N1211" s="1">
        <v>51.612682110000002</v>
      </c>
      <c r="O1211" s="11"/>
      <c r="P1211" s="11"/>
      <c r="Q1211" s="11"/>
      <c r="R1211" s="11"/>
    </row>
    <row r="1212" spans="4:18">
      <c r="D1212" s="1" t="s">
        <v>199</v>
      </c>
      <c r="E1212" s="1" t="s">
        <v>287</v>
      </c>
      <c r="H1212" s="1" t="s">
        <v>22</v>
      </c>
      <c r="I1212" s="1" t="s">
        <v>23</v>
      </c>
      <c r="L1212" s="1">
        <v>1</v>
      </c>
      <c r="M1212" s="1">
        <v>476.26315010000002</v>
      </c>
      <c r="N1212" s="1">
        <v>476.26315010000002</v>
      </c>
      <c r="O1212" s="11"/>
      <c r="P1212" s="11"/>
      <c r="Q1212" s="11"/>
      <c r="R1212" s="11"/>
    </row>
    <row r="1213" spans="4:18">
      <c r="D1213" s="1" t="s">
        <v>199</v>
      </c>
      <c r="E1213" s="1" t="s">
        <v>288</v>
      </c>
      <c r="H1213" s="1" t="s">
        <v>22</v>
      </c>
      <c r="I1213" s="1" t="s">
        <v>23</v>
      </c>
      <c r="L1213" s="1">
        <v>1</v>
      </c>
      <c r="M1213" s="1">
        <v>-677.71774679999999</v>
      </c>
      <c r="N1213" s="1">
        <v>-677.71774679999999</v>
      </c>
      <c r="O1213" s="11"/>
      <c r="P1213" s="11"/>
      <c r="Q1213" s="11"/>
      <c r="R1213" s="11"/>
    </row>
    <row r="1214" spans="4:18">
      <c r="D1214" s="1" t="s">
        <v>199</v>
      </c>
      <c r="E1214" s="1" t="s">
        <v>289</v>
      </c>
      <c r="H1214" s="1" t="s">
        <v>22</v>
      </c>
      <c r="I1214" s="1" t="s">
        <v>23</v>
      </c>
      <c r="L1214" s="1">
        <v>1</v>
      </c>
      <c r="M1214" s="1">
        <v>168.4614938</v>
      </c>
      <c r="N1214" s="1">
        <v>168.4614938</v>
      </c>
      <c r="O1214" s="11"/>
      <c r="P1214" s="11"/>
      <c r="Q1214" s="11"/>
      <c r="R1214" s="11"/>
    </row>
    <row r="1215" spans="4:18">
      <c r="D1215" s="1" t="s">
        <v>199</v>
      </c>
      <c r="E1215" s="1" t="s">
        <v>290</v>
      </c>
      <c r="H1215" s="1" t="s">
        <v>22</v>
      </c>
      <c r="I1215" s="1" t="s">
        <v>23</v>
      </c>
      <c r="L1215" s="1">
        <v>1</v>
      </c>
      <c r="M1215" s="1">
        <v>-124.3457523</v>
      </c>
      <c r="N1215" s="1">
        <v>-124.3457523</v>
      </c>
      <c r="O1215" s="11"/>
      <c r="P1215" s="11"/>
      <c r="Q1215" s="11"/>
      <c r="R1215" s="11"/>
    </row>
    <row r="1216" spans="4:18">
      <c r="D1216" s="1" t="s">
        <v>199</v>
      </c>
      <c r="E1216" s="1" t="s">
        <v>291</v>
      </c>
      <c r="H1216" s="1" t="s">
        <v>22</v>
      </c>
      <c r="I1216" s="1" t="s">
        <v>23</v>
      </c>
      <c r="L1216" s="1">
        <v>1</v>
      </c>
      <c r="M1216" s="1">
        <v>131.5600981</v>
      </c>
      <c r="N1216" s="1">
        <v>131.5600981</v>
      </c>
      <c r="O1216" s="11"/>
      <c r="P1216" s="11"/>
      <c r="Q1216" s="11"/>
      <c r="R1216" s="11"/>
    </row>
    <row r="1217" spans="4:18">
      <c r="D1217" s="1" t="s">
        <v>199</v>
      </c>
      <c r="E1217" s="1" t="s">
        <v>292</v>
      </c>
      <c r="H1217" s="1" t="s">
        <v>22</v>
      </c>
      <c r="I1217" s="1" t="s">
        <v>23</v>
      </c>
      <c r="L1217" s="1">
        <v>1</v>
      </c>
      <c r="M1217" s="1">
        <v>24.317312569999999</v>
      </c>
      <c r="N1217" s="1">
        <v>24.317312569999999</v>
      </c>
      <c r="O1217" s="11"/>
      <c r="P1217" s="11"/>
      <c r="Q1217" s="11"/>
      <c r="R1217" s="11"/>
    </row>
    <row r="1218" spans="4:18">
      <c r="D1218" s="1" t="s">
        <v>199</v>
      </c>
      <c r="E1218" s="1" t="s">
        <v>293</v>
      </c>
      <c r="H1218" s="1" t="s">
        <v>22</v>
      </c>
      <c r="I1218" s="1" t="s">
        <v>23</v>
      </c>
      <c r="L1218" s="1">
        <v>1</v>
      </c>
      <c r="M1218" s="1">
        <v>0.74103766999999998</v>
      </c>
      <c r="N1218" s="1">
        <v>0.74103766999999998</v>
      </c>
      <c r="O1218" s="11"/>
      <c r="P1218" s="11"/>
      <c r="Q1218" s="11"/>
      <c r="R1218" s="11"/>
    </row>
    <row r="1219" spans="4:18">
      <c r="D1219" s="1" t="s">
        <v>199</v>
      </c>
      <c r="E1219" s="1" t="s">
        <v>294</v>
      </c>
      <c r="H1219" s="1" t="s">
        <v>22</v>
      </c>
      <c r="I1219" s="1" t="s">
        <v>23</v>
      </c>
      <c r="L1219" s="1">
        <v>1</v>
      </c>
      <c r="M1219" s="1">
        <v>-4.0320341519999996</v>
      </c>
      <c r="N1219" s="1">
        <v>-4.0320341519999996</v>
      </c>
      <c r="O1219" s="11"/>
      <c r="P1219" s="11"/>
      <c r="Q1219" s="11"/>
      <c r="R1219" s="11"/>
    </row>
    <row r="1220" spans="4:18">
      <c r="D1220" s="1" t="s">
        <v>199</v>
      </c>
      <c r="E1220" s="1" t="s">
        <v>295</v>
      </c>
      <c r="H1220" s="1" t="s">
        <v>22</v>
      </c>
      <c r="I1220" s="1" t="s">
        <v>23</v>
      </c>
      <c r="L1220" s="1">
        <v>1</v>
      </c>
      <c r="M1220" s="1">
        <v>-40.666454590000001</v>
      </c>
      <c r="N1220" s="1">
        <v>-40.666454590000001</v>
      </c>
      <c r="O1220" s="11"/>
      <c r="P1220" s="11"/>
      <c r="Q1220" s="11"/>
      <c r="R1220" s="11"/>
    </row>
    <row r="1221" spans="4:18">
      <c r="D1221" s="1" t="s">
        <v>199</v>
      </c>
      <c r="E1221" s="1" t="s">
        <v>296</v>
      </c>
      <c r="H1221" s="1" t="s">
        <v>22</v>
      </c>
      <c r="I1221" s="1" t="s">
        <v>23</v>
      </c>
      <c r="L1221" s="1">
        <v>1</v>
      </c>
      <c r="M1221" s="1">
        <v>-461.83214980000002</v>
      </c>
      <c r="N1221" s="1">
        <v>-461.83214980000002</v>
      </c>
      <c r="O1221" s="11"/>
      <c r="P1221" s="11"/>
      <c r="Q1221" s="11"/>
      <c r="R1221" s="11"/>
    </row>
    <row r="1222" spans="4:18">
      <c r="D1222" s="1" t="s">
        <v>199</v>
      </c>
      <c r="E1222" s="1" t="s">
        <v>297</v>
      </c>
      <c r="H1222" s="1" t="s">
        <v>22</v>
      </c>
      <c r="I1222" s="1" t="s">
        <v>23</v>
      </c>
      <c r="L1222" s="1">
        <v>1</v>
      </c>
      <c r="M1222" s="1">
        <v>607.21877549999999</v>
      </c>
      <c r="N1222" s="1">
        <v>607.21877549999999</v>
      </c>
      <c r="O1222" s="11"/>
      <c r="P1222" s="11"/>
      <c r="Q1222" s="11"/>
      <c r="R1222" s="11"/>
    </row>
    <row r="1223" spans="4:18">
      <c r="D1223" s="1" t="s">
        <v>199</v>
      </c>
      <c r="E1223" s="1" t="s">
        <v>298</v>
      </c>
      <c r="H1223" s="1" t="s">
        <v>22</v>
      </c>
      <c r="I1223" s="1" t="s">
        <v>23</v>
      </c>
      <c r="L1223" s="1">
        <v>1</v>
      </c>
      <c r="M1223" s="1">
        <v>94.007734139999997</v>
      </c>
      <c r="N1223" s="1">
        <v>94.007734139999997</v>
      </c>
      <c r="O1223" s="11"/>
      <c r="P1223" s="11"/>
      <c r="Q1223" s="11"/>
      <c r="R1223" s="11"/>
    </row>
    <row r="1224" spans="4:18">
      <c r="D1224" s="1" t="s">
        <v>199</v>
      </c>
      <c r="E1224" s="1" t="s">
        <v>299</v>
      </c>
      <c r="H1224" s="1" t="s">
        <v>22</v>
      </c>
      <c r="I1224" s="1" t="s">
        <v>23</v>
      </c>
      <c r="L1224" s="1">
        <v>1</v>
      </c>
      <c r="M1224" s="1">
        <v>-148.75361609999999</v>
      </c>
      <c r="N1224" s="1">
        <v>-148.75361609999999</v>
      </c>
      <c r="O1224" s="11"/>
      <c r="P1224" s="11"/>
      <c r="Q1224" s="11"/>
      <c r="R1224" s="11"/>
    </row>
    <row r="1225" spans="4:18">
      <c r="D1225" s="1" t="s">
        <v>199</v>
      </c>
      <c r="E1225" s="1" t="s">
        <v>300</v>
      </c>
      <c r="H1225" s="1" t="s">
        <v>22</v>
      </c>
      <c r="I1225" s="1" t="s">
        <v>23</v>
      </c>
      <c r="L1225" s="1">
        <v>1</v>
      </c>
      <c r="M1225" s="1">
        <v>-57.154009170000002</v>
      </c>
      <c r="N1225" s="1">
        <v>-57.154009170000002</v>
      </c>
      <c r="O1225" s="11"/>
      <c r="P1225" s="11"/>
      <c r="Q1225" s="11"/>
      <c r="R1225" s="11"/>
    </row>
    <row r="1226" spans="4:18">
      <c r="D1226" s="1" t="s">
        <v>199</v>
      </c>
      <c r="E1226" s="1" t="s">
        <v>301</v>
      </c>
      <c r="H1226" s="1" t="s">
        <v>22</v>
      </c>
      <c r="I1226" s="1" t="s">
        <v>23</v>
      </c>
      <c r="L1226" s="1">
        <v>1</v>
      </c>
      <c r="M1226" s="1">
        <v>-65.994916669999995</v>
      </c>
      <c r="N1226" s="1">
        <v>-65.994916669999995</v>
      </c>
      <c r="O1226" s="11"/>
      <c r="P1226" s="11"/>
      <c r="Q1226" s="11"/>
      <c r="R1226" s="11"/>
    </row>
    <row r="1227" spans="4:18">
      <c r="D1227" s="1" t="s">
        <v>199</v>
      </c>
      <c r="E1227" s="1" t="s">
        <v>302</v>
      </c>
      <c r="H1227" s="1" t="s">
        <v>22</v>
      </c>
      <c r="I1227" s="1" t="s">
        <v>23</v>
      </c>
      <c r="L1227" s="1">
        <v>1</v>
      </c>
      <c r="M1227" s="1">
        <v>-7.7566634509999997</v>
      </c>
      <c r="N1227" s="1">
        <v>-7.7566634509999997</v>
      </c>
      <c r="O1227" s="11"/>
      <c r="P1227" s="11"/>
      <c r="Q1227" s="11"/>
      <c r="R1227" s="11"/>
    </row>
    <row r="1228" spans="4:18">
      <c r="D1228" s="1" t="s">
        <v>199</v>
      </c>
      <c r="E1228" s="1" t="s">
        <v>303</v>
      </c>
      <c r="H1228" s="1" t="s">
        <v>22</v>
      </c>
      <c r="I1228" s="1" t="s">
        <v>23</v>
      </c>
      <c r="L1228" s="1">
        <v>1</v>
      </c>
      <c r="M1228" s="1">
        <v>11.86050234</v>
      </c>
      <c r="N1228" s="1">
        <v>11.86050234</v>
      </c>
      <c r="O1228" s="11"/>
      <c r="P1228" s="11"/>
      <c r="Q1228" s="11"/>
      <c r="R1228" s="11"/>
    </row>
    <row r="1229" spans="4:18">
      <c r="D1229" s="1" t="s">
        <v>199</v>
      </c>
      <c r="E1229" s="1" t="s">
        <v>304</v>
      </c>
      <c r="H1229" s="1" t="s">
        <v>22</v>
      </c>
      <c r="I1229" s="1" t="s">
        <v>23</v>
      </c>
      <c r="L1229" s="1">
        <v>1</v>
      </c>
      <c r="M1229" s="1">
        <v>318.51040890000002</v>
      </c>
      <c r="N1229" s="1">
        <v>318.51040890000002</v>
      </c>
      <c r="O1229" s="11"/>
      <c r="P1229" s="11"/>
      <c r="Q1229" s="11"/>
      <c r="R1229" s="11"/>
    </row>
    <row r="1230" spans="4:18">
      <c r="D1230" s="1" t="s">
        <v>199</v>
      </c>
      <c r="E1230" s="1" t="s">
        <v>305</v>
      </c>
      <c r="H1230" s="1" t="s">
        <v>22</v>
      </c>
      <c r="I1230" s="1" t="s">
        <v>23</v>
      </c>
      <c r="L1230" s="1">
        <v>1</v>
      </c>
      <c r="M1230" s="1">
        <v>-377.2452467</v>
      </c>
      <c r="N1230" s="1">
        <v>-377.2452467</v>
      </c>
      <c r="O1230" s="11"/>
      <c r="P1230" s="11"/>
      <c r="Q1230" s="11"/>
      <c r="R1230" s="11"/>
    </row>
    <row r="1231" spans="4:18">
      <c r="D1231" s="1" t="s">
        <v>199</v>
      </c>
      <c r="E1231" s="1" t="s">
        <v>306</v>
      </c>
      <c r="H1231" s="1" t="s">
        <v>22</v>
      </c>
      <c r="I1231" s="1" t="s">
        <v>23</v>
      </c>
      <c r="L1231" s="1">
        <v>1</v>
      </c>
      <c r="M1231" s="1">
        <v>-104.4268855</v>
      </c>
      <c r="N1231" s="1">
        <v>-104.4268855</v>
      </c>
      <c r="O1231" s="11"/>
      <c r="P1231" s="11"/>
      <c r="Q1231" s="11"/>
      <c r="R1231" s="11"/>
    </row>
    <row r="1232" spans="4:18">
      <c r="D1232" s="1" t="s">
        <v>199</v>
      </c>
      <c r="E1232" s="1" t="s">
        <v>307</v>
      </c>
      <c r="H1232" s="1" t="s">
        <v>22</v>
      </c>
      <c r="I1232" s="1" t="s">
        <v>23</v>
      </c>
      <c r="L1232" s="1">
        <v>1</v>
      </c>
      <c r="M1232" s="1">
        <v>-65.635006419999996</v>
      </c>
      <c r="N1232" s="1">
        <v>-65.635006419999996</v>
      </c>
      <c r="O1232" s="11"/>
      <c r="P1232" s="11"/>
      <c r="Q1232" s="11"/>
      <c r="R1232" s="11"/>
    </row>
    <row r="1233" spans="4:18">
      <c r="D1233" s="1" t="s">
        <v>199</v>
      </c>
      <c r="E1233" s="1" t="s">
        <v>308</v>
      </c>
      <c r="H1233" s="1" t="s">
        <v>22</v>
      </c>
      <c r="I1233" s="1" t="s">
        <v>23</v>
      </c>
      <c r="L1233" s="1">
        <v>1</v>
      </c>
      <c r="M1233" s="1">
        <v>228.38567380000001</v>
      </c>
      <c r="N1233" s="1">
        <v>228.38567380000001</v>
      </c>
      <c r="O1233" s="11"/>
      <c r="P1233" s="11"/>
      <c r="Q1233" s="11"/>
      <c r="R1233" s="11"/>
    </row>
    <row r="1234" spans="4:18">
      <c r="D1234" s="1" t="s">
        <v>199</v>
      </c>
      <c r="E1234" s="1" t="s">
        <v>309</v>
      </c>
      <c r="H1234" s="1" t="s">
        <v>22</v>
      </c>
      <c r="I1234" s="1" t="s">
        <v>23</v>
      </c>
      <c r="L1234" s="1">
        <v>1</v>
      </c>
      <c r="M1234" s="1">
        <v>14.29200309</v>
      </c>
      <c r="N1234" s="1">
        <v>14.29200309</v>
      </c>
      <c r="O1234" s="11"/>
      <c r="P1234" s="11"/>
      <c r="Q1234" s="11"/>
      <c r="R1234" s="11"/>
    </row>
    <row r="1235" spans="4:18">
      <c r="D1235" s="1" t="s">
        <v>199</v>
      </c>
      <c r="E1235" s="1" t="s">
        <v>310</v>
      </c>
      <c r="H1235" s="1" t="s">
        <v>22</v>
      </c>
      <c r="I1235" s="1" t="s">
        <v>23</v>
      </c>
      <c r="L1235" s="1">
        <v>1</v>
      </c>
      <c r="M1235" s="1">
        <v>17.443689639999999</v>
      </c>
      <c r="N1235" s="1">
        <v>17.443689639999999</v>
      </c>
      <c r="O1235" s="11"/>
      <c r="P1235" s="11"/>
      <c r="Q1235" s="11"/>
      <c r="R1235" s="11"/>
    </row>
    <row r="1236" spans="4:18">
      <c r="D1236" s="1" t="s">
        <v>199</v>
      </c>
      <c r="E1236" s="1" t="s">
        <v>311</v>
      </c>
      <c r="H1236" s="1" t="s">
        <v>22</v>
      </c>
      <c r="I1236" s="1" t="s">
        <v>23</v>
      </c>
      <c r="L1236" s="1">
        <v>1</v>
      </c>
      <c r="M1236" s="1">
        <v>0.84165598600000002</v>
      </c>
      <c r="N1236" s="1">
        <v>0.84165598600000002</v>
      </c>
      <c r="O1236" s="11"/>
      <c r="P1236" s="11"/>
      <c r="Q1236" s="11"/>
      <c r="R1236" s="11"/>
    </row>
    <row r="1237" spans="4:18">
      <c r="D1237" s="1" t="s">
        <v>199</v>
      </c>
      <c r="E1237" s="1" t="s">
        <v>312</v>
      </c>
      <c r="H1237" s="1" t="s">
        <v>22</v>
      </c>
      <c r="I1237" s="1" t="s">
        <v>23</v>
      </c>
      <c r="L1237" s="1">
        <v>1</v>
      </c>
      <c r="M1237" s="1">
        <v>-3.4751676480000002</v>
      </c>
      <c r="N1237" s="1">
        <v>-3.4751676480000002</v>
      </c>
      <c r="O1237" s="11"/>
      <c r="P1237" s="11"/>
      <c r="Q1237" s="11"/>
      <c r="R1237" s="11"/>
    </row>
    <row r="1238" spans="4:18">
      <c r="D1238" s="1" t="s">
        <v>199</v>
      </c>
      <c r="E1238" s="1" t="s">
        <v>313</v>
      </c>
      <c r="H1238" s="1" t="s">
        <v>22</v>
      </c>
      <c r="I1238" s="1" t="s">
        <v>23</v>
      </c>
      <c r="L1238" s="1">
        <v>1</v>
      </c>
      <c r="M1238" s="1">
        <v>-152.88875329999999</v>
      </c>
      <c r="N1238" s="1">
        <v>-152.88875329999999</v>
      </c>
      <c r="O1238" s="11"/>
      <c r="P1238" s="11"/>
      <c r="Q1238" s="11"/>
      <c r="R1238" s="11"/>
    </row>
    <row r="1239" spans="4:18">
      <c r="D1239" s="1" t="s">
        <v>199</v>
      </c>
      <c r="E1239" s="1" t="s">
        <v>314</v>
      </c>
      <c r="H1239" s="1" t="s">
        <v>22</v>
      </c>
      <c r="I1239" s="1" t="s">
        <v>23</v>
      </c>
      <c r="L1239" s="1">
        <v>1</v>
      </c>
      <c r="M1239" s="1">
        <v>227.2729866</v>
      </c>
      <c r="N1239" s="1">
        <v>227.2729866</v>
      </c>
      <c r="O1239" s="11"/>
      <c r="P1239" s="11"/>
      <c r="Q1239" s="11"/>
      <c r="R1239" s="11"/>
    </row>
    <row r="1240" spans="4:18">
      <c r="D1240" s="1" t="s">
        <v>199</v>
      </c>
      <c r="E1240" s="1" t="s">
        <v>315</v>
      </c>
      <c r="H1240" s="1" t="s">
        <v>22</v>
      </c>
      <c r="I1240" s="1" t="s">
        <v>23</v>
      </c>
      <c r="L1240" s="1">
        <v>1</v>
      </c>
      <c r="M1240" s="1">
        <v>-1.8019257E-2</v>
      </c>
      <c r="N1240" s="1">
        <v>-1.8019257E-2</v>
      </c>
      <c r="O1240" s="11"/>
      <c r="P1240" s="11"/>
      <c r="Q1240" s="11"/>
      <c r="R1240" s="11"/>
    </row>
    <row r="1241" spans="4:18">
      <c r="D1241" s="1" t="s">
        <v>199</v>
      </c>
      <c r="E1241" s="1" t="s">
        <v>316</v>
      </c>
      <c r="H1241" s="1" t="s">
        <v>22</v>
      </c>
      <c r="I1241" s="1" t="s">
        <v>23</v>
      </c>
      <c r="L1241" s="1">
        <v>1</v>
      </c>
      <c r="M1241" s="1">
        <v>105.85065280000001</v>
      </c>
      <c r="N1241" s="1">
        <v>105.85065280000001</v>
      </c>
      <c r="O1241" s="11"/>
      <c r="P1241" s="11"/>
      <c r="Q1241" s="11"/>
      <c r="R1241" s="11"/>
    </row>
    <row r="1242" spans="4:18">
      <c r="D1242" s="1" t="s">
        <v>199</v>
      </c>
      <c r="E1242" s="1" t="s">
        <v>317</v>
      </c>
      <c r="H1242" s="1" t="s">
        <v>22</v>
      </c>
      <c r="I1242" s="1" t="s">
        <v>23</v>
      </c>
      <c r="L1242" s="1">
        <v>1</v>
      </c>
      <c r="M1242" s="1">
        <v>-61.176824179999997</v>
      </c>
      <c r="N1242" s="1">
        <v>-61.176824179999997</v>
      </c>
      <c r="O1242" s="11"/>
      <c r="P1242" s="11"/>
      <c r="Q1242" s="11"/>
      <c r="R1242" s="11"/>
    </row>
    <row r="1243" spans="4:18">
      <c r="D1243" s="1" t="s">
        <v>199</v>
      </c>
      <c r="E1243" s="1" t="s">
        <v>318</v>
      </c>
      <c r="H1243" s="1" t="s">
        <v>22</v>
      </c>
      <c r="I1243" s="1" t="s">
        <v>23</v>
      </c>
      <c r="L1243" s="1">
        <v>1</v>
      </c>
      <c r="M1243" s="1">
        <v>-119.0621538</v>
      </c>
      <c r="N1243" s="1">
        <v>-119.0621538</v>
      </c>
      <c r="O1243" s="11"/>
      <c r="P1243" s="11"/>
      <c r="Q1243" s="11"/>
      <c r="R1243" s="11"/>
    </row>
    <row r="1244" spans="4:18">
      <c r="D1244" s="1" t="s">
        <v>199</v>
      </c>
      <c r="E1244" s="1" t="s">
        <v>319</v>
      </c>
      <c r="H1244" s="1" t="s">
        <v>22</v>
      </c>
      <c r="I1244" s="1" t="s">
        <v>23</v>
      </c>
      <c r="L1244" s="1">
        <v>1</v>
      </c>
      <c r="M1244" s="1">
        <v>16.280096700000001</v>
      </c>
      <c r="N1244" s="1">
        <v>16.280096700000001</v>
      </c>
      <c r="O1244" s="11"/>
      <c r="P1244" s="11"/>
      <c r="Q1244" s="11"/>
      <c r="R1244" s="11"/>
    </row>
    <row r="1245" spans="4:18">
      <c r="D1245" s="1" t="s">
        <v>199</v>
      </c>
      <c r="E1245" s="1" t="s">
        <v>320</v>
      </c>
      <c r="H1245" s="1" t="s">
        <v>22</v>
      </c>
      <c r="I1245" s="1" t="s">
        <v>23</v>
      </c>
      <c r="L1245" s="1">
        <v>1</v>
      </c>
      <c r="M1245" s="1">
        <v>-0.364433012</v>
      </c>
      <c r="N1245" s="1">
        <v>-0.364433012</v>
      </c>
      <c r="O1245" s="11"/>
      <c r="P1245" s="11"/>
      <c r="Q1245" s="11"/>
      <c r="R1245" s="11"/>
    </row>
    <row r="1246" spans="4:18">
      <c r="D1246" s="1" t="s">
        <v>199</v>
      </c>
      <c r="E1246" s="1" t="s">
        <v>321</v>
      </c>
      <c r="H1246" s="1" t="s">
        <v>22</v>
      </c>
      <c r="I1246" s="1" t="s">
        <v>23</v>
      </c>
      <c r="L1246" s="1">
        <v>1</v>
      </c>
      <c r="M1246" s="1">
        <v>55.912370189999997</v>
      </c>
      <c r="N1246" s="1">
        <v>55.912370189999997</v>
      </c>
      <c r="O1246" s="11"/>
      <c r="P1246" s="11"/>
      <c r="Q1246" s="11"/>
      <c r="R1246" s="11"/>
    </row>
    <row r="1247" spans="4:18">
      <c r="D1247" s="1" t="s">
        <v>199</v>
      </c>
      <c r="E1247" s="1" t="s">
        <v>322</v>
      </c>
      <c r="H1247" s="1" t="s">
        <v>22</v>
      </c>
      <c r="I1247" s="1" t="s">
        <v>23</v>
      </c>
      <c r="L1247" s="1">
        <v>1</v>
      </c>
      <c r="M1247" s="1">
        <v>-134.5652126</v>
      </c>
      <c r="N1247" s="1">
        <v>-134.5652126</v>
      </c>
      <c r="O1247" s="11"/>
      <c r="P1247" s="11"/>
      <c r="Q1247" s="11"/>
      <c r="R1247" s="11"/>
    </row>
    <row r="1248" spans="4:18">
      <c r="D1248" s="1" t="s">
        <v>199</v>
      </c>
      <c r="E1248" s="1" t="s">
        <v>323</v>
      </c>
      <c r="H1248" s="1" t="s">
        <v>22</v>
      </c>
      <c r="I1248" s="1" t="s">
        <v>23</v>
      </c>
      <c r="L1248" s="1">
        <v>1</v>
      </c>
      <c r="M1248" s="1">
        <v>26.37456156</v>
      </c>
      <c r="N1248" s="1">
        <v>26.37456156</v>
      </c>
      <c r="O1248" s="11"/>
      <c r="P1248" s="11"/>
      <c r="Q1248" s="11"/>
      <c r="R1248" s="11"/>
    </row>
    <row r="1249" spans="4:18">
      <c r="D1249" s="1" t="s">
        <v>199</v>
      </c>
      <c r="E1249" s="1" t="s">
        <v>324</v>
      </c>
      <c r="H1249" s="1" t="s">
        <v>22</v>
      </c>
      <c r="I1249" s="1" t="s">
        <v>23</v>
      </c>
      <c r="L1249" s="1">
        <v>1</v>
      </c>
      <c r="M1249" s="1">
        <v>-39.448332200000003</v>
      </c>
      <c r="N1249" s="1">
        <v>-39.448332200000003</v>
      </c>
      <c r="O1249" s="11"/>
      <c r="P1249" s="11"/>
      <c r="Q1249" s="11"/>
      <c r="R1249" s="11"/>
    </row>
    <row r="1250" spans="4:18">
      <c r="D1250" s="1" t="s">
        <v>199</v>
      </c>
      <c r="E1250" s="1" t="s">
        <v>325</v>
      </c>
      <c r="H1250" s="1" t="s">
        <v>22</v>
      </c>
      <c r="I1250" s="1" t="s">
        <v>23</v>
      </c>
      <c r="L1250" s="1">
        <v>1</v>
      </c>
      <c r="M1250" s="1">
        <v>-8.5617157749999997</v>
      </c>
      <c r="N1250" s="1">
        <v>-8.5617157749999997</v>
      </c>
      <c r="O1250" s="11"/>
      <c r="P1250" s="11"/>
      <c r="Q1250" s="11"/>
      <c r="R1250" s="11"/>
    </row>
    <row r="1251" spans="4:18">
      <c r="D1251" s="1" t="s">
        <v>199</v>
      </c>
      <c r="E1251" s="1" t="s">
        <v>326</v>
      </c>
      <c r="H1251" s="1" t="s">
        <v>22</v>
      </c>
      <c r="I1251" s="1" t="s">
        <v>23</v>
      </c>
      <c r="L1251" s="1">
        <v>1</v>
      </c>
      <c r="M1251" s="1">
        <v>36.996153110000002</v>
      </c>
      <c r="N1251" s="1">
        <v>36.996153110000002</v>
      </c>
      <c r="O1251" s="11"/>
      <c r="P1251" s="11"/>
      <c r="Q1251" s="11"/>
      <c r="R1251" s="11"/>
    </row>
    <row r="1252" spans="4:18">
      <c r="D1252" s="1" t="s">
        <v>199</v>
      </c>
      <c r="E1252" s="1" t="s">
        <v>327</v>
      </c>
      <c r="H1252" s="1" t="s">
        <v>22</v>
      </c>
      <c r="I1252" s="1" t="s">
        <v>23</v>
      </c>
      <c r="L1252" s="1">
        <v>1</v>
      </c>
      <c r="M1252" s="1">
        <v>36.066391850000002</v>
      </c>
      <c r="N1252" s="1">
        <v>36.066391850000002</v>
      </c>
      <c r="O1252" s="11"/>
      <c r="P1252" s="11"/>
      <c r="Q1252" s="11"/>
      <c r="R1252" s="11"/>
    </row>
    <row r="1253" spans="4:18">
      <c r="D1253" s="1" t="s">
        <v>199</v>
      </c>
      <c r="E1253" s="1" t="s">
        <v>328</v>
      </c>
      <c r="H1253" s="1" t="s">
        <v>22</v>
      </c>
      <c r="I1253" s="1" t="s">
        <v>23</v>
      </c>
      <c r="L1253" s="1">
        <v>1</v>
      </c>
      <c r="M1253" s="1">
        <v>-13.89332338</v>
      </c>
      <c r="N1253" s="1">
        <v>-13.89332338</v>
      </c>
      <c r="O1253" s="11"/>
      <c r="P1253" s="11"/>
      <c r="Q1253" s="11"/>
      <c r="R1253" s="11"/>
    </row>
    <row r="1254" spans="4:18">
      <c r="D1254" s="1" t="s">
        <v>199</v>
      </c>
      <c r="E1254" s="1" t="s">
        <v>329</v>
      </c>
      <c r="H1254" s="1" t="s">
        <v>22</v>
      </c>
      <c r="I1254" s="1" t="s">
        <v>23</v>
      </c>
      <c r="L1254" s="1">
        <v>1</v>
      </c>
      <c r="M1254" s="1">
        <v>-0.65603491599999997</v>
      </c>
      <c r="N1254" s="1">
        <v>-0.65603491599999997</v>
      </c>
      <c r="O1254" s="11"/>
      <c r="P1254" s="11"/>
      <c r="Q1254" s="11"/>
      <c r="R1254" s="11"/>
    </row>
    <row r="1255" spans="4:18">
      <c r="D1255" s="1" t="s">
        <v>199</v>
      </c>
      <c r="E1255" s="1" t="s">
        <v>330</v>
      </c>
      <c r="H1255" s="1" t="s">
        <v>22</v>
      </c>
      <c r="I1255" s="1" t="s">
        <v>23</v>
      </c>
      <c r="L1255" s="1">
        <v>1</v>
      </c>
      <c r="M1255" s="1">
        <v>-10.9885372</v>
      </c>
      <c r="N1255" s="1">
        <v>-10.9885372</v>
      </c>
      <c r="O1255" s="11"/>
      <c r="P1255" s="11"/>
      <c r="Q1255" s="11"/>
      <c r="R1255" s="11"/>
    </row>
    <row r="1256" spans="4:18">
      <c r="D1256" s="1" t="s">
        <v>199</v>
      </c>
      <c r="E1256" s="1" t="s">
        <v>331</v>
      </c>
      <c r="H1256" s="1" t="s">
        <v>22</v>
      </c>
      <c r="I1256" s="1" t="s">
        <v>23</v>
      </c>
      <c r="L1256" s="1">
        <v>1</v>
      </c>
      <c r="M1256" s="1">
        <v>53.003603159999997</v>
      </c>
      <c r="N1256" s="1">
        <v>53.003603159999997</v>
      </c>
      <c r="O1256" s="11"/>
      <c r="P1256" s="11"/>
      <c r="Q1256" s="11"/>
      <c r="R1256" s="11"/>
    </row>
    <row r="1257" spans="4:18">
      <c r="D1257" s="1" t="s">
        <v>199</v>
      </c>
      <c r="E1257" s="1" t="s">
        <v>332</v>
      </c>
      <c r="H1257" s="1" t="s">
        <v>22</v>
      </c>
      <c r="I1257" s="1" t="s">
        <v>23</v>
      </c>
      <c r="L1257" s="1">
        <v>1</v>
      </c>
      <c r="M1257" s="1">
        <v>-7.8117817350000003</v>
      </c>
      <c r="N1257" s="1">
        <v>-7.8117817350000003</v>
      </c>
      <c r="O1257" s="11"/>
      <c r="P1257" s="11"/>
      <c r="Q1257" s="11"/>
      <c r="R1257" s="11"/>
    </row>
    <row r="1258" spans="4:18">
      <c r="D1258" s="1" t="s">
        <v>199</v>
      </c>
      <c r="E1258" s="1" t="s">
        <v>333</v>
      </c>
      <c r="H1258" s="1" t="s">
        <v>22</v>
      </c>
      <c r="I1258" s="1" t="s">
        <v>23</v>
      </c>
      <c r="L1258" s="1">
        <v>1</v>
      </c>
      <c r="M1258" s="1">
        <v>5.0199583170000004</v>
      </c>
      <c r="N1258" s="1">
        <v>5.0199583170000004</v>
      </c>
      <c r="O1258" s="11"/>
      <c r="P1258" s="11"/>
      <c r="Q1258" s="11"/>
      <c r="R1258" s="11"/>
    </row>
    <row r="1259" spans="4:18">
      <c r="D1259" s="1" t="s">
        <v>199</v>
      </c>
      <c r="E1259" s="1" t="s">
        <v>334</v>
      </c>
      <c r="H1259" s="1" t="s">
        <v>22</v>
      </c>
      <c r="I1259" s="1" t="s">
        <v>23</v>
      </c>
      <c r="L1259" s="1">
        <v>1</v>
      </c>
      <c r="M1259" s="1">
        <v>6.1890656289999999</v>
      </c>
      <c r="N1259" s="1">
        <v>6.1890656289999999</v>
      </c>
      <c r="O1259" s="11"/>
      <c r="P1259" s="11"/>
      <c r="Q1259" s="11"/>
      <c r="R1259" s="11"/>
    </row>
    <row r="1260" spans="4:18">
      <c r="D1260" s="1" t="s">
        <v>199</v>
      </c>
      <c r="E1260" s="1" t="s">
        <v>335</v>
      </c>
      <c r="H1260" s="1" t="s">
        <v>22</v>
      </c>
      <c r="I1260" s="1" t="s">
        <v>23</v>
      </c>
      <c r="L1260" s="1">
        <v>1</v>
      </c>
      <c r="M1260" s="1">
        <v>-2.328370482</v>
      </c>
      <c r="N1260" s="1">
        <v>-2.328370482</v>
      </c>
      <c r="O1260" s="11"/>
      <c r="P1260" s="11"/>
      <c r="Q1260" s="11"/>
      <c r="R1260" s="11"/>
    </row>
    <row r="1261" spans="4:18">
      <c r="D1261" s="1" t="s">
        <v>199</v>
      </c>
      <c r="E1261" s="1" t="s">
        <v>336</v>
      </c>
      <c r="H1261" s="1" t="s">
        <v>22</v>
      </c>
      <c r="I1261" s="1" t="s">
        <v>23</v>
      </c>
      <c r="L1261" s="1">
        <v>1</v>
      </c>
      <c r="M1261" s="1">
        <v>-10.17886395</v>
      </c>
      <c r="N1261" s="1">
        <v>-10.17886395</v>
      </c>
      <c r="O1261" s="11"/>
      <c r="P1261" s="11"/>
      <c r="Q1261" s="11"/>
      <c r="R1261" s="11"/>
    </row>
    <row r="1262" spans="4:18">
      <c r="D1262" s="1" t="s">
        <v>199</v>
      </c>
      <c r="E1262" s="1" t="s">
        <v>337</v>
      </c>
      <c r="H1262" s="1" t="s">
        <v>22</v>
      </c>
      <c r="I1262" s="1" t="s">
        <v>23</v>
      </c>
      <c r="L1262" s="1">
        <v>1</v>
      </c>
      <c r="M1262" s="1">
        <v>-5.2887484039999997</v>
      </c>
      <c r="N1262" s="1">
        <v>-5.2887484039999997</v>
      </c>
      <c r="O1262" s="11"/>
      <c r="P1262" s="11"/>
      <c r="Q1262" s="11"/>
      <c r="R1262" s="11"/>
    </row>
    <row r="1263" spans="4:18">
      <c r="D1263" s="1" t="s">
        <v>199</v>
      </c>
      <c r="E1263" s="1" t="s">
        <v>338</v>
      </c>
      <c r="H1263" s="1" t="s">
        <v>22</v>
      </c>
      <c r="I1263" s="1" t="s">
        <v>23</v>
      </c>
      <c r="L1263" s="1">
        <v>1</v>
      </c>
      <c r="M1263" s="1">
        <v>4.3945896769999999</v>
      </c>
      <c r="N1263" s="1">
        <v>4.3945896769999999</v>
      </c>
      <c r="O1263" s="11"/>
      <c r="P1263" s="11"/>
      <c r="Q1263" s="11"/>
      <c r="R1263" s="11"/>
    </row>
    <row r="1264" spans="4:18">
      <c r="D1264" s="1" t="s">
        <v>199</v>
      </c>
      <c r="E1264" s="1" t="s">
        <v>339</v>
      </c>
      <c r="H1264" s="1" t="s">
        <v>22</v>
      </c>
      <c r="I1264" s="1" t="s">
        <v>23</v>
      </c>
      <c r="L1264" s="1">
        <v>1</v>
      </c>
      <c r="M1264" s="1">
        <v>-11.059626700000001</v>
      </c>
      <c r="N1264" s="1">
        <v>-11.059626700000001</v>
      </c>
      <c r="O1264" s="11"/>
      <c r="P1264" s="11"/>
      <c r="Q1264" s="11"/>
      <c r="R1264" s="11"/>
    </row>
    <row r="1265" spans="4:18">
      <c r="D1265" s="1" t="s">
        <v>199</v>
      </c>
      <c r="E1265" s="1" t="s">
        <v>340</v>
      </c>
      <c r="H1265" s="1" t="s">
        <v>22</v>
      </c>
      <c r="I1265" s="1" t="s">
        <v>23</v>
      </c>
      <c r="L1265" s="1">
        <v>1</v>
      </c>
      <c r="M1265" s="1">
        <v>2.2158513590000002</v>
      </c>
      <c r="N1265" s="1">
        <v>2.2158513590000002</v>
      </c>
      <c r="O1265" s="11"/>
      <c r="P1265" s="11"/>
      <c r="Q1265" s="11"/>
      <c r="R1265" s="11"/>
    </row>
    <row r="1266" spans="4:18">
      <c r="D1266" s="1" t="s">
        <v>199</v>
      </c>
      <c r="E1266" s="1" t="s">
        <v>341</v>
      </c>
      <c r="H1266" s="1" t="s">
        <v>22</v>
      </c>
      <c r="I1266" s="1" t="s">
        <v>23</v>
      </c>
      <c r="L1266" s="1">
        <v>1</v>
      </c>
      <c r="M1266" s="1">
        <v>-1.478775138</v>
      </c>
      <c r="N1266" s="1">
        <v>-1.478775138</v>
      </c>
      <c r="O1266" s="11"/>
      <c r="P1266" s="11"/>
      <c r="Q1266" s="11"/>
      <c r="R1266" s="11"/>
    </row>
    <row r="1267" spans="4:18">
      <c r="D1267" s="1" t="s">
        <v>199</v>
      </c>
      <c r="E1267" s="1" t="s">
        <v>342</v>
      </c>
      <c r="H1267" s="1" t="s">
        <v>22</v>
      </c>
      <c r="I1267" s="1" t="s">
        <v>23</v>
      </c>
      <c r="L1267" s="1">
        <v>1</v>
      </c>
      <c r="M1267" s="1">
        <v>0.36305560199999998</v>
      </c>
      <c r="N1267" s="1">
        <v>0.36305560199999998</v>
      </c>
      <c r="O1267" s="11"/>
      <c r="P1267" s="11"/>
      <c r="Q1267" s="11"/>
      <c r="R1267" s="11"/>
    </row>
    <row r="1268" spans="4:18">
      <c r="D1268" s="1" t="s">
        <v>199</v>
      </c>
      <c r="E1268" s="1" t="s">
        <v>343</v>
      </c>
      <c r="H1268" s="1" t="s">
        <v>22</v>
      </c>
      <c r="I1268" s="1" t="s">
        <v>23</v>
      </c>
      <c r="L1268" s="1">
        <v>1</v>
      </c>
      <c r="M1268" s="1">
        <v>-1.370538633</v>
      </c>
      <c r="N1268" s="1">
        <v>-1.370538633</v>
      </c>
      <c r="O1268" s="11"/>
      <c r="P1268" s="11"/>
      <c r="Q1268" s="11"/>
      <c r="R1268" s="11"/>
    </row>
    <row r="1269" spans="4:18">
      <c r="D1269" s="1" t="s">
        <v>199</v>
      </c>
      <c r="E1269" s="1" t="s">
        <v>344</v>
      </c>
      <c r="H1269" s="1" t="s">
        <v>22</v>
      </c>
      <c r="I1269" s="1" t="s">
        <v>23</v>
      </c>
      <c r="L1269" s="1">
        <v>1</v>
      </c>
      <c r="M1269" s="1">
        <v>1.6365981430000001</v>
      </c>
      <c r="N1269" s="1">
        <v>1.6365981430000001</v>
      </c>
      <c r="O1269" s="11"/>
      <c r="P1269" s="11"/>
      <c r="Q1269" s="11"/>
      <c r="R1269" s="11"/>
    </row>
    <row r="1270" spans="4:18">
      <c r="D1270" s="1" t="s">
        <v>199</v>
      </c>
      <c r="E1270" s="1" t="s">
        <v>345</v>
      </c>
      <c r="H1270" s="1" t="s">
        <v>22</v>
      </c>
      <c r="I1270" s="1" t="s">
        <v>23</v>
      </c>
      <c r="L1270" s="1">
        <v>1</v>
      </c>
      <c r="M1270" s="1">
        <v>0.99988022099999996</v>
      </c>
      <c r="N1270" s="1">
        <v>0.99988022099999996</v>
      </c>
      <c r="O1270" s="11"/>
      <c r="P1270" s="11"/>
      <c r="Q1270" s="11"/>
      <c r="R1270" s="11"/>
    </row>
    <row r="1271" spans="4:18">
      <c r="D1271" s="1" t="s">
        <v>199</v>
      </c>
      <c r="E1271" s="1" t="s">
        <v>346</v>
      </c>
      <c r="H1271" s="1" t="s">
        <v>22</v>
      </c>
      <c r="I1271" s="1" t="s">
        <v>23</v>
      </c>
      <c r="L1271" s="1">
        <v>1</v>
      </c>
      <c r="M1271" s="1">
        <v>0.54629809299999998</v>
      </c>
      <c r="N1271" s="1">
        <v>0.54629809299999998</v>
      </c>
      <c r="O1271" s="11"/>
      <c r="P1271" s="11"/>
      <c r="Q1271" s="11"/>
      <c r="R1271" s="11"/>
    </row>
    <row r="1272" spans="4:18">
      <c r="D1272" s="1" t="s">
        <v>199</v>
      </c>
      <c r="E1272" s="1" t="s">
        <v>347</v>
      </c>
      <c r="H1272" s="1" t="s">
        <v>22</v>
      </c>
      <c r="I1272" s="1" t="s">
        <v>23</v>
      </c>
      <c r="L1272" s="1">
        <v>1</v>
      </c>
      <c r="M1272" s="1">
        <v>-0.82105557299999998</v>
      </c>
      <c r="N1272" s="1">
        <v>-0.82105557299999998</v>
      </c>
      <c r="O1272" s="11"/>
      <c r="P1272" s="11"/>
      <c r="Q1272" s="11"/>
      <c r="R1272" s="11"/>
    </row>
    <row r="1273" spans="4:18">
      <c r="D1273" s="1" t="s">
        <v>199</v>
      </c>
      <c r="E1273" s="1" t="s">
        <v>348</v>
      </c>
      <c r="H1273" s="1" t="s">
        <v>22</v>
      </c>
      <c r="I1273" s="1" t="s">
        <v>23</v>
      </c>
      <c r="L1273" s="1">
        <v>1</v>
      </c>
      <c r="M1273" s="1">
        <v>-5.7979293150000002</v>
      </c>
      <c r="N1273" s="1">
        <v>-5.7979293150000002</v>
      </c>
      <c r="O1273" s="11"/>
      <c r="P1273" s="11"/>
      <c r="Q1273" s="11"/>
      <c r="R1273" s="11"/>
    </row>
    <row r="1274" spans="4:18">
      <c r="D1274" s="1" t="s">
        <v>199</v>
      </c>
      <c r="E1274" s="1" t="s">
        <v>349</v>
      </c>
      <c r="H1274" s="1" t="s">
        <v>22</v>
      </c>
      <c r="I1274" s="1" t="s">
        <v>23</v>
      </c>
      <c r="L1274" s="1">
        <v>1</v>
      </c>
      <c r="M1274" s="1">
        <v>5.9344295870000003</v>
      </c>
      <c r="N1274" s="1">
        <v>5.9344295870000003</v>
      </c>
      <c r="O1274" s="11"/>
      <c r="P1274" s="11"/>
      <c r="Q1274" s="11"/>
      <c r="R1274" s="11"/>
    </row>
    <row r="1275" spans="4:18">
      <c r="D1275" s="1" t="s">
        <v>199</v>
      </c>
      <c r="E1275" s="1" t="s">
        <v>350</v>
      </c>
      <c r="H1275" s="1" t="s">
        <v>22</v>
      </c>
      <c r="I1275" s="1" t="s">
        <v>23</v>
      </c>
      <c r="L1275" s="1">
        <v>1</v>
      </c>
      <c r="M1275" s="1">
        <v>-1.3620327480000001</v>
      </c>
      <c r="N1275" s="1">
        <v>-1.3620327480000001</v>
      </c>
      <c r="O1275" s="11"/>
      <c r="P1275" s="11"/>
      <c r="Q1275" s="11"/>
      <c r="R1275" s="11"/>
    </row>
    <row r="1276" spans="4:18">
      <c r="D1276" s="1" t="s">
        <v>199</v>
      </c>
      <c r="E1276" s="1" t="s">
        <v>351</v>
      </c>
      <c r="H1276" s="1" t="s">
        <v>22</v>
      </c>
      <c r="I1276" s="1" t="s">
        <v>23</v>
      </c>
      <c r="L1276" s="1">
        <v>1</v>
      </c>
      <c r="M1276" s="1">
        <v>-2.901002525</v>
      </c>
      <c r="N1276" s="1">
        <v>-2.901002525</v>
      </c>
      <c r="O1276" s="11"/>
      <c r="P1276" s="11"/>
      <c r="Q1276" s="11"/>
      <c r="R1276" s="11"/>
    </row>
    <row r="1277" spans="4:18">
      <c r="D1277" s="1" t="s">
        <v>199</v>
      </c>
      <c r="E1277" s="1" t="s">
        <v>352</v>
      </c>
      <c r="H1277" s="1" t="s">
        <v>22</v>
      </c>
      <c r="I1277" s="1" t="s">
        <v>23</v>
      </c>
      <c r="L1277" s="1">
        <v>1</v>
      </c>
      <c r="M1277" s="1">
        <v>3.0385366650000001</v>
      </c>
      <c r="N1277" s="1">
        <v>3.0385366650000001</v>
      </c>
      <c r="O1277" s="11"/>
      <c r="P1277" s="11"/>
      <c r="Q1277" s="11"/>
      <c r="R1277" s="11"/>
    </row>
    <row r="1278" spans="4:18">
      <c r="D1278" s="1" t="s">
        <v>199</v>
      </c>
      <c r="E1278" s="1" t="s">
        <v>353</v>
      </c>
      <c r="H1278" s="1" t="s">
        <v>22</v>
      </c>
      <c r="I1278" s="1" t="s">
        <v>23</v>
      </c>
      <c r="L1278" s="1">
        <v>1</v>
      </c>
      <c r="M1278" s="1">
        <v>-6.2111069360000002</v>
      </c>
      <c r="N1278" s="1">
        <v>-6.2111069360000002</v>
      </c>
      <c r="O1278" s="11"/>
      <c r="P1278" s="11"/>
      <c r="Q1278" s="11"/>
      <c r="R1278" s="11"/>
    </row>
    <row r="1279" spans="4:18">
      <c r="D1279" s="1" t="s">
        <v>199</v>
      </c>
      <c r="E1279" s="1" t="s">
        <v>354</v>
      </c>
      <c r="H1279" s="1" t="s">
        <v>22</v>
      </c>
      <c r="I1279" s="1" t="s">
        <v>23</v>
      </c>
      <c r="L1279" s="1">
        <v>1</v>
      </c>
      <c r="M1279" s="1">
        <v>2.1886335200000002</v>
      </c>
      <c r="N1279" s="1">
        <v>2.1886335200000002</v>
      </c>
      <c r="O1279" s="11"/>
      <c r="P1279" s="11"/>
      <c r="Q1279" s="11"/>
      <c r="R1279" s="11"/>
    </row>
    <row r="1280" spans="4:18">
      <c r="D1280" s="1" t="s">
        <v>199</v>
      </c>
      <c r="E1280" s="1" t="s">
        <v>355</v>
      </c>
      <c r="H1280" s="1" t="s">
        <v>22</v>
      </c>
      <c r="I1280" s="1" t="s">
        <v>23</v>
      </c>
      <c r="L1280" s="1">
        <v>1</v>
      </c>
      <c r="M1280" s="1">
        <v>2.9845017189999998</v>
      </c>
      <c r="N1280" s="1">
        <v>2.9845017189999998</v>
      </c>
      <c r="O1280" s="11"/>
      <c r="P1280" s="11"/>
      <c r="Q1280" s="11"/>
      <c r="R1280" s="11"/>
    </row>
    <row r="1281" spans="4:18">
      <c r="D1281" s="1" t="s">
        <v>199</v>
      </c>
      <c r="E1281" s="1" t="s">
        <v>356</v>
      </c>
      <c r="H1281" s="1" t="s">
        <v>22</v>
      </c>
      <c r="I1281" s="1" t="s">
        <v>23</v>
      </c>
      <c r="L1281" s="1">
        <v>1</v>
      </c>
      <c r="M1281" s="1">
        <v>-6.5912793379999997</v>
      </c>
      <c r="N1281" s="1">
        <v>-6.5912793379999997</v>
      </c>
      <c r="O1281" s="11"/>
      <c r="P1281" s="11"/>
      <c r="Q1281" s="11"/>
      <c r="R1281" s="11"/>
    </row>
    <row r="1282" spans="4:18">
      <c r="D1282" s="1" t="s">
        <v>199</v>
      </c>
      <c r="E1282" s="1" t="s">
        <v>357</v>
      </c>
      <c r="H1282" s="1" t="s">
        <v>22</v>
      </c>
      <c r="I1282" s="1" t="s">
        <v>23</v>
      </c>
      <c r="L1282" s="1">
        <v>1</v>
      </c>
      <c r="M1282" s="1">
        <v>-1.3890406230000001</v>
      </c>
      <c r="N1282" s="1">
        <v>-1.3890406230000001</v>
      </c>
      <c r="O1282" s="11"/>
      <c r="P1282" s="11"/>
      <c r="Q1282" s="11"/>
      <c r="R1282" s="11"/>
    </row>
    <row r="1283" spans="4:18">
      <c r="D1283" s="1" t="s">
        <v>199</v>
      </c>
      <c r="E1283" s="1" t="s">
        <v>358</v>
      </c>
      <c r="H1283" s="1" t="s">
        <v>22</v>
      </c>
      <c r="I1283" s="1" t="s">
        <v>23</v>
      </c>
      <c r="L1283" s="1">
        <v>1</v>
      </c>
      <c r="M1283" s="1">
        <v>4.6278114099999996</v>
      </c>
      <c r="N1283" s="1">
        <v>4.6278114099999996</v>
      </c>
      <c r="O1283" s="11"/>
      <c r="P1283" s="11"/>
      <c r="Q1283" s="11"/>
      <c r="R1283" s="11"/>
    </row>
    <row r="1284" spans="4:18">
      <c r="D1284" s="1" t="s">
        <v>199</v>
      </c>
      <c r="E1284" s="1" t="s">
        <v>359</v>
      </c>
      <c r="H1284" s="1" t="s">
        <v>22</v>
      </c>
      <c r="I1284" s="1" t="s">
        <v>23</v>
      </c>
      <c r="L1284" s="1">
        <v>1</v>
      </c>
      <c r="M1284" s="1">
        <v>6.8638224389999998</v>
      </c>
      <c r="N1284" s="1">
        <v>6.8638224389999998</v>
      </c>
      <c r="O1284" s="11"/>
      <c r="P1284" s="11"/>
      <c r="Q1284" s="11"/>
      <c r="R1284" s="11"/>
    </row>
    <row r="1285" spans="4:18">
      <c r="D1285" s="1" t="s">
        <v>199</v>
      </c>
      <c r="E1285" s="1" t="s">
        <v>360</v>
      </c>
      <c r="H1285" s="1" t="s">
        <v>22</v>
      </c>
      <c r="I1285" s="1" t="s">
        <v>23</v>
      </c>
      <c r="L1285" s="1">
        <v>1</v>
      </c>
      <c r="M1285" s="1">
        <v>-9.1978944679999994</v>
      </c>
      <c r="N1285" s="1">
        <v>-9.1978944679999994</v>
      </c>
      <c r="O1285" s="11"/>
      <c r="P1285" s="11"/>
      <c r="Q1285" s="11"/>
      <c r="R1285" s="11"/>
    </row>
    <row r="1286" spans="4:18">
      <c r="D1286" s="1" t="s">
        <v>199</v>
      </c>
      <c r="E1286" s="1" t="s">
        <v>361</v>
      </c>
      <c r="H1286" s="1" t="s">
        <v>22</v>
      </c>
      <c r="I1286" s="1" t="s">
        <v>23</v>
      </c>
      <c r="L1286" s="1">
        <v>1</v>
      </c>
      <c r="M1286" s="1">
        <v>8.7907856160000009</v>
      </c>
      <c r="N1286" s="1">
        <v>8.7907856160000009</v>
      </c>
      <c r="O1286" s="11"/>
      <c r="P1286" s="11"/>
      <c r="Q1286" s="11"/>
      <c r="R1286" s="11"/>
    </row>
    <row r="1287" spans="4:18">
      <c r="D1287" s="1" t="s">
        <v>199</v>
      </c>
      <c r="E1287" s="1" t="s">
        <v>362</v>
      </c>
      <c r="H1287" s="1" t="s">
        <v>22</v>
      </c>
      <c r="I1287" s="1" t="s">
        <v>23</v>
      </c>
      <c r="L1287" s="1">
        <v>1</v>
      </c>
      <c r="M1287" s="1">
        <v>-3.4629850609999999</v>
      </c>
      <c r="N1287" s="1">
        <v>-3.4629850609999999</v>
      </c>
      <c r="O1287" s="11"/>
      <c r="P1287" s="11"/>
      <c r="Q1287" s="11"/>
      <c r="R1287" s="11"/>
    </row>
    <row r="1288" spans="4:18">
      <c r="D1288" s="1" t="s">
        <v>199</v>
      </c>
      <c r="E1288" s="1" t="s">
        <v>363</v>
      </c>
      <c r="H1288" s="1" t="s">
        <v>22</v>
      </c>
      <c r="I1288" s="1" t="s">
        <v>23</v>
      </c>
      <c r="L1288" s="1">
        <v>1</v>
      </c>
      <c r="M1288" s="1">
        <v>14.846356910000001</v>
      </c>
      <c r="N1288" s="1">
        <v>14.846356910000001</v>
      </c>
      <c r="O1288" s="11"/>
      <c r="P1288" s="11"/>
      <c r="Q1288" s="11"/>
      <c r="R1288" s="11"/>
    </row>
    <row r="1289" spans="4:18">
      <c r="D1289" s="1" t="s">
        <v>199</v>
      </c>
      <c r="E1289" s="1" t="s">
        <v>364</v>
      </c>
      <c r="H1289" s="1" t="s">
        <v>22</v>
      </c>
      <c r="I1289" s="1" t="s">
        <v>23</v>
      </c>
      <c r="L1289" s="1">
        <v>1</v>
      </c>
      <c r="M1289" s="1">
        <v>7.6540139409999997</v>
      </c>
      <c r="N1289" s="1">
        <v>7.6540139409999997</v>
      </c>
      <c r="O1289" s="11"/>
      <c r="P1289" s="11"/>
      <c r="Q1289" s="11"/>
      <c r="R1289" s="11"/>
    </row>
    <row r="1290" spans="4:18">
      <c r="D1290" s="1" t="s">
        <v>199</v>
      </c>
      <c r="E1290" s="1" t="s">
        <v>365</v>
      </c>
      <c r="H1290" s="1" t="s">
        <v>22</v>
      </c>
      <c r="I1290" s="1" t="s">
        <v>23</v>
      </c>
      <c r="L1290" s="1">
        <v>1</v>
      </c>
      <c r="M1290" s="1">
        <v>-7.5028089720000004</v>
      </c>
      <c r="N1290" s="1">
        <v>-7.5028089720000004</v>
      </c>
      <c r="O1290" s="11"/>
      <c r="P1290" s="11"/>
      <c r="Q1290" s="11"/>
      <c r="R1290" s="11"/>
    </row>
    <row r="1291" spans="4:18">
      <c r="D1291" s="1" t="s">
        <v>199</v>
      </c>
      <c r="E1291" s="1" t="s">
        <v>366</v>
      </c>
      <c r="H1291" s="1" t="s">
        <v>22</v>
      </c>
      <c r="I1291" s="1" t="s">
        <v>23</v>
      </c>
      <c r="L1291" s="1">
        <v>1</v>
      </c>
      <c r="M1291" s="1">
        <v>-10.087701490000001</v>
      </c>
      <c r="N1291" s="1">
        <v>-10.087701490000001</v>
      </c>
      <c r="O1291" s="11"/>
      <c r="P1291" s="11"/>
      <c r="Q1291" s="11"/>
      <c r="R1291" s="11"/>
    </row>
    <row r="1292" spans="4:18">
      <c r="D1292" s="1" t="s">
        <v>199</v>
      </c>
      <c r="E1292" s="1" t="s">
        <v>367</v>
      </c>
      <c r="H1292" s="1" t="s">
        <v>22</v>
      </c>
      <c r="I1292" s="1" t="s">
        <v>23</v>
      </c>
      <c r="L1292" s="1">
        <v>1</v>
      </c>
      <c r="M1292" s="1">
        <v>-2.9511915389999999</v>
      </c>
      <c r="N1292" s="1">
        <v>-2.9511915389999999</v>
      </c>
      <c r="O1292" s="11"/>
      <c r="P1292" s="11"/>
      <c r="Q1292" s="11"/>
      <c r="R1292" s="11"/>
    </row>
    <row r="1293" spans="4:18">
      <c r="D1293" s="1" t="s">
        <v>199</v>
      </c>
      <c r="E1293" s="1" t="s">
        <v>368</v>
      </c>
      <c r="H1293" s="1" t="s">
        <v>22</v>
      </c>
      <c r="I1293" s="1" t="s">
        <v>23</v>
      </c>
      <c r="L1293" s="1">
        <v>1</v>
      </c>
      <c r="M1293" s="1">
        <v>-12.017104229999999</v>
      </c>
      <c r="N1293" s="1">
        <v>-12.017104229999999</v>
      </c>
      <c r="O1293" s="11"/>
      <c r="P1293" s="11"/>
      <c r="Q1293" s="11"/>
      <c r="R1293" s="11"/>
    </row>
    <row r="1294" spans="4:18">
      <c r="D1294" s="1" t="s">
        <v>199</v>
      </c>
      <c r="E1294" s="1" t="s">
        <v>369</v>
      </c>
      <c r="H1294" s="1" t="s">
        <v>22</v>
      </c>
      <c r="I1294" s="1" t="s">
        <v>23</v>
      </c>
      <c r="L1294" s="1">
        <v>1</v>
      </c>
      <c r="M1294" s="1">
        <v>15.168351530000001</v>
      </c>
      <c r="N1294" s="1">
        <v>15.168351530000001</v>
      </c>
      <c r="O1294" s="11"/>
      <c r="P1294" s="11"/>
      <c r="Q1294" s="11"/>
      <c r="R1294" s="11"/>
    </row>
    <row r="1295" spans="4:18">
      <c r="D1295" s="1" t="s">
        <v>199</v>
      </c>
      <c r="E1295" s="1" t="s">
        <v>370</v>
      </c>
      <c r="H1295" s="1" t="s">
        <v>22</v>
      </c>
      <c r="I1295" s="1" t="s">
        <v>23</v>
      </c>
      <c r="L1295" s="1">
        <v>1</v>
      </c>
      <c r="M1295" s="1">
        <v>-7.1734563160000002</v>
      </c>
      <c r="N1295" s="1">
        <v>-7.1734563160000002</v>
      </c>
      <c r="O1295" s="11"/>
      <c r="P1295" s="11"/>
      <c r="Q1295" s="11"/>
      <c r="R1295" s="11"/>
    </row>
    <row r="1296" spans="4:18">
      <c r="D1296" s="1" t="s">
        <v>199</v>
      </c>
      <c r="E1296" s="1" t="s">
        <v>371</v>
      </c>
      <c r="H1296" s="1" t="s">
        <v>22</v>
      </c>
      <c r="I1296" s="1" t="s">
        <v>23</v>
      </c>
      <c r="L1296" s="1">
        <v>1</v>
      </c>
      <c r="M1296" s="1">
        <v>-4.9889181159999998</v>
      </c>
      <c r="N1296" s="1">
        <v>-4.9889181159999998</v>
      </c>
      <c r="O1296" s="11"/>
      <c r="P1296" s="11"/>
      <c r="Q1296" s="11"/>
      <c r="R1296" s="11"/>
    </row>
    <row r="1297" spans="4:18">
      <c r="D1297" s="1" t="s">
        <v>199</v>
      </c>
      <c r="E1297" s="1" t="s">
        <v>372</v>
      </c>
      <c r="H1297" s="1" t="s">
        <v>22</v>
      </c>
      <c r="I1297" s="1" t="s">
        <v>23</v>
      </c>
      <c r="L1297" s="1">
        <v>1</v>
      </c>
      <c r="M1297" s="1">
        <v>35.036991360000002</v>
      </c>
      <c r="N1297" s="1">
        <v>35.036991360000002</v>
      </c>
      <c r="O1297" s="11"/>
      <c r="P1297" s="11"/>
      <c r="Q1297" s="11"/>
      <c r="R1297" s="11"/>
    </row>
    <row r="1298" spans="4:18">
      <c r="D1298" s="1" t="s">
        <v>199</v>
      </c>
      <c r="E1298" s="1" t="s">
        <v>373</v>
      </c>
      <c r="H1298" s="1" t="s">
        <v>22</v>
      </c>
      <c r="I1298" s="1" t="s">
        <v>23</v>
      </c>
      <c r="L1298" s="1">
        <v>1</v>
      </c>
      <c r="M1298" s="1">
        <v>-38.466651300000002</v>
      </c>
      <c r="N1298" s="1">
        <v>-38.466651300000002</v>
      </c>
      <c r="O1298" s="11"/>
      <c r="P1298" s="11"/>
      <c r="Q1298" s="11"/>
      <c r="R1298" s="11"/>
    </row>
    <row r="1299" spans="4:18">
      <c r="D1299" s="1" t="s">
        <v>199</v>
      </c>
      <c r="E1299" s="1" t="s">
        <v>374</v>
      </c>
      <c r="H1299" s="1" t="s">
        <v>22</v>
      </c>
      <c r="I1299" s="1" t="s">
        <v>23</v>
      </c>
      <c r="L1299" s="1">
        <v>1</v>
      </c>
      <c r="M1299" s="1">
        <v>-0.93129283299999999</v>
      </c>
      <c r="N1299" s="1">
        <v>-0.93129283299999999</v>
      </c>
      <c r="O1299" s="11"/>
      <c r="P1299" s="11"/>
      <c r="Q1299" s="11"/>
      <c r="R1299" s="11"/>
    </row>
    <row r="1300" spans="4:18">
      <c r="D1300" s="1" t="s">
        <v>199</v>
      </c>
      <c r="E1300" s="1" t="s">
        <v>375</v>
      </c>
      <c r="H1300" s="1" t="s">
        <v>22</v>
      </c>
      <c r="I1300" s="1" t="s">
        <v>23</v>
      </c>
      <c r="L1300" s="1">
        <v>1</v>
      </c>
      <c r="M1300" s="1">
        <v>-4.1092902039999997</v>
      </c>
      <c r="N1300" s="1">
        <v>-4.1092902039999997</v>
      </c>
      <c r="O1300" s="11"/>
      <c r="P1300" s="11"/>
      <c r="Q1300" s="11"/>
      <c r="R1300" s="11"/>
    </row>
    <row r="1301" spans="4:18">
      <c r="D1301" s="1" t="s">
        <v>199</v>
      </c>
      <c r="E1301" s="1" t="s">
        <v>376</v>
      </c>
      <c r="H1301" s="1" t="s">
        <v>22</v>
      </c>
      <c r="I1301" s="1" t="s">
        <v>23</v>
      </c>
      <c r="L1301" s="1">
        <v>1</v>
      </c>
      <c r="M1301" s="1">
        <v>11.366104310000001</v>
      </c>
      <c r="N1301" s="1">
        <v>11.366104310000001</v>
      </c>
      <c r="O1301" s="11"/>
      <c r="P1301" s="11"/>
      <c r="Q1301" s="11"/>
      <c r="R1301" s="11"/>
    </row>
    <row r="1302" spans="4:18">
      <c r="D1302" s="1" t="s">
        <v>199</v>
      </c>
      <c r="E1302" s="1" t="s">
        <v>377</v>
      </c>
      <c r="H1302" s="1" t="s">
        <v>22</v>
      </c>
      <c r="I1302" s="1" t="s">
        <v>23</v>
      </c>
      <c r="L1302" s="1">
        <v>1</v>
      </c>
      <c r="M1302" s="1">
        <v>1.998744651</v>
      </c>
      <c r="N1302" s="1">
        <v>1.998744651</v>
      </c>
      <c r="O1302" s="11"/>
      <c r="P1302" s="11"/>
      <c r="Q1302" s="11"/>
      <c r="R1302" s="11"/>
    </row>
    <row r="1303" spans="4:18">
      <c r="D1303" s="1" t="s">
        <v>199</v>
      </c>
      <c r="E1303" s="1" t="s">
        <v>378</v>
      </c>
      <c r="H1303" s="1" t="s">
        <v>22</v>
      </c>
      <c r="I1303" s="1" t="s">
        <v>23</v>
      </c>
      <c r="L1303" s="1">
        <v>1</v>
      </c>
      <c r="M1303" s="1">
        <v>9.0022712889999994</v>
      </c>
      <c r="N1303" s="1">
        <v>9.0022712889999994</v>
      </c>
      <c r="O1303" s="11"/>
      <c r="P1303" s="11"/>
      <c r="Q1303" s="11"/>
      <c r="R1303" s="11"/>
    </row>
    <row r="1304" spans="4:18">
      <c r="D1304" s="1" t="s">
        <v>199</v>
      </c>
      <c r="E1304" s="1" t="s">
        <v>379</v>
      </c>
      <c r="H1304" s="1" t="s">
        <v>22</v>
      </c>
      <c r="I1304" s="1" t="s">
        <v>23</v>
      </c>
      <c r="L1304" s="1">
        <v>1</v>
      </c>
      <c r="M1304" s="1">
        <v>11.90821852</v>
      </c>
      <c r="N1304" s="1">
        <v>11.90821852</v>
      </c>
      <c r="O1304" s="11"/>
      <c r="P1304" s="11"/>
      <c r="Q1304" s="11"/>
      <c r="R1304" s="11"/>
    </row>
    <row r="1305" spans="4:18">
      <c r="D1305" s="1" t="s">
        <v>199</v>
      </c>
      <c r="E1305" s="1" t="s">
        <v>380</v>
      </c>
      <c r="H1305" s="1" t="s">
        <v>22</v>
      </c>
      <c r="I1305" s="1" t="s">
        <v>23</v>
      </c>
      <c r="L1305" s="1">
        <v>1</v>
      </c>
      <c r="M1305" s="1">
        <v>-67.842141920000003</v>
      </c>
      <c r="N1305" s="1">
        <v>-67.842141920000003</v>
      </c>
      <c r="O1305" s="11"/>
      <c r="P1305" s="11"/>
      <c r="Q1305" s="11"/>
      <c r="R1305" s="11"/>
    </row>
    <row r="1306" spans="4:18">
      <c r="D1306" s="1" t="s">
        <v>199</v>
      </c>
      <c r="E1306" s="1" t="s">
        <v>381</v>
      </c>
      <c r="H1306" s="1" t="s">
        <v>22</v>
      </c>
      <c r="I1306" s="1" t="s">
        <v>23</v>
      </c>
      <c r="L1306" s="1">
        <v>1</v>
      </c>
      <c r="M1306" s="1">
        <v>72.736494260000001</v>
      </c>
      <c r="N1306" s="1">
        <v>72.736494260000001</v>
      </c>
      <c r="O1306" s="11"/>
      <c r="P1306" s="11"/>
      <c r="Q1306" s="11"/>
      <c r="R1306" s="11"/>
    </row>
    <row r="1307" spans="4:18">
      <c r="D1307" s="1" t="s">
        <v>199</v>
      </c>
      <c r="E1307" s="1" t="s">
        <v>382</v>
      </c>
      <c r="H1307" s="1" t="s">
        <v>22</v>
      </c>
      <c r="I1307" s="1" t="s">
        <v>23</v>
      </c>
      <c r="L1307" s="1">
        <v>1</v>
      </c>
      <c r="M1307" s="1">
        <v>2.3695938499999998</v>
      </c>
      <c r="N1307" s="1">
        <v>2.3695938499999998</v>
      </c>
      <c r="O1307" s="11"/>
      <c r="P1307" s="11"/>
      <c r="Q1307" s="11"/>
      <c r="R1307" s="11"/>
    </row>
    <row r="1308" spans="4:18">
      <c r="D1308" s="1" t="s">
        <v>199</v>
      </c>
      <c r="E1308" s="1" t="s">
        <v>383</v>
      </c>
      <c r="H1308" s="1" t="s">
        <v>22</v>
      </c>
      <c r="I1308" s="1" t="s">
        <v>23</v>
      </c>
      <c r="L1308" s="1">
        <v>1</v>
      </c>
      <c r="M1308" s="1">
        <v>-38.40681051</v>
      </c>
      <c r="N1308" s="1">
        <v>-38.40681051</v>
      </c>
      <c r="O1308" s="11"/>
      <c r="P1308" s="11"/>
      <c r="Q1308" s="11"/>
      <c r="R1308" s="11"/>
    </row>
    <row r="1309" spans="4:18">
      <c r="D1309" s="1" t="s">
        <v>199</v>
      </c>
      <c r="E1309" s="1" t="s">
        <v>384</v>
      </c>
      <c r="H1309" s="1" t="s">
        <v>22</v>
      </c>
      <c r="I1309" s="1" t="s">
        <v>23</v>
      </c>
      <c r="L1309" s="1">
        <v>1</v>
      </c>
      <c r="M1309" s="1">
        <v>25.01954783</v>
      </c>
      <c r="N1309" s="1">
        <v>25.01954783</v>
      </c>
      <c r="O1309" s="11"/>
      <c r="P1309" s="11"/>
      <c r="Q1309" s="11"/>
      <c r="R1309" s="11"/>
    </row>
    <row r="1310" spans="4:18">
      <c r="D1310" s="1" t="s">
        <v>199</v>
      </c>
      <c r="E1310" s="1" t="s">
        <v>385</v>
      </c>
      <c r="H1310" s="1" t="s">
        <v>22</v>
      </c>
      <c r="I1310" s="1" t="s">
        <v>23</v>
      </c>
      <c r="L1310" s="1">
        <v>1</v>
      </c>
      <c r="M1310" s="1">
        <v>-15.814114160000001</v>
      </c>
      <c r="N1310" s="1">
        <v>-15.814114160000001</v>
      </c>
      <c r="O1310" s="11"/>
      <c r="P1310" s="11"/>
      <c r="Q1310" s="11"/>
      <c r="R1310" s="11"/>
    </row>
    <row r="1311" spans="4:18">
      <c r="D1311" s="1" t="s">
        <v>199</v>
      </c>
      <c r="E1311" s="1" t="s">
        <v>386</v>
      </c>
      <c r="H1311" s="1" t="s">
        <v>22</v>
      </c>
      <c r="I1311" s="1" t="s">
        <v>23</v>
      </c>
      <c r="L1311" s="1">
        <v>1</v>
      </c>
      <c r="M1311" s="1">
        <v>0.53387741</v>
      </c>
      <c r="N1311" s="1">
        <v>0.53387741</v>
      </c>
      <c r="O1311" s="11"/>
      <c r="P1311" s="11"/>
      <c r="Q1311" s="11"/>
      <c r="R1311" s="11"/>
    </row>
    <row r="1312" spans="4:18">
      <c r="D1312" s="1" t="s">
        <v>199</v>
      </c>
      <c r="E1312" s="1" t="s">
        <v>387</v>
      </c>
      <c r="H1312" s="1" t="s">
        <v>22</v>
      </c>
      <c r="I1312" s="1" t="s">
        <v>23</v>
      </c>
      <c r="L1312" s="1">
        <v>1</v>
      </c>
      <c r="M1312" s="1">
        <v>1.9682590550000001</v>
      </c>
      <c r="N1312" s="1">
        <v>1.9682590550000001</v>
      </c>
      <c r="O1312" s="11"/>
      <c r="P1312" s="11"/>
      <c r="Q1312" s="11"/>
      <c r="R1312" s="11"/>
    </row>
    <row r="1313" spans="4:18">
      <c r="D1313" s="1" t="s">
        <v>199</v>
      </c>
      <c r="E1313" s="1" t="s">
        <v>388</v>
      </c>
      <c r="H1313" s="1" t="s">
        <v>22</v>
      </c>
      <c r="I1313" s="1" t="s">
        <v>23</v>
      </c>
      <c r="L1313" s="1">
        <v>1</v>
      </c>
      <c r="M1313" s="1">
        <v>33.16894181</v>
      </c>
      <c r="N1313" s="1">
        <v>33.16894181</v>
      </c>
      <c r="O1313" s="11"/>
      <c r="P1313" s="11"/>
      <c r="Q1313" s="11"/>
      <c r="R1313" s="11"/>
    </row>
    <row r="1314" spans="4:18">
      <c r="D1314" s="1" t="s">
        <v>199</v>
      </c>
      <c r="E1314" s="1" t="s">
        <v>389</v>
      </c>
      <c r="H1314" s="1" t="s">
        <v>22</v>
      </c>
      <c r="I1314" s="1" t="s">
        <v>23</v>
      </c>
      <c r="L1314" s="1">
        <v>1</v>
      </c>
      <c r="M1314" s="1">
        <v>-35.070252310000001</v>
      </c>
      <c r="N1314" s="1">
        <v>-35.070252310000001</v>
      </c>
      <c r="O1314" s="11"/>
      <c r="P1314" s="11"/>
      <c r="Q1314" s="11"/>
      <c r="R1314" s="11"/>
    </row>
    <row r="1315" spans="4:18">
      <c r="D1315" s="1" t="s">
        <v>199</v>
      </c>
      <c r="E1315" s="1" t="s">
        <v>390</v>
      </c>
      <c r="H1315" s="1" t="s">
        <v>22</v>
      </c>
      <c r="I1315" s="1" t="s">
        <v>23</v>
      </c>
      <c r="L1315" s="1">
        <v>1</v>
      </c>
      <c r="M1315" s="1">
        <v>38.802101690000001</v>
      </c>
      <c r="N1315" s="1">
        <v>38.802101690000001</v>
      </c>
      <c r="O1315" s="11"/>
      <c r="P1315" s="11"/>
      <c r="Q1315" s="11"/>
      <c r="R1315" s="11"/>
    </row>
    <row r="1316" spans="4:18">
      <c r="D1316" s="1" t="s">
        <v>199</v>
      </c>
      <c r="E1316" s="1" t="s">
        <v>391</v>
      </c>
      <c r="H1316" s="1" t="s">
        <v>22</v>
      </c>
      <c r="I1316" s="1" t="s">
        <v>23</v>
      </c>
      <c r="L1316" s="1">
        <v>1</v>
      </c>
      <c r="M1316" s="1">
        <v>-18.356781460000001</v>
      </c>
      <c r="N1316" s="1">
        <v>-18.356781460000001</v>
      </c>
      <c r="O1316" s="11"/>
      <c r="P1316" s="11"/>
      <c r="Q1316" s="11"/>
      <c r="R1316" s="11"/>
    </row>
    <row r="1317" spans="4:18">
      <c r="D1317" s="1" t="s">
        <v>199</v>
      </c>
      <c r="E1317" s="1" t="s">
        <v>392</v>
      </c>
      <c r="H1317" s="1" t="s">
        <v>22</v>
      </c>
      <c r="I1317" s="1" t="s">
        <v>23</v>
      </c>
      <c r="L1317" s="1">
        <v>1</v>
      </c>
      <c r="M1317" s="1">
        <v>-14.076914349999999</v>
      </c>
      <c r="N1317" s="1">
        <v>-14.076914349999999</v>
      </c>
      <c r="O1317" s="11"/>
      <c r="P1317" s="11"/>
      <c r="Q1317" s="11"/>
      <c r="R1317" s="11"/>
    </row>
    <row r="1318" spans="4:18">
      <c r="D1318" s="1" t="s">
        <v>199</v>
      </c>
      <c r="E1318" s="1" t="s">
        <v>393</v>
      </c>
      <c r="H1318" s="1" t="s">
        <v>22</v>
      </c>
      <c r="I1318" s="1" t="s">
        <v>23</v>
      </c>
      <c r="L1318" s="1">
        <v>1</v>
      </c>
      <c r="M1318" s="1">
        <v>-19.18804188</v>
      </c>
      <c r="N1318" s="1">
        <v>-19.18804188</v>
      </c>
      <c r="O1318" s="11"/>
      <c r="P1318" s="11"/>
      <c r="Q1318" s="11"/>
      <c r="R1318" s="11"/>
    </row>
    <row r="1319" spans="4:18">
      <c r="D1319" s="1" t="s">
        <v>199</v>
      </c>
      <c r="E1319" s="1" t="s">
        <v>394</v>
      </c>
      <c r="H1319" s="1" t="s">
        <v>22</v>
      </c>
      <c r="I1319" s="1" t="s">
        <v>23</v>
      </c>
      <c r="L1319" s="1">
        <v>1</v>
      </c>
      <c r="M1319" s="1">
        <v>7.6068626630000002</v>
      </c>
      <c r="N1319" s="1">
        <v>7.6068626630000002</v>
      </c>
      <c r="O1319" s="11"/>
      <c r="P1319" s="11"/>
      <c r="Q1319" s="11"/>
      <c r="R1319" s="11"/>
    </row>
    <row r="1320" spans="4:18">
      <c r="D1320" s="1" t="s">
        <v>199</v>
      </c>
      <c r="E1320" s="1" t="s">
        <v>395</v>
      </c>
      <c r="H1320" s="1" t="s">
        <v>22</v>
      </c>
      <c r="I1320" s="1" t="s">
        <v>23</v>
      </c>
      <c r="L1320" s="1">
        <v>1</v>
      </c>
      <c r="M1320" s="1">
        <v>2.6518080089999998</v>
      </c>
      <c r="N1320" s="1">
        <v>2.6518080089999998</v>
      </c>
      <c r="O1320" s="11"/>
      <c r="P1320" s="11"/>
      <c r="Q1320" s="11"/>
      <c r="R1320" s="11"/>
    </row>
    <row r="1321" spans="4:18">
      <c r="D1321" s="1" t="s">
        <v>199</v>
      </c>
      <c r="E1321" s="1" t="s">
        <v>396</v>
      </c>
      <c r="H1321" s="1" t="s">
        <v>22</v>
      </c>
      <c r="I1321" s="1" t="s">
        <v>23</v>
      </c>
      <c r="L1321" s="1">
        <v>1</v>
      </c>
      <c r="M1321" s="1">
        <v>11.985189930000001</v>
      </c>
      <c r="N1321" s="1">
        <v>11.985189930000001</v>
      </c>
      <c r="O1321" s="11"/>
      <c r="P1321" s="11"/>
      <c r="Q1321" s="11"/>
      <c r="R1321" s="11"/>
    </row>
    <row r="1322" spans="4:18">
      <c r="D1322" s="1" t="s">
        <v>199</v>
      </c>
      <c r="E1322" s="1" t="s">
        <v>397</v>
      </c>
      <c r="H1322" s="1" t="s">
        <v>22</v>
      </c>
      <c r="I1322" s="1" t="s">
        <v>23</v>
      </c>
      <c r="L1322" s="1">
        <v>1</v>
      </c>
      <c r="M1322" s="1">
        <v>-26.617806959999999</v>
      </c>
      <c r="N1322" s="1">
        <v>-26.617806959999999</v>
      </c>
      <c r="O1322" s="11"/>
      <c r="P1322" s="11"/>
      <c r="Q1322" s="11"/>
      <c r="R1322" s="11"/>
    </row>
    <row r="1323" spans="4:18">
      <c r="D1323" s="1" t="s">
        <v>199</v>
      </c>
      <c r="E1323" s="1" t="s">
        <v>398</v>
      </c>
      <c r="H1323" s="1" t="s">
        <v>22</v>
      </c>
      <c r="I1323" s="1" t="s">
        <v>23</v>
      </c>
      <c r="L1323" s="1">
        <v>1</v>
      </c>
      <c r="M1323" s="1">
        <v>39.997402450000003</v>
      </c>
      <c r="N1323" s="1">
        <v>39.997402450000003</v>
      </c>
      <c r="O1323" s="11"/>
      <c r="P1323" s="11"/>
      <c r="Q1323" s="11"/>
      <c r="R1323" s="11"/>
    </row>
    <row r="1324" spans="4:18">
      <c r="D1324" s="1" t="s">
        <v>199</v>
      </c>
      <c r="E1324" s="1" t="s">
        <v>399</v>
      </c>
      <c r="H1324" s="1" t="s">
        <v>22</v>
      </c>
      <c r="I1324" s="1" t="s">
        <v>23</v>
      </c>
      <c r="L1324" s="1">
        <v>1</v>
      </c>
      <c r="M1324" s="1">
        <v>7.978213373</v>
      </c>
      <c r="N1324" s="1">
        <v>7.978213373</v>
      </c>
      <c r="O1324" s="11"/>
      <c r="P1324" s="11"/>
      <c r="Q1324" s="11"/>
      <c r="R1324" s="11"/>
    </row>
    <row r="1325" spans="4:18">
      <c r="D1325" s="1" t="s">
        <v>199</v>
      </c>
      <c r="E1325" s="1" t="s">
        <v>400</v>
      </c>
      <c r="H1325" s="1" t="s">
        <v>22</v>
      </c>
      <c r="I1325" s="1" t="s">
        <v>23</v>
      </c>
      <c r="L1325" s="1">
        <v>1</v>
      </c>
      <c r="M1325" s="1">
        <v>-31.21164263</v>
      </c>
      <c r="N1325" s="1">
        <v>-31.21164263</v>
      </c>
      <c r="O1325" s="11"/>
      <c r="P1325" s="11"/>
      <c r="Q1325" s="11"/>
      <c r="R1325" s="11"/>
    </row>
    <row r="1326" spans="4:18">
      <c r="D1326" s="1" t="s">
        <v>199</v>
      </c>
      <c r="E1326" s="1" t="s">
        <v>401</v>
      </c>
      <c r="H1326" s="1" t="s">
        <v>22</v>
      </c>
      <c r="I1326" s="1" t="s">
        <v>23</v>
      </c>
      <c r="L1326" s="1">
        <v>1</v>
      </c>
      <c r="M1326" s="1">
        <v>0.233394507</v>
      </c>
      <c r="N1326" s="1">
        <v>0.233394507</v>
      </c>
      <c r="O1326" s="11"/>
      <c r="P1326" s="11"/>
      <c r="Q1326" s="11"/>
      <c r="R1326" s="11"/>
    </row>
    <row r="1327" spans="4:18">
      <c r="D1327" s="1" t="s">
        <v>199</v>
      </c>
      <c r="E1327" s="1" t="s">
        <v>402</v>
      </c>
      <c r="H1327" s="1" t="s">
        <v>22</v>
      </c>
      <c r="I1327" s="1" t="s">
        <v>23</v>
      </c>
      <c r="L1327" s="1">
        <v>1</v>
      </c>
      <c r="M1327" s="1">
        <v>10.853596659999999</v>
      </c>
      <c r="N1327" s="1">
        <v>10.853596659999999</v>
      </c>
      <c r="O1327" s="11"/>
      <c r="P1327" s="11"/>
      <c r="Q1327" s="11"/>
      <c r="R1327" s="11"/>
    </row>
    <row r="1328" spans="4:18">
      <c r="D1328" s="1" t="s">
        <v>199</v>
      </c>
      <c r="E1328" s="1" t="s">
        <v>403</v>
      </c>
      <c r="H1328" s="1" t="s">
        <v>22</v>
      </c>
      <c r="I1328" s="1" t="s">
        <v>23</v>
      </c>
      <c r="L1328" s="1">
        <v>1</v>
      </c>
      <c r="M1328" s="1">
        <v>-17.475379329999999</v>
      </c>
      <c r="N1328" s="1">
        <v>-17.475379329999999</v>
      </c>
      <c r="O1328" s="11"/>
      <c r="P1328" s="11"/>
      <c r="Q1328" s="11"/>
      <c r="R1328" s="11"/>
    </row>
    <row r="1329" spans="4:18">
      <c r="D1329" s="1" t="s">
        <v>199</v>
      </c>
      <c r="E1329" s="1" t="s">
        <v>404</v>
      </c>
      <c r="H1329" s="1" t="s">
        <v>22</v>
      </c>
      <c r="I1329" s="1" t="s">
        <v>23</v>
      </c>
      <c r="L1329" s="1">
        <v>1</v>
      </c>
      <c r="M1329" s="1">
        <v>17.4159538</v>
      </c>
      <c r="N1329" s="1">
        <v>17.4159538</v>
      </c>
      <c r="O1329" s="11"/>
      <c r="P1329" s="11"/>
      <c r="Q1329" s="11"/>
      <c r="R1329" s="11"/>
    </row>
    <row r="1330" spans="4:18">
      <c r="D1330" s="1" t="s">
        <v>199</v>
      </c>
      <c r="E1330" s="1" t="s">
        <v>405</v>
      </c>
      <c r="H1330" s="1" t="s">
        <v>22</v>
      </c>
      <c r="I1330" s="1" t="s">
        <v>23</v>
      </c>
      <c r="L1330" s="1">
        <v>1</v>
      </c>
      <c r="M1330" s="1">
        <v>4.8382064409999996</v>
      </c>
      <c r="N1330" s="1">
        <v>4.8382064409999996</v>
      </c>
      <c r="O1330" s="11"/>
      <c r="P1330" s="11"/>
      <c r="Q1330" s="11"/>
      <c r="R1330" s="11"/>
    </row>
    <row r="1331" spans="4:18">
      <c r="D1331" s="1" t="s">
        <v>199</v>
      </c>
      <c r="E1331" s="1" t="s">
        <v>406</v>
      </c>
      <c r="H1331" s="1" t="s">
        <v>22</v>
      </c>
      <c r="I1331" s="1" t="s">
        <v>23</v>
      </c>
      <c r="L1331" s="1">
        <v>1</v>
      </c>
      <c r="M1331" s="1">
        <v>-3.933182714</v>
      </c>
      <c r="N1331" s="1">
        <v>-3.933182714</v>
      </c>
      <c r="O1331" s="11"/>
      <c r="P1331" s="11"/>
      <c r="Q1331" s="11"/>
      <c r="R1331" s="11"/>
    </row>
    <row r="1332" spans="4:18">
      <c r="D1332" s="1" t="s">
        <v>199</v>
      </c>
      <c r="E1332" s="1" t="s">
        <v>407</v>
      </c>
      <c r="H1332" s="1" t="s">
        <v>22</v>
      </c>
      <c r="I1332" s="1" t="s">
        <v>23</v>
      </c>
      <c r="L1332" s="1">
        <v>1</v>
      </c>
      <c r="M1332" s="1">
        <v>0.54147974499999996</v>
      </c>
      <c r="N1332" s="1">
        <v>0.54147974499999996</v>
      </c>
      <c r="O1332" s="11"/>
      <c r="P1332" s="11"/>
      <c r="Q1332" s="11"/>
      <c r="R1332" s="11"/>
    </row>
    <row r="1333" spans="4:18">
      <c r="D1333" s="1" t="s">
        <v>199</v>
      </c>
      <c r="E1333" s="1" t="s">
        <v>408</v>
      </c>
      <c r="H1333" s="1" t="s">
        <v>22</v>
      </c>
      <c r="I1333" s="1" t="s">
        <v>23</v>
      </c>
      <c r="L1333" s="1">
        <v>1</v>
      </c>
      <c r="M1333" s="1">
        <v>-1.020785179</v>
      </c>
      <c r="N1333" s="1">
        <v>-1.020785179</v>
      </c>
      <c r="O1333" s="11"/>
      <c r="P1333" s="11"/>
      <c r="Q1333" s="11"/>
      <c r="R1333" s="11"/>
    </row>
    <row r="1334" spans="4:18">
      <c r="D1334" s="1" t="s">
        <v>199</v>
      </c>
      <c r="E1334" s="1" t="s">
        <v>409</v>
      </c>
      <c r="H1334" s="1" t="s">
        <v>22</v>
      </c>
      <c r="I1334" s="1" t="s">
        <v>23</v>
      </c>
      <c r="L1334" s="1">
        <v>1</v>
      </c>
      <c r="M1334" s="1">
        <v>-8.133917555</v>
      </c>
      <c r="N1334" s="1">
        <v>-8.133917555</v>
      </c>
      <c r="O1334" s="11"/>
      <c r="P1334" s="11"/>
      <c r="Q1334" s="11"/>
      <c r="R1334" s="11"/>
    </row>
    <row r="1335" spans="4:18">
      <c r="D1335" s="1" t="s">
        <v>199</v>
      </c>
      <c r="E1335" s="1" t="s">
        <v>410</v>
      </c>
      <c r="H1335" s="1" t="s">
        <v>22</v>
      </c>
      <c r="I1335" s="1" t="s">
        <v>23</v>
      </c>
      <c r="L1335" s="1">
        <v>1</v>
      </c>
      <c r="M1335" s="1">
        <v>1.2142200000000001E-2</v>
      </c>
      <c r="N1335" s="1">
        <v>1.2142200000000001E-2</v>
      </c>
      <c r="O1335" s="11"/>
      <c r="P1335" s="11"/>
      <c r="Q1335" s="11"/>
      <c r="R1335" s="11"/>
    </row>
    <row r="1336" spans="4:18">
      <c r="D1336" s="1" t="s">
        <v>199</v>
      </c>
      <c r="E1336" s="1" t="s">
        <v>411</v>
      </c>
      <c r="H1336" s="1" t="s">
        <v>22</v>
      </c>
      <c r="I1336" s="1" t="s">
        <v>23</v>
      </c>
      <c r="L1336" s="1">
        <v>1</v>
      </c>
      <c r="M1336" s="1">
        <v>12.829166799999999</v>
      </c>
      <c r="N1336" s="1">
        <v>12.829166799999999</v>
      </c>
      <c r="O1336" s="11"/>
      <c r="P1336" s="11"/>
      <c r="Q1336" s="11"/>
      <c r="R1336" s="11"/>
    </row>
    <row r="1337" spans="4:18">
      <c r="D1337" s="1" t="s">
        <v>199</v>
      </c>
      <c r="E1337" s="1" t="s">
        <v>412</v>
      </c>
      <c r="H1337" s="1" t="s">
        <v>22</v>
      </c>
      <c r="I1337" s="1" t="s">
        <v>23</v>
      </c>
      <c r="L1337" s="1">
        <v>1</v>
      </c>
      <c r="M1337" s="1">
        <v>-31.95608687</v>
      </c>
      <c r="N1337" s="1">
        <v>-31.95608687</v>
      </c>
      <c r="O1337" s="11"/>
      <c r="P1337" s="11"/>
      <c r="Q1337" s="11"/>
      <c r="R1337" s="11"/>
    </row>
    <row r="1338" spans="4:18">
      <c r="D1338" s="1" t="s">
        <v>199</v>
      </c>
      <c r="E1338" s="1" t="s">
        <v>413</v>
      </c>
      <c r="H1338" s="1" t="s">
        <v>22</v>
      </c>
      <c r="I1338" s="1" t="s">
        <v>23</v>
      </c>
      <c r="L1338" s="1">
        <v>1</v>
      </c>
      <c r="M1338" s="1">
        <v>28.361256940000001</v>
      </c>
      <c r="N1338" s="1">
        <v>28.361256940000001</v>
      </c>
      <c r="O1338" s="11"/>
      <c r="P1338" s="11"/>
      <c r="Q1338" s="11"/>
      <c r="R1338" s="11"/>
    </row>
    <row r="1339" spans="4:18">
      <c r="D1339" s="1" t="s">
        <v>199</v>
      </c>
      <c r="E1339" s="1" t="s">
        <v>414</v>
      </c>
      <c r="H1339" s="1" t="s">
        <v>22</v>
      </c>
      <c r="I1339" s="1" t="s">
        <v>23</v>
      </c>
      <c r="L1339" s="1">
        <v>1</v>
      </c>
      <c r="M1339" s="1">
        <v>-18.543151179999999</v>
      </c>
      <c r="N1339" s="1">
        <v>-18.543151179999999</v>
      </c>
      <c r="O1339" s="11"/>
      <c r="P1339" s="11"/>
      <c r="Q1339" s="11"/>
      <c r="R1339" s="11"/>
    </row>
    <row r="1340" spans="4:18">
      <c r="D1340" s="1" t="s">
        <v>199</v>
      </c>
      <c r="E1340" s="1" t="s">
        <v>415</v>
      </c>
      <c r="H1340" s="1" t="s">
        <v>22</v>
      </c>
      <c r="I1340" s="1" t="s">
        <v>23</v>
      </c>
      <c r="L1340" s="1">
        <v>1</v>
      </c>
      <c r="M1340" s="1">
        <v>8.2768472150000001</v>
      </c>
      <c r="N1340" s="1">
        <v>8.2768472150000001</v>
      </c>
      <c r="O1340" s="11"/>
      <c r="P1340" s="11"/>
      <c r="Q1340" s="11"/>
      <c r="R1340" s="11"/>
    </row>
    <row r="1341" spans="4:18">
      <c r="D1341" s="1" t="s">
        <v>199</v>
      </c>
      <c r="E1341" s="1" t="s">
        <v>416</v>
      </c>
      <c r="H1341" s="1" t="s">
        <v>22</v>
      </c>
      <c r="I1341" s="1" t="s">
        <v>23</v>
      </c>
      <c r="L1341" s="1">
        <v>1</v>
      </c>
      <c r="M1341" s="1">
        <v>0.96325570999999999</v>
      </c>
      <c r="N1341" s="1">
        <v>0.96325570999999999</v>
      </c>
      <c r="O1341" s="11"/>
      <c r="P1341" s="11"/>
      <c r="Q1341" s="11"/>
      <c r="R1341" s="11"/>
    </row>
    <row r="1342" spans="4:18">
      <c r="D1342" s="1" t="s">
        <v>199</v>
      </c>
      <c r="E1342" s="1" t="s">
        <v>417</v>
      </c>
      <c r="H1342" s="1" t="s">
        <v>22</v>
      </c>
      <c r="I1342" s="1" t="s">
        <v>23</v>
      </c>
      <c r="L1342" s="1">
        <v>1</v>
      </c>
      <c r="M1342" s="1">
        <v>7.0808506109999998</v>
      </c>
      <c r="N1342" s="1">
        <v>7.0808506109999998</v>
      </c>
      <c r="O1342" s="11"/>
      <c r="P1342" s="11"/>
      <c r="Q1342" s="11"/>
      <c r="R1342" s="11"/>
    </row>
    <row r="1343" spans="4:18">
      <c r="D1343" s="1" t="s">
        <v>199</v>
      </c>
      <c r="E1343" s="1" t="s">
        <v>418</v>
      </c>
      <c r="H1343" s="1" t="s">
        <v>22</v>
      </c>
      <c r="I1343" s="1" t="s">
        <v>23</v>
      </c>
      <c r="L1343" s="1">
        <v>1</v>
      </c>
      <c r="M1343" s="1">
        <v>-7.6273007210000001</v>
      </c>
      <c r="N1343" s="1">
        <v>-7.6273007210000001</v>
      </c>
      <c r="O1343" s="11"/>
      <c r="P1343" s="11"/>
      <c r="Q1343" s="11"/>
      <c r="R1343" s="11"/>
    </row>
    <row r="1344" spans="4:18">
      <c r="D1344" s="1" t="s">
        <v>199</v>
      </c>
      <c r="E1344" s="1" t="s">
        <v>419</v>
      </c>
      <c r="H1344" s="1" t="s">
        <v>22</v>
      </c>
      <c r="I1344" s="1" t="s">
        <v>23</v>
      </c>
      <c r="L1344" s="1">
        <v>1</v>
      </c>
      <c r="M1344" s="1">
        <v>7.5537147070000001</v>
      </c>
      <c r="N1344" s="1">
        <v>7.5537147070000001</v>
      </c>
      <c r="O1344" s="11"/>
      <c r="P1344" s="11"/>
      <c r="Q1344" s="11"/>
      <c r="R1344" s="11"/>
    </row>
    <row r="1345" spans="1:18">
      <c r="D1345" s="1" t="s">
        <v>199</v>
      </c>
      <c r="E1345" s="1" t="s">
        <v>420</v>
      </c>
      <c r="H1345" s="1" t="s">
        <v>22</v>
      </c>
      <c r="I1345" s="1" t="s">
        <v>23</v>
      </c>
      <c r="L1345" s="1">
        <v>1</v>
      </c>
      <c r="M1345" s="1">
        <v>-3.109847426</v>
      </c>
      <c r="N1345" s="1">
        <v>-3.109847426</v>
      </c>
      <c r="O1345" s="11"/>
      <c r="P1345" s="11"/>
      <c r="Q1345" s="11"/>
      <c r="R1345" s="11"/>
    </row>
    <row r="1346" spans="1:18">
      <c r="D1346" s="1" t="s">
        <v>199</v>
      </c>
      <c r="E1346" s="1" t="s">
        <v>421</v>
      </c>
      <c r="H1346" s="1" t="s">
        <v>22</v>
      </c>
      <c r="I1346" s="1" t="s">
        <v>23</v>
      </c>
      <c r="L1346" s="1">
        <v>1</v>
      </c>
      <c r="M1346" s="1">
        <v>2.3237722729999999</v>
      </c>
      <c r="N1346" s="1">
        <v>2.3237722729999999</v>
      </c>
      <c r="O1346" s="11"/>
      <c r="P1346" s="11"/>
      <c r="Q1346" s="11"/>
      <c r="R1346" s="11"/>
    </row>
    <row r="1347" spans="1:18">
      <c r="D1347" s="1" t="s">
        <v>199</v>
      </c>
      <c r="E1347" s="1" t="s">
        <v>422</v>
      </c>
      <c r="H1347" s="1" t="s">
        <v>22</v>
      </c>
      <c r="I1347" s="1" t="s">
        <v>23</v>
      </c>
      <c r="L1347" s="1">
        <v>1</v>
      </c>
      <c r="M1347" s="1">
        <v>-2.2025023080000001</v>
      </c>
      <c r="N1347" s="1">
        <v>-2.2025023080000001</v>
      </c>
      <c r="O1347" s="11"/>
      <c r="P1347" s="11"/>
      <c r="Q1347" s="11"/>
      <c r="R1347" s="11"/>
    </row>
    <row r="1348" spans="1:18">
      <c r="D1348" s="1" t="s">
        <v>199</v>
      </c>
      <c r="E1348" s="1" t="s">
        <v>423</v>
      </c>
      <c r="H1348" s="1" t="s">
        <v>22</v>
      </c>
      <c r="I1348" s="1" t="s">
        <v>23</v>
      </c>
      <c r="L1348" s="1">
        <v>1</v>
      </c>
      <c r="M1348" s="1">
        <v>-0.10750120000000001</v>
      </c>
      <c r="N1348" s="1">
        <v>-0.10750120000000001</v>
      </c>
      <c r="O1348" s="11"/>
      <c r="P1348" s="11"/>
      <c r="Q1348" s="11"/>
      <c r="R1348" s="11"/>
    </row>
    <row r="1349" spans="1:18">
      <c r="D1349" s="1" t="s">
        <v>199</v>
      </c>
      <c r="E1349" s="1" t="s">
        <v>424</v>
      </c>
      <c r="H1349" s="1" t="s">
        <v>22</v>
      </c>
      <c r="I1349" s="1" t="s">
        <v>23</v>
      </c>
      <c r="L1349" s="1">
        <v>1</v>
      </c>
      <c r="M1349" s="1">
        <v>-0.42469770000000001</v>
      </c>
      <c r="N1349" s="1">
        <v>-0.42469770000000001</v>
      </c>
      <c r="O1349" s="11"/>
      <c r="P1349" s="11"/>
      <c r="Q1349" s="11"/>
      <c r="R1349" s="11"/>
    </row>
    <row r="1350" spans="1:18">
      <c r="A1350" s="2" t="s">
        <v>1722</v>
      </c>
      <c r="B1350" s="3" t="s">
        <v>1729</v>
      </c>
      <c r="D1350" s="1" t="s">
        <v>199</v>
      </c>
      <c r="E1350" s="1" t="s">
        <v>425</v>
      </c>
      <c r="F1350" s="1" t="s">
        <v>176</v>
      </c>
      <c r="G1350" s="1" t="s">
        <v>177</v>
      </c>
      <c r="H1350" s="1" t="s">
        <v>22</v>
      </c>
      <c r="I1350" s="1" t="s">
        <v>23</v>
      </c>
      <c r="J1350" s="1">
        <v>0</v>
      </c>
      <c r="L1350" s="1">
        <v>39.370078740157467</v>
      </c>
      <c r="M1350" s="1">
        <v>7.9809999999999972</v>
      </c>
      <c r="N1350" s="1">
        <v>7.9809999999999972</v>
      </c>
      <c r="O1350" s="11"/>
      <c r="P1350" s="11"/>
      <c r="Q1350" s="11"/>
      <c r="R1350" s="11"/>
    </row>
    <row r="1351" spans="1:18">
      <c r="A1351" s="2" t="s">
        <v>1722</v>
      </c>
      <c r="B1351" s="3" t="s">
        <v>426</v>
      </c>
      <c r="D1351" s="1" t="s">
        <v>199</v>
      </c>
      <c r="E1351" s="1" t="s">
        <v>426</v>
      </c>
      <c r="H1351" s="1" t="s">
        <v>25</v>
      </c>
      <c r="I1351" s="1" t="s">
        <v>23</v>
      </c>
      <c r="M1351" s="1" t="b">
        <v>1</v>
      </c>
      <c r="N1351" s="1">
        <v>1</v>
      </c>
      <c r="O1351" s="11"/>
      <c r="P1351" s="11"/>
      <c r="Q1351" s="11"/>
      <c r="R1351" s="11"/>
    </row>
    <row r="1352" spans="1:18">
      <c r="A1352" s="2" t="s">
        <v>1722</v>
      </c>
      <c r="B1352" s="3" t="s">
        <v>427</v>
      </c>
      <c r="D1352" s="1" t="s">
        <v>199</v>
      </c>
      <c r="E1352" s="1" t="s">
        <v>427</v>
      </c>
      <c r="F1352" s="1">
        <v>1</v>
      </c>
      <c r="G1352" s="1">
        <v>1</v>
      </c>
      <c r="H1352" s="1" t="s">
        <v>22</v>
      </c>
      <c r="I1352" s="1" t="s">
        <v>23</v>
      </c>
      <c r="J1352" s="1">
        <v>0</v>
      </c>
      <c r="K1352" s="1">
        <v>1</v>
      </c>
      <c r="L1352" s="1">
        <v>1</v>
      </c>
      <c r="M1352" s="1">
        <v>0.83379999999999999</v>
      </c>
      <c r="N1352" s="1">
        <v>0.83379999999999999</v>
      </c>
      <c r="O1352" s="11"/>
      <c r="P1352" s="11"/>
      <c r="Q1352" s="11"/>
      <c r="R1352" s="11"/>
    </row>
    <row r="1353" spans="1:18">
      <c r="A1353" s="2" t="s">
        <v>1722</v>
      </c>
      <c r="B1353" s="3" t="s">
        <v>428</v>
      </c>
      <c r="D1353" s="1" t="s">
        <v>199</v>
      </c>
      <c r="E1353" s="1" t="s">
        <v>428</v>
      </c>
      <c r="H1353" s="1" t="s">
        <v>25</v>
      </c>
      <c r="I1353" s="1" t="s">
        <v>23</v>
      </c>
      <c r="M1353" s="1" t="b">
        <v>1</v>
      </c>
      <c r="N1353" s="1">
        <v>1</v>
      </c>
      <c r="O1353" s="11"/>
      <c r="P1353" s="11"/>
      <c r="Q1353" s="11"/>
      <c r="R1353" s="11"/>
    </row>
    <row r="1354" spans="1:18">
      <c r="A1354" s="2" t="s">
        <v>1722</v>
      </c>
      <c r="B1354" s="3" t="s">
        <v>429</v>
      </c>
      <c r="D1354" s="1" t="s">
        <v>199</v>
      </c>
      <c r="E1354" s="1" t="s">
        <v>429</v>
      </c>
      <c r="F1354" s="1">
        <v>1</v>
      </c>
      <c r="G1354" s="1">
        <v>1</v>
      </c>
      <c r="H1354" s="1" t="s">
        <v>22</v>
      </c>
      <c r="I1354" s="1" t="s">
        <v>23</v>
      </c>
      <c r="J1354" s="1">
        <v>0</v>
      </c>
      <c r="K1354" s="1">
        <v>1</v>
      </c>
      <c r="L1354" s="1">
        <v>1</v>
      </c>
      <c r="M1354" s="1">
        <v>0.83379999999999999</v>
      </c>
      <c r="N1354" s="1">
        <v>0.83379999999999999</v>
      </c>
      <c r="O1354" s="11"/>
      <c r="P1354" s="11"/>
      <c r="Q1354" s="11"/>
      <c r="R1354" s="11"/>
    </row>
    <row r="1355" spans="1:18">
      <c r="D1355" s="1" t="s">
        <v>199</v>
      </c>
      <c r="E1355" s="1" t="s">
        <v>430</v>
      </c>
      <c r="H1355" s="1" t="s">
        <v>22</v>
      </c>
      <c r="I1355" s="1" t="s">
        <v>23</v>
      </c>
      <c r="L1355" s="1">
        <v>1</v>
      </c>
      <c r="M1355" s="1">
        <v>0</v>
      </c>
      <c r="N1355" s="1">
        <v>0</v>
      </c>
      <c r="O1355" s="11"/>
      <c r="P1355" s="11"/>
      <c r="Q1355" s="11"/>
      <c r="R1355" s="11"/>
    </row>
    <row r="1356" spans="1:18">
      <c r="D1356" s="1" t="s">
        <v>199</v>
      </c>
      <c r="E1356" s="1" t="s">
        <v>431</v>
      </c>
      <c r="H1356" s="1" t="s">
        <v>22</v>
      </c>
      <c r="I1356" s="1" t="s">
        <v>23</v>
      </c>
      <c r="L1356" s="1">
        <v>1</v>
      </c>
      <c r="M1356" s="1">
        <v>0.2</v>
      </c>
      <c r="N1356" s="1">
        <v>0.2</v>
      </c>
      <c r="O1356" s="11"/>
      <c r="P1356" s="11"/>
      <c r="Q1356" s="11"/>
      <c r="R1356" s="11"/>
    </row>
    <row r="1357" spans="1:18">
      <c r="D1357" s="1" t="s">
        <v>199</v>
      </c>
      <c r="E1357" s="1" t="s">
        <v>432</v>
      </c>
      <c r="H1357" s="1" t="s">
        <v>22</v>
      </c>
      <c r="I1357" s="1" t="s">
        <v>23</v>
      </c>
      <c r="L1357" s="1">
        <v>1</v>
      </c>
      <c r="M1357" s="1">
        <v>0.4</v>
      </c>
      <c r="N1357" s="1">
        <v>0.4</v>
      </c>
      <c r="O1357" s="11"/>
      <c r="P1357" s="11"/>
      <c r="Q1357" s="11"/>
      <c r="R1357" s="11"/>
    </row>
    <row r="1358" spans="1:18">
      <c r="D1358" s="1" t="s">
        <v>199</v>
      </c>
      <c r="E1358" s="1" t="s">
        <v>433</v>
      </c>
      <c r="H1358" s="1" t="s">
        <v>22</v>
      </c>
      <c r="I1358" s="1" t="s">
        <v>23</v>
      </c>
      <c r="L1358" s="1">
        <v>1</v>
      </c>
      <c r="M1358" s="1">
        <v>0.6</v>
      </c>
      <c r="N1358" s="1">
        <v>0.6</v>
      </c>
      <c r="O1358" s="11"/>
      <c r="P1358" s="11"/>
      <c r="Q1358" s="11"/>
      <c r="R1358" s="11"/>
    </row>
    <row r="1359" spans="1:18">
      <c r="D1359" s="1" t="s">
        <v>199</v>
      </c>
      <c r="E1359" s="1" t="s">
        <v>434</v>
      </c>
      <c r="H1359" s="1" t="s">
        <v>22</v>
      </c>
      <c r="I1359" s="1" t="s">
        <v>23</v>
      </c>
      <c r="L1359" s="1">
        <v>1</v>
      </c>
      <c r="M1359" s="1">
        <v>0.8</v>
      </c>
      <c r="N1359" s="1">
        <v>0.8</v>
      </c>
      <c r="O1359" s="11"/>
      <c r="P1359" s="11"/>
      <c r="Q1359" s="11"/>
      <c r="R1359" s="11"/>
    </row>
    <row r="1360" spans="1:18">
      <c r="D1360" s="1" t="s">
        <v>199</v>
      </c>
      <c r="E1360" s="1" t="s">
        <v>435</v>
      </c>
      <c r="H1360" s="1" t="s">
        <v>22</v>
      </c>
      <c r="I1360" s="1" t="s">
        <v>23</v>
      </c>
      <c r="L1360" s="1">
        <v>1</v>
      </c>
      <c r="M1360" s="1">
        <v>1</v>
      </c>
      <c r="N1360" s="1">
        <v>1</v>
      </c>
      <c r="O1360" s="11"/>
      <c r="P1360" s="11"/>
      <c r="Q1360" s="11"/>
      <c r="R1360" s="11"/>
    </row>
    <row r="1361" spans="4:18">
      <c r="D1361" s="1" t="s">
        <v>199</v>
      </c>
      <c r="E1361" s="1" t="s">
        <v>436</v>
      </c>
      <c r="H1361" s="1" t="s">
        <v>22</v>
      </c>
      <c r="I1361" s="1" t="s">
        <v>23</v>
      </c>
      <c r="L1361" s="1">
        <v>1</v>
      </c>
      <c r="M1361" s="1">
        <v>1.2</v>
      </c>
      <c r="N1361" s="1">
        <v>1.2</v>
      </c>
      <c r="O1361" s="11"/>
      <c r="P1361" s="11"/>
      <c r="Q1361" s="11"/>
      <c r="R1361" s="11"/>
    </row>
    <row r="1362" spans="4:18">
      <c r="D1362" s="1" t="s">
        <v>199</v>
      </c>
      <c r="E1362" s="1" t="s">
        <v>437</v>
      </c>
      <c r="H1362" s="1" t="s">
        <v>22</v>
      </c>
      <c r="I1362" s="1" t="s">
        <v>23</v>
      </c>
      <c r="L1362" s="1">
        <v>1</v>
      </c>
      <c r="M1362" s="1">
        <v>1.4</v>
      </c>
      <c r="N1362" s="1">
        <v>1.4</v>
      </c>
      <c r="O1362" s="11"/>
      <c r="P1362" s="11"/>
      <c r="Q1362" s="11"/>
      <c r="R1362" s="11"/>
    </row>
    <row r="1363" spans="4:18">
      <c r="D1363" s="1" t="s">
        <v>199</v>
      </c>
      <c r="E1363" s="1" t="s">
        <v>438</v>
      </c>
      <c r="H1363" s="1" t="s">
        <v>22</v>
      </c>
      <c r="I1363" s="1" t="s">
        <v>23</v>
      </c>
      <c r="L1363" s="1">
        <v>1</v>
      </c>
      <c r="M1363" s="1">
        <v>1.6</v>
      </c>
      <c r="N1363" s="1">
        <v>1.6</v>
      </c>
      <c r="O1363" s="11"/>
      <c r="P1363" s="11"/>
      <c r="Q1363" s="11"/>
      <c r="R1363" s="11"/>
    </row>
    <row r="1364" spans="4:18">
      <c r="D1364" s="1" t="s">
        <v>199</v>
      </c>
      <c r="E1364" s="1" t="s">
        <v>439</v>
      </c>
      <c r="H1364" s="1" t="s">
        <v>22</v>
      </c>
      <c r="I1364" s="1" t="s">
        <v>23</v>
      </c>
      <c r="L1364" s="1">
        <v>1</v>
      </c>
      <c r="M1364" s="1">
        <v>0.1</v>
      </c>
      <c r="N1364" s="1">
        <v>0.1</v>
      </c>
      <c r="O1364" s="11"/>
      <c r="P1364" s="11"/>
      <c r="Q1364" s="11"/>
      <c r="R1364" s="11"/>
    </row>
    <row r="1365" spans="4:18">
      <c r="D1365" s="1" t="s">
        <v>199</v>
      </c>
      <c r="E1365" s="1" t="s">
        <v>440</v>
      </c>
      <c r="H1365" s="1" t="s">
        <v>22</v>
      </c>
      <c r="I1365" s="1" t="s">
        <v>23</v>
      </c>
      <c r="L1365" s="1">
        <v>1</v>
      </c>
      <c r="M1365" s="1">
        <v>0.3</v>
      </c>
      <c r="N1365" s="1">
        <v>0.3</v>
      </c>
      <c r="O1365" s="11"/>
      <c r="P1365" s="11"/>
      <c r="Q1365" s="11"/>
      <c r="R1365" s="11"/>
    </row>
    <row r="1366" spans="4:18">
      <c r="D1366" s="1" t="s">
        <v>199</v>
      </c>
      <c r="E1366" s="1" t="s">
        <v>441</v>
      </c>
      <c r="H1366" s="1" t="s">
        <v>22</v>
      </c>
      <c r="I1366" s="1" t="s">
        <v>23</v>
      </c>
      <c r="L1366" s="1">
        <v>1</v>
      </c>
      <c r="M1366" s="1">
        <v>0.5</v>
      </c>
      <c r="N1366" s="1">
        <v>0.5</v>
      </c>
      <c r="O1366" s="11"/>
      <c r="P1366" s="11"/>
      <c r="Q1366" s="11"/>
      <c r="R1366" s="11"/>
    </row>
    <row r="1367" spans="4:18">
      <c r="D1367" s="1" t="s">
        <v>199</v>
      </c>
      <c r="E1367" s="1" t="s">
        <v>442</v>
      </c>
      <c r="H1367" s="1" t="s">
        <v>22</v>
      </c>
      <c r="I1367" s="1" t="s">
        <v>23</v>
      </c>
      <c r="L1367" s="1">
        <v>1</v>
      </c>
      <c r="M1367" s="1">
        <v>0.7</v>
      </c>
      <c r="N1367" s="1">
        <v>0.7</v>
      </c>
      <c r="O1367" s="11"/>
      <c r="P1367" s="11"/>
      <c r="Q1367" s="11"/>
      <c r="R1367" s="11"/>
    </row>
    <row r="1368" spans="4:18">
      <c r="D1368" s="1" t="s">
        <v>199</v>
      </c>
      <c r="E1368" s="1" t="s">
        <v>443</v>
      </c>
      <c r="H1368" s="1" t="s">
        <v>22</v>
      </c>
      <c r="I1368" s="1" t="s">
        <v>23</v>
      </c>
      <c r="L1368" s="1">
        <v>1</v>
      </c>
      <c r="M1368" s="1">
        <v>0.9</v>
      </c>
      <c r="N1368" s="1">
        <v>0.9</v>
      </c>
      <c r="O1368" s="11"/>
      <c r="P1368" s="11"/>
      <c r="Q1368" s="11"/>
      <c r="R1368" s="11"/>
    </row>
    <row r="1369" spans="4:18">
      <c r="D1369" s="1" t="s">
        <v>199</v>
      </c>
      <c r="E1369" s="1" t="s">
        <v>444</v>
      </c>
      <c r="H1369" s="1" t="s">
        <v>22</v>
      </c>
      <c r="I1369" s="1" t="s">
        <v>23</v>
      </c>
      <c r="L1369" s="1">
        <v>1</v>
      </c>
      <c r="M1369" s="1">
        <v>1.1000000000000001</v>
      </c>
      <c r="N1369" s="1">
        <v>1.1000000000000001</v>
      </c>
      <c r="O1369" s="11"/>
      <c r="P1369" s="11"/>
      <c r="Q1369" s="11"/>
      <c r="R1369" s="11"/>
    </row>
    <row r="1370" spans="4:18">
      <c r="D1370" s="1" t="s">
        <v>199</v>
      </c>
      <c r="E1370" s="1" t="s">
        <v>445</v>
      </c>
      <c r="H1370" s="1" t="s">
        <v>22</v>
      </c>
      <c r="I1370" s="1" t="s">
        <v>23</v>
      </c>
      <c r="L1370" s="1">
        <v>1</v>
      </c>
      <c r="M1370" s="1">
        <v>1.3</v>
      </c>
      <c r="N1370" s="1">
        <v>1.3</v>
      </c>
      <c r="O1370" s="11"/>
      <c r="P1370" s="11"/>
      <c r="Q1370" s="11"/>
      <c r="R1370" s="11"/>
    </row>
    <row r="1371" spans="4:18">
      <c r="D1371" s="1" t="s">
        <v>199</v>
      </c>
      <c r="E1371" s="1" t="s">
        <v>446</v>
      </c>
      <c r="H1371" s="1" t="s">
        <v>22</v>
      </c>
      <c r="I1371" s="1" t="s">
        <v>23</v>
      </c>
      <c r="L1371" s="1">
        <v>1</v>
      </c>
      <c r="M1371" s="1">
        <v>1.5</v>
      </c>
      <c r="N1371" s="1">
        <v>1.5</v>
      </c>
      <c r="O1371" s="11"/>
      <c r="P1371" s="11"/>
      <c r="Q1371" s="11"/>
      <c r="R1371" s="11"/>
    </row>
    <row r="1372" spans="4:18">
      <c r="D1372" s="1" t="s">
        <v>199</v>
      </c>
      <c r="E1372" s="1" t="s">
        <v>447</v>
      </c>
      <c r="H1372" s="1" t="s">
        <v>22</v>
      </c>
      <c r="I1372" s="1" t="s">
        <v>23</v>
      </c>
      <c r="L1372" s="1">
        <v>1</v>
      </c>
      <c r="M1372" s="1">
        <v>1.7</v>
      </c>
      <c r="N1372" s="1">
        <v>1.7</v>
      </c>
      <c r="O1372" s="11"/>
      <c r="P1372" s="11"/>
      <c r="Q1372" s="11"/>
      <c r="R1372" s="11"/>
    </row>
    <row r="1373" spans="4:18">
      <c r="D1373" s="1" t="s">
        <v>199</v>
      </c>
      <c r="E1373" s="1" t="s">
        <v>448</v>
      </c>
      <c r="H1373" s="1" t="s">
        <v>22</v>
      </c>
      <c r="I1373" s="1" t="s">
        <v>23</v>
      </c>
      <c r="L1373" s="1">
        <v>1</v>
      </c>
      <c r="M1373" s="1">
        <v>0</v>
      </c>
      <c r="N1373" s="1">
        <v>0</v>
      </c>
      <c r="O1373" s="11"/>
      <c r="P1373" s="11"/>
      <c r="Q1373" s="11"/>
      <c r="R1373" s="11"/>
    </row>
    <row r="1374" spans="4:18">
      <c r="D1374" s="1" t="s">
        <v>199</v>
      </c>
      <c r="E1374" s="1" t="s">
        <v>449</v>
      </c>
      <c r="H1374" s="1" t="s">
        <v>22</v>
      </c>
      <c r="I1374" s="1" t="s">
        <v>23</v>
      </c>
      <c r="L1374" s="1">
        <v>1</v>
      </c>
      <c r="M1374" s="1">
        <v>0.2</v>
      </c>
      <c r="N1374" s="1">
        <v>0.2</v>
      </c>
      <c r="O1374" s="11"/>
      <c r="P1374" s="11"/>
      <c r="Q1374" s="11"/>
      <c r="R1374" s="11"/>
    </row>
    <row r="1375" spans="4:18">
      <c r="D1375" s="1" t="s">
        <v>199</v>
      </c>
      <c r="E1375" s="1" t="s">
        <v>450</v>
      </c>
      <c r="H1375" s="1" t="s">
        <v>22</v>
      </c>
      <c r="I1375" s="1" t="s">
        <v>23</v>
      </c>
      <c r="L1375" s="1">
        <v>1</v>
      </c>
      <c r="M1375" s="1">
        <v>0.4</v>
      </c>
      <c r="N1375" s="1">
        <v>0.4</v>
      </c>
      <c r="O1375" s="11"/>
      <c r="P1375" s="11"/>
      <c r="Q1375" s="11"/>
      <c r="R1375" s="11"/>
    </row>
    <row r="1376" spans="4:18">
      <c r="D1376" s="1" t="s">
        <v>199</v>
      </c>
      <c r="E1376" s="1" t="s">
        <v>451</v>
      </c>
      <c r="H1376" s="1" t="s">
        <v>22</v>
      </c>
      <c r="I1376" s="1" t="s">
        <v>23</v>
      </c>
      <c r="L1376" s="1">
        <v>1</v>
      </c>
      <c r="M1376" s="1">
        <v>0.6</v>
      </c>
      <c r="N1376" s="1">
        <v>0.6</v>
      </c>
      <c r="O1376" s="11"/>
      <c r="P1376" s="11"/>
      <c r="Q1376" s="11"/>
      <c r="R1376" s="11"/>
    </row>
    <row r="1377" spans="4:18">
      <c r="D1377" s="1" t="s">
        <v>199</v>
      </c>
      <c r="E1377" s="1" t="s">
        <v>452</v>
      </c>
      <c r="H1377" s="1" t="s">
        <v>22</v>
      </c>
      <c r="I1377" s="1" t="s">
        <v>23</v>
      </c>
      <c r="L1377" s="1">
        <v>1</v>
      </c>
      <c r="M1377" s="1">
        <v>0.8</v>
      </c>
      <c r="N1377" s="1">
        <v>0.8</v>
      </c>
      <c r="O1377" s="11"/>
      <c r="P1377" s="11"/>
      <c r="Q1377" s="11"/>
      <c r="R1377" s="11"/>
    </row>
    <row r="1378" spans="4:18">
      <c r="D1378" s="1" t="s">
        <v>199</v>
      </c>
      <c r="E1378" s="1" t="s">
        <v>453</v>
      </c>
      <c r="H1378" s="1" t="s">
        <v>22</v>
      </c>
      <c r="I1378" s="1" t="s">
        <v>23</v>
      </c>
      <c r="L1378" s="1">
        <v>1</v>
      </c>
      <c r="M1378" s="1">
        <v>1</v>
      </c>
      <c r="N1378" s="1">
        <v>1</v>
      </c>
      <c r="O1378" s="11"/>
      <c r="P1378" s="11"/>
      <c r="Q1378" s="11"/>
      <c r="R1378" s="11"/>
    </row>
    <row r="1379" spans="4:18">
      <c r="D1379" s="1" t="s">
        <v>199</v>
      </c>
      <c r="E1379" s="1" t="s">
        <v>454</v>
      </c>
      <c r="H1379" s="1" t="s">
        <v>22</v>
      </c>
      <c r="I1379" s="1" t="s">
        <v>23</v>
      </c>
      <c r="L1379" s="1">
        <v>1</v>
      </c>
      <c r="M1379" s="1">
        <v>1.2</v>
      </c>
      <c r="N1379" s="1">
        <v>1.2</v>
      </c>
      <c r="O1379" s="11"/>
      <c r="P1379" s="11"/>
      <c r="Q1379" s="11"/>
      <c r="R1379" s="11"/>
    </row>
    <row r="1380" spans="4:18">
      <c r="D1380" s="1" t="s">
        <v>199</v>
      </c>
      <c r="E1380" s="1" t="s">
        <v>455</v>
      </c>
      <c r="H1380" s="1" t="s">
        <v>22</v>
      </c>
      <c r="I1380" s="1" t="s">
        <v>23</v>
      </c>
      <c r="L1380" s="1">
        <v>1</v>
      </c>
      <c r="M1380" s="1">
        <v>1.4</v>
      </c>
      <c r="N1380" s="1">
        <v>1.4</v>
      </c>
      <c r="O1380" s="11"/>
      <c r="P1380" s="11"/>
      <c r="Q1380" s="11"/>
      <c r="R1380" s="11"/>
    </row>
    <row r="1381" spans="4:18">
      <c r="D1381" s="1" t="s">
        <v>199</v>
      </c>
      <c r="E1381" s="1" t="s">
        <v>456</v>
      </c>
      <c r="H1381" s="1" t="s">
        <v>22</v>
      </c>
      <c r="I1381" s="1" t="s">
        <v>23</v>
      </c>
      <c r="L1381" s="1">
        <v>1</v>
      </c>
      <c r="M1381" s="1">
        <v>1.6</v>
      </c>
      <c r="N1381" s="1">
        <v>1.6</v>
      </c>
      <c r="O1381" s="11"/>
      <c r="P1381" s="11"/>
      <c r="Q1381" s="11"/>
      <c r="R1381" s="11"/>
    </row>
    <row r="1382" spans="4:18">
      <c r="D1382" s="1" t="s">
        <v>199</v>
      </c>
      <c r="E1382" s="1" t="s">
        <v>457</v>
      </c>
      <c r="H1382" s="1" t="s">
        <v>22</v>
      </c>
      <c r="I1382" s="1" t="s">
        <v>23</v>
      </c>
      <c r="L1382" s="1">
        <v>1</v>
      </c>
      <c r="M1382" s="1">
        <v>0.1</v>
      </c>
      <c r="N1382" s="1">
        <v>0.1</v>
      </c>
      <c r="O1382" s="11"/>
      <c r="P1382" s="11"/>
      <c r="Q1382" s="11"/>
      <c r="R1382" s="11"/>
    </row>
    <row r="1383" spans="4:18">
      <c r="D1383" s="1" t="s">
        <v>199</v>
      </c>
      <c r="E1383" s="1" t="s">
        <v>458</v>
      </c>
      <c r="H1383" s="1" t="s">
        <v>22</v>
      </c>
      <c r="I1383" s="1" t="s">
        <v>23</v>
      </c>
      <c r="L1383" s="1">
        <v>1</v>
      </c>
      <c r="M1383" s="1">
        <v>0.3</v>
      </c>
      <c r="N1383" s="1">
        <v>0.3</v>
      </c>
      <c r="O1383" s="11"/>
      <c r="P1383" s="11"/>
      <c r="Q1383" s="11"/>
      <c r="R1383" s="11"/>
    </row>
    <row r="1384" spans="4:18">
      <c r="D1384" s="1" t="s">
        <v>199</v>
      </c>
      <c r="E1384" s="1" t="s">
        <v>459</v>
      </c>
      <c r="H1384" s="1" t="s">
        <v>22</v>
      </c>
      <c r="I1384" s="1" t="s">
        <v>23</v>
      </c>
      <c r="L1384" s="1">
        <v>1</v>
      </c>
      <c r="M1384" s="1">
        <v>0.5</v>
      </c>
      <c r="N1384" s="1">
        <v>0.5</v>
      </c>
      <c r="O1384" s="11"/>
      <c r="P1384" s="11"/>
      <c r="Q1384" s="11"/>
      <c r="R1384" s="11"/>
    </row>
    <row r="1385" spans="4:18">
      <c r="D1385" s="1" t="s">
        <v>199</v>
      </c>
      <c r="E1385" s="1" t="s">
        <v>460</v>
      </c>
      <c r="H1385" s="1" t="s">
        <v>22</v>
      </c>
      <c r="I1385" s="1" t="s">
        <v>23</v>
      </c>
      <c r="L1385" s="1">
        <v>1</v>
      </c>
      <c r="M1385" s="1">
        <v>0.7</v>
      </c>
      <c r="N1385" s="1">
        <v>0.7</v>
      </c>
      <c r="O1385" s="11"/>
      <c r="P1385" s="11"/>
      <c r="Q1385" s="11"/>
      <c r="R1385" s="11"/>
    </row>
    <row r="1386" spans="4:18">
      <c r="D1386" s="1" t="s">
        <v>199</v>
      </c>
      <c r="E1386" s="1" t="s">
        <v>461</v>
      </c>
      <c r="H1386" s="1" t="s">
        <v>22</v>
      </c>
      <c r="I1386" s="1" t="s">
        <v>23</v>
      </c>
      <c r="L1386" s="1">
        <v>1</v>
      </c>
      <c r="M1386" s="1">
        <v>0.9</v>
      </c>
      <c r="N1386" s="1">
        <v>0.9</v>
      </c>
      <c r="O1386" s="11"/>
      <c r="P1386" s="11"/>
      <c r="Q1386" s="11"/>
      <c r="R1386" s="11"/>
    </row>
    <row r="1387" spans="4:18">
      <c r="D1387" s="1" t="s">
        <v>199</v>
      </c>
      <c r="E1387" s="1" t="s">
        <v>462</v>
      </c>
      <c r="H1387" s="1" t="s">
        <v>22</v>
      </c>
      <c r="I1387" s="1" t="s">
        <v>23</v>
      </c>
      <c r="L1387" s="1">
        <v>1</v>
      </c>
      <c r="M1387" s="1">
        <v>1.1000000000000001</v>
      </c>
      <c r="N1387" s="1">
        <v>1.1000000000000001</v>
      </c>
      <c r="O1387" s="11"/>
      <c r="P1387" s="11"/>
      <c r="Q1387" s="11"/>
      <c r="R1387" s="11"/>
    </row>
    <row r="1388" spans="4:18">
      <c r="D1388" s="1" t="s">
        <v>199</v>
      </c>
      <c r="E1388" s="1" t="s">
        <v>463</v>
      </c>
      <c r="H1388" s="1" t="s">
        <v>22</v>
      </c>
      <c r="I1388" s="1" t="s">
        <v>23</v>
      </c>
      <c r="L1388" s="1">
        <v>1</v>
      </c>
      <c r="M1388" s="1">
        <v>1.3</v>
      </c>
      <c r="N1388" s="1">
        <v>1.3</v>
      </c>
      <c r="O1388" s="11"/>
      <c r="P1388" s="11"/>
      <c r="Q1388" s="11"/>
      <c r="R1388" s="11"/>
    </row>
    <row r="1389" spans="4:18">
      <c r="D1389" s="1" t="s">
        <v>199</v>
      </c>
      <c r="E1389" s="1" t="s">
        <v>464</v>
      </c>
      <c r="H1389" s="1" t="s">
        <v>22</v>
      </c>
      <c r="I1389" s="1" t="s">
        <v>23</v>
      </c>
      <c r="L1389" s="1">
        <v>1</v>
      </c>
      <c r="M1389" s="1">
        <v>1.5</v>
      </c>
      <c r="N1389" s="1">
        <v>1.5</v>
      </c>
      <c r="O1389" s="11"/>
      <c r="P1389" s="11"/>
      <c r="Q1389" s="11"/>
      <c r="R1389" s="11"/>
    </row>
    <row r="1390" spans="4:18">
      <c r="D1390" s="1" t="s">
        <v>199</v>
      </c>
      <c r="E1390" s="1" t="s">
        <v>465</v>
      </c>
      <c r="H1390" s="1" t="s">
        <v>22</v>
      </c>
      <c r="I1390" s="1" t="s">
        <v>23</v>
      </c>
      <c r="L1390" s="1">
        <v>1</v>
      </c>
      <c r="M1390" s="1">
        <v>1.7</v>
      </c>
      <c r="N1390" s="1">
        <v>1.7</v>
      </c>
      <c r="O1390" s="11"/>
      <c r="P1390" s="11"/>
      <c r="Q1390" s="11"/>
      <c r="R1390" s="11"/>
    </row>
    <row r="1391" spans="4:18">
      <c r="D1391" s="1" t="s">
        <v>199</v>
      </c>
      <c r="E1391" s="1" t="s">
        <v>466</v>
      </c>
      <c r="H1391" s="1" t="s">
        <v>22</v>
      </c>
      <c r="I1391" s="1" t="s">
        <v>23</v>
      </c>
      <c r="L1391" s="1">
        <v>1</v>
      </c>
      <c r="M1391" s="1">
        <v>0</v>
      </c>
      <c r="N1391" s="1">
        <v>0</v>
      </c>
      <c r="O1391" s="11"/>
      <c r="P1391" s="11"/>
      <c r="Q1391" s="11"/>
      <c r="R1391" s="11"/>
    </row>
    <row r="1392" spans="4:18">
      <c r="D1392" s="1" t="s">
        <v>199</v>
      </c>
      <c r="E1392" s="1" t="s">
        <v>467</v>
      </c>
      <c r="H1392" s="1" t="s">
        <v>22</v>
      </c>
      <c r="I1392" s="1" t="s">
        <v>23</v>
      </c>
      <c r="L1392" s="1">
        <v>1</v>
      </c>
      <c r="M1392" s="1">
        <v>0.2</v>
      </c>
      <c r="N1392" s="1">
        <v>0.2</v>
      </c>
      <c r="O1392" s="11"/>
      <c r="P1392" s="11"/>
      <c r="Q1392" s="11"/>
      <c r="R1392" s="11"/>
    </row>
    <row r="1393" spans="4:18">
      <c r="D1393" s="1" t="s">
        <v>199</v>
      </c>
      <c r="E1393" s="1" t="s">
        <v>468</v>
      </c>
      <c r="H1393" s="1" t="s">
        <v>22</v>
      </c>
      <c r="I1393" s="1" t="s">
        <v>23</v>
      </c>
      <c r="L1393" s="1">
        <v>1</v>
      </c>
      <c r="M1393" s="1">
        <v>0.4</v>
      </c>
      <c r="N1393" s="1">
        <v>0.4</v>
      </c>
      <c r="O1393" s="11"/>
      <c r="P1393" s="11"/>
      <c r="Q1393" s="11"/>
      <c r="R1393" s="11"/>
    </row>
    <row r="1394" spans="4:18">
      <c r="D1394" s="1" t="s">
        <v>199</v>
      </c>
      <c r="E1394" s="1" t="s">
        <v>469</v>
      </c>
      <c r="H1394" s="1" t="s">
        <v>22</v>
      </c>
      <c r="I1394" s="1" t="s">
        <v>23</v>
      </c>
      <c r="L1394" s="1">
        <v>1</v>
      </c>
      <c r="M1394" s="1">
        <v>0.6</v>
      </c>
      <c r="N1394" s="1">
        <v>0.6</v>
      </c>
      <c r="O1394" s="11"/>
      <c r="P1394" s="11"/>
      <c r="Q1394" s="11"/>
      <c r="R1394" s="11"/>
    </row>
    <row r="1395" spans="4:18">
      <c r="D1395" s="1" t="s">
        <v>199</v>
      </c>
      <c r="E1395" s="1" t="s">
        <v>470</v>
      </c>
      <c r="H1395" s="1" t="s">
        <v>22</v>
      </c>
      <c r="I1395" s="1" t="s">
        <v>23</v>
      </c>
      <c r="L1395" s="1">
        <v>1</v>
      </c>
      <c r="M1395" s="1">
        <v>0.8</v>
      </c>
      <c r="N1395" s="1">
        <v>0.8</v>
      </c>
      <c r="O1395" s="11"/>
      <c r="P1395" s="11"/>
      <c r="Q1395" s="11"/>
      <c r="R1395" s="11"/>
    </row>
    <row r="1396" spans="4:18">
      <c r="D1396" s="1" t="s">
        <v>199</v>
      </c>
      <c r="E1396" s="1" t="s">
        <v>471</v>
      </c>
      <c r="H1396" s="1" t="s">
        <v>22</v>
      </c>
      <c r="I1396" s="1" t="s">
        <v>23</v>
      </c>
      <c r="L1396" s="1">
        <v>1</v>
      </c>
      <c r="M1396" s="1">
        <v>1</v>
      </c>
      <c r="N1396" s="1">
        <v>1</v>
      </c>
      <c r="O1396" s="11"/>
      <c r="P1396" s="11"/>
      <c r="Q1396" s="11"/>
      <c r="R1396" s="11"/>
    </row>
    <row r="1397" spans="4:18">
      <c r="D1397" s="1" t="s">
        <v>199</v>
      </c>
      <c r="E1397" s="1" t="s">
        <v>472</v>
      </c>
      <c r="H1397" s="1" t="s">
        <v>22</v>
      </c>
      <c r="I1397" s="1" t="s">
        <v>23</v>
      </c>
      <c r="L1397" s="1">
        <v>1</v>
      </c>
      <c r="M1397" s="1">
        <v>1.2</v>
      </c>
      <c r="N1397" s="1">
        <v>1.2</v>
      </c>
      <c r="O1397" s="11"/>
      <c r="P1397" s="11"/>
      <c r="Q1397" s="11"/>
      <c r="R1397" s="11"/>
    </row>
    <row r="1398" spans="4:18">
      <c r="D1398" s="1" t="s">
        <v>199</v>
      </c>
      <c r="E1398" s="1" t="s">
        <v>473</v>
      </c>
      <c r="H1398" s="1" t="s">
        <v>22</v>
      </c>
      <c r="I1398" s="1" t="s">
        <v>23</v>
      </c>
      <c r="L1398" s="1">
        <v>1</v>
      </c>
      <c r="M1398" s="1">
        <v>1.4</v>
      </c>
      <c r="N1398" s="1">
        <v>1.4</v>
      </c>
      <c r="O1398" s="11"/>
      <c r="P1398" s="11"/>
      <c r="Q1398" s="11"/>
      <c r="R1398" s="11"/>
    </row>
    <row r="1399" spans="4:18">
      <c r="D1399" s="1" t="s">
        <v>199</v>
      </c>
      <c r="E1399" s="1" t="s">
        <v>474</v>
      </c>
      <c r="H1399" s="1" t="s">
        <v>22</v>
      </c>
      <c r="I1399" s="1" t="s">
        <v>23</v>
      </c>
      <c r="L1399" s="1">
        <v>1</v>
      </c>
      <c r="M1399" s="1">
        <v>1.6</v>
      </c>
      <c r="N1399" s="1">
        <v>1.6</v>
      </c>
      <c r="O1399" s="11"/>
      <c r="P1399" s="11"/>
      <c r="Q1399" s="11"/>
      <c r="R1399" s="11"/>
    </row>
    <row r="1400" spans="4:18">
      <c r="D1400" s="1" t="s">
        <v>199</v>
      </c>
      <c r="E1400" s="1" t="s">
        <v>475</v>
      </c>
      <c r="H1400" s="1" t="s">
        <v>22</v>
      </c>
      <c r="I1400" s="1" t="s">
        <v>23</v>
      </c>
      <c r="L1400" s="1">
        <v>1</v>
      </c>
      <c r="M1400" s="1">
        <v>0.1</v>
      </c>
      <c r="N1400" s="1">
        <v>0.1</v>
      </c>
      <c r="O1400" s="11"/>
      <c r="P1400" s="11"/>
      <c r="Q1400" s="11"/>
      <c r="R1400" s="11"/>
    </row>
    <row r="1401" spans="4:18">
      <c r="D1401" s="1" t="s">
        <v>199</v>
      </c>
      <c r="E1401" s="1" t="s">
        <v>476</v>
      </c>
      <c r="H1401" s="1" t="s">
        <v>22</v>
      </c>
      <c r="I1401" s="1" t="s">
        <v>23</v>
      </c>
      <c r="L1401" s="1">
        <v>1</v>
      </c>
      <c r="M1401" s="1">
        <v>0.3</v>
      </c>
      <c r="N1401" s="1">
        <v>0.3</v>
      </c>
      <c r="O1401" s="11"/>
      <c r="P1401" s="11"/>
      <c r="Q1401" s="11"/>
      <c r="R1401" s="11"/>
    </row>
    <row r="1402" spans="4:18">
      <c r="D1402" s="1" t="s">
        <v>199</v>
      </c>
      <c r="E1402" s="1" t="s">
        <v>477</v>
      </c>
      <c r="H1402" s="1" t="s">
        <v>22</v>
      </c>
      <c r="I1402" s="1" t="s">
        <v>23</v>
      </c>
      <c r="L1402" s="1">
        <v>1</v>
      </c>
      <c r="M1402" s="1">
        <v>0.5</v>
      </c>
      <c r="N1402" s="1">
        <v>0.5</v>
      </c>
      <c r="O1402" s="11"/>
      <c r="P1402" s="11"/>
      <c r="Q1402" s="11"/>
      <c r="R1402" s="11"/>
    </row>
    <row r="1403" spans="4:18">
      <c r="D1403" s="1" t="s">
        <v>199</v>
      </c>
      <c r="E1403" s="1" t="s">
        <v>478</v>
      </c>
      <c r="H1403" s="1" t="s">
        <v>22</v>
      </c>
      <c r="I1403" s="1" t="s">
        <v>23</v>
      </c>
      <c r="L1403" s="1">
        <v>1</v>
      </c>
      <c r="M1403" s="1">
        <v>0.7</v>
      </c>
      <c r="N1403" s="1">
        <v>0.7</v>
      </c>
      <c r="O1403" s="11"/>
      <c r="P1403" s="11"/>
      <c r="Q1403" s="11"/>
      <c r="R1403" s="11"/>
    </row>
    <row r="1404" spans="4:18">
      <c r="D1404" s="1" t="s">
        <v>199</v>
      </c>
      <c r="E1404" s="1" t="s">
        <v>479</v>
      </c>
      <c r="H1404" s="1" t="s">
        <v>22</v>
      </c>
      <c r="I1404" s="1" t="s">
        <v>23</v>
      </c>
      <c r="L1404" s="1">
        <v>1</v>
      </c>
      <c r="M1404" s="1">
        <v>0.9</v>
      </c>
      <c r="N1404" s="1">
        <v>0.9</v>
      </c>
      <c r="O1404" s="11"/>
      <c r="P1404" s="11"/>
      <c r="Q1404" s="11"/>
      <c r="R1404" s="11"/>
    </row>
    <row r="1405" spans="4:18">
      <c r="D1405" s="1" t="s">
        <v>199</v>
      </c>
      <c r="E1405" s="1" t="s">
        <v>480</v>
      </c>
      <c r="H1405" s="1" t="s">
        <v>22</v>
      </c>
      <c r="I1405" s="1" t="s">
        <v>23</v>
      </c>
      <c r="L1405" s="1">
        <v>1</v>
      </c>
      <c r="M1405" s="1">
        <v>1.1000000000000001</v>
      </c>
      <c r="N1405" s="1">
        <v>1.1000000000000001</v>
      </c>
      <c r="O1405" s="11"/>
      <c r="P1405" s="11"/>
      <c r="Q1405" s="11"/>
      <c r="R1405" s="11"/>
    </row>
    <row r="1406" spans="4:18">
      <c r="D1406" s="1" t="s">
        <v>199</v>
      </c>
      <c r="E1406" s="1" t="s">
        <v>481</v>
      </c>
      <c r="H1406" s="1" t="s">
        <v>22</v>
      </c>
      <c r="I1406" s="1" t="s">
        <v>23</v>
      </c>
      <c r="L1406" s="1">
        <v>1</v>
      </c>
      <c r="M1406" s="1">
        <v>1.3</v>
      </c>
      <c r="N1406" s="1">
        <v>1.3</v>
      </c>
      <c r="O1406" s="11"/>
      <c r="P1406" s="11"/>
      <c r="Q1406" s="11"/>
      <c r="R1406" s="11"/>
    </row>
    <row r="1407" spans="4:18">
      <c r="D1407" s="1" t="s">
        <v>199</v>
      </c>
      <c r="E1407" s="1" t="s">
        <v>482</v>
      </c>
      <c r="H1407" s="1" t="s">
        <v>22</v>
      </c>
      <c r="I1407" s="1" t="s">
        <v>23</v>
      </c>
      <c r="L1407" s="1">
        <v>1</v>
      </c>
      <c r="M1407" s="1">
        <v>1.5</v>
      </c>
      <c r="N1407" s="1">
        <v>1.5</v>
      </c>
      <c r="O1407" s="11"/>
      <c r="P1407" s="11"/>
      <c r="Q1407" s="11"/>
      <c r="R1407" s="11"/>
    </row>
    <row r="1408" spans="4:18">
      <c r="D1408" s="1" t="s">
        <v>199</v>
      </c>
      <c r="E1408" s="1" t="s">
        <v>483</v>
      </c>
      <c r="H1408" s="1" t="s">
        <v>22</v>
      </c>
      <c r="I1408" s="1" t="s">
        <v>23</v>
      </c>
      <c r="L1408" s="1">
        <v>1</v>
      </c>
      <c r="M1408" s="1">
        <v>1.7</v>
      </c>
      <c r="N1408" s="1">
        <v>1.7</v>
      </c>
      <c r="O1408" s="11"/>
      <c r="P1408" s="11"/>
      <c r="Q1408" s="11"/>
      <c r="R1408" s="11"/>
    </row>
    <row r="1409" spans="4:18">
      <c r="D1409" s="1" t="s">
        <v>199</v>
      </c>
      <c r="E1409" s="1" t="s">
        <v>484</v>
      </c>
      <c r="H1409" s="1" t="s">
        <v>22</v>
      </c>
      <c r="I1409" s="1" t="s">
        <v>23</v>
      </c>
      <c r="L1409" s="1">
        <v>1</v>
      </c>
      <c r="M1409" s="1">
        <v>0</v>
      </c>
      <c r="N1409" s="1">
        <v>0</v>
      </c>
      <c r="O1409" s="11"/>
      <c r="P1409" s="11"/>
      <c r="Q1409" s="11"/>
      <c r="R1409" s="11"/>
    </row>
    <row r="1410" spans="4:18">
      <c r="D1410" s="1" t="s">
        <v>199</v>
      </c>
      <c r="E1410" s="1" t="s">
        <v>485</v>
      </c>
      <c r="H1410" s="1" t="s">
        <v>22</v>
      </c>
      <c r="I1410" s="1" t="s">
        <v>23</v>
      </c>
      <c r="L1410" s="1">
        <v>1</v>
      </c>
      <c r="M1410" s="1">
        <v>0.2</v>
      </c>
      <c r="N1410" s="1">
        <v>0.2</v>
      </c>
      <c r="O1410" s="11"/>
      <c r="P1410" s="11"/>
      <c r="Q1410" s="11"/>
      <c r="R1410" s="11"/>
    </row>
    <row r="1411" spans="4:18">
      <c r="D1411" s="1" t="s">
        <v>199</v>
      </c>
      <c r="E1411" s="1" t="s">
        <v>486</v>
      </c>
      <c r="H1411" s="1" t="s">
        <v>22</v>
      </c>
      <c r="I1411" s="1" t="s">
        <v>23</v>
      </c>
      <c r="L1411" s="1">
        <v>1</v>
      </c>
      <c r="M1411" s="1">
        <v>0.4</v>
      </c>
      <c r="N1411" s="1">
        <v>0.4</v>
      </c>
      <c r="O1411" s="11"/>
      <c r="P1411" s="11"/>
      <c r="Q1411" s="11"/>
      <c r="R1411" s="11"/>
    </row>
    <row r="1412" spans="4:18">
      <c r="D1412" s="1" t="s">
        <v>199</v>
      </c>
      <c r="E1412" s="1" t="s">
        <v>487</v>
      </c>
      <c r="H1412" s="1" t="s">
        <v>22</v>
      </c>
      <c r="I1412" s="1" t="s">
        <v>23</v>
      </c>
      <c r="L1412" s="1">
        <v>1</v>
      </c>
      <c r="M1412" s="1">
        <v>0.6</v>
      </c>
      <c r="N1412" s="1">
        <v>0.6</v>
      </c>
      <c r="O1412" s="11"/>
      <c r="P1412" s="11"/>
      <c r="Q1412" s="11"/>
      <c r="R1412" s="11"/>
    </row>
    <row r="1413" spans="4:18">
      <c r="D1413" s="1" t="s">
        <v>199</v>
      </c>
      <c r="E1413" s="1" t="s">
        <v>488</v>
      </c>
      <c r="H1413" s="1" t="s">
        <v>22</v>
      </c>
      <c r="I1413" s="1" t="s">
        <v>23</v>
      </c>
      <c r="L1413" s="1">
        <v>1</v>
      </c>
      <c r="M1413" s="1">
        <v>0.8</v>
      </c>
      <c r="N1413" s="1">
        <v>0.8</v>
      </c>
      <c r="O1413" s="11"/>
      <c r="P1413" s="11"/>
      <c r="Q1413" s="11"/>
      <c r="R1413" s="11"/>
    </row>
    <row r="1414" spans="4:18">
      <c r="D1414" s="1" t="s">
        <v>199</v>
      </c>
      <c r="E1414" s="1" t="s">
        <v>489</v>
      </c>
      <c r="H1414" s="1" t="s">
        <v>22</v>
      </c>
      <c r="I1414" s="1" t="s">
        <v>23</v>
      </c>
      <c r="L1414" s="1">
        <v>1</v>
      </c>
      <c r="M1414" s="1">
        <v>1</v>
      </c>
      <c r="N1414" s="1">
        <v>1</v>
      </c>
      <c r="O1414" s="11"/>
      <c r="P1414" s="11"/>
      <c r="Q1414" s="11"/>
      <c r="R1414" s="11"/>
    </row>
    <row r="1415" spans="4:18">
      <c r="D1415" s="1" t="s">
        <v>199</v>
      </c>
      <c r="E1415" s="1" t="s">
        <v>490</v>
      </c>
      <c r="H1415" s="1" t="s">
        <v>22</v>
      </c>
      <c r="I1415" s="1" t="s">
        <v>23</v>
      </c>
      <c r="L1415" s="1">
        <v>1</v>
      </c>
      <c r="M1415" s="1">
        <v>1.2</v>
      </c>
      <c r="N1415" s="1">
        <v>1.2</v>
      </c>
      <c r="O1415" s="11"/>
      <c r="P1415" s="11"/>
      <c r="Q1415" s="11"/>
      <c r="R1415" s="11"/>
    </row>
    <row r="1416" spans="4:18">
      <c r="D1416" s="1" t="s">
        <v>199</v>
      </c>
      <c r="E1416" s="1" t="s">
        <v>491</v>
      </c>
      <c r="H1416" s="1" t="s">
        <v>22</v>
      </c>
      <c r="I1416" s="1" t="s">
        <v>23</v>
      </c>
      <c r="L1416" s="1">
        <v>1</v>
      </c>
      <c r="M1416" s="1">
        <v>1.4</v>
      </c>
      <c r="N1416" s="1">
        <v>1.4</v>
      </c>
      <c r="O1416" s="11"/>
      <c r="P1416" s="11"/>
      <c r="Q1416" s="11"/>
      <c r="R1416" s="11"/>
    </row>
    <row r="1417" spans="4:18">
      <c r="D1417" s="1" t="s">
        <v>199</v>
      </c>
      <c r="E1417" s="1" t="s">
        <v>492</v>
      </c>
      <c r="H1417" s="1" t="s">
        <v>22</v>
      </c>
      <c r="I1417" s="1" t="s">
        <v>23</v>
      </c>
      <c r="L1417" s="1">
        <v>1</v>
      </c>
      <c r="M1417" s="1">
        <v>1.6</v>
      </c>
      <c r="N1417" s="1">
        <v>1.6</v>
      </c>
      <c r="O1417" s="11"/>
      <c r="P1417" s="11"/>
      <c r="Q1417" s="11"/>
      <c r="R1417" s="11"/>
    </row>
    <row r="1418" spans="4:18">
      <c r="D1418" s="1" t="s">
        <v>199</v>
      </c>
      <c r="E1418" s="1" t="s">
        <v>493</v>
      </c>
      <c r="H1418" s="1" t="s">
        <v>22</v>
      </c>
      <c r="I1418" s="1" t="s">
        <v>23</v>
      </c>
      <c r="L1418" s="1">
        <v>1</v>
      </c>
      <c r="M1418" s="1">
        <v>0.1</v>
      </c>
      <c r="N1418" s="1">
        <v>0.1</v>
      </c>
      <c r="O1418" s="11"/>
      <c r="P1418" s="11"/>
      <c r="Q1418" s="11"/>
      <c r="R1418" s="11"/>
    </row>
    <row r="1419" spans="4:18">
      <c r="D1419" s="1" t="s">
        <v>199</v>
      </c>
      <c r="E1419" s="1" t="s">
        <v>494</v>
      </c>
      <c r="H1419" s="1" t="s">
        <v>22</v>
      </c>
      <c r="I1419" s="1" t="s">
        <v>23</v>
      </c>
      <c r="L1419" s="1">
        <v>1</v>
      </c>
      <c r="M1419" s="1">
        <v>0.3</v>
      </c>
      <c r="N1419" s="1">
        <v>0.3</v>
      </c>
      <c r="O1419" s="11"/>
      <c r="P1419" s="11"/>
      <c r="Q1419" s="11"/>
      <c r="R1419" s="11"/>
    </row>
    <row r="1420" spans="4:18">
      <c r="D1420" s="1" t="s">
        <v>199</v>
      </c>
      <c r="E1420" s="1" t="s">
        <v>495</v>
      </c>
      <c r="H1420" s="1" t="s">
        <v>22</v>
      </c>
      <c r="I1420" s="1" t="s">
        <v>23</v>
      </c>
      <c r="L1420" s="1">
        <v>1</v>
      </c>
      <c r="M1420" s="1">
        <v>0.5</v>
      </c>
      <c r="N1420" s="1">
        <v>0.5</v>
      </c>
      <c r="O1420" s="11"/>
      <c r="P1420" s="11"/>
      <c r="Q1420" s="11"/>
      <c r="R1420" s="11"/>
    </row>
    <row r="1421" spans="4:18">
      <c r="D1421" s="1" t="s">
        <v>199</v>
      </c>
      <c r="E1421" s="1" t="s">
        <v>496</v>
      </c>
      <c r="H1421" s="1" t="s">
        <v>22</v>
      </c>
      <c r="I1421" s="1" t="s">
        <v>23</v>
      </c>
      <c r="L1421" s="1">
        <v>1</v>
      </c>
      <c r="M1421" s="1">
        <v>0.7</v>
      </c>
      <c r="N1421" s="1">
        <v>0.7</v>
      </c>
      <c r="O1421" s="11"/>
      <c r="P1421" s="11"/>
      <c r="Q1421" s="11"/>
      <c r="R1421" s="11"/>
    </row>
    <row r="1422" spans="4:18">
      <c r="D1422" s="1" t="s">
        <v>199</v>
      </c>
      <c r="E1422" s="1" t="s">
        <v>497</v>
      </c>
      <c r="H1422" s="1" t="s">
        <v>22</v>
      </c>
      <c r="I1422" s="1" t="s">
        <v>23</v>
      </c>
      <c r="L1422" s="1">
        <v>1</v>
      </c>
      <c r="M1422" s="1">
        <v>0.9</v>
      </c>
      <c r="N1422" s="1">
        <v>0.9</v>
      </c>
      <c r="O1422" s="11"/>
      <c r="P1422" s="11"/>
      <c r="Q1422" s="11"/>
      <c r="R1422" s="11"/>
    </row>
    <row r="1423" spans="4:18">
      <c r="D1423" s="1" t="s">
        <v>199</v>
      </c>
      <c r="E1423" s="1" t="s">
        <v>498</v>
      </c>
      <c r="H1423" s="1" t="s">
        <v>22</v>
      </c>
      <c r="I1423" s="1" t="s">
        <v>23</v>
      </c>
      <c r="L1423" s="1">
        <v>1</v>
      </c>
      <c r="M1423" s="1">
        <v>1.1000000000000001</v>
      </c>
      <c r="N1423" s="1">
        <v>1.1000000000000001</v>
      </c>
      <c r="O1423" s="11"/>
      <c r="P1423" s="11"/>
      <c r="Q1423" s="11"/>
      <c r="R1423" s="11"/>
    </row>
    <row r="1424" spans="4:18">
      <c r="D1424" s="1" t="s">
        <v>199</v>
      </c>
      <c r="E1424" s="1" t="s">
        <v>499</v>
      </c>
      <c r="H1424" s="1" t="s">
        <v>22</v>
      </c>
      <c r="I1424" s="1" t="s">
        <v>23</v>
      </c>
      <c r="L1424" s="1">
        <v>1</v>
      </c>
      <c r="M1424" s="1">
        <v>1.3</v>
      </c>
      <c r="N1424" s="1">
        <v>1.3</v>
      </c>
      <c r="O1424" s="11"/>
      <c r="P1424" s="11"/>
      <c r="Q1424" s="11"/>
      <c r="R1424" s="11"/>
    </row>
    <row r="1425" spans="4:18">
      <c r="D1425" s="1" t="s">
        <v>199</v>
      </c>
      <c r="E1425" s="1" t="s">
        <v>500</v>
      </c>
      <c r="H1425" s="1" t="s">
        <v>22</v>
      </c>
      <c r="I1425" s="1" t="s">
        <v>23</v>
      </c>
      <c r="L1425" s="1">
        <v>1</v>
      </c>
      <c r="M1425" s="1">
        <v>1.5</v>
      </c>
      <c r="N1425" s="1">
        <v>1.5</v>
      </c>
      <c r="O1425" s="11"/>
      <c r="P1425" s="11"/>
      <c r="Q1425" s="11"/>
      <c r="R1425" s="11"/>
    </row>
    <row r="1426" spans="4:18">
      <c r="D1426" s="1" t="s">
        <v>199</v>
      </c>
      <c r="E1426" s="1" t="s">
        <v>501</v>
      </c>
      <c r="H1426" s="1" t="s">
        <v>22</v>
      </c>
      <c r="I1426" s="1" t="s">
        <v>23</v>
      </c>
      <c r="L1426" s="1">
        <v>1</v>
      </c>
      <c r="M1426" s="1">
        <v>1.7</v>
      </c>
      <c r="N1426" s="1">
        <v>1.7</v>
      </c>
      <c r="O1426" s="11"/>
      <c r="P1426" s="11"/>
      <c r="Q1426" s="11"/>
      <c r="R1426" s="11"/>
    </row>
    <row r="1427" spans="4:18">
      <c r="D1427" s="1" t="s">
        <v>199</v>
      </c>
      <c r="E1427" s="1" t="s">
        <v>502</v>
      </c>
      <c r="H1427" s="1" t="s">
        <v>22</v>
      </c>
      <c r="I1427" s="1" t="s">
        <v>23</v>
      </c>
      <c r="L1427" s="1">
        <v>1</v>
      </c>
      <c r="M1427" s="1">
        <v>0</v>
      </c>
      <c r="N1427" s="1">
        <v>0</v>
      </c>
      <c r="O1427" s="11"/>
      <c r="P1427" s="11"/>
      <c r="Q1427" s="11"/>
      <c r="R1427" s="11"/>
    </row>
    <row r="1428" spans="4:18">
      <c r="D1428" s="1" t="s">
        <v>199</v>
      </c>
      <c r="E1428" s="1" t="s">
        <v>503</v>
      </c>
      <c r="H1428" s="1" t="s">
        <v>22</v>
      </c>
      <c r="I1428" s="1" t="s">
        <v>23</v>
      </c>
      <c r="L1428" s="1">
        <v>1</v>
      </c>
      <c r="M1428" s="1">
        <v>0.2</v>
      </c>
      <c r="N1428" s="1">
        <v>0.2</v>
      </c>
      <c r="O1428" s="11"/>
      <c r="P1428" s="11"/>
      <c r="Q1428" s="11"/>
      <c r="R1428" s="11"/>
    </row>
    <row r="1429" spans="4:18">
      <c r="D1429" s="1" t="s">
        <v>199</v>
      </c>
      <c r="E1429" s="1" t="s">
        <v>504</v>
      </c>
      <c r="H1429" s="1" t="s">
        <v>22</v>
      </c>
      <c r="I1429" s="1" t="s">
        <v>23</v>
      </c>
      <c r="L1429" s="1">
        <v>1</v>
      </c>
      <c r="M1429" s="1">
        <v>0.4</v>
      </c>
      <c r="N1429" s="1">
        <v>0.4</v>
      </c>
      <c r="O1429" s="11"/>
      <c r="P1429" s="11"/>
      <c r="Q1429" s="11"/>
      <c r="R1429" s="11"/>
    </row>
    <row r="1430" spans="4:18">
      <c r="D1430" s="1" t="s">
        <v>199</v>
      </c>
      <c r="E1430" s="1" t="s">
        <v>505</v>
      </c>
      <c r="H1430" s="1" t="s">
        <v>22</v>
      </c>
      <c r="I1430" s="1" t="s">
        <v>23</v>
      </c>
      <c r="L1430" s="1">
        <v>1</v>
      </c>
      <c r="M1430" s="1">
        <v>0.6</v>
      </c>
      <c r="N1430" s="1">
        <v>0.6</v>
      </c>
      <c r="O1430" s="11"/>
      <c r="P1430" s="11"/>
      <c r="Q1430" s="11"/>
      <c r="R1430" s="11"/>
    </row>
    <row r="1431" spans="4:18">
      <c r="D1431" s="1" t="s">
        <v>199</v>
      </c>
      <c r="E1431" s="1" t="s">
        <v>506</v>
      </c>
      <c r="H1431" s="1" t="s">
        <v>22</v>
      </c>
      <c r="I1431" s="1" t="s">
        <v>23</v>
      </c>
      <c r="L1431" s="1">
        <v>1</v>
      </c>
      <c r="M1431" s="1">
        <v>0.8</v>
      </c>
      <c r="N1431" s="1">
        <v>0.8</v>
      </c>
      <c r="O1431" s="11"/>
      <c r="P1431" s="11"/>
      <c r="Q1431" s="11"/>
      <c r="R1431" s="11"/>
    </row>
    <row r="1432" spans="4:18">
      <c r="D1432" s="1" t="s">
        <v>199</v>
      </c>
      <c r="E1432" s="1" t="s">
        <v>507</v>
      </c>
      <c r="H1432" s="1" t="s">
        <v>22</v>
      </c>
      <c r="I1432" s="1" t="s">
        <v>23</v>
      </c>
      <c r="L1432" s="1">
        <v>1</v>
      </c>
      <c r="M1432" s="1">
        <v>1</v>
      </c>
      <c r="N1432" s="1">
        <v>1</v>
      </c>
      <c r="O1432" s="11"/>
      <c r="P1432" s="11"/>
      <c r="Q1432" s="11"/>
      <c r="R1432" s="11"/>
    </row>
    <row r="1433" spans="4:18">
      <c r="D1433" s="1" t="s">
        <v>199</v>
      </c>
      <c r="E1433" s="1" t="s">
        <v>508</v>
      </c>
      <c r="H1433" s="1" t="s">
        <v>22</v>
      </c>
      <c r="I1433" s="1" t="s">
        <v>23</v>
      </c>
      <c r="L1433" s="1">
        <v>1</v>
      </c>
      <c r="M1433" s="1">
        <v>1.2</v>
      </c>
      <c r="N1433" s="1">
        <v>1.2</v>
      </c>
      <c r="O1433" s="11"/>
      <c r="P1433" s="11"/>
      <c r="Q1433" s="11"/>
      <c r="R1433" s="11"/>
    </row>
    <row r="1434" spans="4:18">
      <c r="D1434" s="1" t="s">
        <v>199</v>
      </c>
      <c r="E1434" s="1" t="s">
        <v>509</v>
      </c>
      <c r="H1434" s="1" t="s">
        <v>22</v>
      </c>
      <c r="I1434" s="1" t="s">
        <v>23</v>
      </c>
      <c r="L1434" s="1">
        <v>1</v>
      </c>
      <c r="M1434" s="1">
        <v>1.4</v>
      </c>
      <c r="N1434" s="1">
        <v>1.4</v>
      </c>
      <c r="O1434" s="11"/>
      <c r="P1434" s="11"/>
      <c r="Q1434" s="11"/>
      <c r="R1434" s="11"/>
    </row>
    <row r="1435" spans="4:18">
      <c r="D1435" s="1" t="s">
        <v>199</v>
      </c>
      <c r="E1435" s="1" t="s">
        <v>510</v>
      </c>
      <c r="H1435" s="1" t="s">
        <v>22</v>
      </c>
      <c r="I1435" s="1" t="s">
        <v>23</v>
      </c>
      <c r="L1435" s="1">
        <v>1</v>
      </c>
      <c r="M1435" s="1">
        <v>1.6</v>
      </c>
      <c r="N1435" s="1">
        <v>1.6</v>
      </c>
      <c r="O1435" s="11"/>
      <c r="P1435" s="11"/>
      <c r="Q1435" s="11"/>
      <c r="R1435" s="11"/>
    </row>
    <row r="1436" spans="4:18">
      <c r="D1436" s="1" t="s">
        <v>199</v>
      </c>
      <c r="E1436" s="1" t="s">
        <v>511</v>
      </c>
      <c r="H1436" s="1" t="s">
        <v>22</v>
      </c>
      <c r="I1436" s="1" t="s">
        <v>23</v>
      </c>
      <c r="L1436" s="1">
        <v>1</v>
      </c>
      <c r="M1436" s="1">
        <v>0.1</v>
      </c>
      <c r="N1436" s="1">
        <v>0.1</v>
      </c>
      <c r="O1436" s="11"/>
      <c r="P1436" s="11"/>
      <c r="Q1436" s="11"/>
      <c r="R1436" s="11"/>
    </row>
    <row r="1437" spans="4:18">
      <c r="D1437" s="1" t="s">
        <v>199</v>
      </c>
      <c r="E1437" s="1" t="s">
        <v>512</v>
      </c>
      <c r="H1437" s="1" t="s">
        <v>22</v>
      </c>
      <c r="I1437" s="1" t="s">
        <v>23</v>
      </c>
      <c r="L1437" s="1">
        <v>1</v>
      </c>
      <c r="M1437" s="1">
        <v>0.3</v>
      </c>
      <c r="N1437" s="1">
        <v>0.3</v>
      </c>
      <c r="O1437" s="11"/>
      <c r="P1437" s="11"/>
      <c r="Q1437" s="11"/>
      <c r="R1437" s="11"/>
    </row>
    <row r="1438" spans="4:18">
      <c r="D1438" s="1" t="s">
        <v>199</v>
      </c>
      <c r="E1438" s="1" t="s">
        <v>513</v>
      </c>
      <c r="H1438" s="1" t="s">
        <v>22</v>
      </c>
      <c r="I1438" s="1" t="s">
        <v>23</v>
      </c>
      <c r="L1438" s="1">
        <v>1</v>
      </c>
      <c r="M1438" s="1">
        <v>0.5</v>
      </c>
      <c r="N1438" s="1">
        <v>0.5</v>
      </c>
      <c r="O1438" s="11"/>
      <c r="P1438" s="11"/>
      <c r="Q1438" s="11"/>
      <c r="R1438" s="11"/>
    </row>
    <row r="1439" spans="4:18">
      <c r="D1439" s="1" t="s">
        <v>199</v>
      </c>
      <c r="E1439" s="1" t="s">
        <v>514</v>
      </c>
      <c r="H1439" s="1" t="s">
        <v>22</v>
      </c>
      <c r="I1439" s="1" t="s">
        <v>23</v>
      </c>
      <c r="L1439" s="1">
        <v>1</v>
      </c>
      <c r="M1439" s="1">
        <v>0.7</v>
      </c>
      <c r="N1439" s="1">
        <v>0.7</v>
      </c>
      <c r="O1439" s="11"/>
      <c r="P1439" s="11"/>
      <c r="Q1439" s="11"/>
      <c r="R1439" s="11"/>
    </row>
    <row r="1440" spans="4:18">
      <c r="D1440" s="1" t="s">
        <v>199</v>
      </c>
      <c r="E1440" s="1" t="s">
        <v>515</v>
      </c>
      <c r="H1440" s="1" t="s">
        <v>22</v>
      </c>
      <c r="I1440" s="1" t="s">
        <v>23</v>
      </c>
      <c r="L1440" s="1">
        <v>1</v>
      </c>
      <c r="M1440" s="1">
        <v>0.9</v>
      </c>
      <c r="N1440" s="1">
        <v>0.9</v>
      </c>
      <c r="O1440" s="11"/>
      <c r="P1440" s="11"/>
      <c r="Q1440" s="11"/>
      <c r="R1440" s="11"/>
    </row>
    <row r="1441" spans="4:18">
      <c r="D1441" s="1" t="s">
        <v>199</v>
      </c>
      <c r="E1441" s="1" t="s">
        <v>516</v>
      </c>
      <c r="H1441" s="1" t="s">
        <v>22</v>
      </c>
      <c r="I1441" s="1" t="s">
        <v>23</v>
      </c>
      <c r="L1441" s="1">
        <v>1</v>
      </c>
      <c r="M1441" s="1">
        <v>1.1000000000000001</v>
      </c>
      <c r="N1441" s="1">
        <v>1.1000000000000001</v>
      </c>
      <c r="O1441" s="11"/>
      <c r="P1441" s="11"/>
      <c r="Q1441" s="11"/>
      <c r="R1441" s="11"/>
    </row>
    <row r="1442" spans="4:18">
      <c r="D1442" s="1" t="s">
        <v>199</v>
      </c>
      <c r="E1442" s="1" t="s">
        <v>517</v>
      </c>
      <c r="H1442" s="1" t="s">
        <v>22</v>
      </c>
      <c r="I1442" s="1" t="s">
        <v>23</v>
      </c>
      <c r="L1442" s="1">
        <v>1</v>
      </c>
      <c r="M1442" s="1">
        <v>1.3</v>
      </c>
      <c r="N1442" s="1">
        <v>1.3</v>
      </c>
      <c r="O1442" s="11"/>
      <c r="P1442" s="11"/>
      <c r="Q1442" s="11"/>
      <c r="R1442" s="11"/>
    </row>
    <row r="1443" spans="4:18">
      <c r="D1443" s="1" t="s">
        <v>199</v>
      </c>
      <c r="E1443" s="1" t="s">
        <v>518</v>
      </c>
      <c r="H1443" s="1" t="s">
        <v>22</v>
      </c>
      <c r="I1443" s="1" t="s">
        <v>23</v>
      </c>
      <c r="L1443" s="1">
        <v>1</v>
      </c>
      <c r="M1443" s="1">
        <v>1.5</v>
      </c>
      <c r="N1443" s="1">
        <v>1.5</v>
      </c>
      <c r="O1443" s="11"/>
      <c r="P1443" s="11"/>
      <c r="Q1443" s="11"/>
      <c r="R1443" s="11"/>
    </row>
    <row r="1444" spans="4:18">
      <c r="D1444" s="1" t="s">
        <v>199</v>
      </c>
      <c r="E1444" s="1" t="s">
        <v>519</v>
      </c>
      <c r="H1444" s="1" t="s">
        <v>22</v>
      </c>
      <c r="I1444" s="1" t="s">
        <v>23</v>
      </c>
      <c r="L1444" s="1">
        <v>1</v>
      </c>
      <c r="M1444" s="1">
        <v>1.7</v>
      </c>
      <c r="N1444" s="1">
        <v>1.7</v>
      </c>
      <c r="O1444" s="11"/>
      <c r="P1444" s="11"/>
      <c r="Q1444" s="11"/>
      <c r="R1444" s="11"/>
    </row>
    <row r="1445" spans="4:18">
      <c r="D1445" s="1" t="s">
        <v>199</v>
      </c>
      <c r="E1445" s="1" t="s">
        <v>520</v>
      </c>
      <c r="H1445" s="1" t="s">
        <v>22</v>
      </c>
      <c r="I1445" s="1" t="s">
        <v>23</v>
      </c>
      <c r="L1445" s="1">
        <v>1</v>
      </c>
      <c r="M1445" s="1">
        <v>0</v>
      </c>
      <c r="N1445" s="1">
        <v>0</v>
      </c>
      <c r="O1445" s="11"/>
      <c r="P1445" s="11"/>
      <c r="Q1445" s="11"/>
      <c r="R1445" s="11"/>
    </row>
    <row r="1446" spans="4:18">
      <c r="D1446" s="1" t="s">
        <v>199</v>
      </c>
      <c r="E1446" s="1" t="s">
        <v>521</v>
      </c>
      <c r="H1446" s="1" t="s">
        <v>22</v>
      </c>
      <c r="I1446" s="1" t="s">
        <v>23</v>
      </c>
      <c r="L1446" s="1">
        <v>1</v>
      </c>
      <c r="M1446" s="1">
        <v>0.2</v>
      </c>
      <c r="N1446" s="1">
        <v>0.2</v>
      </c>
      <c r="O1446" s="11"/>
      <c r="P1446" s="11"/>
      <c r="Q1446" s="11"/>
      <c r="R1446" s="11"/>
    </row>
    <row r="1447" spans="4:18">
      <c r="D1447" s="1" t="s">
        <v>199</v>
      </c>
      <c r="E1447" s="1" t="s">
        <v>522</v>
      </c>
      <c r="H1447" s="1" t="s">
        <v>22</v>
      </c>
      <c r="I1447" s="1" t="s">
        <v>23</v>
      </c>
      <c r="L1447" s="1">
        <v>1</v>
      </c>
      <c r="M1447" s="1">
        <v>0.4</v>
      </c>
      <c r="N1447" s="1">
        <v>0.4</v>
      </c>
      <c r="O1447" s="11"/>
      <c r="P1447" s="11"/>
      <c r="Q1447" s="11"/>
      <c r="R1447" s="11"/>
    </row>
    <row r="1448" spans="4:18">
      <c r="D1448" s="1" t="s">
        <v>199</v>
      </c>
      <c r="E1448" s="1" t="s">
        <v>523</v>
      </c>
      <c r="H1448" s="1" t="s">
        <v>22</v>
      </c>
      <c r="I1448" s="1" t="s">
        <v>23</v>
      </c>
      <c r="L1448" s="1">
        <v>1</v>
      </c>
      <c r="M1448" s="1">
        <v>0.6</v>
      </c>
      <c r="N1448" s="1">
        <v>0.6</v>
      </c>
      <c r="O1448" s="11"/>
      <c r="P1448" s="11"/>
      <c r="Q1448" s="11"/>
      <c r="R1448" s="11"/>
    </row>
    <row r="1449" spans="4:18">
      <c r="D1449" s="1" t="s">
        <v>199</v>
      </c>
      <c r="E1449" s="1" t="s">
        <v>524</v>
      </c>
      <c r="H1449" s="1" t="s">
        <v>22</v>
      </c>
      <c r="I1449" s="1" t="s">
        <v>23</v>
      </c>
      <c r="L1449" s="1">
        <v>1</v>
      </c>
      <c r="M1449" s="1">
        <v>0.8</v>
      </c>
      <c r="N1449" s="1">
        <v>0.8</v>
      </c>
      <c r="O1449" s="11"/>
      <c r="P1449" s="11"/>
      <c r="Q1449" s="11"/>
      <c r="R1449" s="11"/>
    </row>
    <row r="1450" spans="4:18">
      <c r="D1450" s="1" t="s">
        <v>199</v>
      </c>
      <c r="E1450" s="1" t="s">
        <v>525</v>
      </c>
      <c r="H1450" s="1" t="s">
        <v>22</v>
      </c>
      <c r="I1450" s="1" t="s">
        <v>23</v>
      </c>
      <c r="L1450" s="1">
        <v>1</v>
      </c>
      <c r="M1450" s="1">
        <v>1</v>
      </c>
      <c r="N1450" s="1">
        <v>1</v>
      </c>
      <c r="O1450" s="11"/>
      <c r="P1450" s="11"/>
      <c r="Q1450" s="11"/>
      <c r="R1450" s="11"/>
    </row>
    <row r="1451" spans="4:18">
      <c r="D1451" s="1" t="s">
        <v>199</v>
      </c>
      <c r="E1451" s="1" t="s">
        <v>526</v>
      </c>
      <c r="H1451" s="1" t="s">
        <v>22</v>
      </c>
      <c r="I1451" s="1" t="s">
        <v>23</v>
      </c>
      <c r="L1451" s="1">
        <v>1</v>
      </c>
      <c r="M1451" s="1">
        <v>1.2</v>
      </c>
      <c r="N1451" s="1">
        <v>1.2</v>
      </c>
      <c r="O1451" s="11"/>
      <c r="P1451" s="11"/>
      <c r="Q1451" s="11"/>
      <c r="R1451" s="11"/>
    </row>
    <row r="1452" spans="4:18">
      <c r="D1452" s="1" t="s">
        <v>199</v>
      </c>
      <c r="E1452" s="1" t="s">
        <v>527</v>
      </c>
      <c r="H1452" s="1" t="s">
        <v>22</v>
      </c>
      <c r="I1452" s="1" t="s">
        <v>23</v>
      </c>
      <c r="L1452" s="1">
        <v>1</v>
      </c>
      <c r="M1452" s="1">
        <v>1.4</v>
      </c>
      <c r="N1452" s="1">
        <v>1.4</v>
      </c>
      <c r="O1452" s="11"/>
      <c r="P1452" s="11"/>
      <c r="Q1452" s="11"/>
      <c r="R1452" s="11"/>
    </row>
    <row r="1453" spans="4:18">
      <c r="D1453" s="1" t="s">
        <v>199</v>
      </c>
      <c r="E1453" s="1" t="s">
        <v>528</v>
      </c>
      <c r="H1453" s="1" t="s">
        <v>22</v>
      </c>
      <c r="I1453" s="1" t="s">
        <v>23</v>
      </c>
      <c r="L1453" s="1">
        <v>1</v>
      </c>
      <c r="M1453" s="1">
        <v>1.6</v>
      </c>
      <c r="N1453" s="1">
        <v>1.6</v>
      </c>
      <c r="O1453" s="11"/>
      <c r="P1453" s="11"/>
      <c r="Q1453" s="11"/>
      <c r="R1453" s="11"/>
    </row>
    <row r="1454" spans="4:18">
      <c r="D1454" s="1" t="s">
        <v>199</v>
      </c>
      <c r="E1454" s="1" t="s">
        <v>529</v>
      </c>
      <c r="H1454" s="1" t="s">
        <v>22</v>
      </c>
      <c r="I1454" s="1" t="s">
        <v>23</v>
      </c>
      <c r="L1454" s="1">
        <v>1</v>
      </c>
      <c r="M1454" s="1">
        <v>0.1</v>
      </c>
      <c r="N1454" s="1">
        <v>0.1</v>
      </c>
      <c r="O1454" s="11"/>
      <c r="P1454" s="11"/>
      <c r="Q1454" s="11"/>
      <c r="R1454" s="11"/>
    </row>
    <row r="1455" spans="4:18">
      <c r="D1455" s="1" t="s">
        <v>199</v>
      </c>
      <c r="E1455" s="1" t="s">
        <v>530</v>
      </c>
      <c r="H1455" s="1" t="s">
        <v>22</v>
      </c>
      <c r="I1455" s="1" t="s">
        <v>23</v>
      </c>
      <c r="L1455" s="1">
        <v>1</v>
      </c>
      <c r="M1455" s="1">
        <v>0.3</v>
      </c>
      <c r="N1455" s="1">
        <v>0.3</v>
      </c>
      <c r="O1455" s="11"/>
      <c r="P1455" s="11"/>
      <c r="Q1455" s="11"/>
      <c r="R1455" s="11"/>
    </row>
    <row r="1456" spans="4:18">
      <c r="D1456" s="1" t="s">
        <v>199</v>
      </c>
      <c r="E1456" s="1" t="s">
        <v>531</v>
      </c>
      <c r="H1456" s="1" t="s">
        <v>22</v>
      </c>
      <c r="I1456" s="1" t="s">
        <v>23</v>
      </c>
      <c r="L1456" s="1">
        <v>1</v>
      </c>
      <c r="M1456" s="1">
        <v>0.5</v>
      </c>
      <c r="N1456" s="1">
        <v>0.5</v>
      </c>
      <c r="O1456" s="11"/>
      <c r="P1456" s="11"/>
      <c r="Q1456" s="11"/>
      <c r="R1456" s="11"/>
    </row>
    <row r="1457" spans="4:18">
      <c r="D1457" s="1" t="s">
        <v>199</v>
      </c>
      <c r="E1457" s="1" t="s">
        <v>532</v>
      </c>
      <c r="H1457" s="1" t="s">
        <v>22</v>
      </c>
      <c r="I1457" s="1" t="s">
        <v>23</v>
      </c>
      <c r="L1457" s="1">
        <v>1</v>
      </c>
      <c r="M1457" s="1">
        <v>0.7</v>
      </c>
      <c r="N1457" s="1">
        <v>0.7</v>
      </c>
      <c r="O1457" s="11"/>
      <c r="P1457" s="11"/>
      <c r="Q1457" s="11"/>
      <c r="R1457" s="11"/>
    </row>
    <row r="1458" spans="4:18">
      <c r="D1458" s="1" t="s">
        <v>199</v>
      </c>
      <c r="E1458" s="1" t="s">
        <v>533</v>
      </c>
      <c r="H1458" s="1" t="s">
        <v>22</v>
      </c>
      <c r="I1458" s="1" t="s">
        <v>23</v>
      </c>
      <c r="L1458" s="1">
        <v>1</v>
      </c>
      <c r="M1458" s="1">
        <v>0.9</v>
      </c>
      <c r="N1458" s="1">
        <v>0.9</v>
      </c>
      <c r="O1458" s="11"/>
      <c r="P1458" s="11"/>
      <c r="Q1458" s="11"/>
      <c r="R1458" s="11"/>
    </row>
    <row r="1459" spans="4:18">
      <c r="D1459" s="1" t="s">
        <v>199</v>
      </c>
      <c r="E1459" s="1" t="s">
        <v>534</v>
      </c>
      <c r="H1459" s="1" t="s">
        <v>22</v>
      </c>
      <c r="I1459" s="1" t="s">
        <v>23</v>
      </c>
      <c r="L1459" s="1">
        <v>1</v>
      </c>
      <c r="M1459" s="1">
        <v>1.1000000000000001</v>
      </c>
      <c r="N1459" s="1">
        <v>1.1000000000000001</v>
      </c>
      <c r="O1459" s="11"/>
      <c r="P1459" s="11"/>
      <c r="Q1459" s="11"/>
      <c r="R1459" s="11"/>
    </row>
    <row r="1460" spans="4:18">
      <c r="D1460" s="1" t="s">
        <v>199</v>
      </c>
      <c r="E1460" s="1" t="s">
        <v>535</v>
      </c>
      <c r="H1460" s="1" t="s">
        <v>22</v>
      </c>
      <c r="I1460" s="1" t="s">
        <v>23</v>
      </c>
      <c r="L1460" s="1">
        <v>1</v>
      </c>
      <c r="M1460" s="1">
        <v>1.3</v>
      </c>
      <c r="N1460" s="1">
        <v>1.3</v>
      </c>
      <c r="O1460" s="11"/>
      <c r="P1460" s="11"/>
      <c r="Q1460" s="11"/>
      <c r="R1460" s="11"/>
    </row>
    <row r="1461" spans="4:18">
      <c r="D1461" s="1" t="s">
        <v>199</v>
      </c>
      <c r="E1461" s="1" t="s">
        <v>536</v>
      </c>
      <c r="H1461" s="1" t="s">
        <v>22</v>
      </c>
      <c r="I1461" s="1" t="s">
        <v>23</v>
      </c>
      <c r="L1461" s="1">
        <v>1</v>
      </c>
      <c r="M1461" s="1">
        <v>1.5</v>
      </c>
      <c r="N1461" s="1">
        <v>1.5</v>
      </c>
      <c r="O1461" s="11"/>
      <c r="P1461" s="11"/>
      <c r="Q1461" s="11"/>
      <c r="R1461" s="11"/>
    </row>
    <row r="1462" spans="4:18">
      <c r="D1462" s="1" t="s">
        <v>199</v>
      </c>
      <c r="E1462" s="1" t="s">
        <v>537</v>
      </c>
      <c r="H1462" s="1" t="s">
        <v>22</v>
      </c>
      <c r="I1462" s="1" t="s">
        <v>23</v>
      </c>
      <c r="L1462" s="1">
        <v>1</v>
      </c>
      <c r="M1462" s="1">
        <v>1.7</v>
      </c>
      <c r="N1462" s="1">
        <v>1.7</v>
      </c>
      <c r="O1462" s="11"/>
      <c r="P1462" s="11"/>
      <c r="Q1462" s="11"/>
      <c r="R1462" s="11"/>
    </row>
    <row r="1463" spans="4:18">
      <c r="D1463" s="1" t="s">
        <v>199</v>
      </c>
      <c r="E1463" s="1" t="s">
        <v>538</v>
      </c>
      <c r="H1463" s="1" t="s">
        <v>22</v>
      </c>
      <c r="I1463" s="1" t="s">
        <v>23</v>
      </c>
      <c r="L1463" s="1">
        <v>1</v>
      </c>
      <c r="M1463" s="1">
        <v>0</v>
      </c>
      <c r="N1463" s="1">
        <v>0</v>
      </c>
      <c r="O1463" s="11"/>
      <c r="P1463" s="11"/>
      <c r="Q1463" s="11"/>
      <c r="R1463" s="11"/>
    </row>
    <row r="1464" spans="4:18">
      <c r="D1464" s="1" t="s">
        <v>199</v>
      </c>
      <c r="E1464" s="1" t="s">
        <v>539</v>
      </c>
      <c r="H1464" s="1" t="s">
        <v>22</v>
      </c>
      <c r="I1464" s="1" t="s">
        <v>23</v>
      </c>
      <c r="L1464" s="1">
        <v>1</v>
      </c>
      <c r="M1464" s="1">
        <v>0.2</v>
      </c>
      <c r="N1464" s="1">
        <v>0.2</v>
      </c>
      <c r="O1464" s="11"/>
      <c r="P1464" s="11"/>
      <c r="Q1464" s="11"/>
      <c r="R1464" s="11"/>
    </row>
    <row r="1465" spans="4:18">
      <c r="D1465" s="1" t="s">
        <v>199</v>
      </c>
      <c r="E1465" s="1" t="s">
        <v>540</v>
      </c>
      <c r="H1465" s="1" t="s">
        <v>22</v>
      </c>
      <c r="I1465" s="1" t="s">
        <v>23</v>
      </c>
      <c r="L1465" s="1">
        <v>1</v>
      </c>
      <c r="M1465" s="1">
        <v>0.4</v>
      </c>
      <c r="N1465" s="1">
        <v>0.4</v>
      </c>
      <c r="O1465" s="11"/>
      <c r="P1465" s="11"/>
      <c r="Q1465" s="11"/>
      <c r="R1465" s="11"/>
    </row>
    <row r="1466" spans="4:18">
      <c r="D1466" s="1" t="s">
        <v>199</v>
      </c>
      <c r="E1466" s="1" t="s">
        <v>541</v>
      </c>
      <c r="H1466" s="1" t="s">
        <v>22</v>
      </c>
      <c r="I1466" s="1" t="s">
        <v>23</v>
      </c>
      <c r="L1466" s="1">
        <v>1</v>
      </c>
      <c r="M1466" s="1">
        <v>0.6</v>
      </c>
      <c r="N1466" s="1">
        <v>0.6</v>
      </c>
      <c r="O1466" s="11"/>
      <c r="P1466" s="11"/>
      <c r="Q1466" s="11"/>
      <c r="R1466" s="11"/>
    </row>
    <row r="1467" spans="4:18">
      <c r="D1467" s="1" t="s">
        <v>199</v>
      </c>
      <c r="E1467" s="1" t="s">
        <v>542</v>
      </c>
      <c r="H1467" s="1" t="s">
        <v>22</v>
      </c>
      <c r="I1467" s="1" t="s">
        <v>23</v>
      </c>
      <c r="L1467" s="1">
        <v>1</v>
      </c>
      <c r="M1467" s="1">
        <v>0.8</v>
      </c>
      <c r="N1467" s="1">
        <v>0.8</v>
      </c>
      <c r="O1467" s="11"/>
      <c r="P1467" s="11"/>
      <c r="Q1467" s="11"/>
      <c r="R1467" s="11"/>
    </row>
    <row r="1468" spans="4:18">
      <c r="D1468" s="1" t="s">
        <v>199</v>
      </c>
      <c r="E1468" s="1" t="s">
        <v>543</v>
      </c>
      <c r="H1468" s="1" t="s">
        <v>22</v>
      </c>
      <c r="I1468" s="1" t="s">
        <v>23</v>
      </c>
      <c r="L1468" s="1">
        <v>1</v>
      </c>
      <c r="M1468" s="1">
        <v>1</v>
      </c>
      <c r="N1468" s="1">
        <v>1</v>
      </c>
      <c r="O1468" s="11"/>
      <c r="P1468" s="11"/>
      <c r="Q1468" s="11"/>
      <c r="R1468" s="11"/>
    </row>
    <row r="1469" spans="4:18">
      <c r="D1469" s="1" t="s">
        <v>199</v>
      </c>
      <c r="E1469" s="1" t="s">
        <v>544</v>
      </c>
      <c r="H1469" s="1" t="s">
        <v>22</v>
      </c>
      <c r="I1469" s="1" t="s">
        <v>23</v>
      </c>
      <c r="L1469" s="1">
        <v>1</v>
      </c>
      <c r="M1469" s="1">
        <v>1.2</v>
      </c>
      <c r="N1469" s="1">
        <v>1.2</v>
      </c>
      <c r="O1469" s="11"/>
      <c r="P1469" s="11"/>
      <c r="Q1469" s="11"/>
      <c r="R1469" s="11"/>
    </row>
    <row r="1470" spans="4:18">
      <c r="D1470" s="1" t="s">
        <v>199</v>
      </c>
      <c r="E1470" s="1" t="s">
        <v>545</v>
      </c>
      <c r="H1470" s="1" t="s">
        <v>22</v>
      </c>
      <c r="I1470" s="1" t="s">
        <v>23</v>
      </c>
      <c r="L1470" s="1">
        <v>1</v>
      </c>
      <c r="M1470" s="1">
        <v>1.4</v>
      </c>
      <c r="N1470" s="1">
        <v>1.4</v>
      </c>
      <c r="O1470" s="11"/>
      <c r="P1470" s="11"/>
      <c r="Q1470" s="11"/>
      <c r="R1470" s="11"/>
    </row>
    <row r="1471" spans="4:18">
      <c r="D1471" s="1" t="s">
        <v>199</v>
      </c>
      <c r="E1471" s="1" t="s">
        <v>546</v>
      </c>
      <c r="H1471" s="1" t="s">
        <v>22</v>
      </c>
      <c r="I1471" s="1" t="s">
        <v>23</v>
      </c>
      <c r="L1471" s="1">
        <v>1</v>
      </c>
      <c r="M1471" s="1">
        <v>1.6</v>
      </c>
      <c r="N1471" s="1">
        <v>1.6</v>
      </c>
      <c r="O1471" s="11"/>
      <c r="P1471" s="11"/>
      <c r="Q1471" s="11"/>
      <c r="R1471" s="11"/>
    </row>
    <row r="1472" spans="4:18">
      <c r="D1472" s="1" t="s">
        <v>199</v>
      </c>
      <c r="E1472" s="1" t="s">
        <v>547</v>
      </c>
      <c r="H1472" s="1" t="s">
        <v>22</v>
      </c>
      <c r="I1472" s="1" t="s">
        <v>23</v>
      </c>
      <c r="L1472" s="1">
        <v>1</v>
      </c>
      <c r="M1472" s="1">
        <v>0.1</v>
      </c>
      <c r="N1472" s="1">
        <v>0.1</v>
      </c>
      <c r="O1472" s="11"/>
      <c r="P1472" s="11"/>
      <c r="Q1472" s="11"/>
      <c r="R1472" s="11"/>
    </row>
    <row r="1473" spans="4:18">
      <c r="D1473" s="1" t="s">
        <v>199</v>
      </c>
      <c r="E1473" s="1" t="s">
        <v>548</v>
      </c>
      <c r="H1473" s="1" t="s">
        <v>22</v>
      </c>
      <c r="I1473" s="1" t="s">
        <v>23</v>
      </c>
      <c r="L1473" s="1">
        <v>1</v>
      </c>
      <c r="M1473" s="1">
        <v>0.3</v>
      </c>
      <c r="N1473" s="1">
        <v>0.3</v>
      </c>
      <c r="O1473" s="11"/>
      <c r="P1473" s="11"/>
      <c r="Q1473" s="11"/>
      <c r="R1473" s="11"/>
    </row>
    <row r="1474" spans="4:18">
      <c r="D1474" s="1" t="s">
        <v>199</v>
      </c>
      <c r="E1474" s="1" t="s">
        <v>549</v>
      </c>
      <c r="H1474" s="1" t="s">
        <v>22</v>
      </c>
      <c r="I1474" s="1" t="s">
        <v>23</v>
      </c>
      <c r="L1474" s="1">
        <v>1</v>
      </c>
      <c r="M1474" s="1">
        <v>0.5</v>
      </c>
      <c r="N1474" s="1">
        <v>0.5</v>
      </c>
      <c r="O1474" s="11"/>
      <c r="P1474" s="11"/>
      <c r="Q1474" s="11"/>
      <c r="R1474" s="11"/>
    </row>
    <row r="1475" spans="4:18">
      <c r="D1475" s="1" t="s">
        <v>199</v>
      </c>
      <c r="E1475" s="1" t="s">
        <v>550</v>
      </c>
      <c r="H1475" s="1" t="s">
        <v>22</v>
      </c>
      <c r="I1475" s="1" t="s">
        <v>23</v>
      </c>
      <c r="L1475" s="1">
        <v>1</v>
      </c>
      <c r="M1475" s="1">
        <v>0.7</v>
      </c>
      <c r="N1475" s="1">
        <v>0.7</v>
      </c>
      <c r="O1475" s="11"/>
      <c r="P1475" s="11"/>
      <c r="Q1475" s="11"/>
      <c r="R1475" s="11"/>
    </row>
    <row r="1476" spans="4:18">
      <c r="D1476" s="1" t="s">
        <v>199</v>
      </c>
      <c r="E1476" s="1" t="s">
        <v>551</v>
      </c>
      <c r="H1476" s="1" t="s">
        <v>22</v>
      </c>
      <c r="I1476" s="1" t="s">
        <v>23</v>
      </c>
      <c r="L1476" s="1">
        <v>1</v>
      </c>
      <c r="M1476" s="1">
        <v>0.9</v>
      </c>
      <c r="N1476" s="1">
        <v>0.9</v>
      </c>
      <c r="O1476" s="11"/>
      <c r="P1476" s="11"/>
      <c r="Q1476" s="11"/>
      <c r="R1476" s="11"/>
    </row>
    <row r="1477" spans="4:18">
      <c r="D1477" s="1" t="s">
        <v>199</v>
      </c>
      <c r="E1477" s="1" t="s">
        <v>552</v>
      </c>
      <c r="H1477" s="1" t="s">
        <v>22</v>
      </c>
      <c r="I1477" s="1" t="s">
        <v>23</v>
      </c>
      <c r="L1477" s="1">
        <v>1</v>
      </c>
      <c r="M1477" s="1">
        <v>1.1000000000000001</v>
      </c>
      <c r="N1477" s="1">
        <v>1.1000000000000001</v>
      </c>
      <c r="O1477" s="11"/>
      <c r="P1477" s="11"/>
      <c r="Q1477" s="11"/>
      <c r="R1477" s="11"/>
    </row>
    <row r="1478" spans="4:18">
      <c r="D1478" s="1" t="s">
        <v>199</v>
      </c>
      <c r="E1478" s="1" t="s">
        <v>553</v>
      </c>
      <c r="H1478" s="1" t="s">
        <v>22</v>
      </c>
      <c r="I1478" s="1" t="s">
        <v>23</v>
      </c>
      <c r="L1478" s="1">
        <v>1</v>
      </c>
      <c r="M1478" s="1">
        <v>1.3</v>
      </c>
      <c r="N1478" s="1">
        <v>1.3</v>
      </c>
      <c r="O1478" s="11"/>
      <c r="P1478" s="11"/>
      <c r="Q1478" s="11"/>
      <c r="R1478" s="11"/>
    </row>
    <row r="1479" spans="4:18">
      <c r="D1479" s="1" t="s">
        <v>199</v>
      </c>
      <c r="E1479" s="1" t="s">
        <v>554</v>
      </c>
      <c r="H1479" s="1" t="s">
        <v>22</v>
      </c>
      <c r="I1479" s="1" t="s">
        <v>23</v>
      </c>
      <c r="L1479" s="1">
        <v>1</v>
      </c>
      <c r="M1479" s="1">
        <v>1.5</v>
      </c>
      <c r="N1479" s="1">
        <v>1.5</v>
      </c>
      <c r="O1479" s="11"/>
      <c r="P1479" s="11"/>
      <c r="Q1479" s="11"/>
      <c r="R1479" s="11"/>
    </row>
    <row r="1480" spans="4:18">
      <c r="D1480" s="1" t="s">
        <v>199</v>
      </c>
      <c r="E1480" s="1" t="s">
        <v>555</v>
      </c>
      <c r="H1480" s="1" t="s">
        <v>22</v>
      </c>
      <c r="I1480" s="1" t="s">
        <v>23</v>
      </c>
      <c r="L1480" s="1">
        <v>1</v>
      </c>
      <c r="M1480" s="1">
        <v>1.7</v>
      </c>
      <c r="N1480" s="1">
        <v>1.7</v>
      </c>
      <c r="O1480" s="11"/>
      <c r="P1480" s="11"/>
      <c r="Q1480" s="11"/>
      <c r="R1480" s="11"/>
    </row>
    <row r="1481" spans="4:18">
      <c r="D1481" s="1" t="s">
        <v>199</v>
      </c>
      <c r="E1481" s="1" t="s">
        <v>556</v>
      </c>
      <c r="H1481" s="1" t="s">
        <v>22</v>
      </c>
      <c r="I1481" s="1" t="s">
        <v>23</v>
      </c>
      <c r="L1481" s="1">
        <v>1</v>
      </c>
      <c r="M1481" s="1">
        <v>0</v>
      </c>
      <c r="N1481" s="1">
        <v>0</v>
      </c>
      <c r="O1481" s="11"/>
      <c r="P1481" s="11"/>
      <c r="Q1481" s="11"/>
      <c r="R1481" s="11"/>
    </row>
    <row r="1482" spans="4:18">
      <c r="D1482" s="1" t="s">
        <v>199</v>
      </c>
      <c r="E1482" s="1" t="s">
        <v>557</v>
      </c>
      <c r="H1482" s="1" t="s">
        <v>22</v>
      </c>
      <c r="I1482" s="1" t="s">
        <v>23</v>
      </c>
      <c r="L1482" s="1">
        <v>1</v>
      </c>
      <c r="M1482" s="1">
        <v>0.2</v>
      </c>
      <c r="N1482" s="1">
        <v>0.2</v>
      </c>
      <c r="O1482" s="11"/>
      <c r="P1482" s="11"/>
      <c r="Q1482" s="11"/>
      <c r="R1482" s="11"/>
    </row>
    <row r="1483" spans="4:18">
      <c r="D1483" s="1" t="s">
        <v>199</v>
      </c>
      <c r="E1483" s="1" t="s">
        <v>558</v>
      </c>
      <c r="H1483" s="1" t="s">
        <v>22</v>
      </c>
      <c r="I1483" s="1" t="s">
        <v>23</v>
      </c>
      <c r="L1483" s="1">
        <v>1</v>
      </c>
      <c r="M1483" s="1">
        <v>0.4</v>
      </c>
      <c r="N1483" s="1">
        <v>0.4</v>
      </c>
      <c r="O1483" s="11"/>
      <c r="P1483" s="11"/>
      <c r="Q1483" s="11"/>
      <c r="R1483" s="11"/>
    </row>
    <row r="1484" spans="4:18">
      <c r="D1484" s="1" t="s">
        <v>199</v>
      </c>
      <c r="E1484" s="1" t="s">
        <v>559</v>
      </c>
      <c r="H1484" s="1" t="s">
        <v>22</v>
      </c>
      <c r="I1484" s="1" t="s">
        <v>23</v>
      </c>
      <c r="L1484" s="1">
        <v>1</v>
      </c>
      <c r="M1484" s="1">
        <v>0.6</v>
      </c>
      <c r="N1484" s="1">
        <v>0.6</v>
      </c>
      <c r="O1484" s="11"/>
      <c r="P1484" s="11"/>
      <c r="Q1484" s="11"/>
      <c r="R1484" s="11"/>
    </row>
    <row r="1485" spans="4:18">
      <c r="D1485" s="1" t="s">
        <v>199</v>
      </c>
      <c r="E1485" s="1" t="s">
        <v>560</v>
      </c>
      <c r="H1485" s="1" t="s">
        <v>22</v>
      </c>
      <c r="I1485" s="1" t="s">
        <v>23</v>
      </c>
      <c r="L1485" s="1">
        <v>1</v>
      </c>
      <c r="M1485" s="1">
        <v>0.8</v>
      </c>
      <c r="N1485" s="1">
        <v>0.8</v>
      </c>
      <c r="O1485" s="11"/>
      <c r="P1485" s="11"/>
      <c r="Q1485" s="11"/>
      <c r="R1485" s="11"/>
    </row>
    <row r="1486" spans="4:18">
      <c r="D1486" s="1" t="s">
        <v>199</v>
      </c>
      <c r="E1486" s="1" t="s">
        <v>561</v>
      </c>
      <c r="H1486" s="1" t="s">
        <v>22</v>
      </c>
      <c r="I1486" s="1" t="s">
        <v>23</v>
      </c>
      <c r="L1486" s="1">
        <v>1</v>
      </c>
      <c r="M1486" s="1">
        <v>1</v>
      </c>
      <c r="N1486" s="1">
        <v>1</v>
      </c>
      <c r="O1486" s="11"/>
      <c r="P1486" s="11"/>
      <c r="Q1486" s="11"/>
      <c r="R1486" s="11"/>
    </row>
    <row r="1487" spans="4:18">
      <c r="D1487" s="1" t="s">
        <v>199</v>
      </c>
      <c r="E1487" s="1" t="s">
        <v>562</v>
      </c>
      <c r="H1487" s="1" t="s">
        <v>22</v>
      </c>
      <c r="I1487" s="1" t="s">
        <v>23</v>
      </c>
      <c r="L1487" s="1">
        <v>1</v>
      </c>
      <c r="M1487" s="1">
        <v>1.2</v>
      </c>
      <c r="N1487" s="1">
        <v>1.2</v>
      </c>
      <c r="O1487" s="11"/>
      <c r="P1487" s="11"/>
      <c r="Q1487" s="11"/>
      <c r="R1487" s="11"/>
    </row>
    <row r="1488" spans="4:18">
      <c r="D1488" s="1" t="s">
        <v>199</v>
      </c>
      <c r="E1488" s="1" t="s">
        <v>563</v>
      </c>
      <c r="H1488" s="1" t="s">
        <v>22</v>
      </c>
      <c r="I1488" s="1" t="s">
        <v>23</v>
      </c>
      <c r="L1488" s="1">
        <v>1</v>
      </c>
      <c r="M1488" s="1">
        <v>1.4</v>
      </c>
      <c r="N1488" s="1">
        <v>1.4</v>
      </c>
      <c r="O1488" s="11"/>
      <c r="P1488" s="11"/>
      <c r="Q1488" s="11"/>
      <c r="R1488" s="11"/>
    </row>
    <row r="1489" spans="4:18">
      <c r="D1489" s="1" t="s">
        <v>199</v>
      </c>
      <c r="E1489" s="1" t="s">
        <v>564</v>
      </c>
      <c r="H1489" s="1" t="s">
        <v>22</v>
      </c>
      <c r="I1489" s="1" t="s">
        <v>23</v>
      </c>
      <c r="L1489" s="1">
        <v>1</v>
      </c>
      <c r="M1489" s="1">
        <v>1.6</v>
      </c>
      <c r="N1489" s="1">
        <v>1.6</v>
      </c>
      <c r="O1489" s="11"/>
      <c r="P1489" s="11"/>
      <c r="Q1489" s="11"/>
      <c r="R1489" s="11"/>
    </row>
    <row r="1490" spans="4:18">
      <c r="D1490" s="1" t="s">
        <v>199</v>
      </c>
      <c r="E1490" s="1" t="s">
        <v>565</v>
      </c>
      <c r="H1490" s="1" t="s">
        <v>22</v>
      </c>
      <c r="I1490" s="1" t="s">
        <v>23</v>
      </c>
      <c r="L1490" s="1">
        <v>1</v>
      </c>
      <c r="M1490" s="1">
        <v>0.1</v>
      </c>
      <c r="N1490" s="1">
        <v>0.1</v>
      </c>
      <c r="O1490" s="11"/>
      <c r="P1490" s="11"/>
      <c r="Q1490" s="11"/>
      <c r="R1490" s="11"/>
    </row>
    <row r="1491" spans="4:18">
      <c r="D1491" s="1" t="s">
        <v>199</v>
      </c>
      <c r="E1491" s="1" t="s">
        <v>566</v>
      </c>
      <c r="H1491" s="1" t="s">
        <v>22</v>
      </c>
      <c r="I1491" s="1" t="s">
        <v>23</v>
      </c>
      <c r="L1491" s="1">
        <v>1</v>
      </c>
      <c r="M1491" s="1">
        <v>0.3</v>
      </c>
      <c r="N1491" s="1">
        <v>0.3</v>
      </c>
      <c r="O1491" s="11"/>
      <c r="P1491" s="11"/>
      <c r="Q1491" s="11"/>
      <c r="R1491" s="11"/>
    </row>
    <row r="1492" spans="4:18">
      <c r="D1492" s="1" t="s">
        <v>199</v>
      </c>
      <c r="E1492" s="1" t="s">
        <v>567</v>
      </c>
      <c r="H1492" s="1" t="s">
        <v>22</v>
      </c>
      <c r="I1492" s="1" t="s">
        <v>23</v>
      </c>
      <c r="L1492" s="1">
        <v>1</v>
      </c>
      <c r="M1492" s="1">
        <v>0.5</v>
      </c>
      <c r="N1492" s="1">
        <v>0.5</v>
      </c>
      <c r="O1492" s="11"/>
      <c r="P1492" s="11"/>
      <c r="Q1492" s="11"/>
      <c r="R1492" s="11"/>
    </row>
    <row r="1493" spans="4:18">
      <c r="D1493" s="1" t="s">
        <v>199</v>
      </c>
      <c r="E1493" s="1" t="s">
        <v>568</v>
      </c>
      <c r="H1493" s="1" t="s">
        <v>22</v>
      </c>
      <c r="I1493" s="1" t="s">
        <v>23</v>
      </c>
      <c r="L1493" s="1">
        <v>1</v>
      </c>
      <c r="M1493" s="1">
        <v>0.7</v>
      </c>
      <c r="N1493" s="1">
        <v>0.7</v>
      </c>
      <c r="O1493" s="11"/>
      <c r="P1493" s="11"/>
      <c r="Q1493" s="11"/>
      <c r="R1493" s="11"/>
    </row>
    <row r="1494" spans="4:18">
      <c r="D1494" s="1" t="s">
        <v>199</v>
      </c>
      <c r="E1494" s="1" t="s">
        <v>569</v>
      </c>
      <c r="H1494" s="1" t="s">
        <v>22</v>
      </c>
      <c r="I1494" s="1" t="s">
        <v>23</v>
      </c>
      <c r="L1494" s="1">
        <v>1</v>
      </c>
      <c r="M1494" s="1">
        <v>0.9</v>
      </c>
      <c r="N1494" s="1">
        <v>0.9</v>
      </c>
      <c r="O1494" s="11"/>
      <c r="P1494" s="11"/>
      <c r="Q1494" s="11"/>
      <c r="R1494" s="11"/>
    </row>
    <row r="1495" spans="4:18">
      <c r="D1495" s="1" t="s">
        <v>199</v>
      </c>
      <c r="E1495" s="1" t="s">
        <v>570</v>
      </c>
      <c r="H1495" s="1" t="s">
        <v>22</v>
      </c>
      <c r="I1495" s="1" t="s">
        <v>23</v>
      </c>
      <c r="L1495" s="1">
        <v>1</v>
      </c>
      <c r="M1495" s="1">
        <v>1.1000000000000001</v>
      </c>
      <c r="N1495" s="1">
        <v>1.1000000000000001</v>
      </c>
      <c r="O1495" s="11"/>
      <c r="P1495" s="11"/>
      <c r="Q1495" s="11"/>
      <c r="R1495" s="11"/>
    </row>
    <row r="1496" spans="4:18">
      <c r="D1496" s="1" t="s">
        <v>199</v>
      </c>
      <c r="E1496" s="1" t="s">
        <v>571</v>
      </c>
      <c r="H1496" s="1" t="s">
        <v>22</v>
      </c>
      <c r="I1496" s="1" t="s">
        <v>23</v>
      </c>
      <c r="L1496" s="1">
        <v>1</v>
      </c>
      <c r="M1496" s="1">
        <v>1.3</v>
      </c>
      <c r="N1496" s="1">
        <v>1.3</v>
      </c>
      <c r="O1496" s="11"/>
      <c r="P1496" s="11"/>
      <c r="Q1496" s="11"/>
      <c r="R1496" s="11"/>
    </row>
    <row r="1497" spans="4:18">
      <c r="D1497" s="1" t="s">
        <v>199</v>
      </c>
      <c r="E1497" s="1" t="s">
        <v>572</v>
      </c>
      <c r="H1497" s="1" t="s">
        <v>22</v>
      </c>
      <c r="I1497" s="1" t="s">
        <v>23</v>
      </c>
      <c r="L1497" s="1">
        <v>1</v>
      </c>
      <c r="M1497" s="1">
        <v>1.5</v>
      </c>
      <c r="N1497" s="1">
        <v>1.5</v>
      </c>
      <c r="O1497" s="11"/>
      <c r="P1497" s="11"/>
      <c r="Q1497" s="11"/>
      <c r="R1497" s="11"/>
    </row>
    <row r="1498" spans="4:18">
      <c r="D1498" s="1" t="s">
        <v>199</v>
      </c>
      <c r="E1498" s="1" t="s">
        <v>573</v>
      </c>
      <c r="H1498" s="1" t="s">
        <v>22</v>
      </c>
      <c r="I1498" s="1" t="s">
        <v>23</v>
      </c>
      <c r="L1498" s="1">
        <v>1</v>
      </c>
      <c r="M1498" s="1">
        <v>1.7</v>
      </c>
      <c r="N1498" s="1">
        <v>1.7</v>
      </c>
      <c r="O1498" s="11"/>
      <c r="P1498" s="11"/>
      <c r="Q1498" s="11"/>
      <c r="R1498" s="11"/>
    </row>
    <row r="1499" spans="4:18">
      <c r="D1499" s="1" t="s">
        <v>199</v>
      </c>
      <c r="E1499" s="1" t="s">
        <v>574</v>
      </c>
      <c r="H1499" s="1" t="s">
        <v>22</v>
      </c>
      <c r="I1499" s="1" t="s">
        <v>23</v>
      </c>
      <c r="L1499" s="1">
        <v>1</v>
      </c>
      <c r="M1499" s="1">
        <v>0</v>
      </c>
      <c r="N1499" s="1">
        <v>0</v>
      </c>
      <c r="O1499" s="11"/>
      <c r="P1499" s="11"/>
      <c r="Q1499" s="11"/>
      <c r="R1499" s="11"/>
    </row>
    <row r="1500" spans="4:18">
      <c r="D1500" s="1" t="s">
        <v>199</v>
      </c>
      <c r="E1500" s="1" t="s">
        <v>575</v>
      </c>
      <c r="H1500" s="1" t="s">
        <v>22</v>
      </c>
      <c r="I1500" s="1" t="s">
        <v>23</v>
      </c>
      <c r="L1500" s="1">
        <v>1</v>
      </c>
      <c r="M1500" s="1">
        <v>0.2</v>
      </c>
      <c r="N1500" s="1">
        <v>0.2</v>
      </c>
      <c r="O1500" s="11"/>
      <c r="P1500" s="11"/>
      <c r="Q1500" s="11"/>
      <c r="R1500" s="11"/>
    </row>
    <row r="1501" spans="4:18">
      <c r="D1501" s="1" t="s">
        <v>199</v>
      </c>
      <c r="E1501" s="1" t="s">
        <v>576</v>
      </c>
      <c r="H1501" s="1" t="s">
        <v>22</v>
      </c>
      <c r="I1501" s="1" t="s">
        <v>23</v>
      </c>
      <c r="L1501" s="1">
        <v>1</v>
      </c>
      <c r="M1501" s="1">
        <v>0.4</v>
      </c>
      <c r="N1501" s="1">
        <v>0.4</v>
      </c>
      <c r="O1501" s="11"/>
      <c r="P1501" s="11"/>
      <c r="Q1501" s="11"/>
      <c r="R1501" s="11"/>
    </row>
    <row r="1502" spans="4:18">
      <c r="D1502" s="1" t="s">
        <v>199</v>
      </c>
      <c r="E1502" s="1" t="s">
        <v>577</v>
      </c>
      <c r="H1502" s="1" t="s">
        <v>22</v>
      </c>
      <c r="I1502" s="1" t="s">
        <v>23</v>
      </c>
      <c r="L1502" s="1">
        <v>1</v>
      </c>
      <c r="M1502" s="1">
        <v>0.6</v>
      </c>
      <c r="N1502" s="1">
        <v>0.6</v>
      </c>
      <c r="O1502" s="11"/>
      <c r="P1502" s="11"/>
      <c r="Q1502" s="11"/>
      <c r="R1502" s="11"/>
    </row>
    <row r="1503" spans="4:18">
      <c r="D1503" s="1" t="s">
        <v>199</v>
      </c>
      <c r="E1503" s="1" t="s">
        <v>578</v>
      </c>
      <c r="H1503" s="1" t="s">
        <v>22</v>
      </c>
      <c r="I1503" s="1" t="s">
        <v>23</v>
      </c>
      <c r="L1503" s="1">
        <v>1</v>
      </c>
      <c r="M1503" s="1">
        <v>0.8</v>
      </c>
      <c r="N1503" s="1">
        <v>0.8</v>
      </c>
      <c r="O1503" s="11"/>
      <c r="P1503" s="11"/>
      <c r="Q1503" s="11"/>
      <c r="R1503" s="11"/>
    </row>
    <row r="1504" spans="4:18">
      <c r="D1504" s="1" t="s">
        <v>199</v>
      </c>
      <c r="E1504" s="1" t="s">
        <v>579</v>
      </c>
      <c r="H1504" s="1" t="s">
        <v>22</v>
      </c>
      <c r="I1504" s="1" t="s">
        <v>23</v>
      </c>
      <c r="L1504" s="1">
        <v>1</v>
      </c>
      <c r="M1504" s="1">
        <v>1</v>
      </c>
      <c r="N1504" s="1">
        <v>1</v>
      </c>
      <c r="O1504" s="11"/>
      <c r="P1504" s="11"/>
      <c r="Q1504" s="11"/>
      <c r="R1504" s="11"/>
    </row>
    <row r="1505" spans="4:18">
      <c r="D1505" s="1" t="s">
        <v>199</v>
      </c>
      <c r="E1505" s="1" t="s">
        <v>580</v>
      </c>
      <c r="H1505" s="1" t="s">
        <v>22</v>
      </c>
      <c r="I1505" s="1" t="s">
        <v>23</v>
      </c>
      <c r="L1505" s="1">
        <v>1</v>
      </c>
      <c r="M1505" s="1">
        <v>1.2</v>
      </c>
      <c r="N1505" s="1">
        <v>1.2</v>
      </c>
      <c r="O1505" s="11"/>
      <c r="P1505" s="11"/>
      <c r="Q1505" s="11"/>
      <c r="R1505" s="11"/>
    </row>
    <row r="1506" spans="4:18">
      <c r="D1506" s="1" t="s">
        <v>199</v>
      </c>
      <c r="E1506" s="1" t="s">
        <v>581</v>
      </c>
      <c r="H1506" s="1" t="s">
        <v>22</v>
      </c>
      <c r="I1506" s="1" t="s">
        <v>23</v>
      </c>
      <c r="L1506" s="1">
        <v>1</v>
      </c>
      <c r="M1506" s="1">
        <v>1.4</v>
      </c>
      <c r="N1506" s="1">
        <v>1.4</v>
      </c>
      <c r="O1506" s="11"/>
      <c r="P1506" s="11"/>
      <c r="Q1506" s="11"/>
      <c r="R1506" s="11"/>
    </row>
    <row r="1507" spans="4:18">
      <c r="D1507" s="1" t="s">
        <v>199</v>
      </c>
      <c r="E1507" s="1" t="s">
        <v>582</v>
      </c>
      <c r="H1507" s="1" t="s">
        <v>22</v>
      </c>
      <c r="I1507" s="1" t="s">
        <v>23</v>
      </c>
      <c r="L1507" s="1">
        <v>1</v>
      </c>
      <c r="M1507" s="1">
        <v>1.6</v>
      </c>
      <c r="N1507" s="1">
        <v>1.6</v>
      </c>
      <c r="O1507" s="11"/>
      <c r="P1507" s="11"/>
      <c r="Q1507" s="11"/>
      <c r="R1507" s="11"/>
    </row>
    <row r="1508" spans="4:18">
      <c r="D1508" s="1" t="s">
        <v>199</v>
      </c>
      <c r="E1508" s="1" t="s">
        <v>583</v>
      </c>
      <c r="H1508" s="1" t="s">
        <v>22</v>
      </c>
      <c r="I1508" s="1" t="s">
        <v>23</v>
      </c>
      <c r="L1508" s="1">
        <v>1</v>
      </c>
      <c r="M1508" s="1">
        <v>0.3</v>
      </c>
      <c r="N1508" s="1">
        <v>0.3</v>
      </c>
      <c r="O1508" s="11"/>
      <c r="P1508" s="11"/>
      <c r="Q1508" s="11"/>
      <c r="R1508" s="11"/>
    </row>
    <row r="1509" spans="4:18">
      <c r="D1509" s="1" t="s">
        <v>199</v>
      </c>
      <c r="E1509" s="1" t="s">
        <v>584</v>
      </c>
      <c r="H1509" s="1" t="s">
        <v>22</v>
      </c>
      <c r="I1509" s="1" t="s">
        <v>23</v>
      </c>
      <c r="L1509" s="1">
        <v>1</v>
      </c>
      <c r="M1509" s="1">
        <v>0.9</v>
      </c>
      <c r="N1509" s="1">
        <v>0.9</v>
      </c>
      <c r="O1509" s="11"/>
      <c r="P1509" s="11"/>
      <c r="Q1509" s="11"/>
      <c r="R1509" s="11"/>
    </row>
    <row r="1510" spans="4:18">
      <c r="D1510" s="1" t="s">
        <v>199</v>
      </c>
      <c r="E1510" s="1" t="s">
        <v>585</v>
      </c>
      <c r="H1510" s="1" t="s">
        <v>22</v>
      </c>
      <c r="I1510" s="1" t="s">
        <v>23</v>
      </c>
      <c r="L1510" s="1">
        <v>1</v>
      </c>
      <c r="M1510" s="1">
        <v>0</v>
      </c>
      <c r="N1510" s="1">
        <v>0</v>
      </c>
      <c r="O1510" s="11"/>
      <c r="P1510" s="11"/>
      <c r="Q1510" s="11"/>
      <c r="R1510" s="11"/>
    </row>
    <row r="1511" spans="4:18">
      <c r="D1511" s="1" t="s">
        <v>199</v>
      </c>
      <c r="E1511" s="1" t="s">
        <v>586</v>
      </c>
      <c r="H1511" s="1" t="s">
        <v>22</v>
      </c>
      <c r="I1511" s="1" t="s">
        <v>23</v>
      </c>
      <c r="L1511" s="1">
        <v>1</v>
      </c>
      <c r="M1511" s="1">
        <v>0.4</v>
      </c>
      <c r="N1511" s="1">
        <v>0.4</v>
      </c>
      <c r="O1511" s="11"/>
      <c r="P1511" s="11"/>
      <c r="Q1511" s="11"/>
      <c r="R1511" s="11"/>
    </row>
    <row r="1512" spans="4:18">
      <c r="D1512" s="1" t="s">
        <v>199</v>
      </c>
      <c r="E1512" s="1" t="s">
        <v>587</v>
      </c>
      <c r="H1512" s="1" t="s">
        <v>22</v>
      </c>
      <c r="I1512" s="1" t="s">
        <v>23</v>
      </c>
      <c r="L1512" s="1">
        <v>1</v>
      </c>
      <c r="M1512" s="1">
        <v>0.6</v>
      </c>
      <c r="N1512" s="1">
        <v>0.6</v>
      </c>
      <c r="O1512" s="11"/>
      <c r="P1512" s="11"/>
      <c r="Q1512" s="11"/>
      <c r="R1512" s="11"/>
    </row>
    <row r="1513" spans="4:18">
      <c r="D1513" s="1" t="s">
        <v>199</v>
      </c>
      <c r="E1513" s="1" t="s">
        <v>588</v>
      </c>
      <c r="H1513" s="1" t="s">
        <v>22</v>
      </c>
      <c r="I1513" s="1" t="s">
        <v>23</v>
      </c>
      <c r="L1513" s="1">
        <v>1</v>
      </c>
      <c r="M1513" s="1">
        <v>1.2</v>
      </c>
      <c r="N1513" s="1">
        <v>1.2</v>
      </c>
      <c r="O1513" s="11"/>
      <c r="P1513" s="11"/>
      <c r="Q1513" s="11"/>
      <c r="R1513" s="11"/>
    </row>
    <row r="1514" spans="4:18">
      <c r="D1514" s="1" t="s">
        <v>199</v>
      </c>
      <c r="E1514" s="1" t="s">
        <v>589</v>
      </c>
      <c r="H1514" s="1" t="s">
        <v>22</v>
      </c>
      <c r="I1514" s="1" t="s">
        <v>23</v>
      </c>
      <c r="L1514" s="1">
        <v>1</v>
      </c>
      <c r="M1514" s="1">
        <v>1.6</v>
      </c>
      <c r="N1514" s="1">
        <v>1.6</v>
      </c>
      <c r="O1514" s="11"/>
      <c r="P1514" s="11"/>
      <c r="Q1514" s="11"/>
      <c r="R1514" s="11"/>
    </row>
    <row r="1515" spans="4:18">
      <c r="D1515" s="1" t="s">
        <v>199</v>
      </c>
      <c r="E1515" s="1" t="s">
        <v>590</v>
      </c>
      <c r="H1515" s="1" t="s">
        <v>22</v>
      </c>
      <c r="I1515" s="1" t="s">
        <v>23</v>
      </c>
      <c r="L1515" s="1">
        <v>1</v>
      </c>
      <c r="M1515" s="1">
        <v>0.1</v>
      </c>
      <c r="N1515" s="1">
        <v>0.1</v>
      </c>
      <c r="O1515" s="11"/>
      <c r="P1515" s="11"/>
      <c r="Q1515" s="11"/>
      <c r="R1515" s="11"/>
    </row>
    <row r="1516" spans="4:18">
      <c r="D1516" s="1" t="s">
        <v>199</v>
      </c>
      <c r="E1516" s="1" t="s">
        <v>591</v>
      </c>
      <c r="H1516" s="1" t="s">
        <v>22</v>
      </c>
      <c r="I1516" s="1" t="s">
        <v>23</v>
      </c>
      <c r="L1516" s="1">
        <v>1</v>
      </c>
      <c r="M1516" s="1">
        <v>0.9</v>
      </c>
      <c r="N1516" s="1">
        <v>0.9</v>
      </c>
      <c r="O1516" s="11"/>
      <c r="P1516" s="11"/>
      <c r="Q1516" s="11"/>
      <c r="R1516" s="11"/>
    </row>
    <row r="1517" spans="4:18">
      <c r="D1517" s="1" t="s">
        <v>199</v>
      </c>
      <c r="E1517" s="1" t="s">
        <v>592</v>
      </c>
      <c r="H1517" s="1" t="s">
        <v>22</v>
      </c>
      <c r="I1517" s="1" t="s">
        <v>23</v>
      </c>
      <c r="L1517" s="1">
        <v>1</v>
      </c>
      <c r="M1517" s="1">
        <v>1.5</v>
      </c>
      <c r="N1517" s="1">
        <v>1.5</v>
      </c>
      <c r="O1517" s="11"/>
      <c r="P1517" s="11"/>
      <c r="Q1517" s="11"/>
      <c r="R1517" s="11"/>
    </row>
    <row r="1518" spans="4:18">
      <c r="D1518" s="1" t="s">
        <v>199</v>
      </c>
      <c r="E1518" s="1" t="s">
        <v>593</v>
      </c>
      <c r="H1518" s="1" t="s">
        <v>22</v>
      </c>
      <c r="I1518" s="1" t="s">
        <v>23</v>
      </c>
      <c r="L1518" s="1">
        <v>1</v>
      </c>
      <c r="M1518" s="1">
        <v>1.7</v>
      </c>
      <c r="N1518" s="1">
        <v>1.7</v>
      </c>
      <c r="O1518" s="11"/>
      <c r="P1518" s="11"/>
      <c r="Q1518" s="11"/>
      <c r="R1518" s="11"/>
    </row>
    <row r="1519" spans="4:18">
      <c r="D1519" s="1" t="s">
        <v>199</v>
      </c>
      <c r="E1519" s="1" t="s">
        <v>594</v>
      </c>
      <c r="H1519" s="1" t="s">
        <v>22</v>
      </c>
      <c r="I1519" s="1" t="s">
        <v>23</v>
      </c>
      <c r="L1519" s="1">
        <v>1</v>
      </c>
      <c r="M1519" s="1">
        <v>0</v>
      </c>
      <c r="N1519" s="1">
        <v>0</v>
      </c>
      <c r="O1519" s="11"/>
      <c r="P1519" s="11"/>
      <c r="Q1519" s="11"/>
      <c r="R1519" s="11"/>
    </row>
    <row r="1520" spans="4:18">
      <c r="D1520" s="1" t="s">
        <v>199</v>
      </c>
      <c r="E1520" s="1" t="s">
        <v>595</v>
      </c>
      <c r="H1520" s="1" t="s">
        <v>22</v>
      </c>
      <c r="I1520" s="1" t="s">
        <v>23</v>
      </c>
      <c r="L1520" s="1">
        <v>1</v>
      </c>
      <c r="M1520" s="1">
        <v>1</v>
      </c>
      <c r="N1520" s="1">
        <v>1</v>
      </c>
      <c r="O1520" s="11"/>
      <c r="P1520" s="11"/>
      <c r="Q1520" s="11"/>
      <c r="R1520" s="11"/>
    </row>
    <row r="1521" spans="4:18">
      <c r="D1521" s="1" t="s">
        <v>199</v>
      </c>
      <c r="E1521" s="1" t="s">
        <v>596</v>
      </c>
      <c r="H1521" s="1" t="s">
        <v>22</v>
      </c>
      <c r="I1521" s="1" t="s">
        <v>23</v>
      </c>
      <c r="L1521" s="1">
        <v>1</v>
      </c>
      <c r="M1521" s="1">
        <v>0.1</v>
      </c>
      <c r="N1521" s="1">
        <v>0.1</v>
      </c>
      <c r="O1521" s="11"/>
      <c r="P1521" s="11"/>
      <c r="Q1521" s="11"/>
      <c r="R1521" s="11"/>
    </row>
    <row r="1522" spans="4:18">
      <c r="D1522" s="1" t="s">
        <v>199</v>
      </c>
      <c r="E1522" s="1" t="s">
        <v>597</v>
      </c>
      <c r="H1522" s="1" t="s">
        <v>22</v>
      </c>
      <c r="I1522" s="1" t="s">
        <v>23</v>
      </c>
      <c r="L1522" s="1">
        <v>1</v>
      </c>
      <c r="M1522" s="1">
        <v>0.3</v>
      </c>
      <c r="N1522" s="1">
        <v>0.3</v>
      </c>
      <c r="O1522" s="11"/>
      <c r="P1522" s="11"/>
      <c r="Q1522" s="11"/>
      <c r="R1522" s="11"/>
    </row>
    <row r="1523" spans="4:18">
      <c r="D1523" s="1" t="s">
        <v>199</v>
      </c>
      <c r="E1523" s="1" t="s">
        <v>598</v>
      </c>
      <c r="H1523" s="1" t="s">
        <v>22</v>
      </c>
      <c r="I1523" s="1" t="s">
        <v>23</v>
      </c>
      <c r="L1523" s="1">
        <v>1</v>
      </c>
      <c r="M1523" s="1">
        <v>0.5</v>
      </c>
      <c r="N1523" s="1">
        <v>0.5</v>
      </c>
      <c r="O1523" s="11"/>
      <c r="P1523" s="11"/>
      <c r="Q1523" s="11"/>
      <c r="R1523" s="11"/>
    </row>
    <row r="1524" spans="4:18">
      <c r="D1524" s="1" t="s">
        <v>199</v>
      </c>
      <c r="E1524" s="1" t="s">
        <v>599</v>
      </c>
      <c r="H1524" s="1" t="s">
        <v>22</v>
      </c>
      <c r="I1524" s="1" t="s">
        <v>23</v>
      </c>
      <c r="L1524" s="1">
        <v>1</v>
      </c>
      <c r="M1524" s="1">
        <v>0.7</v>
      </c>
      <c r="N1524" s="1">
        <v>0.7</v>
      </c>
      <c r="O1524" s="11"/>
      <c r="P1524" s="11"/>
      <c r="Q1524" s="11"/>
      <c r="R1524" s="11"/>
    </row>
    <row r="1525" spans="4:18">
      <c r="D1525" s="1" t="s">
        <v>199</v>
      </c>
      <c r="E1525" s="1" t="s">
        <v>600</v>
      </c>
      <c r="H1525" s="1" t="s">
        <v>22</v>
      </c>
      <c r="I1525" s="1" t="s">
        <v>23</v>
      </c>
      <c r="L1525" s="1">
        <v>1</v>
      </c>
      <c r="M1525" s="1">
        <v>1.3</v>
      </c>
      <c r="N1525" s="1">
        <v>1.3</v>
      </c>
      <c r="O1525" s="11"/>
      <c r="P1525" s="11"/>
      <c r="Q1525" s="11"/>
      <c r="R1525" s="11"/>
    </row>
    <row r="1526" spans="4:18">
      <c r="D1526" s="1" t="s">
        <v>199</v>
      </c>
      <c r="E1526" s="1" t="s">
        <v>601</v>
      </c>
      <c r="H1526" s="1" t="s">
        <v>22</v>
      </c>
      <c r="I1526" s="1" t="s">
        <v>23</v>
      </c>
      <c r="L1526" s="1">
        <v>1</v>
      </c>
      <c r="M1526" s="1">
        <v>1.7</v>
      </c>
      <c r="N1526" s="1">
        <v>1.7</v>
      </c>
      <c r="O1526" s="11"/>
      <c r="P1526" s="11"/>
      <c r="Q1526" s="11"/>
      <c r="R1526" s="11"/>
    </row>
    <row r="1527" spans="4:18">
      <c r="D1527" s="1" t="s">
        <v>199</v>
      </c>
      <c r="E1527" s="1" t="s">
        <v>602</v>
      </c>
      <c r="H1527" s="1" t="s">
        <v>22</v>
      </c>
      <c r="I1527" s="1" t="s">
        <v>23</v>
      </c>
      <c r="L1527" s="1">
        <v>1</v>
      </c>
      <c r="M1527" s="1">
        <v>0</v>
      </c>
      <c r="N1527" s="1">
        <v>0</v>
      </c>
      <c r="O1527" s="11"/>
      <c r="P1527" s="11"/>
      <c r="Q1527" s="11"/>
      <c r="R1527" s="11"/>
    </row>
    <row r="1528" spans="4:18">
      <c r="D1528" s="1" t="s">
        <v>199</v>
      </c>
      <c r="E1528" s="1" t="s">
        <v>603</v>
      </c>
      <c r="H1528" s="1" t="s">
        <v>22</v>
      </c>
      <c r="I1528" s="1" t="s">
        <v>23</v>
      </c>
      <c r="L1528" s="1">
        <v>1</v>
      </c>
      <c r="M1528" s="1">
        <v>0.4</v>
      </c>
      <c r="N1528" s="1">
        <v>0.4</v>
      </c>
      <c r="O1528" s="11"/>
      <c r="P1528" s="11"/>
      <c r="Q1528" s="11"/>
      <c r="R1528" s="11"/>
    </row>
    <row r="1529" spans="4:18">
      <c r="D1529" s="1" t="s">
        <v>199</v>
      </c>
      <c r="E1529" s="1" t="s">
        <v>604</v>
      </c>
      <c r="H1529" s="1" t="s">
        <v>22</v>
      </c>
      <c r="I1529" s="1" t="s">
        <v>23</v>
      </c>
      <c r="L1529" s="1">
        <v>1</v>
      </c>
      <c r="M1529" s="1">
        <v>1</v>
      </c>
      <c r="N1529" s="1">
        <v>1</v>
      </c>
      <c r="O1529" s="11"/>
      <c r="P1529" s="11"/>
      <c r="Q1529" s="11"/>
      <c r="R1529" s="11"/>
    </row>
    <row r="1530" spans="4:18">
      <c r="D1530" s="1" t="s">
        <v>199</v>
      </c>
      <c r="E1530" s="1" t="s">
        <v>605</v>
      </c>
      <c r="H1530" s="1" t="s">
        <v>22</v>
      </c>
      <c r="I1530" s="1" t="s">
        <v>23</v>
      </c>
      <c r="L1530" s="1">
        <v>1</v>
      </c>
      <c r="M1530" s="1">
        <v>1.6</v>
      </c>
      <c r="N1530" s="1">
        <v>1.6</v>
      </c>
      <c r="O1530" s="11"/>
      <c r="P1530" s="11"/>
      <c r="Q1530" s="11"/>
      <c r="R1530" s="11"/>
    </row>
    <row r="1531" spans="4:18">
      <c r="D1531" s="1" t="s">
        <v>199</v>
      </c>
      <c r="E1531" s="1" t="s">
        <v>606</v>
      </c>
      <c r="H1531" s="1" t="s">
        <v>22</v>
      </c>
      <c r="I1531" s="1" t="s">
        <v>23</v>
      </c>
      <c r="L1531" s="1">
        <v>1</v>
      </c>
      <c r="M1531" s="1">
        <v>0.5</v>
      </c>
      <c r="N1531" s="1">
        <v>0.5</v>
      </c>
      <c r="O1531" s="11"/>
      <c r="P1531" s="11"/>
      <c r="Q1531" s="11"/>
      <c r="R1531" s="11"/>
    </row>
    <row r="1532" spans="4:18">
      <c r="D1532" s="1" t="s">
        <v>199</v>
      </c>
      <c r="E1532" s="1" t="s">
        <v>607</v>
      </c>
      <c r="H1532" s="1" t="s">
        <v>22</v>
      </c>
      <c r="I1532" s="1" t="s">
        <v>23</v>
      </c>
      <c r="L1532" s="1">
        <v>1</v>
      </c>
      <c r="M1532" s="1">
        <v>0.7</v>
      </c>
      <c r="N1532" s="1">
        <v>0.7</v>
      </c>
      <c r="O1532" s="11"/>
      <c r="P1532" s="11"/>
      <c r="Q1532" s="11"/>
      <c r="R1532" s="11"/>
    </row>
    <row r="1533" spans="4:18">
      <c r="D1533" s="1" t="s">
        <v>199</v>
      </c>
      <c r="E1533" s="1" t="s">
        <v>608</v>
      </c>
      <c r="H1533" s="1" t="s">
        <v>22</v>
      </c>
      <c r="I1533" s="1" t="s">
        <v>23</v>
      </c>
      <c r="L1533" s="1">
        <v>1</v>
      </c>
      <c r="M1533" s="1">
        <v>0.9</v>
      </c>
      <c r="N1533" s="1">
        <v>0.9</v>
      </c>
      <c r="O1533" s="11"/>
      <c r="P1533" s="11"/>
      <c r="Q1533" s="11"/>
      <c r="R1533" s="11"/>
    </row>
    <row r="1534" spans="4:18">
      <c r="D1534" s="1" t="s">
        <v>199</v>
      </c>
      <c r="E1534" s="1" t="s">
        <v>609</v>
      </c>
      <c r="H1534" s="1" t="s">
        <v>22</v>
      </c>
      <c r="I1534" s="1" t="s">
        <v>23</v>
      </c>
      <c r="L1534" s="1">
        <v>1</v>
      </c>
      <c r="M1534" s="1">
        <v>1.1000000000000001</v>
      </c>
      <c r="N1534" s="1">
        <v>1.1000000000000001</v>
      </c>
      <c r="O1534" s="11"/>
      <c r="P1534" s="11"/>
      <c r="Q1534" s="11"/>
      <c r="R1534" s="11"/>
    </row>
    <row r="1535" spans="4:18">
      <c r="D1535" s="1" t="s">
        <v>199</v>
      </c>
      <c r="E1535" s="1" t="s">
        <v>610</v>
      </c>
      <c r="H1535" s="1" t="s">
        <v>22</v>
      </c>
      <c r="I1535" s="1" t="s">
        <v>23</v>
      </c>
      <c r="L1535" s="1">
        <v>1</v>
      </c>
      <c r="M1535" s="1">
        <v>1.3</v>
      </c>
      <c r="N1535" s="1">
        <v>1.3</v>
      </c>
      <c r="O1535" s="11"/>
      <c r="P1535" s="11"/>
      <c r="Q1535" s="11"/>
      <c r="R1535" s="11"/>
    </row>
    <row r="1536" spans="4:18">
      <c r="D1536" s="1" t="s">
        <v>199</v>
      </c>
      <c r="E1536" s="1" t="s">
        <v>611</v>
      </c>
      <c r="H1536" s="1" t="s">
        <v>22</v>
      </c>
      <c r="I1536" s="1" t="s">
        <v>23</v>
      </c>
      <c r="L1536" s="1">
        <v>1</v>
      </c>
      <c r="M1536" s="1">
        <v>1.5</v>
      </c>
      <c r="N1536" s="1">
        <v>1.5</v>
      </c>
      <c r="O1536" s="11"/>
      <c r="P1536" s="11"/>
      <c r="Q1536" s="11"/>
      <c r="R1536" s="11"/>
    </row>
    <row r="1537" spans="4:18">
      <c r="D1537" s="1" t="s">
        <v>199</v>
      </c>
      <c r="E1537" s="1" t="s">
        <v>612</v>
      </c>
      <c r="H1537" s="1" t="s">
        <v>22</v>
      </c>
      <c r="I1537" s="1" t="s">
        <v>23</v>
      </c>
      <c r="L1537" s="1">
        <v>1</v>
      </c>
      <c r="M1537" s="1">
        <v>1.7</v>
      </c>
      <c r="N1537" s="1">
        <v>1.7</v>
      </c>
      <c r="O1537" s="11"/>
      <c r="P1537" s="11"/>
      <c r="Q1537" s="11"/>
      <c r="R1537" s="11"/>
    </row>
    <row r="1538" spans="4:18">
      <c r="D1538" s="1" t="s">
        <v>199</v>
      </c>
      <c r="E1538" s="1" t="s">
        <v>613</v>
      </c>
      <c r="H1538" s="1" t="s">
        <v>22</v>
      </c>
      <c r="I1538" s="1" t="s">
        <v>23</v>
      </c>
      <c r="L1538" s="1">
        <v>1</v>
      </c>
      <c r="M1538" s="1">
        <v>0.2</v>
      </c>
      <c r="N1538" s="1">
        <v>0.2</v>
      </c>
      <c r="O1538" s="11"/>
      <c r="P1538" s="11"/>
      <c r="Q1538" s="11"/>
      <c r="R1538" s="11"/>
    </row>
    <row r="1539" spans="4:18">
      <c r="D1539" s="1" t="s">
        <v>199</v>
      </c>
      <c r="E1539" s="1" t="s">
        <v>614</v>
      </c>
      <c r="H1539" s="1" t="s">
        <v>22</v>
      </c>
      <c r="I1539" s="1" t="s">
        <v>23</v>
      </c>
      <c r="L1539" s="1">
        <v>1</v>
      </c>
      <c r="M1539" s="1">
        <v>0.4</v>
      </c>
      <c r="N1539" s="1">
        <v>0.4</v>
      </c>
      <c r="O1539" s="11"/>
      <c r="P1539" s="11"/>
      <c r="Q1539" s="11"/>
      <c r="R1539" s="11"/>
    </row>
    <row r="1540" spans="4:18">
      <c r="D1540" s="1" t="s">
        <v>199</v>
      </c>
      <c r="E1540" s="1" t="s">
        <v>615</v>
      </c>
      <c r="H1540" s="1" t="s">
        <v>22</v>
      </c>
      <c r="I1540" s="1" t="s">
        <v>23</v>
      </c>
      <c r="L1540" s="1">
        <v>1</v>
      </c>
      <c r="M1540" s="1">
        <v>0.8</v>
      </c>
      <c r="N1540" s="1">
        <v>0.8</v>
      </c>
      <c r="O1540" s="11"/>
      <c r="P1540" s="11"/>
      <c r="Q1540" s="11"/>
      <c r="R1540" s="11"/>
    </row>
    <row r="1541" spans="4:18">
      <c r="D1541" s="1" t="s">
        <v>199</v>
      </c>
      <c r="E1541" s="1" t="s">
        <v>616</v>
      </c>
      <c r="H1541" s="1" t="s">
        <v>22</v>
      </c>
      <c r="I1541" s="1" t="s">
        <v>23</v>
      </c>
      <c r="L1541" s="1">
        <v>1</v>
      </c>
      <c r="M1541" s="1">
        <v>1.1000000000000001</v>
      </c>
      <c r="N1541" s="1">
        <v>1.1000000000000001</v>
      </c>
      <c r="O1541" s="11"/>
      <c r="P1541" s="11"/>
      <c r="Q1541" s="11"/>
      <c r="R1541" s="11"/>
    </row>
    <row r="1542" spans="4:18">
      <c r="D1542" s="1" t="s">
        <v>199</v>
      </c>
      <c r="E1542" s="1" t="s">
        <v>617</v>
      </c>
      <c r="H1542" s="1" t="s">
        <v>22</v>
      </c>
      <c r="I1542" s="1" t="s">
        <v>23</v>
      </c>
      <c r="L1542" s="1">
        <v>1</v>
      </c>
      <c r="M1542" s="1">
        <v>1.3</v>
      </c>
      <c r="N1542" s="1">
        <v>1.3</v>
      </c>
      <c r="O1542" s="11"/>
      <c r="P1542" s="11"/>
      <c r="Q1542" s="11"/>
      <c r="R1542" s="11"/>
    </row>
    <row r="1543" spans="4:18">
      <c r="D1543" s="1" t="s">
        <v>199</v>
      </c>
      <c r="E1543" s="1" t="s">
        <v>618</v>
      </c>
      <c r="H1543" s="1" t="s">
        <v>22</v>
      </c>
      <c r="I1543" s="1" t="s">
        <v>23</v>
      </c>
      <c r="L1543" s="1">
        <v>1</v>
      </c>
      <c r="M1543" s="1">
        <v>0</v>
      </c>
      <c r="N1543" s="1">
        <v>0</v>
      </c>
      <c r="O1543" s="11"/>
      <c r="P1543" s="11"/>
      <c r="Q1543" s="11"/>
      <c r="R1543" s="11"/>
    </row>
    <row r="1544" spans="4:18">
      <c r="D1544" s="1" t="s">
        <v>199</v>
      </c>
      <c r="E1544" s="1" t="s">
        <v>619</v>
      </c>
      <c r="H1544" s="1" t="s">
        <v>22</v>
      </c>
      <c r="I1544" s="1" t="s">
        <v>23</v>
      </c>
      <c r="L1544" s="1">
        <v>1</v>
      </c>
      <c r="M1544" s="1">
        <v>0.6</v>
      </c>
      <c r="N1544" s="1">
        <v>0.6</v>
      </c>
      <c r="O1544" s="11"/>
      <c r="P1544" s="11"/>
      <c r="Q1544" s="11"/>
      <c r="R1544" s="11"/>
    </row>
    <row r="1545" spans="4:18">
      <c r="D1545" s="1" t="s">
        <v>199</v>
      </c>
      <c r="E1545" s="1" t="s">
        <v>620</v>
      </c>
      <c r="H1545" s="1" t="s">
        <v>22</v>
      </c>
      <c r="I1545" s="1" t="s">
        <v>23</v>
      </c>
      <c r="L1545" s="1">
        <v>1</v>
      </c>
      <c r="M1545" s="1">
        <v>1.4</v>
      </c>
      <c r="N1545" s="1">
        <v>1.4</v>
      </c>
      <c r="O1545" s="11"/>
      <c r="P1545" s="11"/>
      <c r="Q1545" s="11"/>
      <c r="R1545" s="11"/>
    </row>
    <row r="1546" spans="4:18">
      <c r="D1546" s="1" t="s">
        <v>199</v>
      </c>
      <c r="E1546" s="1" t="s">
        <v>621</v>
      </c>
      <c r="H1546" s="1" t="s">
        <v>22</v>
      </c>
      <c r="I1546" s="1" t="s">
        <v>23</v>
      </c>
      <c r="L1546" s="1">
        <v>1</v>
      </c>
      <c r="M1546" s="1">
        <v>1.6</v>
      </c>
      <c r="N1546" s="1">
        <v>1.6</v>
      </c>
      <c r="O1546" s="11"/>
      <c r="P1546" s="11"/>
      <c r="Q1546" s="11"/>
      <c r="R1546" s="11"/>
    </row>
    <row r="1547" spans="4:18">
      <c r="D1547" s="1" t="s">
        <v>199</v>
      </c>
      <c r="E1547" s="1" t="s">
        <v>622</v>
      </c>
      <c r="H1547" s="1" t="s">
        <v>22</v>
      </c>
      <c r="I1547" s="1" t="s">
        <v>23</v>
      </c>
      <c r="L1547" s="1">
        <v>1</v>
      </c>
      <c r="M1547" s="1">
        <v>0.1</v>
      </c>
      <c r="N1547" s="1">
        <v>0.1</v>
      </c>
      <c r="O1547" s="11"/>
      <c r="P1547" s="11"/>
      <c r="Q1547" s="11"/>
      <c r="R1547" s="11"/>
    </row>
    <row r="1548" spans="4:18">
      <c r="D1548" s="1" t="s">
        <v>199</v>
      </c>
      <c r="E1548" s="1" t="s">
        <v>623</v>
      </c>
      <c r="H1548" s="1" t="s">
        <v>22</v>
      </c>
      <c r="I1548" s="1" t="s">
        <v>23</v>
      </c>
      <c r="L1548" s="1">
        <v>1</v>
      </c>
      <c r="M1548" s="1">
        <v>0.3</v>
      </c>
      <c r="N1548" s="1">
        <v>0.3</v>
      </c>
      <c r="O1548" s="11"/>
      <c r="P1548" s="11"/>
      <c r="Q1548" s="11"/>
      <c r="R1548" s="11"/>
    </row>
    <row r="1549" spans="4:18">
      <c r="D1549" s="1" t="s">
        <v>199</v>
      </c>
      <c r="E1549" s="1" t="s">
        <v>624</v>
      </c>
      <c r="H1549" s="1" t="s">
        <v>22</v>
      </c>
      <c r="I1549" s="1" t="s">
        <v>23</v>
      </c>
      <c r="L1549" s="1">
        <v>1</v>
      </c>
      <c r="M1549" s="1">
        <v>0.5</v>
      </c>
      <c r="N1549" s="1">
        <v>0.5</v>
      </c>
      <c r="O1549" s="11"/>
      <c r="P1549" s="11"/>
      <c r="Q1549" s="11"/>
      <c r="R1549" s="11"/>
    </row>
    <row r="1550" spans="4:18">
      <c r="D1550" s="1" t="s">
        <v>199</v>
      </c>
      <c r="E1550" s="1" t="s">
        <v>625</v>
      </c>
      <c r="H1550" s="1" t="s">
        <v>22</v>
      </c>
      <c r="I1550" s="1" t="s">
        <v>23</v>
      </c>
      <c r="L1550" s="1">
        <v>1</v>
      </c>
      <c r="M1550" s="1">
        <v>0.9</v>
      </c>
      <c r="N1550" s="1">
        <v>0.9</v>
      </c>
      <c r="O1550" s="11"/>
      <c r="P1550" s="11"/>
      <c r="Q1550" s="11"/>
      <c r="R1550" s="11"/>
    </row>
    <row r="1551" spans="4:18">
      <c r="D1551" s="1" t="s">
        <v>199</v>
      </c>
      <c r="E1551" s="1" t="s">
        <v>626</v>
      </c>
      <c r="H1551" s="1" t="s">
        <v>22</v>
      </c>
      <c r="I1551" s="1" t="s">
        <v>23</v>
      </c>
      <c r="L1551" s="1">
        <v>1</v>
      </c>
      <c r="M1551" s="1">
        <v>1.1000000000000001</v>
      </c>
      <c r="N1551" s="1">
        <v>1.1000000000000001</v>
      </c>
      <c r="O1551" s="11"/>
      <c r="P1551" s="11"/>
      <c r="Q1551" s="11"/>
      <c r="R1551" s="11"/>
    </row>
    <row r="1552" spans="4:18">
      <c r="D1552" s="1" t="s">
        <v>199</v>
      </c>
      <c r="E1552" s="1" t="s">
        <v>627</v>
      </c>
      <c r="H1552" s="1" t="s">
        <v>22</v>
      </c>
      <c r="I1552" s="1" t="s">
        <v>23</v>
      </c>
      <c r="L1552" s="1">
        <v>1</v>
      </c>
      <c r="M1552" s="1">
        <v>1.7</v>
      </c>
      <c r="N1552" s="1">
        <v>1.7</v>
      </c>
      <c r="O1552" s="11"/>
      <c r="P1552" s="11"/>
      <c r="Q1552" s="11"/>
      <c r="R1552" s="11"/>
    </row>
    <row r="1553" spans="4:18">
      <c r="D1553" s="1" t="s">
        <v>199</v>
      </c>
      <c r="E1553" s="1" t="s">
        <v>628</v>
      </c>
      <c r="H1553" s="1" t="s">
        <v>22</v>
      </c>
      <c r="I1553" s="1" t="s">
        <v>23</v>
      </c>
      <c r="L1553" s="1">
        <v>1</v>
      </c>
      <c r="M1553" s="1">
        <v>0</v>
      </c>
      <c r="N1553" s="1">
        <v>0</v>
      </c>
      <c r="O1553" s="11"/>
      <c r="P1553" s="11"/>
      <c r="Q1553" s="11"/>
      <c r="R1553" s="11"/>
    </row>
    <row r="1554" spans="4:18">
      <c r="D1554" s="1" t="s">
        <v>199</v>
      </c>
      <c r="E1554" s="1" t="s">
        <v>629</v>
      </c>
      <c r="H1554" s="1" t="s">
        <v>22</v>
      </c>
      <c r="I1554" s="1" t="s">
        <v>23</v>
      </c>
      <c r="L1554" s="1">
        <v>1</v>
      </c>
      <c r="M1554" s="1">
        <v>0.6</v>
      </c>
      <c r="N1554" s="1">
        <v>0.6</v>
      </c>
      <c r="O1554" s="11"/>
      <c r="P1554" s="11"/>
      <c r="Q1554" s="11"/>
      <c r="R1554" s="11"/>
    </row>
    <row r="1555" spans="4:18">
      <c r="D1555" s="1" t="s">
        <v>199</v>
      </c>
      <c r="E1555" s="1" t="s">
        <v>630</v>
      </c>
      <c r="H1555" s="1" t="s">
        <v>22</v>
      </c>
      <c r="I1555" s="1" t="s">
        <v>23</v>
      </c>
      <c r="L1555" s="1">
        <v>1</v>
      </c>
      <c r="M1555" s="1">
        <v>1</v>
      </c>
      <c r="N1555" s="1">
        <v>1</v>
      </c>
      <c r="O1555" s="11"/>
      <c r="P1555" s="11"/>
      <c r="Q1555" s="11"/>
      <c r="R1555" s="11"/>
    </row>
    <row r="1556" spans="4:18">
      <c r="D1556" s="1" t="s">
        <v>199</v>
      </c>
      <c r="E1556" s="1" t="s">
        <v>631</v>
      </c>
      <c r="H1556" s="1" t="s">
        <v>22</v>
      </c>
      <c r="I1556" s="1" t="s">
        <v>23</v>
      </c>
      <c r="L1556" s="1">
        <v>1</v>
      </c>
      <c r="M1556" s="1">
        <v>1.4</v>
      </c>
      <c r="N1556" s="1">
        <v>1.4</v>
      </c>
      <c r="O1556" s="11"/>
      <c r="P1556" s="11"/>
      <c r="Q1556" s="11"/>
      <c r="R1556" s="11"/>
    </row>
    <row r="1557" spans="4:18">
      <c r="D1557" s="1" t="s">
        <v>199</v>
      </c>
      <c r="E1557" s="1" t="s">
        <v>632</v>
      </c>
      <c r="H1557" s="1" t="s">
        <v>22</v>
      </c>
      <c r="I1557" s="1" t="s">
        <v>23</v>
      </c>
      <c r="L1557" s="1">
        <v>1</v>
      </c>
      <c r="M1557" s="1">
        <v>1.6</v>
      </c>
      <c r="N1557" s="1">
        <v>1.6</v>
      </c>
      <c r="O1557" s="11"/>
      <c r="P1557" s="11"/>
      <c r="Q1557" s="11"/>
      <c r="R1557" s="11"/>
    </row>
    <row r="1558" spans="4:18">
      <c r="D1558" s="1" t="s">
        <v>199</v>
      </c>
      <c r="E1558" s="1" t="s">
        <v>633</v>
      </c>
      <c r="H1558" s="1" t="s">
        <v>22</v>
      </c>
      <c r="I1558" s="1" t="s">
        <v>23</v>
      </c>
      <c r="L1558" s="1">
        <v>1</v>
      </c>
      <c r="M1558" s="1">
        <v>0.3</v>
      </c>
      <c r="N1558" s="1">
        <v>0.3</v>
      </c>
      <c r="O1558" s="11"/>
      <c r="P1558" s="11"/>
      <c r="Q1558" s="11"/>
      <c r="R1558" s="11"/>
    </row>
    <row r="1559" spans="4:18">
      <c r="D1559" s="1" t="s">
        <v>199</v>
      </c>
      <c r="E1559" s="1" t="s">
        <v>634</v>
      </c>
      <c r="H1559" s="1" t="s">
        <v>22</v>
      </c>
      <c r="I1559" s="1" t="s">
        <v>23</v>
      </c>
      <c r="L1559" s="1">
        <v>1</v>
      </c>
      <c r="M1559" s="1">
        <v>1.7</v>
      </c>
      <c r="N1559" s="1">
        <v>1.7</v>
      </c>
      <c r="O1559" s="11"/>
      <c r="P1559" s="11"/>
      <c r="Q1559" s="11"/>
      <c r="R1559" s="11"/>
    </row>
    <row r="1560" spans="4:18">
      <c r="D1560" s="1" t="s">
        <v>199</v>
      </c>
      <c r="E1560" s="1" t="s">
        <v>635</v>
      </c>
      <c r="H1560" s="1" t="s">
        <v>22</v>
      </c>
      <c r="I1560" s="1" t="s">
        <v>23</v>
      </c>
      <c r="L1560" s="1">
        <v>1</v>
      </c>
      <c r="M1560" s="1">
        <v>0</v>
      </c>
      <c r="N1560" s="1">
        <v>0</v>
      </c>
      <c r="O1560" s="11"/>
      <c r="P1560" s="11"/>
      <c r="Q1560" s="11"/>
      <c r="R1560" s="11"/>
    </row>
    <row r="1561" spans="4:18">
      <c r="D1561" s="1" t="s">
        <v>199</v>
      </c>
      <c r="E1561" s="1" t="s">
        <v>636</v>
      </c>
      <c r="H1561" s="1" t="s">
        <v>22</v>
      </c>
      <c r="I1561" s="1" t="s">
        <v>23</v>
      </c>
      <c r="L1561" s="1">
        <v>1</v>
      </c>
      <c r="M1561" s="1">
        <v>0.6</v>
      </c>
      <c r="N1561" s="1">
        <v>0.6</v>
      </c>
      <c r="O1561" s="11"/>
      <c r="P1561" s="11"/>
      <c r="Q1561" s="11"/>
      <c r="R1561" s="11"/>
    </row>
    <row r="1562" spans="4:18">
      <c r="D1562" s="1" t="s">
        <v>199</v>
      </c>
      <c r="E1562" s="1" t="s">
        <v>637</v>
      </c>
      <c r="H1562" s="1" t="s">
        <v>22</v>
      </c>
      <c r="I1562" s="1" t="s">
        <v>23</v>
      </c>
      <c r="L1562" s="1">
        <v>1</v>
      </c>
      <c r="M1562" s="1">
        <v>0.8</v>
      </c>
      <c r="N1562" s="1">
        <v>0.8</v>
      </c>
      <c r="O1562" s="11"/>
      <c r="P1562" s="11"/>
      <c r="Q1562" s="11"/>
      <c r="R1562" s="11"/>
    </row>
    <row r="1563" spans="4:18">
      <c r="D1563" s="1" t="s">
        <v>199</v>
      </c>
      <c r="E1563" s="1" t="s">
        <v>638</v>
      </c>
      <c r="H1563" s="1" t="s">
        <v>22</v>
      </c>
      <c r="I1563" s="1" t="s">
        <v>23</v>
      </c>
      <c r="L1563" s="1">
        <v>1</v>
      </c>
      <c r="M1563" s="1">
        <v>1</v>
      </c>
      <c r="N1563" s="1">
        <v>1</v>
      </c>
      <c r="O1563" s="11"/>
      <c r="P1563" s="11"/>
      <c r="Q1563" s="11"/>
      <c r="R1563" s="11"/>
    </row>
    <row r="1564" spans="4:18">
      <c r="D1564" s="1" t="s">
        <v>199</v>
      </c>
      <c r="E1564" s="1" t="s">
        <v>639</v>
      </c>
      <c r="H1564" s="1" t="s">
        <v>22</v>
      </c>
      <c r="I1564" s="1" t="s">
        <v>23</v>
      </c>
      <c r="L1564" s="1">
        <v>1</v>
      </c>
      <c r="M1564" s="1">
        <v>1.2</v>
      </c>
      <c r="N1564" s="1">
        <v>1.2</v>
      </c>
      <c r="O1564" s="11"/>
      <c r="P1564" s="11"/>
      <c r="Q1564" s="11"/>
      <c r="R1564" s="11"/>
    </row>
    <row r="1565" spans="4:18">
      <c r="D1565" s="1" t="s">
        <v>199</v>
      </c>
      <c r="E1565" s="1" t="s">
        <v>640</v>
      </c>
      <c r="H1565" s="1" t="s">
        <v>22</v>
      </c>
      <c r="I1565" s="1" t="s">
        <v>23</v>
      </c>
      <c r="L1565" s="1">
        <v>1</v>
      </c>
      <c r="M1565" s="1">
        <v>1.4</v>
      </c>
      <c r="N1565" s="1">
        <v>1.4</v>
      </c>
      <c r="O1565" s="11"/>
      <c r="P1565" s="11"/>
      <c r="Q1565" s="11"/>
      <c r="R1565" s="11"/>
    </row>
    <row r="1566" spans="4:18">
      <c r="D1566" s="1" t="s">
        <v>199</v>
      </c>
      <c r="E1566" s="1" t="s">
        <v>641</v>
      </c>
      <c r="H1566" s="1" t="s">
        <v>22</v>
      </c>
      <c r="I1566" s="1" t="s">
        <v>23</v>
      </c>
      <c r="L1566" s="1">
        <v>1</v>
      </c>
      <c r="M1566" s="1">
        <v>1.6</v>
      </c>
      <c r="N1566" s="1">
        <v>1.6</v>
      </c>
      <c r="O1566" s="11"/>
      <c r="P1566" s="11"/>
      <c r="Q1566" s="11"/>
      <c r="R1566" s="11"/>
    </row>
    <row r="1567" spans="4:18">
      <c r="D1567" s="1" t="s">
        <v>199</v>
      </c>
      <c r="E1567" s="1" t="s">
        <v>642</v>
      </c>
      <c r="H1567" s="1" t="s">
        <v>22</v>
      </c>
      <c r="I1567" s="1" t="s">
        <v>23</v>
      </c>
      <c r="L1567" s="1">
        <v>1</v>
      </c>
      <c r="M1567" s="1">
        <v>0.1</v>
      </c>
      <c r="N1567" s="1">
        <v>0.1</v>
      </c>
      <c r="O1567" s="11"/>
      <c r="P1567" s="11"/>
      <c r="Q1567" s="11"/>
      <c r="R1567" s="11"/>
    </row>
    <row r="1568" spans="4:18">
      <c r="D1568" s="1" t="s">
        <v>199</v>
      </c>
      <c r="E1568" s="1" t="s">
        <v>643</v>
      </c>
      <c r="H1568" s="1" t="s">
        <v>22</v>
      </c>
      <c r="I1568" s="1" t="s">
        <v>23</v>
      </c>
      <c r="L1568" s="1">
        <v>1</v>
      </c>
      <c r="M1568" s="1">
        <v>0.3</v>
      </c>
      <c r="N1568" s="1">
        <v>0.3</v>
      </c>
      <c r="O1568" s="11"/>
      <c r="P1568" s="11"/>
      <c r="Q1568" s="11"/>
      <c r="R1568" s="11"/>
    </row>
    <row r="1569" spans="4:18">
      <c r="D1569" s="1" t="s">
        <v>199</v>
      </c>
      <c r="E1569" s="1" t="s">
        <v>644</v>
      </c>
      <c r="H1569" s="1" t="s">
        <v>22</v>
      </c>
      <c r="I1569" s="1" t="s">
        <v>23</v>
      </c>
      <c r="L1569" s="1">
        <v>1</v>
      </c>
      <c r="M1569" s="1">
        <v>0.5</v>
      </c>
      <c r="N1569" s="1">
        <v>0.5</v>
      </c>
      <c r="O1569" s="11"/>
      <c r="P1569" s="11"/>
      <c r="Q1569" s="11"/>
      <c r="R1569" s="11"/>
    </row>
    <row r="1570" spans="4:18">
      <c r="D1570" s="1" t="s">
        <v>199</v>
      </c>
      <c r="E1570" s="1" t="s">
        <v>645</v>
      </c>
      <c r="H1570" s="1" t="s">
        <v>22</v>
      </c>
      <c r="I1570" s="1" t="s">
        <v>23</v>
      </c>
      <c r="L1570" s="1">
        <v>1</v>
      </c>
      <c r="M1570" s="1">
        <v>0.9</v>
      </c>
      <c r="N1570" s="1">
        <v>0.9</v>
      </c>
      <c r="O1570" s="11"/>
      <c r="P1570" s="11"/>
      <c r="Q1570" s="11"/>
      <c r="R1570" s="11"/>
    </row>
    <row r="1571" spans="4:18">
      <c r="D1571" s="1" t="s">
        <v>199</v>
      </c>
      <c r="E1571" s="1" t="s">
        <v>646</v>
      </c>
      <c r="H1571" s="1" t="s">
        <v>22</v>
      </c>
      <c r="I1571" s="1" t="s">
        <v>23</v>
      </c>
      <c r="L1571" s="1">
        <v>1</v>
      </c>
      <c r="M1571" s="1">
        <v>1.1000000000000001</v>
      </c>
      <c r="N1571" s="1">
        <v>1.1000000000000001</v>
      </c>
      <c r="O1571" s="11"/>
      <c r="P1571" s="11"/>
      <c r="Q1571" s="11"/>
      <c r="R1571" s="11"/>
    </row>
    <row r="1572" spans="4:18">
      <c r="D1572" s="1" t="s">
        <v>199</v>
      </c>
      <c r="E1572" s="1" t="s">
        <v>647</v>
      </c>
      <c r="H1572" s="1" t="s">
        <v>22</v>
      </c>
      <c r="I1572" s="1" t="s">
        <v>23</v>
      </c>
      <c r="L1572" s="1">
        <v>1</v>
      </c>
      <c r="M1572" s="1">
        <v>1.5</v>
      </c>
      <c r="N1572" s="1">
        <v>1.5</v>
      </c>
      <c r="O1572" s="11"/>
      <c r="P1572" s="11"/>
      <c r="Q1572" s="11"/>
      <c r="R1572" s="11"/>
    </row>
    <row r="1573" spans="4:18">
      <c r="D1573" s="1" t="s">
        <v>199</v>
      </c>
      <c r="E1573" s="1" t="s">
        <v>648</v>
      </c>
      <c r="H1573" s="1" t="s">
        <v>22</v>
      </c>
      <c r="I1573" s="1" t="s">
        <v>23</v>
      </c>
      <c r="L1573" s="1">
        <v>1</v>
      </c>
      <c r="M1573" s="1">
        <v>1.7</v>
      </c>
      <c r="N1573" s="1">
        <v>1.7</v>
      </c>
      <c r="O1573" s="11"/>
      <c r="P1573" s="11"/>
      <c r="Q1573" s="11"/>
      <c r="R1573" s="11"/>
    </row>
    <row r="1574" spans="4:18">
      <c r="D1574" s="1" t="s">
        <v>199</v>
      </c>
      <c r="E1574" s="1" t="s">
        <v>649</v>
      </c>
      <c r="H1574" s="1" t="s">
        <v>22</v>
      </c>
      <c r="I1574" s="1" t="s">
        <v>29</v>
      </c>
      <c r="J1574" s="1">
        <v>0</v>
      </c>
      <c r="K1574" s="1">
        <v>2</v>
      </c>
      <c r="L1574" s="1">
        <v>1</v>
      </c>
      <c r="N1574" s="1">
        <v>0.9501383761933857</v>
      </c>
      <c r="O1574" s="11"/>
      <c r="P1574" s="11"/>
      <c r="Q1574" s="11"/>
      <c r="R1574" s="11"/>
    </row>
    <row r="1575" spans="4:18">
      <c r="D1575" s="1" t="s">
        <v>199</v>
      </c>
      <c r="E1575" s="1" t="s">
        <v>650</v>
      </c>
      <c r="H1575" s="1" t="s">
        <v>22</v>
      </c>
      <c r="I1575" s="1" t="s">
        <v>29</v>
      </c>
      <c r="J1575" s="1">
        <v>0</v>
      </c>
      <c r="K1575" s="1">
        <v>10</v>
      </c>
      <c r="L1575" s="1">
        <v>1</v>
      </c>
      <c r="N1575" s="1">
        <v>1.0511476764942715</v>
      </c>
      <c r="O1575" s="11"/>
      <c r="P1575" s="11"/>
      <c r="Q1575" s="11"/>
      <c r="R1575" s="11"/>
    </row>
    <row r="1576" spans="4:18">
      <c r="D1576" s="1" t="s">
        <v>199</v>
      </c>
      <c r="E1576" s="1" t="s">
        <v>651</v>
      </c>
      <c r="H1576" s="1" t="s">
        <v>22</v>
      </c>
      <c r="I1576" s="1" t="s">
        <v>29</v>
      </c>
      <c r="J1576" s="1">
        <v>0</v>
      </c>
      <c r="K1576" s="1">
        <v>10</v>
      </c>
      <c r="L1576" s="1">
        <v>1</v>
      </c>
      <c r="N1576" s="1">
        <v>1.2167209567522095</v>
      </c>
      <c r="O1576" s="11"/>
      <c r="P1576" s="11"/>
      <c r="Q1576" s="11"/>
      <c r="R1576" s="11"/>
    </row>
    <row r="1577" spans="4:18">
      <c r="D1577" s="1" t="s">
        <v>199</v>
      </c>
      <c r="E1577" s="1" t="s">
        <v>652</v>
      </c>
      <c r="H1577" s="1" t="s">
        <v>22</v>
      </c>
      <c r="I1577" s="1" t="s">
        <v>23</v>
      </c>
      <c r="L1577" s="1">
        <v>1</v>
      </c>
      <c r="M1577" s="1">
        <v>0</v>
      </c>
      <c r="N1577" s="1">
        <v>0</v>
      </c>
      <c r="O1577" s="11"/>
      <c r="P1577" s="11"/>
      <c r="Q1577" s="11"/>
      <c r="R1577" s="11"/>
    </row>
    <row r="1578" spans="4:18">
      <c r="D1578" s="1" t="s">
        <v>199</v>
      </c>
      <c r="E1578" s="1" t="s">
        <v>653</v>
      </c>
      <c r="H1578" s="1" t="s">
        <v>22</v>
      </c>
      <c r="I1578" s="1" t="s">
        <v>23</v>
      </c>
      <c r="L1578" s="1">
        <v>1</v>
      </c>
      <c r="M1578" s="1">
        <v>0</v>
      </c>
      <c r="N1578" s="1">
        <v>0</v>
      </c>
      <c r="O1578" s="11"/>
      <c r="P1578" s="11"/>
      <c r="Q1578" s="11"/>
      <c r="R1578" s="11"/>
    </row>
    <row r="1579" spans="4:18">
      <c r="D1579" s="1" t="s">
        <v>199</v>
      </c>
      <c r="E1579" s="1" t="s">
        <v>654</v>
      </c>
      <c r="H1579" s="1" t="s">
        <v>22</v>
      </c>
      <c r="I1579" s="1" t="s">
        <v>23</v>
      </c>
      <c r="L1579" s="1">
        <v>1</v>
      </c>
      <c r="M1579" s="1">
        <v>0</v>
      </c>
      <c r="N1579" s="1">
        <v>0</v>
      </c>
      <c r="O1579" s="11"/>
      <c r="P1579" s="11"/>
      <c r="Q1579" s="11"/>
      <c r="R1579" s="11"/>
    </row>
    <row r="1580" spans="4:18">
      <c r="D1580" s="1" t="s">
        <v>199</v>
      </c>
      <c r="E1580" s="1" t="s">
        <v>655</v>
      </c>
      <c r="H1580" s="1" t="s">
        <v>22</v>
      </c>
      <c r="I1580" s="1" t="s">
        <v>23</v>
      </c>
      <c r="L1580" s="1">
        <v>1</v>
      </c>
      <c r="M1580" s="1">
        <v>0</v>
      </c>
      <c r="N1580" s="1">
        <v>0</v>
      </c>
      <c r="O1580" s="11"/>
      <c r="P1580" s="11"/>
      <c r="Q1580" s="11"/>
      <c r="R1580" s="11"/>
    </row>
    <row r="1581" spans="4:18">
      <c r="D1581" s="1" t="s">
        <v>199</v>
      </c>
      <c r="E1581" s="1" t="s">
        <v>656</v>
      </c>
      <c r="H1581" s="1" t="s">
        <v>22</v>
      </c>
      <c r="I1581" s="1" t="s">
        <v>23</v>
      </c>
      <c r="L1581" s="1">
        <v>1</v>
      </c>
      <c r="M1581" s="1">
        <v>0</v>
      </c>
      <c r="N1581" s="1">
        <v>0</v>
      </c>
      <c r="O1581" s="11"/>
      <c r="P1581" s="11"/>
      <c r="Q1581" s="11"/>
      <c r="R1581" s="11"/>
    </row>
    <row r="1582" spans="4:18">
      <c r="D1582" s="1" t="s">
        <v>199</v>
      </c>
      <c r="E1582" s="1" t="s">
        <v>657</v>
      </c>
      <c r="H1582" s="1" t="s">
        <v>22</v>
      </c>
      <c r="I1582" s="1" t="s">
        <v>23</v>
      </c>
      <c r="L1582" s="1">
        <v>1</v>
      </c>
      <c r="M1582" s="1">
        <v>0</v>
      </c>
      <c r="N1582" s="1">
        <v>0</v>
      </c>
      <c r="O1582" s="11"/>
      <c r="P1582" s="11"/>
      <c r="Q1582" s="11"/>
      <c r="R1582" s="11"/>
    </row>
    <row r="1583" spans="4:18">
      <c r="D1583" s="1" t="s">
        <v>199</v>
      </c>
      <c r="E1583" s="1" t="s">
        <v>658</v>
      </c>
      <c r="H1583" s="1" t="s">
        <v>22</v>
      </c>
      <c r="I1583" s="1" t="s">
        <v>23</v>
      </c>
      <c r="L1583" s="1">
        <v>1</v>
      </c>
      <c r="M1583" s="1">
        <v>0</v>
      </c>
      <c r="N1583" s="1">
        <v>0</v>
      </c>
      <c r="O1583" s="11"/>
      <c r="P1583" s="11"/>
      <c r="Q1583" s="11"/>
      <c r="R1583" s="11"/>
    </row>
    <row r="1584" spans="4:18">
      <c r="D1584" s="1" t="s">
        <v>199</v>
      </c>
      <c r="E1584" s="1" t="s">
        <v>659</v>
      </c>
      <c r="H1584" s="1" t="s">
        <v>22</v>
      </c>
      <c r="I1584" s="1" t="s">
        <v>23</v>
      </c>
      <c r="L1584" s="1">
        <v>1</v>
      </c>
      <c r="M1584" s="1">
        <v>0</v>
      </c>
      <c r="N1584" s="1">
        <v>0</v>
      </c>
      <c r="O1584" s="11"/>
      <c r="P1584" s="11"/>
      <c r="Q1584" s="11"/>
      <c r="R1584" s="11"/>
    </row>
    <row r="1585" spans="4:18">
      <c r="D1585" s="1" t="s">
        <v>199</v>
      </c>
      <c r="E1585" s="1" t="s">
        <v>660</v>
      </c>
      <c r="H1585" s="1" t="s">
        <v>22</v>
      </c>
      <c r="I1585" s="1" t="s">
        <v>23</v>
      </c>
      <c r="L1585" s="1">
        <v>1</v>
      </c>
      <c r="M1585" s="1">
        <v>0</v>
      </c>
      <c r="N1585" s="1">
        <v>0</v>
      </c>
      <c r="O1585" s="11"/>
      <c r="P1585" s="11"/>
      <c r="Q1585" s="11"/>
      <c r="R1585" s="11"/>
    </row>
    <row r="1586" spans="4:18">
      <c r="D1586" s="1" t="s">
        <v>199</v>
      </c>
      <c r="E1586" s="1" t="s">
        <v>661</v>
      </c>
      <c r="H1586" s="1" t="s">
        <v>22</v>
      </c>
      <c r="I1586" s="1" t="s">
        <v>23</v>
      </c>
      <c r="L1586" s="1">
        <v>1</v>
      </c>
      <c r="M1586" s="1">
        <v>0.1</v>
      </c>
      <c r="N1586" s="1">
        <v>0.1</v>
      </c>
      <c r="O1586" s="11"/>
      <c r="P1586" s="11"/>
      <c r="Q1586" s="11"/>
      <c r="R1586" s="11"/>
    </row>
    <row r="1587" spans="4:18">
      <c r="D1587" s="1" t="s">
        <v>199</v>
      </c>
      <c r="E1587" s="1" t="s">
        <v>662</v>
      </c>
      <c r="H1587" s="1" t="s">
        <v>22</v>
      </c>
      <c r="I1587" s="1" t="s">
        <v>23</v>
      </c>
      <c r="L1587" s="1">
        <v>1</v>
      </c>
      <c r="M1587" s="1">
        <v>0.1</v>
      </c>
      <c r="N1587" s="1">
        <v>0.1</v>
      </c>
      <c r="O1587" s="11"/>
      <c r="P1587" s="11"/>
      <c r="Q1587" s="11"/>
      <c r="R1587" s="11"/>
    </row>
    <row r="1588" spans="4:18">
      <c r="D1588" s="1" t="s">
        <v>199</v>
      </c>
      <c r="E1588" s="1" t="s">
        <v>663</v>
      </c>
      <c r="H1588" s="1" t="s">
        <v>22</v>
      </c>
      <c r="I1588" s="1" t="s">
        <v>23</v>
      </c>
      <c r="L1588" s="1">
        <v>1</v>
      </c>
      <c r="M1588" s="1">
        <v>0.1</v>
      </c>
      <c r="N1588" s="1">
        <v>0.1</v>
      </c>
      <c r="O1588" s="11"/>
      <c r="P1588" s="11"/>
      <c r="Q1588" s="11"/>
      <c r="R1588" s="11"/>
    </row>
    <row r="1589" spans="4:18">
      <c r="D1589" s="1" t="s">
        <v>199</v>
      </c>
      <c r="E1589" s="1" t="s">
        <v>664</v>
      </c>
      <c r="H1589" s="1" t="s">
        <v>22</v>
      </c>
      <c r="I1589" s="1" t="s">
        <v>23</v>
      </c>
      <c r="L1589" s="1">
        <v>1</v>
      </c>
      <c r="M1589" s="1">
        <v>0.1</v>
      </c>
      <c r="N1589" s="1">
        <v>0.1</v>
      </c>
      <c r="O1589" s="11"/>
      <c r="P1589" s="11"/>
      <c r="Q1589" s="11"/>
      <c r="R1589" s="11"/>
    </row>
    <row r="1590" spans="4:18">
      <c r="D1590" s="1" t="s">
        <v>199</v>
      </c>
      <c r="E1590" s="1" t="s">
        <v>665</v>
      </c>
      <c r="H1590" s="1" t="s">
        <v>22</v>
      </c>
      <c r="I1590" s="1" t="s">
        <v>23</v>
      </c>
      <c r="L1590" s="1">
        <v>1</v>
      </c>
      <c r="M1590" s="1">
        <v>0.1</v>
      </c>
      <c r="N1590" s="1">
        <v>0.1</v>
      </c>
      <c r="O1590" s="11"/>
      <c r="P1590" s="11"/>
      <c r="Q1590" s="11"/>
      <c r="R1590" s="11"/>
    </row>
    <row r="1591" spans="4:18">
      <c r="D1591" s="1" t="s">
        <v>199</v>
      </c>
      <c r="E1591" s="1" t="s">
        <v>666</v>
      </c>
      <c r="H1591" s="1" t="s">
        <v>22</v>
      </c>
      <c r="I1591" s="1" t="s">
        <v>23</v>
      </c>
      <c r="L1591" s="1">
        <v>1</v>
      </c>
      <c r="M1591" s="1">
        <v>0.1</v>
      </c>
      <c r="N1591" s="1">
        <v>0.1</v>
      </c>
      <c r="O1591" s="11"/>
      <c r="P1591" s="11"/>
      <c r="Q1591" s="11"/>
      <c r="R1591" s="11"/>
    </row>
    <row r="1592" spans="4:18">
      <c r="D1592" s="1" t="s">
        <v>199</v>
      </c>
      <c r="E1592" s="1" t="s">
        <v>667</v>
      </c>
      <c r="H1592" s="1" t="s">
        <v>22</v>
      </c>
      <c r="I1592" s="1" t="s">
        <v>23</v>
      </c>
      <c r="L1592" s="1">
        <v>1</v>
      </c>
      <c r="M1592" s="1">
        <v>0.1</v>
      </c>
      <c r="N1592" s="1">
        <v>0.1</v>
      </c>
      <c r="O1592" s="11"/>
      <c r="P1592" s="11"/>
      <c r="Q1592" s="11"/>
      <c r="R1592" s="11"/>
    </row>
    <row r="1593" spans="4:18">
      <c r="D1593" s="1" t="s">
        <v>199</v>
      </c>
      <c r="E1593" s="1" t="s">
        <v>668</v>
      </c>
      <c r="H1593" s="1" t="s">
        <v>22</v>
      </c>
      <c r="I1593" s="1" t="s">
        <v>23</v>
      </c>
      <c r="L1593" s="1">
        <v>1</v>
      </c>
      <c r="M1593" s="1">
        <v>0.1</v>
      </c>
      <c r="N1593" s="1">
        <v>0.1</v>
      </c>
      <c r="O1593" s="11"/>
      <c r="P1593" s="11"/>
      <c r="Q1593" s="11"/>
      <c r="R1593" s="11"/>
    </row>
    <row r="1594" spans="4:18">
      <c r="D1594" s="1" t="s">
        <v>199</v>
      </c>
      <c r="E1594" s="1" t="s">
        <v>669</v>
      </c>
      <c r="H1594" s="1" t="s">
        <v>22</v>
      </c>
      <c r="I1594" s="1" t="s">
        <v>23</v>
      </c>
      <c r="L1594" s="1">
        <v>1</v>
      </c>
      <c r="M1594" s="1">
        <v>0.1</v>
      </c>
      <c r="N1594" s="1">
        <v>0.1</v>
      </c>
      <c r="O1594" s="11"/>
      <c r="P1594" s="11"/>
      <c r="Q1594" s="11"/>
      <c r="R1594" s="11"/>
    </row>
    <row r="1595" spans="4:18">
      <c r="D1595" s="1" t="s">
        <v>199</v>
      </c>
      <c r="E1595" s="1" t="s">
        <v>670</v>
      </c>
      <c r="H1595" s="1" t="s">
        <v>22</v>
      </c>
      <c r="I1595" s="1" t="s">
        <v>23</v>
      </c>
      <c r="L1595" s="1">
        <v>1</v>
      </c>
      <c r="M1595" s="1">
        <v>0.2</v>
      </c>
      <c r="N1595" s="1">
        <v>0.2</v>
      </c>
      <c r="O1595" s="11"/>
      <c r="P1595" s="11"/>
      <c r="Q1595" s="11"/>
      <c r="R1595" s="11"/>
    </row>
    <row r="1596" spans="4:18">
      <c r="D1596" s="1" t="s">
        <v>199</v>
      </c>
      <c r="E1596" s="1" t="s">
        <v>671</v>
      </c>
      <c r="H1596" s="1" t="s">
        <v>22</v>
      </c>
      <c r="I1596" s="1" t="s">
        <v>23</v>
      </c>
      <c r="L1596" s="1">
        <v>1</v>
      </c>
      <c r="M1596" s="1">
        <v>0.2</v>
      </c>
      <c r="N1596" s="1">
        <v>0.2</v>
      </c>
      <c r="O1596" s="11"/>
      <c r="P1596" s="11"/>
      <c r="Q1596" s="11"/>
      <c r="R1596" s="11"/>
    </row>
    <row r="1597" spans="4:18">
      <c r="D1597" s="1" t="s">
        <v>199</v>
      </c>
      <c r="E1597" s="1" t="s">
        <v>672</v>
      </c>
      <c r="H1597" s="1" t="s">
        <v>22</v>
      </c>
      <c r="I1597" s="1" t="s">
        <v>23</v>
      </c>
      <c r="L1597" s="1">
        <v>1</v>
      </c>
      <c r="M1597" s="1">
        <v>0.2</v>
      </c>
      <c r="N1597" s="1">
        <v>0.2</v>
      </c>
      <c r="O1597" s="11"/>
      <c r="P1597" s="11"/>
      <c r="Q1597" s="11"/>
      <c r="R1597" s="11"/>
    </row>
    <row r="1598" spans="4:18">
      <c r="D1598" s="1" t="s">
        <v>199</v>
      </c>
      <c r="E1598" s="1" t="s">
        <v>673</v>
      </c>
      <c r="H1598" s="1" t="s">
        <v>22</v>
      </c>
      <c r="I1598" s="1" t="s">
        <v>23</v>
      </c>
      <c r="L1598" s="1">
        <v>1</v>
      </c>
      <c r="M1598" s="1">
        <v>0.2</v>
      </c>
      <c r="N1598" s="1">
        <v>0.2</v>
      </c>
      <c r="O1598" s="11"/>
      <c r="P1598" s="11"/>
      <c r="Q1598" s="11"/>
      <c r="R1598" s="11"/>
    </row>
    <row r="1599" spans="4:18">
      <c r="D1599" s="1" t="s">
        <v>199</v>
      </c>
      <c r="E1599" s="1" t="s">
        <v>674</v>
      </c>
      <c r="H1599" s="1" t="s">
        <v>22</v>
      </c>
      <c r="I1599" s="1" t="s">
        <v>23</v>
      </c>
      <c r="L1599" s="1">
        <v>1</v>
      </c>
      <c r="M1599" s="1">
        <v>0.2</v>
      </c>
      <c r="N1599" s="1">
        <v>0.2</v>
      </c>
      <c r="O1599" s="11"/>
      <c r="P1599" s="11"/>
      <c r="Q1599" s="11"/>
      <c r="R1599" s="11"/>
    </row>
    <row r="1600" spans="4:18">
      <c r="D1600" s="1" t="s">
        <v>199</v>
      </c>
      <c r="E1600" s="1" t="s">
        <v>675</v>
      </c>
      <c r="H1600" s="1" t="s">
        <v>22</v>
      </c>
      <c r="I1600" s="1" t="s">
        <v>23</v>
      </c>
      <c r="L1600" s="1">
        <v>1</v>
      </c>
      <c r="M1600" s="1">
        <v>0.2</v>
      </c>
      <c r="N1600" s="1">
        <v>0.2</v>
      </c>
      <c r="O1600" s="11"/>
      <c r="P1600" s="11"/>
      <c r="Q1600" s="11"/>
      <c r="R1600" s="11"/>
    </row>
    <row r="1601" spans="4:18">
      <c r="D1601" s="1" t="s">
        <v>199</v>
      </c>
      <c r="E1601" s="1" t="s">
        <v>676</v>
      </c>
      <c r="H1601" s="1" t="s">
        <v>22</v>
      </c>
      <c r="I1601" s="1" t="s">
        <v>23</v>
      </c>
      <c r="L1601" s="1">
        <v>1</v>
      </c>
      <c r="M1601" s="1">
        <v>0.2</v>
      </c>
      <c r="N1601" s="1">
        <v>0.2</v>
      </c>
      <c r="O1601" s="11"/>
      <c r="P1601" s="11"/>
      <c r="Q1601" s="11"/>
      <c r="R1601" s="11"/>
    </row>
    <row r="1602" spans="4:18">
      <c r="D1602" s="1" t="s">
        <v>199</v>
      </c>
      <c r="E1602" s="1" t="s">
        <v>677</v>
      </c>
      <c r="H1602" s="1" t="s">
        <v>22</v>
      </c>
      <c r="I1602" s="1" t="s">
        <v>23</v>
      </c>
      <c r="L1602" s="1">
        <v>1</v>
      </c>
      <c r="M1602" s="1">
        <v>0.2</v>
      </c>
      <c r="N1602" s="1">
        <v>0.2</v>
      </c>
      <c r="O1602" s="11"/>
      <c r="P1602" s="11"/>
      <c r="Q1602" s="11"/>
      <c r="R1602" s="11"/>
    </row>
    <row r="1603" spans="4:18">
      <c r="D1603" s="1" t="s">
        <v>199</v>
      </c>
      <c r="E1603" s="1" t="s">
        <v>678</v>
      </c>
      <c r="H1603" s="1" t="s">
        <v>22</v>
      </c>
      <c r="I1603" s="1" t="s">
        <v>23</v>
      </c>
      <c r="L1603" s="1">
        <v>1</v>
      </c>
      <c r="M1603" s="1">
        <v>0.2</v>
      </c>
      <c r="N1603" s="1">
        <v>0.2</v>
      </c>
      <c r="O1603" s="11"/>
      <c r="P1603" s="11"/>
      <c r="Q1603" s="11"/>
      <c r="R1603" s="11"/>
    </row>
    <row r="1604" spans="4:18">
      <c r="D1604" s="1" t="s">
        <v>199</v>
      </c>
      <c r="E1604" s="1" t="s">
        <v>679</v>
      </c>
      <c r="H1604" s="1" t="s">
        <v>22</v>
      </c>
      <c r="I1604" s="1" t="s">
        <v>23</v>
      </c>
      <c r="L1604" s="1">
        <v>1</v>
      </c>
      <c r="M1604" s="1">
        <v>0.3</v>
      </c>
      <c r="N1604" s="1">
        <v>0.3</v>
      </c>
      <c r="O1604" s="11"/>
      <c r="P1604" s="11"/>
      <c r="Q1604" s="11"/>
      <c r="R1604" s="11"/>
    </row>
    <row r="1605" spans="4:18">
      <c r="D1605" s="1" t="s">
        <v>199</v>
      </c>
      <c r="E1605" s="1" t="s">
        <v>680</v>
      </c>
      <c r="H1605" s="1" t="s">
        <v>22</v>
      </c>
      <c r="I1605" s="1" t="s">
        <v>23</v>
      </c>
      <c r="L1605" s="1">
        <v>1</v>
      </c>
      <c r="M1605" s="1">
        <v>0.3</v>
      </c>
      <c r="N1605" s="1">
        <v>0.3</v>
      </c>
      <c r="O1605" s="11"/>
      <c r="P1605" s="11"/>
      <c r="Q1605" s="11"/>
      <c r="R1605" s="11"/>
    </row>
    <row r="1606" spans="4:18">
      <c r="D1606" s="1" t="s">
        <v>199</v>
      </c>
      <c r="E1606" s="1" t="s">
        <v>681</v>
      </c>
      <c r="H1606" s="1" t="s">
        <v>22</v>
      </c>
      <c r="I1606" s="1" t="s">
        <v>23</v>
      </c>
      <c r="L1606" s="1">
        <v>1</v>
      </c>
      <c r="M1606" s="1">
        <v>0.3</v>
      </c>
      <c r="N1606" s="1">
        <v>0.3</v>
      </c>
      <c r="O1606" s="11"/>
      <c r="P1606" s="11"/>
      <c r="Q1606" s="11"/>
      <c r="R1606" s="11"/>
    </row>
    <row r="1607" spans="4:18">
      <c r="D1607" s="1" t="s">
        <v>199</v>
      </c>
      <c r="E1607" s="1" t="s">
        <v>682</v>
      </c>
      <c r="H1607" s="1" t="s">
        <v>22</v>
      </c>
      <c r="I1607" s="1" t="s">
        <v>23</v>
      </c>
      <c r="L1607" s="1">
        <v>1</v>
      </c>
      <c r="M1607" s="1">
        <v>0.3</v>
      </c>
      <c r="N1607" s="1">
        <v>0.3</v>
      </c>
      <c r="O1607" s="11"/>
      <c r="P1607" s="11"/>
      <c r="Q1607" s="11"/>
      <c r="R1607" s="11"/>
    </row>
    <row r="1608" spans="4:18">
      <c r="D1608" s="1" t="s">
        <v>199</v>
      </c>
      <c r="E1608" s="1" t="s">
        <v>683</v>
      </c>
      <c r="H1608" s="1" t="s">
        <v>22</v>
      </c>
      <c r="I1608" s="1" t="s">
        <v>23</v>
      </c>
      <c r="L1608" s="1">
        <v>1</v>
      </c>
      <c r="M1608" s="1">
        <v>0.3</v>
      </c>
      <c r="N1608" s="1">
        <v>0.3</v>
      </c>
      <c r="O1608" s="11"/>
      <c r="P1608" s="11"/>
      <c r="Q1608" s="11"/>
      <c r="R1608" s="11"/>
    </row>
    <row r="1609" spans="4:18">
      <c r="D1609" s="1" t="s">
        <v>199</v>
      </c>
      <c r="E1609" s="1" t="s">
        <v>684</v>
      </c>
      <c r="H1609" s="1" t="s">
        <v>22</v>
      </c>
      <c r="I1609" s="1" t="s">
        <v>23</v>
      </c>
      <c r="L1609" s="1">
        <v>1</v>
      </c>
      <c r="M1609" s="1">
        <v>0.3</v>
      </c>
      <c r="N1609" s="1">
        <v>0.3</v>
      </c>
      <c r="O1609" s="11"/>
      <c r="P1609" s="11"/>
      <c r="Q1609" s="11"/>
      <c r="R1609" s="11"/>
    </row>
    <row r="1610" spans="4:18">
      <c r="D1610" s="1" t="s">
        <v>199</v>
      </c>
      <c r="E1610" s="1" t="s">
        <v>685</v>
      </c>
      <c r="H1610" s="1" t="s">
        <v>22</v>
      </c>
      <c r="I1610" s="1" t="s">
        <v>23</v>
      </c>
      <c r="L1610" s="1">
        <v>1</v>
      </c>
      <c r="M1610" s="1">
        <v>0.3</v>
      </c>
      <c r="N1610" s="1">
        <v>0.3</v>
      </c>
      <c r="O1610" s="11"/>
      <c r="P1610" s="11"/>
      <c r="Q1610" s="11"/>
      <c r="R1610" s="11"/>
    </row>
    <row r="1611" spans="4:18">
      <c r="D1611" s="1" t="s">
        <v>199</v>
      </c>
      <c r="E1611" s="1" t="s">
        <v>686</v>
      </c>
      <c r="H1611" s="1" t="s">
        <v>22</v>
      </c>
      <c r="I1611" s="1" t="s">
        <v>23</v>
      </c>
      <c r="L1611" s="1">
        <v>1</v>
      </c>
      <c r="M1611" s="1">
        <v>0.3</v>
      </c>
      <c r="N1611" s="1">
        <v>0.3</v>
      </c>
      <c r="O1611" s="11"/>
      <c r="P1611" s="11"/>
      <c r="Q1611" s="11"/>
      <c r="R1611" s="11"/>
    </row>
    <row r="1612" spans="4:18">
      <c r="D1612" s="1" t="s">
        <v>199</v>
      </c>
      <c r="E1612" s="1" t="s">
        <v>687</v>
      </c>
      <c r="H1612" s="1" t="s">
        <v>22</v>
      </c>
      <c r="I1612" s="1" t="s">
        <v>23</v>
      </c>
      <c r="L1612" s="1">
        <v>1</v>
      </c>
      <c r="M1612" s="1">
        <v>0.3</v>
      </c>
      <c r="N1612" s="1">
        <v>0.3</v>
      </c>
      <c r="O1612" s="11"/>
      <c r="P1612" s="11"/>
      <c r="Q1612" s="11"/>
      <c r="R1612" s="11"/>
    </row>
    <row r="1613" spans="4:18">
      <c r="D1613" s="1" t="s">
        <v>199</v>
      </c>
      <c r="E1613" s="1" t="s">
        <v>688</v>
      </c>
      <c r="H1613" s="1" t="s">
        <v>22</v>
      </c>
      <c r="I1613" s="1" t="s">
        <v>23</v>
      </c>
      <c r="L1613" s="1">
        <v>1</v>
      </c>
      <c r="M1613" s="1">
        <v>0.4</v>
      </c>
      <c r="N1613" s="1">
        <v>0.4</v>
      </c>
      <c r="O1613" s="11"/>
      <c r="P1613" s="11"/>
      <c r="Q1613" s="11"/>
      <c r="R1613" s="11"/>
    </row>
    <row r="1614" spans="4:18">
      <c r="D1614" s="1" t="s">
        <v>199</v>
      </c>
      <c r="E1614" s="1" t="s">
        <v>689</v>
      </c>
      <c r="H1614" s="1" t="s">
        <v>22</v>
      </c>
      <c r="I1614" s="1" t="s">
        <v>23</v>
      </c>
      <c r="L1614" s="1">
        <v>1</v>
      </c>
      <c r="M1614" s="1">
        <v>0.4</v>
      </c>
      <c r="N1614" s="1">
        <v>0.4</v>
      </c>
      <c r="O1614" s="11"/>
      <c r="P1614" s="11"/>
      <c r="Q1614" s="11"/>
      <c r="R1614" s="11"/>
    </row>
    <row r="1615" spans="4:18">
      <c r="D1615" s="1" t="s">
        <v>199</v>
      </c>
      <c r="E1615" s="1" t="s">
        <v>690</v>
      </c>
      <c r="H1615" s="1" t="s">
        <v>22</v>
      </c>
      <c r="I1615" s="1" t="s">
        <v>23</v>
      </c>
      <c r="L1615" s="1">
        <v>1</v>
      </c>
      <c r="M1615" s="1">
        <v>0.4</v>
      </c>
      <c r="N1615" s="1">
        <v>0.4</v>
      </c>
      <c r="O1615" s="11"/>
      <c r="P1615" s="11"/>
      <c r="Q1615" s="11"/>
      <c r="R1615" s="11"/>
    </row>
    <row r="1616" spans="4:18">
      <c r="D1616" s="1" t="s">
        <v>199</v>
      </c>
      <c r="E1616" s="1" t="s">
        <v>691</v>
      </c>
      <c r="H1616" s="1" t="s">
        <v>22</v>
      </c>
      <c r="I1616" s="1" t="s">
        <v>23</v>
      </c>
      <c r="L1616" s="1">
        <v>1</v>
      </c>
      <c r="M1616" s="1">
        <v>0.4</v>
      </c>
      <c r="N1616" s="1">
        <v>0.4</v>
      </c>
      <c r="O1616" s="11"/>
      <c r="P1616" s="11"/>
      <c r="Q1616" s="11"/>
      <c r="R1616" s="11"/>
    </row>
    <row r="1617" spans="4:18">
      <c r="D1617" s="1" t="s">
        <v>199</v>
      </c>
      <c r="E1617" s="1" t="s">
        <v>692</v>
      </c>
      <c r="H1617" s="1" t="s">
        <v>22</v>
      </c>
      <c r="I1617" s="1" t="s">
        <v>23</v>
      </c>
      <c r="L1617" s="1">
        <v>1</v>
      </c>
      <c r="M1617" s="1">
        <v>0.4</v>
      </c>
      <c r="N1617" s="1">
        <v>0.4</v>
      </c>
      <c r="O1617" s="11"/>
      <c r="P1617" s="11"/>
      <c r="Q1617" s="11"/>
      <c r="R1617" s="11"/>
    </row>
    <row r="1618" spans="4:18">
      <c r="D1618" s="1" t="s">
        <v>199</v>
      </c>
      <c r="E1618" s="1" t="s">
        <v>693</v>
      </c>
      <c r="H1618" s="1" t="s">
        <v>22</v>
      </c>
      <c r="I1618" s="1" t="s">
        <v>23</v>
      </c>
      <c r="L1618" s="1">
        <v>1</v>
      </c>
      <c r="M1618" s="1">
        <v>0.4</v>
      </c>
      <c r="N1618" s="1">
        <v>0.4</v>
      </c>
      <c r="O1618" s="11"/>
      <c r="P1618" s="11"/>
      <c r="Q1618" s="11"/>
      <c r="R1618" s="11"/>
    </row>
    <row r="1619" spans="4:18">
      <c r="D1619" s="1" t="s">
        <v>199</v>
      </c>
      <c r="E1619" s="1" t="s">
        <v>694</v>
      </c>
      <c r="H1619" s="1" t="s">
        <v>22</v>
      </c>
      <c r="I1619" s="1" t="s">
        <v>23</v>
      </c>
      <c r="L1619" s="1">
        <v>1</v>
      </c>
      <c r="M1619" s="1">
        <v>0.4</v>
      </c>
      <c r="N1619" s="1">
        <v>0.4</v>
      </c>
      <c r="O1619" s="11"/>
      <c r="P1619" s="11"/>
      <c r="Q1619" s="11"/>
      <c r="R1619" s="11"/>
    </row>
    <row r="1620" spans="4:18">
      <c r="D1620" s="1" t="s">
        <v>199</v>
      </c>
      <c r="E1620" s="1" t="s">
        <v>695</v>
      </c>
      <c r="H1620" s="1" t="s">
        <v>22</v>
      </c>
      <c r="I1620" s="1" t="s">
        <v>23</v>
      </c>
      <c r="L1620" s="1">
        <v>1</v>
      </c>
      <c r="M1620" s="1">
        <v>0.4</v>
      </c>
      <c r="N1620" s="1">
        <v>0.4</v>
      </c>
      <c r="O1620" s="11"/>
      <c r="P1620" s="11"/>
      <c r="Q1620" s="11"/>
      <c r="R1620" s="11"/>
    </row>
    <row r="1621" spans="4:18">
      <c r="D1621" s="1" t="s">
        <v>199</v>
      </c>
      <c r="E1621" s="1" t="s">
        <v>696</v>
      </c>
      <c r="H1621" s="1" t="s">
        <v>22</v>
      </c>
      <c r="I1621" s="1" t="s">
        <v>23</v>
      </c>
      <c r="L1621" s="1">
        <v>1</v>
      </c>
      <c r="M1621" s="1">
        <v>0.4</v>
      </c>
      <c r="N1621" s="1">
        <v>0.4</v>
      </c>
      <c r="O1621" s="11"/>
      <c r="P1621" s="11"/>
      <c r="Q1621" s="11"/>
      <c r="R1621" s="11"/>
    </row>
    <row r="1622" spans="4:18">
      <c r="D1622" s="1" t="s">
        <v>199</v>
      </c>
      <c r="E1622" s="1" t="s">
        <v>697</v>
      </c>
      <c r="H1622" s="1" t="s">
        <v>22</v>
      </c>
      <c r="I1622" s="1" t="s">
        <v>23</v>
      </c>
      <c r="L1622" s="1">
        <v>1</v>
      </c>
      <c r="M1622" s="1">
        <v>0.5</v>
      </c>
      <c r="N1622" s="1">
        <v>0.5</v>
      </c>
      <c r="O1622" s="11"/>
      <c r="P1622" s="11"/>
      <c r="Q1622" s="11"/>
      <c r="R1622" s="11"/>
    </row>
    <row r="1623" spans="4:18">
      <c r="D1623" s="1" t="s">
        <v>199</v>
      </c>
      <c r="E1623" s="1" t="s">
        <v>698</v>
      </c>
      <c r="H1623" s="1" t="s">
        <v>22</v>
      </c>
      <c r="I1623" s="1" t="s">
        <v>23</v>
      </c>
      <c r="L1623" s="1">
        <v>1</v>
      </c>
      <c r="M1623" s="1">
        <v>0.5</v>
      </c>
      <c r="N1623" s="1">
        <v>0.5</v>
      </c>
      <c r="O1623" s="11"/>
      <c r="P1623" s="11"/>
      <c r="Q1623" s="11"/>
      <c r="R1623" s="11"/>
    </row>
    <row r="1624" spans="4:18">
      <c r="D1624" s="1" t="s">
        <v>199</v>
      </c>
      <c r="E1624" s="1" t="s">
        <v>699</v>
      </c>
      <c r="H1624" s="1" t="s">
        <v>22</v>
      </c>
      <c r="I1624" s="1" t="s">
        <v>23</v>
      </c>
      <c r="L1624" s="1">
        <v>1</v>
      </c>
      <c r="M1624" s="1">
        <v>0.5</v>
      </c>
      <c r="N1624" s="1">
        <v>0.5</v>
      </c>
      <c r="O1624" s="11"/>
      <c r="P1624" s="11"/>
      <c r="Q1624" s="11"/>
      <c r="R1624" s="11"/>
    </row>
    <row r="1625" spans="4:18">
      <c r="D1625" s="1" t="s">
        <v>199</v>
      </c>
      <c r="E1625" s="1" t="s">
        <v>700</v>
      </c>
      <c r="H1625" s="1" t="s">
        <v>22</v>
      </c>
      <c r="I1625" s="1" t="s">
        <v>23</v>
      </c>
      <c r="L1625" s="1">
        <v>1</v>
      </c>
      <c r="M1625" s="1">
        <v>0.5</v>
      </c>
      <c r="N1625" s="1">
        <v>0.5</v>
      </c>
      <c r="O1625" s="11"/>
      <c r="P1625" s="11"/>
      <c r="Q1625" s="11"/>
      <c r="R1625" s="11"/>
    </row>
    <row r="1626" spans="4:18">
      <c r="D1626" s="1" t="s">
        <v>199</v>
      </c>
      <c r="E1626" s="1" t="s">
        <v>701</v>
      </c>
      <c r="H1626" s="1" t="s">
        <v>22</v>
      </c>
      <c r="I1626" s="1" t="s">
        <v>23</v>
      </c>
      <c r="L1626" s="1">
        <v>1</v>
      </c>
      <c r="M1626" s="1">
        <v>0.5</v>
      </c>
      <c r="N1626" s="1">
        <v>0.5</v>
      </c>
      <c r="O1626" s="11"/>
      <c r="P1626" s="11"/>
      <c r="Q1626" s="11"/>
      <c r="R1626" s="11"/>
    </row>
    <row r="1627" spans="4:18">
      <c r="D1627" s="1" t="s">
        <v>199</v>
      </c>
      <c r="E1627" s="1" t="s">
        <v>702</v>
      </c>
      <c r="H1627" s="1" t="s">
        <v>22</v>
      </c>
      <c r="I1627" s="1" t="s">
        <v>23</v>
      </c>
      <c r="L1627" s="1">
        <v>1</v>
      </c>
      <c r="M1627" s="1">
        <v>0.5</v>
      </c>
      <c r="N1627" s="1">
        <v>0.5</v>
      </c>
      <c r="O1627" s="11"/>
      <c r="P1627" s="11"/>
      <c r="Q1627" s="11"/>
      <c r="R1627" s="11"/>
    </row>
    <row r="1628" spans="4:18">
      <c r="D1628" s="1" t="s">
        <v>199</v>
      </c>
      <c r="E1628" s="1" t="s">
        <v>703</v>
      </c>
      <c r="H1628" s="1" t="s">
        <v>22</v>
      </c>
      <c r="I1628" s="1" t="s">
        <v>23</v>
      </c>
      <c r="L1628" s="1">
        <v>1</v>
      </c>
      <c r="M1628" s="1">
        <v>0.5</v>
      </c>
      <c r="N1628" s="1">
        <v>0.5</v>
      </c>
      <c r="O1628" s="11"/>
      <c r="P1628" s="11"/>
      <c r="Q1628" s="11"/>
      <c r="R1628" s="11"/>
    </row>
    <row r="1629" spans="4:18">
      <c r="D1629" s="1" t="s">
        <v>199</v>
      </c>
      <c r="E1629" s="1" t="s">
        <v>704</v>
      </c>
      <c r="H1629" s="1" t="s">
        <v>22</v>
      </c>
      <c r="I1629" s="1" t="s">
        <v>23</v>
      </c>
      <c r="L1629" s="1">
        <v>1</v>
      </c>
      <c r="M1629" s="1">
        <v>0.5</v>
      </c>
      <c r="N1629" s="1">
        <v>0.5</v>
      </c>
      <c r="O1629" s="11"/>
      <c r="P1629" s="11"/>
      <c r="Q1629" s="11"/>
      <c r="R1629" s="11"/>
    </row>
    <row r="1630" spans="4:18">
      <c r="D1630" s="1" t="s">
        <v>199</v>
      </c>
      <c r="E1630" s="1" t="s">
        <v>705</v>
      </c>
      <c r="H1630" s="1" t="s">
        <v>22</v>
      </c>
      <c r="I1630" s="1" t="s">
        <v>23</v>
      </c>
      <c r="L1630" s="1">
        <v>1</v>
      </c>
      <c r="M1630" s="1">
        <v>0.5</v>
      </c>
      <c r="N1630" s="1">
        <v>0.5</v>
      </c>
      <c r="O1630" s="11"/>
      <c r="P1630" s="11"/>
      <c r="Q1630" s="11"/>
      <c r="R1630" s="11"/>
    </row>
    <row r="1631" spans="4:18">
      <c r="D1631" s="1" t="s">
        <v>199</v>
      </c>
      <c r="E1631" s="1" t="s">
        <v>706</v>
      </c>
      <c r="H1631" s="1" t="s">
        <v>22</v>
      </c>
      <c r="I1631" s="1" t="s">
        <v>23</v>
      </c>
      <c r="L1631" s="1">
        <v>1</v>
      </c>
      <c r="M1631" s="1">
        <v>0.6</v>
      </c>
      <c r="N1631" s="1">
        <v>0.6</v>
      </c>
      <c r="O1631" s="11"/>
      <c r="P1631" s="11"/>
      <c r="Q1631" s="11"/>
      <c r="R1631" s="11"/>
    </row>
    <row r="1632" spans="4:18">
      <c r="D1632" s="1" t="s">
        <v>199</v>
      </c>
      <c r="E1632" s="1" t="s">
        <v>707</v>
      </c>
      <c r="H1632" s="1" t="s">
        <v>22</v>
      </c>
      <c r="I1632" s="1" t="s">
        <v>23</v>
      </c>
      <c r="L1632" s="1">
        <v>1</v>
      </c>
      <c r="M1632" s="1">
        <v>0.6</v>
      </c>
      <c r="N1632" s="1">
        <v>0.6</v>
      </c>
      <c r="O1632" s="11"/>
      <c r="P1632" s="11"/>
      <c r="Q1632" s="11"/>
      <c r="R1632" s="11"/>
    </row>
    <row r="1633" spans="4:18">
      <c r="D1633" s="1" t="s">
        <v>199</v>
      </c>
      <c r="E1633" s="1" t="s">
        <v>708</v>
      </c>
      <c r="H1633" s="1" t="s">
        <v>22</v>
      </c>
      <c r="I1633" s="1" t="s">
        <v>23</v>
      </c>
      <c r="L1633" s="1">
        <v>1</v>
      </c>
      <c r="M1633" s="1">
        <v>0.6</v>
      </c>
      <c r="N1633" s="1">
        <v>0.6</v>
      </c>
      <c r="O1633" s="11"/>
      <c r="P1633" s="11"/>
      <c r="Q1633" s="11"/>
      <c r="R1633" s="11"/>
    </row>
    <row r="1634" spans="4:18">
      <c r="D1634" s="1" t="s">
        <v>199</v>
      </c>
      <c r="E1634" s="1" t="s">
        <v>709</v>
      </c>
      <c r="H1634" s="1" t="s">
        <v>22</v>
      </c>
      <c r="I1634" s="1" t="s">
        <v>23</v>
      </c>
      <c r="L1634" s="1">
        <v>1</v>
      </c>
      <c r="M1634" s="1">
        <v>0.6</v>
      </c>
      <c r="N1634" s="1">
        <v>0.6</v>
      </c>
      <c r="O1634" s="11"/>
      <c r="P1634" s="11"/>
      <c r="Q1634" s="11"/>
      <c r="R1634" s="11"/>
    </row>
    <row r="1635" spans="4:18">
      <c r="D1635" s="1" t="s">
        <v>199</v>
      </c>
      <c r="E1635" s="1" t="s">
        <v>710</v>
      </c>
      <c r="H1635" s="1" t="s">
        <v>22</v>
      </c>
      <c r="I1635" s="1" t="s">
        <v>23</v>
      </c>
      <c r="L1635" s="1">
        <v>1</v>
      </c>
      <c r="M1635" s="1">
        <v>0.6</v>
      </c>
      <c r="N1635" s="1">
        <v>0.6</v>
      </c>
      <c r="O1635" s="11"/>
      <c r="P1635" s="11"/>
      <c r="Q1635" s="11"/>
      <c r="R1635" s="11"/>
    </row>
    <row r="1636" spans="4:18">
      <c r="D1636" s="1" t="s">
        <v>199</v>
      </c>
      <c r="E1636" s="1" t="s">
        <v>711</v>
      </c>
      <c r="H1636" s="1" t="s">
        <v>22</v>
      </c>
      <c r="I1636" s="1" t="s">
        <v>23</v>
      </c>
      <c r="L1636" s="1">
        <v>1</v>
      </c>
      <c r="M1636" s="1">
        <v>0.6</v>
      </c>
      <c r="N1636" s="1">
        <v>0.6</v>
      </c>
      <c r="O1636" s="11"/>
      <c r="P1636" s="11"/>
      <c r="Q1636" s="11"/>
      <c r="R1636" s="11"/>
    </row>
    <row r="1637" spans="4:18">
      <c r="D1637" s="1" t="s">
        <v>199</v>
      </c>
      <c r="E1637" s="1" t="s">
        <v>712</v>
      </c>
      <c r="H1637" s="1" t="s">
        <v>22</v>
      </c>
      <c r="I1637" s="1" t="s">
        <v>23</v>
      </c>
      <c r="L1637" s="1">
        <v>1</v>
      </c>
      <c r="M1637" s="1">
        <v>0.6</v>
      </c>
      <c r="N1637" s="1">
        <v>0.6</v>
      </c>
      <c r="O1637" s="11"/>
      <c r="P1637" s="11"/>
      <c r="Q1637" s="11"/>
      <c r="R1637" s="11"/>
    </row>
    <row r="1638" spans="4:18">
      <c r="D1638" s="1" t="s">
        <v>199</v>
      </c>
      <c r="E1638" s="1" t="s">
        <v>713</v>
      </c>
      <c r="H1638" s="1" t="s">
        <v>22</v>
      </c>
      <c r="I1638" s="1" t="s">
        <v>23</v>
      </c>
      <c r="L1638" s="1">
        <v>1</v>
      </c>
      <c r="M1638" s="1">
        <v>0.6</v>
      </c>
      <c r="N1638" s="1">
        <v>0.6</v>
      </c>
      <c r="O1638" s="11"/>
      <c r="P1638" s="11"/>
      <c r="Q1638" s="11"/>
      <c r="R1638" s="11"/>
    </row>
    <row r="1639" spans="4:18">
      <c r="D1639" s="1" t="s">
        <v>199</v>
      </c>
      <c r="E1639" s="1" t="s">
        <v>714</v>
      </c>
      <c r="H1639" s="1" t="s">
        <v>22</v>
      </c>
      <c r="I1639" s="1" t="s">
        <v>23</v>
      </c>
      <c r="L1639" s="1">
        <v>1</v>
      </c>
      <c r="M1639" s="1">
        <v>0.6</v>
      </c>
      <c r="N1639" s="1">
        <v>0.6</v>
      </c>
      <c r="O1639" s="11"/>
      <c r="P1639" s="11"/>
      <c r="Q1639" s="11"/>
      <c r="R1639" s="11"/>
    </row>
    <row r="1640" spans="4:18">
      <c r="D1640" s="1" t="s">
        <v>199</v>
      </c>
      <c r="E1640" s="1" t="s">
        <v>715</v>
      </c>
      <c r="H1640" s="1" t="s">
        <v>22</v>
      </c>
      <c r="I1640" s="1" t="s">
        <v>23</v>
      </c>
      <c r="L1640" s="1">
        <v>1</v>
      </c>
      <c r="M1640" s="1">
        <v>0.7</v>
      </c>
      <c r="N1640" s="1">
        <v>0.7</v>
      </c>
      <c r="O1640" s="11"/>
      <c r="P1640" s="11"/>
      <c r="Q1640" s="11"/>
      <c r="R1640" s="11"/>
    </row>
    <row r="1641" spans="4:18">
      <c r="D1641" s="1" t="s">
        <v>199</v>
      </c>
      <c r="E1641" s="1" t="s">
        <v>716</v>
      </c>
      <c r="H1641" s="1" t="s">
        <v>22</v>
      </c>
      <c r="I1641" s="1" t="s">
        <v>23</v>
      </c>
      <c r="L1641" s="1">
        <v>1</v>
      </c>
      <c r="M1641" s="1">
        <v>0.7</v>
      </c>
      <c r="N1641" s="1">
        <v>0.7</v>
      </c>
      <c r="O1641" s="11"/>
      <c r="P1641" s="11"/>
      <c r="Q1641" s="11"/>
      <c r="R1641" s="11"/>
    </row>
    <row r="1642" spans="4:18">
      <c r="D1642" s="1" t="s">
        <v>199</v>
      </c>
      <c r="E1642" s="1" t="s">
        <v>717</v>
      </c>
      <c r="H1642" s="1" t="s">
        <v>22</v>
      </c>
      <c r="I1642" s="1" t="s">
        <v>23</v>
      </c>
      <c r="L1642" s="1">
        <v>1</v>
      </c>
      <c r="M1642" s="1">
        <v>0.7</v>
      </c>
      <c r="N1642" s="1">
        <v>0.7</v>
      </c>
      <c r="O1642" s="11"/>
      <c r="P1642" s="11"/>
      <c r="Q1642" s="11"/>
      <c r="R1642" s="11"/>
    </row>
    <row r="1643" spans="4:18">
      <c r="D1643" s="1" t="s">
        <v>199</v>
      </c>
      <c r="E1643" s="1" t="s">
        <v>718</v>
      </c>
      <c r="H1643" s="1" t="s">
        <v>22</v>
      </c>
      <c r="I1643" s="1" t="s">
        <v>23</v>
      </c>
      <c r="L1643" s="1">
        <v>1</v>
      </c>
      <c r="M1643" s="1">
        <v>0.7</v>
      </c>
      <c r="N1643" s="1">
        <v>0.7</v>
      </c>
      <c r="O1643" s="11"/>
      <c r="P1643" s="11"/>
      <c r="Q1643" s="11"/>
      <c r="R1643" s="11"/>
    </row>
    <row r="1644" spans="4:18">
      <c r="D1644" s="1" t="s">
        <v>199</v>
      </c>
      <c r="E1644" s="1" t="s">
        <v>719</v>
      </c>
      <c r="H1644" s="1" t="s">
        <v>22</v>
      </c>
      <c r="I1644" s="1" t="s">
        <v>23</v>
      </c>
      <c r="L1644" s="1">
        <v>1</v>
      </c>
      <c r="M1644" s="1">
        <v>0.7</v>
      </c>
      <c r="N1644" s="1">
        <v>0.7</v>
      </c>
      <c r="O1644" s="11"/>
      <c r="P1644" s="11"/>
      <c r="Q1644" s="11"/>
      <c r="R1644" s="11"/>
    </row>
    <row r="1645" spans="4:18">
      <c r="D1645" s="1" t="s">
        <v>199</v>
      </c>
      <c r="E1645" s="1" t="s">
        <v>720</v>
      </c>
      <c r="H1645" s="1" t="s">
        <v>22</v>
      </c>
      <c r="I1645" s="1" t="s">
        <v>23</v>
      </c>
      <c r="L1645" s="1">
        <v>1</v>
      </c>
      <c r="M1645" s="1">
        <v>0.7</v>
      </c>
      <c r="N1645" s="1">
        <v>0.7</v>
      </c>
      <c r="O1645" s="11"/>
      <c r="P1645" s="11"/>
      <c r="Q1645" s="11"/>
      <c r="R1645" s="11"/>
    </row>
    <row r="1646" spans="4:18">
      <c r="D1646" s="1" t="s">
        <v>199</v>
      </c>
      <c r="E1646" s="1" t="s">
        <v>721</v>
      </c>
      <c r="H1646" s="1" t="s">
        <v>22</v>
      </c>
      <c r="I1646" s="1" t="s">
        <v>23</v>
      </c>
      <c r="L1646" s="1">
        <v>1</v>
      </c>
      <c r="M1646" s="1">
        <v>0.7</v>
      </c>
      <c r="N1646" s="1">
        <v>0.7</v>
      </c>
      <c r="O1646" s="11"/>
      <c r="P1646" s="11"/>
      <c r="Q1646" s="11"/>
      <c r="R1646" s="11"/>
    </row>
    <row r="1647" spans="4:18">
      <c r="D1647" s="1" t="s">
        <v>199</v>
      </c>
      <c r="E1647" s="1" t="s">
        <v>722</v>
      </c>
      <c r="H1647" s="1" t="s">
        <v>22</v>
      </c>
      <c r="I1647" s="1" t="s">
        <v>23</v>
      </c>
      <c r="L1647" s="1">
        <v>1</v>
      </c>
      <c r="M1647" s="1">
        <v>0.7</v>
      </c>
      <c r="N1647" s="1">
        <v>0.7</v>
      </c>
      <c r="O1647" s="11"/>
      <c r="P1647" s="11"/>
      <c r="Q1647" s="11"/>
      <c r="R1647" s="11"/>
    </row>
    <row r="1648" spans="4:18">
      <c r="D1648" s="1" t="s">
        <v>199</v>
      </c>
      <c r="E1648" s="1" t="s">
        <v>723</v>
      </c>
      <c r="H1648" s="1" t="s">
        <v>22</v>
      </c>
      <c r="I1648" s="1" t="s">
        <v>23</v>
      </c>
      <c r="L1648" s="1">
        <v>1</v>
      </c>
      <c r="M1648" s="1">
        <v>0.7</v>
      </c>
      <c r="N1648" s="1">
        <v>0.7</v>
      </c>
      <c r="O1648" s="11"/>
      <c r="P1648" s="11"/>
      <c r="Q1648" s="11"/>
      <c r="R1648" s="11"/>
    </row>
    <row r="1649" spans="4:18">
      <c r="D1649" s="1" t="s">
        <v>199</v>
      </c>
      <c r="E1649" s="1" t="s">
        <v>724</v>
      </c>
      <c r="H1649" s="1" t="s">
        <v>22</v>
      </c>
      <c r="I1649" s="1" t="s">
        <v>23</v>
      </c>
      <c r="L1649" s="1">
        <v>1</v>
      </c>
      <c r="M1649" s="1">
        <v>0.8</v>
      </c>
      <c r="N1649" s="1">
        <v>0.8</v>
      </c>
      <c r="O1649" s="11"/>
      <c r="P1649" s="11"/>
      <c r="Q1649" s="11"/>
      <c r="R1649" s="11"/>
    </row>
    <row r="1650" spans="4:18">
      <c r="D1650" s="1" t="s">
        <v>199</v>
      </c>
      <c r="E1650" s="1" t="s">
        <v>725</v>
      </c>
      <c r="H1650" s="1" t="s">
        <v>22</v>
      </c>
      <c r="I1650" s="1" t="s">
        <v>23</v>
      </c>
      <c r="L1650" s="1">
        <v>1</v>
      </c>
      <c r="M1650" s="1">
        <v>0.8</v>
      </c>
      <c r="N1650" s="1">
        <v>0.8</v>
      </c>
      <c r="O1650" s="11"/>
      <c r="P1650" s="11"/>
      <c r="Q1650" s="11"/>
      <c r="R1650" s="11"/>
    </row>
    <row r="1651" spans="4:18">
      <c r="D1651" s="1" t="s">
        <v>199</v>
      </c>
      <c r="E1651" s="1" t="s">
        <v>726</v>
      </c>
      <c r="H1651" s="1" t="s">
        <v>22</v>
      </c>
      <c r="I1651" s="1" t="s">
        <v>23</v>
      </c>
      <c r="L1651" s="1">
        <v>1</v>
      </c>
      <c r="M1651" s="1">
        <v>0.8</v>
      </c>
      <c r="N1651" s="1">
        <v>0.8</v>
      </c>
      <c r="O1651" s="11"/>
      <c r="P1651" s="11"/>
      <c r="Q1651" s="11"/>
      <c r="R1651" s="11"/>
    </row>
    <row r="1652" spans="4:18">
      <c r="D1652" s="1" t="s">
        <v>199</v>
      </c>
      <c r="E1652" s="1" t="s">
        <v>727</v>
      </c>
      <c r="H1652" s="1" t="s">
        <v>22</v>
      </c>
      <c r="I1652" s="1" t="s">
        <v>23</v>
      </c>
      <c r="L1652" s="1">
        <v>1</v>
      </c>
      <c r="M1652" s="1">
        <v>0.8</v>
      </c>
      <c r="N1652" s="1">
        <v>0.8</v>
      </c>
      <c r="O1652" s="11"/>
      <c r="P1652" s="11"/>
      <c r="Q1652" s="11"/>
      <c r="R1652" s="11"/>
    </row>
    <row r="1653" spans="4:18">
      <c r="D1653" s="1" t="s">
        <v>199</v>
      </c>
      <c r="E1653" s="1" t="s">
        <v>728</v>
      </c>
      <c r="H1653" s="1" t="s">
        <v>22</v>
      </c>
      <c r="I1653" s="1" t="s">
        <v>23</v>
      </c>
      <c r="L1653" s="1">
        <v>1</v>
      </c>
      <c r="M1653" s="1">
        <v>0.8</v>
      </c>
      <c r="N1653" s="1">
        <v>0.8</v>
      </c>
      <c r="O1653" s="11"/>
      <c r="P1653" s="11"/>
      <c r="Q1653" s="11"/>
      <c r="R1653" s="11"/>
    </row>
    <row r="1654" spans="4:18">
      <c r="D1654" s="1" t="s">
        <v>199</v>
      </c>
      <c r="E1654" s="1" t="s">
        <v>729</v>
      </c>
      <c r="H1654" s="1" t="s">
        <v>22</v>
      </c>
      <c r="I1654" s="1" t="s">
        <v>23</v>
      </c>
      <c r="L1654" s="1">
        <v>1</v>
      </c>
      <c r="M1654" s="1">
        <v>0.8</v>
      </c>
      <c r="N1654" s="1">
        <v>0.8</v>
      </c>
      <c r="O1654" s="11"/>
      <c r="P1654" s="11"/>
      <c r="Q1654" s="11"/>
      <c r="R1654" s="11"/>
    </row>
    <row r="1655" spans="4:18">
      <c r="D1655" s="1" t="s">
        <v>199</v>
      </c>
      <c r="E1655" s="1" t="s">
        <v>730</v>
      </c>
      <c r="H1655" s="1" t="s">
        <v>22</v>
      </c>
      <c r="I1655" s="1" t="s">
        <v>23</v>
      </c>
      <c r="L1655" s="1">
        <v>1</v>
      </c>
      <c r="M1655" s="1">
        <v>0.8</v>
      </c>
      <c r="N1655" s="1">
        <v>0.8</v>
      </c>
      <c r="O1655" s="11"/>
      <c r="P1655" s="11"/>
      <c r="Q1655" s="11"/>
      <c r="R1655" s="11"/>
    </row>
    <row r="1656" spans="4:18">
      <c r="D1656" s="1" t="s">
        <v>199</v>
      </c>
      <c r="E1656" s="1" t="s">
        <v>731</v>
      </c>
      <c r="H1656" s="1" t="s">
        <v>22</v>
      </c>
      <c r="I1656" s="1" t="s">
        <v>23</v>
      </c>
      <c r="L1656" s="1">
        <v>1</v>
      </c>
      <c r="M1656" s="1">
        <v>0.8</v>
      </c>
      <c r="N1656" s="1">
        <v>0.8</v>
      </c>
      <c r="O1656" s="11"/>
      <c r="P1656" s="11"/>
      <c r="Q1656" s="11"/>
      <c r="R1656" s="11"/>
    </row>
    <row r="1657" spans="4:18">
      <c r="D1657" s="1" t="s">
        <v>199</v>
      </c>
      <c r="E1657" s="1" t="s">
        <v>732</v>
      </c>
      <c r="H1657" s="1" t="s">
        <v>22</v>
      </c>
      <c r="I1657" s="1" t="s">
        <v>23</v>
      </c>
      <c r="L1657" s="1">
        <v>1</v>
      </c>
      <c r="M1657" s="1">
        <v>0.8</v>
      </c>
      <c r="N1657" s="1">
        <v>0.8</v>
      </c>
      <c r="O1657" s="11"/>
      <c r="P1657" s="11"/>
      <c r="Q1657" s="11"/>
      <c r="R1657" s="11"/>
    </row>
    <row r="1658" spans="4:18">
      <c r="D1658" s="1" t="s">
        <v>199</v>
      </c>
      <c r="E1658" s="1" t="s">
        <v>733</v>
      </c>
      <c r="H1658" s="1" t="s">
        <v>22</v>
      </c>
      <c r="I1658" s="1" t="s">
        <v>23</v>
      </c>
      <c r="L1658" s="1">
        <v>1</v>
      </c>
      <c r="M1658" s="1">
        <v>0.9</v>
      </c>
      <c r="N1658" s="1">
        <v>0.9</v>
      </c>
      <c r="O1658" s="11"/>
      <c r="P1658" s="11"/>
      <c r="Q1658" s="11"/>
      <c r="R1658" s="11"/>
    </row>
    <row r="1659" spans="4:18">
      <c r="D1659" s="1" t="s">
        <v>199</v>
      </c>
      <c r="E1659" s="1" t="s">
        <v>734</v>
      </c>
      <c r="H1659" s="1" t="s">
        <v>22</v>
      </c>
      <c r="I1659" s="1" t="s">
        <v>23</v>
      </c>
      <c r="L1659" s="1">
        <v>1</v>
      </c>
      <c r="M1659" s="1">
        <v>0.9</v>
      </c>
      <c r="N1659" s="1">
        <v>0.9</v>
      </c>
      <c r="O1659" s="11"/>
      <c r="P1659" s="11"/>
      <c r="Q1659" s="11"/>
      <c r="R1659" s="11"/>
    </row>
    <row r="1660" spans="4:18">
      <c r="D1660" s="1" t="s">
        <v>199</v>
      </c>
      <c r="E1660" s="1" t="s">
        <v>735</v>
      </c>
      <c r="H1660" s="1" t="s">
        <v>22</v>
      </c>
      <c r="I1660" s="1" t="s">
        <v>23</v>
      </c>
      <c r="L1660" s="1">
        <v>1</v>
      </c>
      <c r="M1660" s="1">
        <v>0.9</v>
      </c>
      <c r="N1660" s="1">
        <v>0.9</v>
      </c>
      <c r="O1660" s="11"/>
      <c r="P1660" s="11"/>
      <c r="Q1660" s="11"/>
      <c r="R1660" s="11"/>
    </row>
    <row r="1661" spans="4:18">
      <c r="D1661" s="1" t="s">
        <v>199</v>
      </c>
      <c r="E1661" s="1" t="s">
        <v>736</v>
      </c>
      <c r="H1661" s="1" t="s">
        <v>22</v>
      </c>
      <c r="I1661" s="1" t="s">
        <v>23</v>
      </c>
      <c r="L1661" s="1">
        <v>1</v>
      </c>
      <c r="M1661" s="1">
        <v>0.9</v>
      </c>
      <c r="N1661" s="1">
        <v>0.9</v>
      </c>
      <c r="O1661" s="11"/>
      <c r="P1661" s="11"/>
      <c r="Q1661" s="11"/>
      <c r="R1661" s="11"/>
    </row>
    <row r="1662" spans="4:18">
      <c r="D1662" s="1" t="s">
        <v>199</v>
      </c>
      <c r="E1662" s="1" t="s">
        <v>737</v>
      </c>
      <c r="H1662" s="1" t="s">
        <v>22</v>
      </c>
      <c r="I1662" s="1" t="s">
        <v>23</v>
      </c>
      <c r="L1662" s="1">
        <v>1</v>
      </c>
      <c r="M1662" s="1">
        <v>0.9</v>
      </c>
      <c r="N1662" s="1">
        <v>0.9</v>
      </c>
      <c r="O1662" s="11"/>
      <c r="P1662" s="11"/>
      <c r="Q1662" s="11"/>
      <c r="R1662" s="11"/>
    </row>
    <row r="1663" spans="4:18">
      <c r="D1663" s="1" t="s">
        <v>199</v>
      </c>
      <c r="E1663" s="1" t="s">
        <v>738</v>
      </c>
      <c r="H1663" s="1" t="s">
        <v>22</v>
      </c>
      <c r="I1663" s="1" t="s">
        <v>23</v>
      </c>
      <c r="L1663" s="1">
        <v>1</v>
      </c>
      <c r="M1663" s="1">
        <v>0.9</v>
      </c>
      <c r="N1663" s="1">
        <v>0.9</v>
      </c>
      <c r="O1663" s="11"/>
      <c r="P1663" s="11"/>
      <c r="Q1663" s="11"/>
      <c r="R1663" s="11"/>
    </row>
    <row r="1664" spans="4:18">
      <c r="D1664" s="1" t="s">
        <v>199</v>
      </c>
      <c r="E1664" s="1" t="s">
        <v>739</v>
      </c>
      <c r="H1664" s="1" t="s">
        <v>22</v>
      </c>
      <c r="I1664" s="1" t="s">
        <v>23</v>
      </c>
      <c r="L1664" s="1">
        <v>1</v>
      </c>
      <c r="M1664" s="1">
        <v>0.9</v>
      </c>
      <c r="N1664" s="1">
        <v>0.9</v>
      </c>
      <c r="O1664" s="11"/>
      <c r="P1664" s="11"/>
      <c r="Q1664" s="11"/>
      <c r="R1664" s="11"/>
    </row>
    <row r="1665" spans="4:18">
      <c r="D1665" s="1" t="s">
        <v>199</v>
      </c>
      <c r="E1665" s="1" t="s">
        <v>740</v>
      </c>
      <c r="H1665" s="1" t="s">
        <v>22</v>
      </c>
      <c r="I1665" s="1" t="s">
        <v>23</v>
      </c>
      <c r="L1665" s="1">
        <v>1</v>
      </c>
      <c r="M1665" s="1">
        <v>0.9</v>
      </c>
      <c r="N1665" s="1">
        <v>0.9</v>
      </c>
      <c r="O1665" s="11"/>
      <c r="P1665" s="11"/>
      <c r="Q1665" s="11"/>
      <c r="R1665" s="11"/>
    </row>
    <row r="1666" spans="4:18">
      <c r="D1666" s="1" t="s">
        <v>199</v>
      </c>
      <c r="E1666" s="1" t="s">
        <v>741</v>
      </c>
      <c r="H1666" s="1" t="s">
        <v>22</v>
      </c>
      <c r="I1666" s="1" t="s">
        <v>23</v>
      </c>
      <c r="L1666" s="1">
        <v>1</v>
      </c>
      <c r="M1666" s="1">
        <v>0.9</v>
      </c>
      <c r="N1666" s="1">
        <v>0.9</v>
      </c>
      <c r="O1666" s="11"/>
      <c r="P1666" s="11"/>
      <c r="Q1666" s="11"/>
      <c r="R1666" s="11"/>
    </row>
    <row r="1667" spans="4:18">
      <c r="D1667" s="1" t="s">
        <v>199</v>
      </c>
      <c r="E1667" s="1" t="s">
        <v>742</v>
      </c>
      <c r="H1667" s="1" t="s">
        <v>22</v>
      </c>
      <c r="I1667" s="1" t="s">
        <v>23</v>
      </c>
      <c r="L1667" s="1">
        <v>1</v>
      </c>
      <c r="M1667" s="1">
        <v>1</v>
      </c>
      <c r="N1667" s="1">
        <v>1</v>
      </c>
      <c r="O1667" s="11"/>
      <c r="P1667" s="11"/>
      <c r="Q1667" s="11"/>
      <c r="R1667" s="11"/>
    </row>
    <row r="1668" spans="4:18">
      <c r="D1668" s="1" t="s">
        <v>199</v>
      </c>
      <c r="E1668" s="1" t="s">
        <v>743</v>
      </c>
      <c r="H1668" s="1" t="s">
        <v>22</v>
      </c>
      <c r="I1668" s="1" t="s">
        <v>23</v>
      </c>
      <c r="L1668" s="1">
        <v>1</v>
      </c>
      <c r="M1668" s="1">
        <v>1</v>
      </c>
      <c r="N1668" s="1">
        <v>1</v>
      </c>
      <c r="O1668" s="11"/>
      <c r="P1668" s="11"/>
      <c r="Q1668" s="11"/>
      <c r="R1668" s="11"/>
    </row>
    <row r="1669" spans="4:18">
      <c r="D1669" s="1" t="s">
        <v>199</v>
      </c>
      <c r="E1669" s="1" t="s">
        <v>744</v>
      </c>
      <c r="H1669" s="1" t="s">
        <v>22</v>
      </c>
      <c r="I1669" s="1" t="s">
        <v>23</v>
      </c>
      <c r="L1669" s="1">
        <v>1</v>
      </c>
      <c r="M1669" s="1">
        <v>1</v>
      </c>
      <c r="N1669" s="1">
        <v>1</v>
      </c>
      <c r="O1669" s="11"/>
      <c r="P1669" s="11"/>
      <c r="Q1669" s="11"/>
      <c r="R1669" s="11"/>
    </row>
    <row r="1670" spans="4:18">
      <c r="D1670" s="1" t="s">
        <v>199</v>
      </c>
      <c r="E1670" s="1" t="s">
        <v>745</v>
      </c>
      <c r="H1670" s="1" t="s">
        <v>22</v>
      </c>
      <c r="I1670" s="1" t="s">
        <v>23</v>
      </c>
      <c r="L1670" s="1">
        <v>1</v>
      </c>
      <c r="M1670" s="1">
        <v>1</v>
      </c>
      <c r="N1670" s="1">
        <v>1</v>
      </c>
      <c r="O1670" s="11"/>
      <c r="P1670" s="11"/>
      <c r="Q1670" s="11"/>
      <c r="R1670" s="11"/>
    </row>
    <row r="1671" spans="4:18">
      <c r="D1671" s="1" t="s">
        <v>199</v>
      </c>
      <c r="E1671" s="1" t="s">
        <v>746</v>
      </c>
      <c r="H1671" s="1" t="s">
        <v>22</v>
      </c>
      <c r="I1671" s="1" t="s">
        <v>23</v>
      </c>
      <c r="L1671" s="1">
        <v>1</v>
      </c>
      <c r="M1671" s="1">
        <v>1</v>
      </c>
      <c r="N1671" s="1">
        <v>1</v>
      </c>
      <c r="O1671" s="11"/>
      <c r="P1671" s="11"/>
      <c r="Q1671" s="11"/>
      <c r="R1671" s="11"/>
    </row>
    <row r="1672" spans="4:18">
      <c r="D1672" s="1" t="s">
        <v>199</v>
      </c>
      <c r="E1672" s="1" t="s">
        <v>747</v>
      </c>
      <c r="H1672" s="1" t="s">
        <v>22</v>
      </c>
      <c r="I1672" s="1" t="s">
        <v>23</v>
      </c>
      <c r="L1672" s="1">
        <v>1</v>
      </c>
      <c r="M1672" s="1">
        <v>1</v>
      </c>
      <c r="N1672" s="1">
        <v>1</v>
      </c>
      <c r="O1672" s="11"/>
      <c r="P1672" s="11"/>
      <c r="Q1672" s="11"/>
      <c r="R1672" s="11"/>
    </row>
    <row r="1673" spans="4:18">
      <c r="D1673" s="1" t="s">
        <v>199</v>
      </c>
      <c r="E1673" s="1" t="s">
        <v>748</v>
      </c>
      <c r="H1673" s="1" t="s">
        <v>22</v>
      </c>
      <c r="I1673" s="1" t="s">
        <v>23</v>
      </c>
      <c r="L1673" s="1">
        <v>1</v>
      </c>
      <c r="M1673" s="1">
        <v>1</v>
      </c>
      <c r="N1673" s="1">
        <v>1</v>
      </c>
      <c r="O1673" s="11"/>
      <c r="P1673" s="11"/>
      <c r="Q1673" s="11"/>
      <c r="R1673" s="11"/>
    </row>
    <row r="1674" spans="4:18">
      <c r="D1674" s="1" t="s">
        <v>199</v>
      </c>
      <c r="E1674" s="1" t="s">
        <v>749</v>
      </c>
      <c r="H1674" s="1" t="s">
        <v>22</v>
      </c>
      <c r="I1674" s="1" t="s">
        <v>23</v>
      </c>
      <c r="L1674" s="1">
        <v>1</v>
      </c>
      <c r="M1674" s="1">
        <v>1</v>
      </c>
      <c r="N1674" s="1">
        <v>1</v>
      </c>
      <c r="O1674" s="11"/>
      <c r="P1674" s="11"/>
      <c r="Q1674" s="11"/>
      <c r="R1674" s="11"/>
    </row>
    <row r="1675" spans="4:18">
      <c r="D1675" s="1" t="s">
        <v>199</v>
      </c>
      <c r="E1675" s="1" t="s">
        <v>750</v>
      </c>
      <c r="H1675" s="1" t="s">
        <v>22</v>
      </c>
      <c r="I1675" s="1" t="s">
        <v>23</v>
      </c>
      <c r="L1675" s="1">
        <v>1</v>
      </c>
      <c r="M1675" s="1">
        <v>1</v>
      </c>
      <c r="N1675" s="1">
        <v>1</v>
      </c>
      <c r="O1675" s="11"/>
      <c r="P1675" s="11"/>
      <c r="Q1675" s="11"/>
      <c r="R1675" s="11"/>
    </row>
    <row r="1676" spans="4:18">
      <c r="D1676" s="1" t="s">
        <v>199</v>
      </c>
      <c r="E1676" s="1" t="s">
        <v>751</v>
      </c>
      <c r="H1676" s="1" t="s">
        <v>22</v>
      </c>
      <c r="I1676" s="1" t="s">
        <v>23</v>
      </c>
      <c r="L1676" s="1">
        <v>1</v>
      </c>
      <c r="M1676" s="1">
        <v>1.1000000000000001</v>
      </c>
      <c r="N1676" s="1">
        <v>1.1000000000000001</v>
      </c>
      <c r="O1676" s="11"/>
      <c r="P1676" s="11"/>
      <c r="Q1676" s="11"/>
      <c r="R1676" s="11"/>
    </row>
    <row r="1677" spans="4:18">
      <c r="D1677" s="1" t="s">
        <v>199</v>
      </c>
      <c r="E1677" s="1" t="s">
        <v>752</v>
      </c>
      <c r="H1677" s="1" t="s">
        <v>22</v>
      </c>
      <c r="I1677" s="1" t="s">
        <v>23</v>
      </c>
      <c r="L1677" s="1">
        <v>1</v>
      </c>
      <c r="M1677" s="1">
        <v>1.1000000000000001</v>
      </c>
      <c r="N1677" s="1">
        <v>1.1000000000000001</v>
      </c>
      <c r="O1677" s="11"/>
      <c r="P1677" s="11"/>
      <c r="Q1677" s="11"/>
      <c r="R1677" s="11"/>
    </row>
    <row r="1678" spans="4:18">
      <c r="D1678" s="1" t="s">
        <v>199</v>
      </c>
      <c r="E1678" s="1" t="s">
        <v>753</v>
      </c>
      <c r="H1678" s="1" t="s">
        <v>22</v>
      </c>
      <c r="I1678" s="1" t="s">
        <v>23</v>
      </c>
      <c r="L1678" s="1">
        <v>1</v>
      </c>
      <c r="M1678" s="1">
        <v>1.1000000000000001</v>
      </c>
      <c r="N1678" s="1">
        <v>1.1000000000000001</v>
      </c>
      <c r="O1678" s="11"/>
      <c r="P1678" s="11"/>
      <c r="Q1678" s="11"/>
      <c r="R1678" s="11"/>
    </row>
    <row r="1679" spans="4:18">
      <c r="D1679" s="1" t="s">
        <v>199</v>
      </c>
      <c r="E1679" s="1" t="s">
        <v>754</v>
      </c>
      <c r="H1679" s="1" t="s">
        <v>22</v>
      </c>
      <c r="I1679" s="1" t="s">
        <v>23</v>
      </c>
      <c r="L1679" s="1">
        <v>1</v>
      </c>
      <c r="M1679" s="1">
        <v>1.1000000000000001</v>
      </c>
      <c r="N1679" s="1">
        <v>1.1000000000000001</v>
      </c>
      <c r="O1679" s="11"/>
      <c r="P1679" s="11"/>
      <c r="Q1679" s="11"/>
      <c r="R1679" s="11"/>
    </row>
    <row r="1680" spans="4:18">
      <c r="D1680" s="1" t="s">
        <v>199</v>
      </c>
      <c r="E1680" s="1" t="s">
        <v>755</v>
      </c>
      <c r="H1680" s="1" t="s">
        <v>22</v>
      </c>
      <c r="I1680" s="1" t="s">
        <v>23</v>
      </c>
      <c r="L1680" s="1">
        <v>1</v>
      </c>
      <c r="M1680" s="1">
        <v>1.1000000000000001</v>
      </c>
      <c r="N1680" s="1">
        <v>1.1000000000000001</v>
      </c>
      <c r="O1680" s="11"/>
      <c r="P1680" s="11"/>
      <c r="Q1680" s="11"/>
      <c r="R1680" s="11"/>
    </row>
    <row r="1681" spans="4:18">
      <c r="D1681" s="1" t="s">
        <v>199</v>
      </c>
      <c r="E1681" s="1" t="s">
        <v>756</v>
      </c>
      <c r="H1681" s="1" t="s">
        <v>22</v>
      </c>
      <c r="I1681" s="1" t="s">
        <v>23</v>
      </c>
      <c r="L1681" s="1">
        <v>1</v>
      </c>
      <c r="M1681" s="1">
        <v>1.1000000000000001</v>
      </c>
      <c r="N1681" s="1">
        <v>1.1000000000000001</v>
      </c>
      <c r="O1681" s="11"/>
      <c r="P1681" s="11"/>
      <c r="Q1681" s="11"/>
      <c r="R1681" s="11"/>
    </row>
    <row r="1682" spans="4:18">
      <c r="D1682" s="1" t="s">
        <v>199</v>
      </c>
      <c r="E1682" s="1" t="s">
        <v>757</v>
      </c>
      <c r="H1682" s="1" t="s">
        <v>22</v>
      </c>
      <c r="I1682" s="1" t="s">
        <v>23</v>
      </c>
      <c r="L1682" s="1">
        <v>1</v>
      </c>
      <c r="M1682" s="1">
        <v>1.1000000000000001</v>
      </c>
      <c r="N1682" s="1">
        <v>1.1000000000000001</v>
      </c>
      <c r="O1682" s="11"/>
      <c r="P1682" s="11"/>
      <c r="Q1682" s="11"/>
      <c r="R1682" s="11"/>
    </row>
    <row r="1683" spans="4:18">
      <c r="D1683" s="1" t="s">
        <v>199</v>
      </c>
      <c r="E1683" s="1" t="s">
        <v>758</v>
      </c>
      <c r="H1683" s="1" t="s">
        <v>22</v>
      </c>
      <c r="I1683" s="1" t="s">
        <v>23</v>
      </c>
      <c r="L1683" s="1">
        <v>1</v>
      </c>
      <c r="M1683" s="1">
        <v>1.1000000000000001</v>
      </c>
      <c r="N1683" s="1">
        <v>1.1000000000000001</v>
      </c>
      <c r="O1683" s="11"/>
      <c r="P1683" s="11"/>
      <c r="Q1683" s="11"/>
      <c r="R1683" s="11"/>
    </row>
    <row r="1684" spans="4:18">
      <c r="D1684" s="1" t="s">
        <v>199</v>
      </c>
      <c r="E1684" s="1" t="s">
        <v>759</v>
      </c>
      <c r="H1684" s="1" t="s">
        <v>22</v>
      </c>
      <c r="I1684" s="1" t="s">
        <v>23</v>
      </c>
      <c r="L1684" s="1">
        <v>1</v>
      </c>
      <c r="M1684" s="1">
        <v>1.1000000000000001</v>
      </c>
      <c r="N1684" s="1">
        <v>1.1000000000000001</v>
      </c>
      <c r="O1684" s="11"/>
      <c r="P1684" s="11"/>
      <c r="Q1684" s="11"/>
      <c r="R1684" s="11"/>
    </row>
    <row r="1685" spans="4:18">
      <c r="D1685" s="1" t="s">
        <v>199</v>
      </c>
      <c r="E1685" s="1" t="s">
        <v>760</v>
      </c>
      <c r="H1685" s="1" t="s">
        <v>22</v>
      </c>
      <c r="I1685" s="1" t="s">
        <v>23</v>
      </c>
      <c r="L1685" s="1">
        <v>1</v>
      </c>
      <c r="M1685" s="1">
        <v>1.2</v>
      </c>
      <c r="N1685" s="1">
        <v>1.2</v>
      </c>
      <c r="O1685" s="11"/>
      <c r="P1685" s="11"/>
      <c r="Q1685" s="11"/>
      <c r="R1685" s="11"/>
    </row>
    <row r="1686" spans="4:18">
      <c r="D1686" s="1" t="s">
        <v>199</v>
      </c>
      <c r="E1686" s="1" t="s">
        <v>761</v>
      </c>
      <c r="H1686" s="1" t="s">
        <v>22</v>
      </c>
      <c r="I1686" s="1" t="s">
        <v>23</v>
      </c>
      <c r="L1686" s="1">
        <v>1</v>
      </c>
      <c r="M1686" s="1">
        <v>1.2</v>
      </c>
      <c r="N1686" s="1">
        <v>1.2</v>
      </c>
      <c r="O1686" s="11"/>
      <c r="P1686" s="11"/>
      <c r="Q1686" s="11"/>
      <c r="R1686" s="11"/>
    </row>
    <row r="1687" spans="4:18">
      <c r="D1687" s="1" t="s">
        <v>199</v>
      </c>
      <c r="E1687" s="1" t="s">
        <v>762</v>
      </c>
      <c r="H1687" s="1" t="s">
        <v>22</v>
      </c>
      <c r="I1687" s="1" t="s">
        <v>23</v>
      </c>
      <c r="L1687" s="1">
        <v>1</v>
      </c>
      <c r="M1687" s="1">
        <v>1.2</v>
      </c>
      <c r="N1687" s="1">
        <v>1.2</v>
      </c>
      <c r="O1687" s="11"/>
      <c r="P1687" s="11"/>
      <c r="Q1687" s="11"/>
      <c r="R1687" s="11"/>
    </row>
    <row r="1688" spans="4:18">
      <c r="D1688" s="1" t="s">
        <v>199</v>
      </c>
      <c r="E1688" s="1" t="s">
        <v>763</v>
      </c>
      <c r="H1688" s="1" t="s">
        <v>22</v>
      </c>
      <c r="I1688" s="1" t="s">
        <v>23</v>
      </c>
      <c r="L1688" s="1">
        <v>1</v>
      </c>
      <c r="M1688" s="1">
        <v>1.2</v>
      </c>
      <c r="N1688" s="1">
        <v>1.2</v>
      </c>
      <c r="O1688" s="11"/>
      <c r="P1688" s="11"/>
      <c r="Q1688" s="11"/>
      <c r="R1688" s="11"/>
    </row>
    <row r="1689" spans="4:18">
      <c r="D1689" s="1" t="s">
        <v>199</v>
      </c>
      <c r="E1689" s="1" t="s">
        <v>764</v>
      </c>
      <c r="H1689" s="1" t="s">
        <v>22</v>
      </c>
      <c r="I1689" s="1" t="s">
        <v>23</v>
      </c>
      <c r="L1689" s="1">
        <v>1</v>
      </c>
      <c r="M1689" s="1">
        <v>1.2</v>
      </c>
      <c r="N1689" s="1">
        <v>1.2</v>
      </c>
      <c r="O1689" s="11"/>
      <c r="P1689" s="11"/>
      <c r="Q1689" s="11"/>
      <c r="R1689" s="11"/>
    </row>
    <row r="1690" spans="4:18">
      <c r="D1690" s="1" t="s">
        <v>199</v>
      </c>
      <c r="E1690" s="1" t="s">
        <v>765</v>
      </c>
      <c r="H1690" s="1" t="s">
        <v>22</v>
      </c>
      <c r="I1690" s="1" t="s">
        <v>23</v>
      </c>
      <c r="L1690" s="1">
        <v>1</v>
      </c>
      <c r="M1690" s="1">
        <v>1.2</v>
      </c>
      <c r="N1690" s="1">
        <v>1.2</v>
      </c>
      <c r="O1690" s="11"/>
      <c r="P1690" s="11"/>
      <c r="Q1690" s="11"/>
      <c r="R1690" s="11"/>
    </row>
    <row r="1691" spans="4:18">
      <c r="D1691" s="1" t="s">
        <v>199</v>
      </c>
      <c r="E1691" s="1" t="s">
        <v>766</v>
      </c>
      <c r="H1691" s="1" t="s">
        <v>22</v>
      </c>
      <c r="I1691" s="1" t="s">
        <v>23</v>
      </c>
      <c r="L1691" s="1">
        <v>1</v>
      </c>
      <c r="M1691" s="1">
        <v>1.2</v>
      </c>
      <c r="N1691" s="1">
        <v>1.2</v>
      </c>
      <c r="O1691" s="11"/>
      <c r="P1691" s="11"/>
      <c r="Q1691" s="11"/>
      <c r="R1691" s="11"/>
    </row>
    <row r="1692" spans="4:18">
      <c r="D1692" s="1" t="s">
        <v>199</v>
      </c>
      <c r="E1692" s="1" t="s">
        <v>767</v>
      </c>
      <c r="H1692" s="1" t="s">
        <v>22</v>
      </c>
      <c r="I1692" s="1" t="s">
        <v>23</v>
      </c>
      <c r="L1692" s="1">
        <v>1</v>
      </c>
      <c r="M1692" s="1">
        <v>1.2</v>
      </c>
      <c r="N1692" s="1">
        <v>1.2</v>
      </c>
      <c r="O1692" s="11"/>
      <c r="P1692" s="11"/>
      <c r="Q1692" s="11"/>
      <c r="R1692" s="11"/>
    </row>
    <row r="1693" spans="4:18">
      <c r="D1693" s="1" t="s">
        <v>199</v>
      </c>
      <c r="E1693" s="1" t="s">
        <v>768</v>
      </c>
      <c r="H1693" s="1" t="s">
        <v>22</v>
      </c>
      <c r="I1693" s="1" t="s">
        <v>23</v>
      </c>
      <c r="L1693" s="1">
        <v>1</v>
      </c>
      <c r="M1693" s="1">
        <v>1.2</v>
      </c>
      <c r="N1693" s="1">
        <v>1.2</v>
      </c>
      <c r="O1693" s="11"/>
      <c r="P1693" s="11"/>
      <c r="Q1693" s="11"/>
      <c r="R1693" s="11"/>
    </row>
    <row r="1694" spans="4:18">
      <c r="D1694" s="1" t="s">
        <v>199</v>
      </c>
      <c r="E1694" s="1" t="s">
        <v>769</v>
      </c>
      <c r="H1694" s="1" t="s">
        <v>22</v>
      </c>
      <c r="I1694" s="1" t="s">
        <v>23</v>
      </c>
      <c r="L1694" s="1">
        <v>1</v>
      </c>
      <c r="M1694" s="1">
        <v>1.3</v>
      </c>
      <c r="N1694" s="1">
        <v>1.3</v>
      </c>
      <c r="O1694" s="11"/>
      <c r="P1694" s="11"/>
      <c r="Q1694" s="11"/>
      <c r="R1694" s="11"/>
    </row>
    <row r="1695" spans="4:18">
      <c r="D1695" s="1" t="s">
        <v>199</v>
      </c>
      <c r="E1695" s="1" t="s">
        <v>770</v>
      </c>
      <c r="H1695" s="1" t="s">
        <v>22</v>
      </c>
      <c r="I1695" s="1" t="s">
        <v>23</v>
      </c>
      <c r="L1695" s="1">
        <v>1</v>
      </c>
      <c r="M1695" s="1">
        <v>1.3</v>
      </c>
      <c r="N1695" s="1">
        <v>1.3</v>
      </c>
      <c r="O1695" s="11"/>
      <c r="P1695" s="11"/>
      <c r="Q1695" s="11"/>
      <c r="R1695" s="11"/>
    </row>
    <row r="1696" spans="4:18">
      <c r="D1696" s="1" t="s">
        <v>199</v>
      </c>
      <c r="E1696" s="1" t="s">
        <v>771</v>
      </c>
      <c r="H1696" s="1" t="s">
        <v>22</v>
      </c>
      <c r="I1696" s="1" t="s">
        <v>23</v>
      </c>
      <c r="L1696" s="1">
        <v>1</v>
      </c>
      <c r="M1696" s="1">
        <v>1.3</v>
      </c>
      <c r="N1696" s="1">
        <v>1.3</v>
      </c>
      <c r="O1696" s="11"/>
      <c r="P1696" s="11"/>
      <c r="Q1696" s="11"/>
      <c r="R1696" s="11"/>
    </row>
    <row r="1697" spans="4:18">
      <c r="D1697" s="1" t="s">
        <v>199</v>
      </c>
      <c r="E1697" s="1" t="s">
        <v>772</v>
      </c>
      <c r="H1697" s="1" t="s">
        <v>22</v>
      </c>
      <c r="I1697" s="1" t="s">
        <v>23</v>
      </c>
      <c r="L1697" s="1">
        <v>1</v>
      </c>
      <c r="M1697" s="1">
        <v>1.3</v>
      </c>
      <c r="N1697" s="1">
        <v>1.3</v>
      </c>
      <c r="O1697" s="11"/>
      <c r="P1697" s="11"/>
      <c r="Q1697" s="11"/>
      <c r="R1697" s="11"/>
    </row>
    <row r="1698" spans="4:18">
      <c r="D1698" s="1" t="s">
        <v>199</v>
      </c>
      <c r="E1698" s="1" t="s">
        <v>773</v>
      </c>
      <c r="H1698" s="1" t="s">
        <v>22</v>
      </c>
      <c r="I1698" s="1" t="s">
        <v>23</v>
      </c>
      <c r="L1698" s="1">
        <v>1</v>
      </c>
      <c r="M1698" s="1">
        <v>1.3</v>
      </c>
      <c r="N1698" s="1">
        <v>1.3</v>
      </c>
      <c r="O1698" s="11"/>
      <c r="P1698" s="11"/>
      <c r="Q1698" s="11"/>
      <c r="R1698" s="11"/>
    </row>
    <row r="1699" spans="4:18">
      <c r="D1699" s="1" t="s">
        <v>199</v>
      </c>
      <c r="E1699" s="1" t="s">
        <v>774</v>
      </c>
      <c r="H1699" s="1" t="s">
        <v>22</v>
      </c>
      <c r="I1699" s="1" t="s">
        <v>23</v>
      </c>
      <c r="L1699" s="1">
        <v>1</v>
      </c>
      <c r="M1699" s="1">
        <v>1.3</v>
      </c>
      <c r="N1699" s="1">
        <v>1.3</v>
      </c>
      <c r="O1699" s="11"/>
      <c r="P1699" s="11"/>
      <c r="Q1699" s="11"/>
      <c r="R1699" s="11"/>
    </row>
    <row r="1700" spans="4:18">
      <c r="D1700" s="1" t="s">
        <v>199</v>
      </c>
      <c r="E1700" s="1" t="s">
        <v>775</v>
      </c>
      <c r="H1700" s="1" t="s">
        <v>22</v>
      </c>
      <c r="I1700" s="1" t="s">
        <v>23</v>
      </c>
      <c r="L1700" s="1">
        <v>1</v>
      </c>
      <c r="M1700" s="1">
        <v>1.3</v>
      </c>
      <c r="N1700" s="1">
        <v>1.3</v>
      </c>
      <c r="O1700" s="11"/>
      <c r="P1700" s="11"/>
      <c r="Q1700" s="11"/>
      <c r="R1700" s="11"/>
    </row>
    <row r="1701" spans="4:18">
      <c r="D1701" s="1" t="s">
        <v>199</v>
      </c>
      <c r="E1701" s="1" t="s">
        <v>776</v>
      </c>
      <c r="H1701" s="1" t="s">
        <v>22</v>
      </c>
      <c r="I1701" s="1" t="s">
        <v>23</v>
      </c>
      <c r="L1701" s="1">
        <v>1</v>
      </c>
      <c r="M1701" s="1">
        <v>1.3</v>
      </c>
      <c r="N1701" s="1">
        <v>1.3</v>
      </c>
      <c r="O1701" s="11"/>
      <c r="P1701" s="11"/>
      <c r="Q1701" s="11"/>
      <c r="R1701" s="11"/>
    </row>
    <row r="1702" spans="4:18">
      <c r="D1702" s="1" t="s">
        <v>199</v>
      </c>
      <c r="E1702" s="1" t="s">
        <v>777</v>
      </c>
      <c r="H1702" s="1" t="s">
        <v>22</v>
      </c>
      <c r="I1702" s="1" t="s">
        <v>23</v>
      </c>
      <c r="L1702" s="1">
        <v>1</v>
      </c>
      <c r="M1702" s="1">
        <v>1.3</v>
      </c>
      <c r="N1702" s="1">
        <v>1.3</v>
      </c>
      <c r="O1702" s="11"/>
      <c r="P1702" s="11"/>
      <c r="Q1702" s="11"/>
      <c r="R1702" s="11"/>
    </row>
    <row r="1703" spans="4:18">
      <c r="D1703" s="1" t="s">
        <v>199</v>
      </c>
      <c r="E1703" s="1" t="s">
        <v>778</v>
      </c>
      <c r="H1703" s="1" t="s">
        <v>22</v>
      </c>
      <c r="I1703" s="1" t="s">
        <v>23</v>
      </c>
      <c r="L1703" s="1">
        <v>1</v>
      </c>
      <c r="M1703" s="1">
        <v>1.4</v>
      </c>
      <c r="N1703" s="1">
        <v>1.4</v>
      </c>
      <c r="O1703" s="11"/>
      <c r="P1703" s="11"/>
      <c r="Q1703" s="11"/>
      <c r="R1703" s="11"/>
    </row>
    <row r="1704" spans="4:18">
      <c r="D1704" s="1" t="s">
        <v>199</v>
      </c>
      <c r="E1704" s="1" t="s">
        <v>779</v>
      </c>
      <c r="H1704" s="1" t="s">
        <v>22</v>
      </c>
      <c r="I1704" s="1" t="s">
        <v>23</v>
      </c>
      <c r="L1704" s="1">
        <v>1</v>
      </c>
      <c r="M1704" s="1">
        <v>1.4</v>
      </c>
      <c r="N1704" s="1">
        <v>1.4</v>
      </c>
      <c r="O1704" s="11"/>
      <c r="P1704" s="11"/>
      <c r="Q1704" s="11"/>
      <c r="R1704" s="11"/>
    </row>
    <row r="1705" spans="4:18">
      <c r="D1705" s="1" t="s">
        <v>199</v>
      </c>
      <c r="E1705" s="1" t="s">
        <v>780</v>
      </c>
      <c r="H1705" s="1" t="s">
        <v>22</v>
      </c>
      <c r="I1705" s="1" t="s">
        <v>23</v>
      </c>
      <c r="L1705" s="1">
        <v>1</v>
      </c>
      <c r="M1705" s="1">
        <v>1.4</v>
      </c>
      <c r="N1705" s="1">
        <v>1.4</v>
      </c>
      <c r="O1705" s="11"/>
      <c r="P1705" s="11"/>
      <c r="Q1705" s="11"/>
      <c r="R1705" s="11"/>
    </row>
    <row r="1706" spans="4:18">
      <c r="D1706" s="1" t="s">
        <v>199</v>
      </c>
      <c r="E1706" s="1" t="s">
        <v>781</v>
      </c>
      <c r="H1706" s="1" t="s">
        <v>22</v>
      </c>
      <c r="I1706" s="1" t="s">
        <v>23</v>
      </c>
      <c r="L1706" s="1">
        <v>1</v>
      </c>
      <c r="M1706" s="1">
        <v>1.4</v>
      </c>
      <c r="N1706" s="1">
        <v>1.4</v>
      </c>
      <c r="O1706" s="11"/>
      <c r="P1706" s="11"/>
      <c r="Q1706" s="11"/>
      <c r="R1706" s="11"/>
    </row>
    <row r="1707" spans="4:18">
      <c r="D1707" s="1" t="s">
        <v>199</v>
      </c>
      <c r="E1707" s="1" t="s">
        <v>782</v>
      </c>
      <c r="H1707" s="1" t="s">
        <v>22</v>
      </c>
      <c r="I1707" s="1" t="s">
        <v>23</v>
      </c>
      <c r="L1707" s="1">
        <v>1</v>
      </c>
      <c r="M1707" s="1">
        <v>1.4</v>
      </c>
      <c r="N1707" s="1">
        <v>1.4</v>
      </c>
      <c r="O1707" s="11"/>
      <c r="P1707" s="11"/>
      <c r="Q1707" s="11"/>
      <c r="R1707" s="11"/>
    </row>
    <row r="1708" spans="4:18">
      <c r="D1708" s="1" t="s">
        <v>199</v>
      </c>
      <c r="E1708" s="1" t="s">
        <v>783</v>
      </c>
      <c r="H1708" s="1" t="s">
        <v>22</v>
      </c>
      <c r="I1708" s="1" t="s">
        <v>23</v>
      </c>
      <c r="L1708" s="1">
        <v>1</v>
      </c>
      <c r="M1708" s="1">
        <v>1.4</v>
      </c>
      <c r="N1708" s="1">
        <v>1.4</v>
      </c>
      <c r="O1708" s="11"/>
      <c r="P1708" s="11"/>
      <c r="Q1708" s="11"/>
      <c r="R1708" s="11"/>
    </row>
    <row r="1709" spans="4:18">
      <c r="D1709" s="1" t="s">
        <v>199</v>
      </c>
      <c r="E1709" s="1" t="s">
        <v>784</v>
      </c>
      <c r="H1709" s="1" t="s">
        <v>22</v>
      </c>
      <c r="I1709" s="1" t="s">
        <v>23</v>
      </c>
      <c r="L1709" s="1">
        <v>1</v>
      </c>
      <c r="M1709" s="1">
        <v>1.4</v>
      </c>
      <c r="N1709" s="1">
        <v>1.4</v>
      </c>
      <c r="O1709" s="11"/>
      <c r="P1709" s="11"/>
      <c r="Q1709" s="11"/>
      <c r="R1709" s="11"/>
    </row>
    <row r="1710" spans="4:18">
      <c r="D1710" s="1" t="s">
        <v>199</v>
      </c>
      <c r="E1710" s="1" t="s">
        <v>785</v>
      </c>
      <c r="H1710" s="1" t="s">
        <v>22</v>
      </c>
      <c r="I1710" s="1" t="s">
        <v>23</v>
      </c>
      <c r="L1710" s="1">
        <v>1</v>
      </c>
      <c r="M1710" s="1">
        <v>1.4</v>
      </c>
      <c r="N1710" s="1">
        <v>1.4</v>
      </c>
      <c r="O1710" s="11"/>
      <c r="P1710" s="11"/>
      <c r="Q1710" s="11"/>
      <c r="R1710" s="11"/>
    </row>
    <row r="1711" spans="4:18">
      <c r="D1711" s="1" t="s">
        <v>199</v>
      </c>
      <c r="E1711" s="1" t="s">
        <v>786</v>
      </c>
      <c r="H1711" s="1" t="s">
        <v>22</v>
      </c>
      <c r="I1711" s="1" t="s">
        <v>23</v>
      </c>
      <c r="L1711" s="1">
        <v>1</v>
      </c>
      <c r="M1711" s="1">
        <v>1.4</v>
      </c>
      <c r="N1711" s="1">
        <v>1.4</v>
      </c>
      <c r="O1711" s="11"/>
      <c r="P1711" s="11"/>
      <c r="Q1711" s="11"/>
      <c r="R1711" s="11"/>
    </row>
    <row r="1712" spans="4:18">
      <c r="D1712" s="1" t="s">
        <v>199</v>
      </c>
      <c r="E1712" s="1" t="s">
        <v>787</v>
      </c>
      <c r="H1712" s="1" t="s">
        <v>22</v>
      </c>
      <c r="I1712" s="1" t="s">
        <v>23</v>
      </c>
      <c r="L1712" s="1">
        <v>1</v>
      </c>
      <c r="M1712" s="1">
        <v>1.5</v>
      </c>
      <c r="N1712" s="1">
        <v>1.5</v>
      </c>
      <c r="O1712" s="11"/>
      <c r="P1712" s="11"/>
      <c r="Q1712" s="11"/>
      <c r="R1712" s="11"/>
    </row>
    <row r="1713" spans="4:18">
      <c r="D1713" s="1" t="s">
        <v>199</v>
      </c>
      <c r="E1713" s="1" t="s">
        <v>788</v>
      </c>
      <c r="H1713" s="1" t="s">
        <v>22</v>
      </c>
      <c r="I1713" s="1" t="s">
        <v>23</v>
      </c>
      <c r="L1713" s="1">
        <v>1</v>
      </c>
      <c r="M1713" s="1">
        <v>1.5</v>
      </c>
      <c r="N1713" s="1">
        <v>1.5</v>
      </c>
      <c r="O1713" s="11"/>
      <c r="P1713" s="11"/>
      <c r="Q1713" s="11"/>
      <c r="R1713" s="11"/>
    </row>
    <row r="1714" spans="4:18">
      <c r="D1714" s="1" t="s">
        <v>199</v>
      </c>
      <c r="E1714" s="1" t="s">
        <v>789</v>
      </c>
      <c r="H1714" s="1" t="s">
        <v>22</v>
      </c>
      <c r="I1714" s="1" t="s">
        <v>23</v>
      </c>
      <c r="L1714" s="1">
        <v>1</v>
      </c>
      <c r="M1714" s="1">
        <v>1.5</v>
      </c>
      <c r="N1714" s="1">
        <v>1.5</v>
      </c>
      <c r="O1714" s="11"/>
      <c r="P1714" s="11"/>
      <c r="Q1714" s="11"/>
      <c r="R1714" s="11"/>
    </row>
    <row r="1715" spans="4:18">
      <c r="D1715" s="1" t="s">
        <v>199</v>
      </c>
      <c r="E1715" s="1" t="s">
        <v>790</v>
      </c>
      <c r="H1715" s="1" t="s">
        <v>22</v>
      </c>
      <c r="I1715" s="1" t="s">
        <v>23</v>
      </c>
      <c r="L1715" s="1">
        <v>1</v>
      </c>
      <c r="M1715" s="1">
        <v>1.5</v>
      </c>
      <c r="N1715" s="1">
        <v>1.5</v>
      </c>
      <c r="O1715" s="11"/>
      <c r="P1715" s="11"/>
      <c r="Q1715" s="11"/>
      <c r="R1715" s="11"/>
    </row>
    <row r="1716" spans="4:18">
      <c r="D1716" s="1" t="s">
        <v>199</v>
      </c>
      <c r="E1716" s="1" t="s">
        <v>791</v>
      </c>
      <c r="H1716" s="1" t="s">
        <v>22</v>
      </c>
      <c r="I1716" s="1" t="s">
        <v>23</v>
      </c>
      <c r="L1716" s="1">
        <v>1</v>
      </c>
      <c r="M1716" s="1">
        <v>1.5</v>
      </c>
      <c r="N1716" s="1">
        <v>1.5</v>
      </c>
      <c r="O1716" s="11"/>
      <c r="P1716" s="11"/>
      <c r="Q1716" s="11"/>
      <c r="R1716" s="11"/>
    </row>
    <row r="1717" spans="4:18">
      <c r="D1717" s="1" t="s">
        <v>199</v>
      </c>
      <c r="E1717" s="1" t="s">
        <v>792</v>
      </c>
      <c r="H1717" s="1" t="s">
        <v>22</v>
      </c>
      <c r="I1717" s="1" t="s">
        <v>23</v>
      </c>
      <c r="L1717" s="1">
        <v>1</v>
      </c>
      <c r="M1717" s="1">
        <v>1.5</v>
      </c>
      <c r="N1717" s="1">
        <v>1.5</v>
      </c>
      <c r="O1717" s="11"/>
      <c r="P1717" s="11"/>
      <c r="Q1717" s="11"/>
      <c r="R1717" s="11"/>
    </row>
    <row r="1718" spans="4:18">
      <c r="D1718" s="1" t="s">
        <v>199</v>
      </c>
      <c r="E1718" s="1" t="s">
        <v>793</v>
      </c>
      <c r="H1718" s="1" t="s">
        <v>22</v>
      </c>
      <c r="I1718" s="1" t="s">
        <v>23</v>
      </c>
      <c r="L1718" s="1">
        <v>1</v>
      </c>
      <c r="M1718" s="1">
        <v>1.5</v>
      </c>
      <c r="N1718" s="1">
        <v>1.5</v>
      </c>
      <c r="O1718" s="11"/>
      <c r="P1718" s="11"/>
      <c r="Q1718" s="11"/>
      <c r="R1718" s="11"/>
    </row>
    <row r="1719" spans="4:18">
      <c r="D1719" s="1" t="s">
        <v>199</v>
      </c>
      <c r="E1719" s="1" t="s">
        <v>794</v>
      </c>
      <c r="H1719" s="1" t="s">
        <v>22</v>
      </c>
      <c r="I1719" s="1" t="s">
        <v>23</v>
      </c>
      <c r="L1719" s="1">
        <v>1</v>
      </c>
      <c r="M1719" s="1">
        <v>1.5</v>
      </c>
      <c r="N1719" s="1">
        <v>1.5</v>
      </c>
      <c r="O1719" s="11"/>
      <c r="P1719" s="11"/>
      <c r="Q1719" s="11"/>
      <c r="R1719" s="11"/>
    </row>
    <row r="1720" spans="4:18">
      <c r="D1720" s="1" t="s">
        <v>199</v>
      </c>
      <c r="E1720" s="1" t="s">
        <v>795</v>
      </c>
      <c r="H1720" s="1" t="s">
        <v>22</v>
      </c>
      <c r="I1720" s="1" t="s">
        <v>23</v>
      </c>
      <c r="L1720" s="1">
        <v>1</v>
      </c>
      <c r="M1720" s="1">
        <v>1.5</v>
      </c>
      <c r="N1720" s="1">
        <v>1.5</v>
      </c>
      <c r="O1720" s="11"/>
      <c r="P1720" s="11"/>
      <c r="Q1720" s="11"/>
      <c r="R1720" s="11"/>
    </row>
    <row r="1721" spans="4:18">
      <c r="D1721" s="1" t="s">
        <v>199</v>
      </c>
      <c r="E1721" s="1" t="s">
        <v>796</v>
      </c>
      <c r="H1721" s="1" t="s">
        <v>22</v>
      </c>
      <c r="I1721" s="1" t="s">
        <v>23</v>
      </c>
      <c r="L1721" s="1">
        <v>1</v>
      </c>
      <c r="M1721" s="1">
        <v>0</v>
      </c>
      <c r="N1721" s="1">
        <v>0</v>
      </c>
      <c r="O1721" s="11"/>
      <c r="P1721" s="11"/>
      <c r="Q1721" s="11"/>
      <c r="R1721" s="11"/>
    </row>
    <row r="1722" spans="4:18">
      <c r="D1722" s="1" t="s">
        <v>199</v>
      </c>
      <c r="E1722" s="1" t="s">
        <v>797</v>
      </c>
      <c r="H1722" s="1" t="s">
        <v>22</v>
      </c>
      <c r="I1722" s="1" t="s">
        <v>23</v>
      </c>
      <c r="L1722" s="1">
        <v>1</v>
      </c>
      <c r="M1722" s="1">
        <v>0</v>
      </c>
      <c r="N1722" s="1">
        <v>0</v>
      </c>
      <c r="O1722" s="11"/>
      <c r="P1722" s="11"/>
      <c r="Q1722" s="11"/>
      <c r="R1722" s="11"/>
    </row>
    <row r="1723" spans="4:18">
      <c r="D1723" s="1" t="s">
        <v>199</v>
      </c>
      <c r="E1723" s="1" t="s">
        <v>798</v>
      </c>
      <c r="H1723" s="1" t="s">
        <v>22</v>
      </c>
      <c r="I1723" s="1" t="s">
        <v>23</v>
      </c>
      <c r="L1723" s="1">
        <v>1</v>
      </c>
      <c r="M1723" s="1">
        <v>0</v>
      </c>
      <c r="N1723" s="1">
        <v>0</v>
      </c>
      <c r="O1723" s="11"/>
      <c r="P1723" s="11"/>
      <c r="Q1723" s="11"/>
      <c r="R1723" s="11"/>
    </row>
    <row r="1724" spans="4:18">
      <c r="D1724" s="1" t="s">
        <v>199</v>
      </c>
      <c r="E1724" s="1" t="s">
        <v>799</v>
      </c>
      <c r="H1724" s="1" t="s">
        <v>22</v>
      </c>
      <c r="I1724" s="1" t="s">
        <v>23</v>
      </c>
      <c r="L1724" s="1">
        <v>1</v>
      </c>
      <c r="M1724" s="1">
        <v>0</v>
      </c>
      <c r="N1724" s="1">
        <v>0</v>
      </c>
      <c r="O1724" s="11"/>
      <c r="P1724" s="11"/>
      <c r="Q1724" s="11"/>
      <c r="R1724" s="11"/>
    </row>
    <row r="1725" spans="4:18">
      <c r="D1725" s="1" t="s">
        <v>199</v>
      </c>
      <c r="E1725" s="1" t="s">
        <v>800</v>
      </c>
      <c r="H1725" s="1" t="s">
        <v>22</v>
      </c>
      <c r="I1725" s="1" t="s">
        <v>23</v>
      </c>
      <c r="L1725" s="1">
        <v>1</v>
      </c>
      <c r="M1725" s="1">
        <v>0</v>
      </c>
      <c r="N1725" s="1">
        <v>0</v>
      </c>
      <c r="O1725" s="11"/>
      <c r="P1725" s="11"/>
      <c r="Q1725" s="11"/>
      <c r="R1725" s="11"/>
    </row>
    <row r="1726" spans="4:18">
      <c r="D1726" s="1" t="s">
        <v>199</v>
      </c>
      <c r="E1726" s="1" t="s">
        <v>801</v>
      </c>
      <c r="H1726" s="1" t="s">
        <v>22</v>
      </c>
      <c r="I1726" s="1" t="s">
        <v>23</v>
      </c>
      <c r="L1726" s="1">
        <v>1</v>
      </c>
      <c r="M1726" s="1">
        <v>0</v>
      </c>
      <c r="N1726" s="1">
        <v>0</v>
      </c>
      <c r="O1726" s="11"/>
      <c r="P1726" s="11"/>
      <c r="Q1726" s="11"/>
      <c r="R1726" s="11"/>
    </row>
    <row r="1727" spans="4:18">
      <c r="D1727" s="1" t="s">
        <v>199</v>
      </c>
      <c r="E1727" s="1" t="s">
        <v>802</v>
      </c>
      <c r="H1727" s="1" t="s">
        <v>22</v>
      </c>
      <c r="I1727" s="1" t="s">
        <v>23</v>
      </c>
      <c r="L1727" s="1">
        <v>1</v>
      </c>
      <c r="M1727" s="1">
        <v>0</v>
      </c>
      <c r="N1727" s="1">
        <v>0</v>
      </c>
      <c r="O1727" s="11"/>
      <c r="P1727" s="11"/>
      <c r="Q1727" s="11"/>
      <c r="R1727" s="11"/>
    </row>
    <row r="1728" spans="4:18">
      <c r="D1728" s="1" t="s">
        <v>199</v>
      </c>
      <c r="E1728" s="1" t="s">
        <v>803</v>
      </c>
      <c r="H1728" s="1" t="s">
        <v>22</v>
      </c>
      <c r="I1728" s="1" t="s">
        <v>23</v>
      </c>
      <c r="L1728" s="1">
        <v>1</v>
      </c>
      <c r="M1728" s="1">
        <v>0</v>
      </c>
      <c r="N1728" s="1">
        <v>0</v>
      </c>
      <c r="O1728" s="11"/>
      <c r="P1728" s="11"/>
      <c r="Q1728" s="11"/>
      <c r="R1728" s="11"/>
    </row>
    <row r="1729" spans="4:18">
      <c r="D1729" s="1" t="s">
        <v>199</v>
      </c>
      <c r="E1729" s="1" t="s">
        <v>804</v>
      </c>
      <c r="H1729" s="1" t="s">
        <v>22</v>
      </c>
      <c r="I1729" s="1" t="s">
        <v>23</v>
      </c>
      <c r="L1729" s="1">
        <v>1</v>
      </c>
      <c r="M1729" s="1">
        <v>0</v>
      </c>
      <c r="N1729" s="1">
        <v>0</v>
      </c>
      <c r="O1729" s="11"/>
      <c r="P1729" s="11"/>
      <c r="Q1729" s="11"/>
      <c r="R1729" s="11"/>
    </row>
    <row r="1730" spans="4:18">
      <c r="D1730" s="1" t="s">
        <v>199</v>
      </c>
      <c r="E1730" s="1" t="s">
        <v>805</v>
      </c>
      <c r="H1730" s="1" t="s">
        <v>22</v>
      </c>
      <c r="I1730" s="1" t="s">
        <v>23</v>
      </c>
      <c r="L1730" s="1">
        <v>1</v>
      </c>
      <c r="M1730" s="1">
        <v>0.1</v>
      </c>
      <c r="N1730" s="1">
        <v>0.1</v>
      </c>
      <c r="O1730" s="11"/>
      <c r="P1730" s="11"/>
      <c r="Q1730" s="11"/>
      <c r="R1730" s="11"/>
    </row>
    <row r="1731" spans="4:18">
      <c r="D1731" s="1" t="s">
        <v>199</v>
      </c>
      <c r="E1731" s="1" t="s">
        <v>806</v>
      </c>
      <c r="H1731" s="1" t="s">
        <v>22</v>
      </c>
      <c r="I1731" s="1" t="s">
        <v>23</v>
      </c>
      <c r="L1731" s="1">
        <v>1</v>
      </c>
      <c r="M1731" s="1">
        <v>0.1</v>
      </c>
      <c r="N1731" s="1">
        <v>0.1</v>
      </c>
      <c r="O1731" s="11"/>
      <c r="P1731" s="11"/>
      <c r="Q1731" s="11"/>
      <c r="R1731" s="11"/>
    </row>
    <row r="1732" spans="4:18">
      <c r="D1732" s="1" t="s">
        <v>199</v>
      </c>
      <c r="E1732" s="1" t="s">
        <v>807</v>
      </c>
      <c r="H1732" s="1" t="s">
        <v>22</v>
      </c>
      <c r="I1732" s="1" t="s">
        <v>23</v>
      </c>
      <c r="L1732" s="1">
        <v>1</v>
      </c>
      <c r="M1732" s="1">
        <v>0.2</v>
      </c>
      <c r="N1732" s="1">
        <v>0.2</v>
      </c>
      <c r="O1732" s="11"/>
      <c r="P1732" s="11"/>
      <c r="Q1732" s="11"/>
      <c r="R1732" s="11"/>
    </row>
    <row r="1733" spans="4:18">
      <c r="D1733" s="1" t="s">
        <v>199</v>
      </c>
      <c r="E1733" s="1" t="s">
        <v>808</v>
      </c>
      <c r="H1733" s="1" t="s">
        <v>22</v>
      </c>
      <c r="I1733" s="1" t="s">
        <v>23</v>
      </c>
      <c r="L1733" s="1">
        <v>1</v>
      </c>
      <c r="M1733" s="1">
        <v>0.2</v>
      </c>
      <c r="N1733" s="1">
        <v>0.2</v>
      </c>
      <c r="O1733" s="11"/>
      <c r="P1733" s="11"/>
      <c r="Q1733" s="11"/>
      <c r="R1733" s="11"/>
    </row>
    <row r="1734" spans="4:18">
      <c r="D1734" s="1" t="s">
        <v>199</v>
      </c>
      <c r="E1734" s="1" t="s">
        <v>809</v>
      </c>
      <c r="H1734" s="1" t="s">
        <v>22</v>
      </c>
      <c r="I1734" s="1" t="s">
        <v>23</v>
      </c>
      <c r="L1734" s="1">
        <v>1</v>
      </c>
      <c r="M1734" s="1">
        <v>0.2</v>
      </c>
      <c r="N1734" s="1">
        <v>0.2</v>
      </c>
      <c r="O1734" s="11"/>
      <c r="P1734" s="11"/>
      <c r="Q1734" s="11"/>
      <c r="R1734" s="11"/>
    </row>
    <row r="1735" spans="4:18">
      <c r="D1735" s="1" t="s">
        <v>199</v>
      </c>
      <c r="E1735" s="1" t="s">
        <v>810</v>
      </c>
      <c r="H1735" s="1" t="s">
        <v>22</v>
      </c>
      <c r="I1735" s="1" t="s">
        <v>23</v>
      </c>
      <c r="L1735" s="1">
        <v>1</v>
      </c>
      <c r="M1735" s="1">
        <v>0.2</v>
      </c>
      <c r="N1735" s="1">
        <v>0.2</v>
      </c>
      <c r="O1735" s="11"/>
      <c r="P1735" s="11"/>
      <c r="Q1735" s="11"/>
      <c r="R1735" s="11"/>
    </row>
    <row r="1736" spans="4:18">
      <c r="D1736" s="1" t="s">
        <v>199</v>
      </c>
      <c r="E1736" s="1" t="s">
        <v>811</v>
      </c>
      <c r="H1736" s="1" t="s">
        <v>22</v>
      </c>
      <c r="I1736" s="1" t="s">
        <v>23</v>
      </c>
      <c r="L1736" s="1">
        <v>1</v>
      </c>
      <c r="M1736" s="1">
        <v>0.2</v>
      </c>
      <c r="N1736" s="1">
        <v>0.2</v>
      </c>
      <c r="O1736" s="11"/>
      <c r="P1736" s="11"/>
      <c r="Q1736" s="11"/>
      <c r="R1736" s="11"/>
    </row>
    <row r="1737" spans="4:18">
      <c r="D1737" s="1" t="s">
        <v>199</v>
      </c>
      <c r="E1737" s="1" t="s">
        <v>812</v>
      </c>
      <c r="H1737" s="1" t="s">
        <v>22</v>
      </c>
      <c r="I1737" s="1" t="s">
        <v>23</v>
      </c>
      <c r="L1737" s="1">
        <v>1</v>
      </c>
      <c r="M1737" s="1">
        <v>0.3</v>
      </c>
      <c r="N1737" s="1">
        <v>0.3</v>
      </c>
      <c r="O1737" s="11"/>
      <c r="P1737" s="11"/>
      <c r="Q1737" s="11"/>
      <c r="R1737" s="11"/>
    </row>
    <row r="1738" spans="4:18">
      <c r="D1738" s="1" t="s">
        <v>199</v>
      </c>
      <c r="E1738" s="1" t="s">
        <v>813</v>
      </c>
      <c r="H1738" s="1" t="s">
        <v>22</v>
      </c>
      <c r="I1738" s="1" t="s">
        <v>23</v>
      </c>
      <c r="L1738" s="1">
        <v>1</v>
      </c>
      <c r="M1738" s="1">
        <v>0.3</v>
      </c>
      <c r="N1738" s="1">
        <v>0.3</v>
      </c>
      <c r="O1738" s="11"/>
      <c r="P1738" s="11"/>
      <c r="Q1738" s="11"/>
      <c r="R1738" s="11"/>
    </row>
    <row r="1739" spans="4:18">
      <c r="D1739" s="1" t="s">
        <v>199</v>
      </c>
      <c r="E1739" s="1" t="s">
        <v>814</v>
      </c>
      <c r="H1739" s="1" t="s">
        <v>22</v>
      </c>
      <c r="I1739" s="1" t="s">
        <v>23</v>
      </c>
      <c r="L1739" s="1">
        <v>1</v>
      </c>
      <c r="M1739" s="1">
        <v>0.3</v>
      </c>
      <c r="N1739" s="1">
        <v>0.3</v>
      </c>
      <c r="O1739" s="11"/>
      <c r="P1739" s="11"/>
      <c r="Q1739" s="11"/>
      <c r="R1739" s="11"/>
    </row>
    <row r="1740" spans="4:18">
      <c r="D1740" s="1" t="s">
        <v>199</v>
      </c>
      <c r="E1740" s="1" t="s">
        <v>815</v>
      </c>
      <c r="H1740" s="1" t="s">
        <v>22</v>
      </c>
      <c r="I1740" s="1" t="s">
        <v>23</v>
      </c>
      <c r="L1740" s="1">
        <v>1</v>
      </c>
      <c r="M1740" s="1">
        <v>0.3</v>
      </c>
      <c r="N1740" s="1">
        <v>0.3</v>
      </c>
      <c r="O1740" s="11"/>
      <c r="P1740" s="11"/>
      <c r="Q1740" s="11"/>
      <c r="R1740" s="11"/>
    </row>
    <row r="1741" spans="4:18">
      <c r="D1741" s="1" t="s">
        <v>199</v>
      </c>
      <c r="E1741" s="1" t="s">
        <v>816</v>
      </c>
      <c r="H1741" s="1" t="s">
        <v>22</v>
      </c>
      <c r="I1741" s="1" t="s">
        <v>23</v>
      </c>
      <c r="L1741" s="1">
        <v>1</v>
      </c>
      <c r="M1741" s="1">
        <v>0.4</v>
      </c>
      <c r="N1741" s="1">
        <v>0.4</v>
      </c>
      <c r="O1741" s="11"/>
      <c r="P1741" s="11"/>
      <c r="Q1741" s="11"/>
      <c r="R1741" s="11"/>
    </row>
    <row r="1742" spans="4:18">
      <c r="D1742" s="1" t="s">
        <v>199</v>
      </c>
      <c r="E1742" s="1" t="s">
        <v>817</v>
      </c>
      <c r="H1742" s="1" t="s">
        <v>22</v>
      </c>
      <c r="I1742" s="1" t="s">
        <v>23</v>
      </c>
      <c r="L1742" s="1">
        <v>1</v>
      </c>
      <c r="M1742" s="1">
        <v>0.4</v>
      </c>
      <c r="N1742" s="1">
        <v>0.4</v>
      </c>
      <c r="O1742" s="11"/>
      <c r="P1742" s="11"/>
      <c r="Q1742" s="11"/>
      <c r="R1742" s="11"/>
    </row>
    <row r="1743" spans="4:18">
      <c r="D1743" s="1" t="s">
        <v>199</v>
      </c>
      <c r="E1743" s="1" t="s">
        <v>818</v>
      </c>
      <c r="H1743" s="1" t="s">
        <v>22</v>
      </c>
      <c r="I1743" s="1" t="s">
        <v>23</v>
      </c>
      <c r="L1743" s="1">
        <v>1</v>
      </c>
      <c r="M1743" s="1">
        <v>0.5</v>
      </c>
      <c r="N1743" s="1">
        <v>0.5</v>
      </c>
      <c r="O1743" s="11"/>
      <c r="P1743" s="11"/>
      <c r="Q1743" s="11"/>
      <c r="R1743" s="11"/>
    </row>
    <row r="1744" spans="4:18">
      <c r="D1744" s="1" t="s">
        <v>199</v>
      </c>
      <c r="E1744" s="1" t="s">
        <v>819</v>
      </c>
      <c r="H1744" s="1" t="s">
        <v>22</v>
      </c>
      <c r="I1744" s="1" t="s">
        <v>23</v>
      </c>
      <c r="L1744" s="1">
        <v>1</v>
      </c>
      <c r="M1744" s="1">
        <v>0.5</v>
      </c>
      <c r="N1744" s="1">
        <v>0.5</v>
      </c>
      <c r="O1744" s="11"/>
      <c r="P1744" s="11"/>
      <c r="Q1744" s="11"/>
      <c r="R1744" s="11"/>
    </row>
    <row r="1745" spans="4:18">
      <c r="D1745" s="1" t="s">
        <v>199</v>
      </c>
      <c r="E1745" s="1" t="s">
        <v>820</v>
      </c>
      <c r="H1745" s="1" t="s">
        <v>22</v>
      </c>
      <c r="I1745" s="1" t="s">
        <v>23</v>
      </c>
      <c r="L1745" s="1">
        <v>1</v>
      </c>
      <c r="M1745" s="1">
        <v>0.5</v>
      </c>
      <c r="N1745" s="1">
        <v>0.5</v>
      </c>
      <c r="O1745" s="11"/>
      <c r="P1745" s="11"/>
      <c r="Q1745" s="11"/>
      <c r="R1745" s="11"/>
    </row>
    <row r="1746" spans="4:18">
      <c r="D1746" s="1" t="s">
        <v>199</v>
      </c>
      <c r="E1746" s="1" t="s">
        <v>821</v>
      </c>
      <c r="H1746" s="1" t="s">
        <v>22</v>
      </c>
      <c r="I1746" s="1" t="s">
        <v>23</v>
      </c>
      <c r="L1746" s="1">
        <v>1</v>
      </c>
      <c r="M1746" s="1">
        <v>0.5</v>
      </c>
      <c r="N1746" s="1">
        <v>0.5</v>
      </c>
      <c r="O1746" s="11"/>
      <c r="P1746" s="11"/>
      <c r="Q1746" s="11"/>
      <c r="R1746" s="11"/>
    </row>
    <row r="1747" spans="4:18">
      <c r="D1747" s="1" t="s">
        <v>199</v>
      </c>
      <c r="E1747" s="1" t="s">
        <v>822</v>
      </c>
      <c r="H1747" s="1" t="s">
        <v>22</v>
      </c>
      <c r="I1747" s="1" t="s">
        <v>23</v>
      </c>
      <c r="L1747" s="1">
        <v>1</v>
      </c>
      <c r="M1747" s="1">
        <v>0.5</v>
      </c>
      <c r="N1747" s="1">
        <v>0.5</v>
      </c>
      <c r="O1747" s="11"/>
      <c r="P1747" s="11"/>
      <c r="Q1747" s="11"/>
      <c r="R1747" s="11"/>
    </row>
    <row r="1748" spans="4:18">
      <c r="D1748" s="1" t="s">
        <v>199</v>
      </c>
      <c r="E1748" s="1" t="s">
        <v>823</v>
      </c>
      <c r="H1748" s="1" t="s">
        <v>22</v>
      </c>
      <c r="I1748" s="1" t="s">
        <v>23</v>
      </c>
      <c r="L1748" s="1">
        <v>1</v>
      </c>
      <c r="M1748" s="1">
        <v>0.5</v>
      </c>
      <c r="N1748" s="1">
        <v>0.5</v>
      </c>
      <c r="O1748" s="11"/>
      <c r="P1748" s="11"/>
      <c r="Q1748" s="11"/>
      <c r="R1748" s="11"/>
    </row>
    <row r="1749" spans="4:18">
      <c r="D1749" s="1" t="s">
        <v>199</v>
      </c>
      <c r="E1749" s="1" t="s">
        <v>824</v>
      </c>
      <c r="H1749" s="1" t="s">
        <v>22</v>
      </c>
      <c r="I1749" s="1" t="s">
        <v>23</v>
      </c>
      <c r="L1749" s="1">
        <v>1</v>
      </c>
      <c r="M1749" s="1">
        <v>0.6</v>
      </c>
      <c r="N1749" s="1">
        <v>0.6</v>
      </c>
      <c r="O1749" s="11"/>
      <c r="P1749" s="11"/>
      <c r="Q1749" s="11"/>
      <c r="R1749" s="11"/>
    </row>
    <row r="1750" spans="4:18">
      <c r="D1750" s="1" t="s">
        <v>199</v>
      </c>
      <c r="E1750" s="1" t="s">
        <v>825</v>
      </c>
      <c r="H1750" s="1" t="s">
        <v>22</v>
      </c>
      <c r="I1750" s="1" t="s">
        <v>23</v>
      </c>
      <c r="L1750" s="1">
        <v>1</v>
      </c>
      <c r="M1750" s="1">
        <v>0.6</v>
      </c>
      <c r="N1750" s="1">
        <v>0.6</v>
      </c>
      <c r="O1750" s="11"/>
      <c r="P1750" s="11"/>
      <c r="Q1750" s="11"/>
      <c r="R1750" s="11"/>
    </row>
    <row r="1751" spans="4:18">
      <c r="D1751" s="1" t="s">
        <v>199</v>
      </c>
      <c r="E1751" s="1" t="s">
        <v>826</v>
      </c>
      <c r="H1751" s="1" t="s">
        <v>22</v>
      </c>
      <c r="I1751" s="1" t="s">
        <v>23</v>
      </c>
      <c r="L1751" s="1">
        <v>1</v>
      </c>
      <c r="M1751" s="1">
        <v>0.6</v>
      </c>
      <c r="N1751" s="1">
        <v>0.6</v>
      </c>
      <c r="O1751" s="11"/>
      <c r="P1751" s="11"/>
      <c r="Q1751" s="11"/>
      <c r="R1751" s="11"/>
    </row>
    <row r="1752" spans="4:18">
      <c r="D1752" s="1" t="s">
        <v>199</v>
      </c>
      <c r="E1752" s="1" t="s">
        <v>827</v>
      </c>
      <c r="H1752" s="1" t="s">
        <v>22</v>
      </c>
      <c r="I1752" s="1" t="s">
        <v>23</v>
      </c>
      <c r="L1752" s="1">
        <v>1</v>
      </c>
      <c r="M1752" s="1">
        <v>0.6</v>
      </c>
      <c r="N1752" s="1">
        <v>0.6</v>
      </c>
      <c r="O1752" s="11"/>
      <c r="P1752" s="11"/>
      <c r="Q1752" s="11"/>
      <c r="R1752" s="11"/>
    </row>
    <row r="1753" spans="4:18">
      <c r="D1753" s="1" t="s">
        <v>199</v>
      </c>
      <c r="E1753" s="1" t="s">
        <v>828</v>
      </c>
      <c r="H1753" s="1" t="s">
        <v>22</v>
      </c>
      <c r="I1753" s="1" t="s">
        <v>23</v>
      </c>
      <c r="L1753" s="1">
        <v>1</v>
      </c>
      <c r="M1753" s="1">
        <v>0.7</v>
      </c>
      <c r="N1753" s="1">
        <v>0.7</v>
      </c>
      <c r="O1753" s="11"/>
      <c r="P1753" s="11"/>
      <c r="Q1753" s="11"/>
      <c r="R1753" s="11"/>
    </row>
    <row r="1754" spans="4:18">
      <c r="D1754" s="1" t="s">
        <v>199</v>
      </c>
      <c r="E1754" s="1" t="s">
        <v>829</v>
      </c>
      <c r="H1754" s="1" t="s">
        <v>22</v>
      </c>
      <c r="I1754" s="1" t="s">
        <v>23</v>
      </c>
      <c r="L1754" s="1">
        <v>1</v>
      </c>
      <c r="M1754" s="1">
        <v>0.7</v>
      </c>
      <c r="N1754" s="1">
        <v>0.7</v>
      </c>
      <c r="O1754" s="11"/>
      <c r="P1754" s="11"/>
      <c r="Q1754" s="11"/>
      <c r="R1754" s="11"/>
    </row>
    <row r="1755" spans="4:18">
      <c r="D1755" s="1" t="s">
        <v>199</v>
      </c>
      <c r="E1755" s="1" t="s">
        <v>830</v>
      </c>
      <c r="H1755" s="1" t="s">
        <v>22</v>
      </c>
      <c r="I1755" s="1" t="s">
        <v>23</v>
      </c>
      <c r="L1755" s="1">
        <v>1</v>
      </c>
      <c r="M1755" s="1">
        <v>0.7</v>
      </c>
      <c r="N1755" s="1">
        <v>0.7</v>
      </c>
      <c r="O1755" s="11"/>
      <c r="P1755" s="11"/>
      <c r="Q1755" s="11"/>
      <c r="R1755" s="11"/>
    </row>
    <row r="1756" spans="4:18">
      <c r="D1756" s="1" t="s">
        <v>199</v>
      </c>
      <c r="E1756" s="1" t="s">
        <v>831</v>
      </c>
      <c r="H1756" s="1" t="s">
        <v>22</v>
      </c>
      <c r="I1756" s="1" t="s">
        <v>23</v>
      </c>
      <c r="L1756" s="1">
        <v>1</v>
      </c>
      <c r="M1756" s="1">
        <v>0.7</v>
      </c>
      <c r="N1756" s="1">
        <v>0.7</v>
      </c>
      <c r="O1756" s="11"/>
      <c r="P1756" s="11"/>
      <c r="Q1756" s="11"/>
      <c r="R1756" s="11"/>
    </row>
    <row r="1757" spans="4:18">
      <c r="D1757" s="1" t="s">
        <v>199</v>
      </c>
      <c r="E1757" s="1" t="s">
        <v>832</v>
      </c>
      <c r="H1757" s="1" t="s">
        <v>22</v>
      </c>
      <c r="I1757" s="1" t="s">
        <v>23</v>
      </c>
      <c r="L1757" s="1">
        <v>1</v>
      </c>
      <c r="M1757" s="1">
        <v>0.7</v>
      </c>
      <c r="N1757" s="1">
        <v>0.7</v>
      </c>
      <c r="O1757" s="11"/>
      <c r="P1757" s="11"/>
      <c r="Q1757" s="11"/>
      <c r="R1757" s="11"/>
    </row>
    <row r="1758" spans="4:18">
      <c r="D1758" s="1" t="s">
        <v>199</v>
      </c>
      <c r="E1758" s="1" t="s">
        <v>833</v>
      </c>
      <c r="H1758" s="1" t="s">
        <v>22</v>
      </c>
      <c r="I1758" s="1" t="s">
        <v>23</v>
      </c>
      <c r="L1758" s="1">
        <v>1</v>
      </c>
      <c r="M1758" s="1">
        <v>0.7</v>
      </c>
      <c r="N1758" s="1">
        <v>0.7</v>
      </c>
      <c r="O1758" s="11"/>
      <c r="P1758" s="11"/>
      <c r="Q1758" s="11"/>
      <c r="R1758" s="11"/>
    </row>
    <row r="1759" spans="4:18">
      <c r="D1759" s="1" t="s">
        <v>199</v>
      </c>
      <c r="E1759" s="1" t="s">
        <v>834</v>
      </c>
      <c r="H1759" s="1" t="s">
        <v>22</v>
      </c>
      <c r="I1759" s="1" t="s">
        <v>23</v>
      </c>
      <c r="L1759" s="1">
        <v>1</v>
      </c>
      <c r="M1759" s="1">
        <v>0.7</v>
      </c>
      <c r="N1759" s="1">
        <v>0.7</v>
      </c>
      <c r="O1759" s="11"/>
      <c r="P1759" s="11"/>
      <c r="Q1759" s="11"/>
      <c r="R1759" s="11"/>
    </row>
    <row r="1760" spans="4:18">
      <c r="D1760" s="1" t="s">
        <v>199</v>
      </c>
      <c r="E1760" s="1" t="s">
        <v>835</v>
      </c>
      <c r="H1760" s="1" t="s">
        <v>22</v>
      </c>
      <c r="I1760" s="1" t="s">
        <v>23</v>
      </c>
      <c r="L1760" s="1">
        <v>1</v>
      </c>
      <c r="M1760" s="1">
        <v>0.8</v>
      </c>
      <c r="N1760" s="1">
        <v>0.8</v>
      </c>
      <c r="O1760" s="11"/>
      <c r="P1760" s="11"/>
      <c r="Q1760" s="11"/>
      <c r="R1760" s="11"/>
    </row>
    <row r="1761" spans="4:18">
      <c r="D1761" s="1" t="s">
        <v>199</v>
      </c>
      <c r="E1761" s="1" t="s">
        <v>836</v>
      </c>
      <c r="H1761" s="1" t="s">
        <v>22</v>
      </c>
      <c r="I1761" s="1" t="s">
        <v>23</v>
      </c>
      <c r="L1761" s="1">
        <v>1</v>
      </c>
      <c r="M1761" s="1">
        <v>0.8</v>
      </c>
      <c r="N1761" s="1">
        <v>0.8</v>
      </c>
      <c r="O1761" s="11"/>
      <c r="P1761" s="11"/>
      <c r="Q1761" s="11"/>
      <c r="R1761" s="11"/>
    </row>
    <row r="1762" spans="4:18">
      <c r="D1762" s="1" t="s">
        <v>199</v>
      </c>
      <c r="E1762" s="1" t="s">
        <v>837</v>
      </c>
      <c r="H1762" s="1" t="s">
        <v>22</v>
      </c>
      <c r="I1762" s="1" t="s">
        <v>23</v>
      </c>
      <c r="L1762" s="1">
        <v>1</v>
      </c>
      <c r="M1762" s="1">
        <v>0.8</v>
      </c>
      <c r="N1762" s="1">
        <v>0.8</v>
      </c>
      <c r="O1762" s="11"/>
      <c r="P1762" s="11"/>
      <c r="Q1762" s="11"/>
      <c r="R1762" s="11"/>
    </row>
    <row r="1763" spans="4:18">
      <c r="D1763" s="1" t="s">
        <v>199</v>
      </c>
      <c r="E1763" s="1" t="s">
        <v>838</v>
      </c>
      <c r="H1763" s="1" t="s">
        <v>22</v>
      </c>
      <c r="I1763" s="1" t="s">
        <v>23</v>
      </c>
      <c r="L1763" s="1">
        <v>1</v>
      </c>
      <c r="M1763" s="1">
        <v>0.9</v>
      </c>
      <c r="N1763" s="1">
        <v>0.9</v>
      </c>
      <c r="O1763" s="11"/>
      <c r="P1763" s="11"/>
      <c r="Q1763" s="11"/>
      <c r="R1763" s="11"/>
    </row>
    <row r="1764" spans="4:18">
      <c r="D1764" s="1" t="s">
        <v>199</v>
      </c>
      <c r="E1764" s="1" t="s">
        <v>839</v>
      </c>
      <c r="H1764" s="1" t="s">
        <v>22</v>
      </c>
      <c r="I1764" s="1" t="s">
        <v>23</v>
      </c>
      <c r="L1764" s="1">
        <v>1</v>
      </c>
      <c r="M1764" s="1">
        <v>0.9</v>
      </c>
      <c r="N1764" s="1">
        <v>0.9</v>
      </c>
      <c r="O1764" s="11"/>
      <c r="P1764" s="11"/>
      <c r="Q1764" s="11"/>
      <c r="R1764" s="11"/>
    </row>
    <row r="1765" spans="4:18">
      <c r="D1765" s="1" t="s">
        <v>199</v>
      </c>
      <c r="E1765" s="1" t="s">
        <v>840</v>
      </c>
      <c r="H1765" s="1" t="s">
        <v>22</v>
      </c>
      <c r="I1765" s="1" t="s">
        <v>23</v>
      </c>
      <c r="L1765" s="1">
        <v>1</v>
      </c>
      <c r="M1765" s="1">
        <v>1</v>
      </c>
      <c r="N1765" s="1">
        <v>1</v>
      </c>
      <c r="O1765" s="11"/>
      <c r="P1765" s="11"/>
      <c r="Q1765" s="11"/>
      <c r="R1765" s="11"/>
    </row>
    <row r="1766" spans="4:18">
      <c r="D1766" s="1" t="s">
        <v>199</v>
      </c>
      <c r="E1766" s="1" t="s">
        <v>841</v>
      </c>
      <c r="H1766" s="1" t="s">
        <v>22</v>
      </c>
      <c r="I1766" s="1" t="s">
        <v>23</v>
      </c>
      <c r="L1766" s="1">
        <v>1</v>
      </c>
      <c r="M1766" s="1">
        <v>1</v>
      </c>
      <c r="N1766" s="1">
        <v>1</v>
      </c>
      <c r="O1766" s="11"/>
      <c r="P1766" s="11"/>
      <c r="Q1766" s="11"/>
      <c r="R1766" s="11"/>
    </row>
    <row r="1767" spans="4:18">
      <c r="D1767" s="1" t="s">
        <v>199</v>
      </c>
      <c r="E1767" s="1" t="s">
        <v>842</v>
      </c>
      <c r="H1767" s="1" t="s">
        <v>22</v>
      </c>
      <c r="I1767" s="1" t="s">
        <v>23</v>
      </c>
      <c r="L1767" s="1">
        <v>1</v>
      </c>
      <c r="M1767" s="1">
        <v>1</v>
      </c>
      <c r="N1767" s="1">
        <v>1</v>
      </c>
      <c r="O1767" s="11"/>
      <c r="P1767" s="11"/>
      <c r="Q1767" s="11"/>
      <c r="R1767" s="11"/>
    </row>
    <row r="1768" spans="4:18">
      <c r="D1768" s="1" t="s">
        <v>199</v>
      </c>
      <c r="E1768" s="1" t="s">
        <v>843</v>
      </c>
      <c r="H1768" s="1" t="s">
        <v>22</v>
      </c>
      <c r="I1768" s="1" t="s">
        <v>23</v>
      </c>
      <c r="L1768" s="1">
        <v>1</v>
      </c>
      <c r="M1768" s="1">
        <v>1</v>
      </c>
      <c r="N1768" s="1">
        <v>1</v>
      </c>
      <c r="O1768" s="11"/>
      <c r="P1768" s="11"/>
      <c r="Q1768" s="11"/>
      <c r="R1768" s="11"/>
    </row>
    <row r="1769" spans="4:18">
      <c r="D1769" s="1" t="s">
        <v>199</v>
      </c>
      <c r="E1769" s="1" t="s">
        <v>844</v>
      </c>
      <c r="H1769" s="1" t="s">
        <v>22</v>
      </c>
      <c r="I1769" s="1" t="s">
        <v>23</v>
      </c>
      <c r="L1769" s="1">
        <v>1</v>
      </c>
      <c r="M1769" s="1">
        <v>1.1000000000000001</v>
      </c>
      <c r="N1769" s="1">
        <v>1.1000000000000001</v>
      </c>
      <c r="O1769" s="11"/>
      <c r="P1769" s="11"/>
      <c r="Q1769" s="11"/>
      <c r="R1769" s="11"/>
    </row>
    <row r="1770" spans="4:18">
      <c r="D1770" s="1" t="s">
        <v>199</v>
      </c>
      <c r="E1770" s="1" t="s">
        <v>845</v>
      </c>
      <c r="H1770" s="1" t="s">
        <v>22</v>
      </c>
      <c r="I1770" s="1" t="s">
        <v>23</v>
      </c>
      <c r="L1770" s="1">
        <v>1</v>
      </c>
      <c r="M1770" s="1">
        <v>1.1000000000000001</v>
      </c>
      <c r="N1770" s="1">
        <v>1.1000000000000001</v>
      </c>
      <c r="O1770" s="11"/>
      <c r="P1770" s="11"/>
      <c r="Q1770" s="11"/>
      <c r="R1770" s="11"/>
    </row>
    <row r="1771" spans="4:18">
      <c r="D1771" s="1" t="s">
        <v>199</v>
      </c>
      <c r="E1771" s="1" t="s">
        <v>846</v>
      </c>
      <c r="H1771" s="1" t="s">
        <v>22</v>
      </c>
      <c r="I1771" s="1" t="s">
        <v>23</v>
      </c>
      <c r="L1771" s="1">
        <v>1</v>
      </c>
      <c r="M1771" s="1">
        <v>1.1000000000000001</v>
      </c>
      <c r="N1771" s="1">
        <v>1.1000000000000001</v>
      </c>
      <c r="O1771" s="11"/>
      <c r="P1771" s="11"/>
      <c r="Q1771" s="11"/>
      <c r="R1771" s="11"/>
    </row>
    <row r="1772" spans="4:18">
      <c r="D1772" s="1" t="s">
        <v>199</v>
      </c>
      <c r="E1772" s="1" t="s">
        <v>847</v>
      </c>
      <c r="H1772" s="1" t="s">
        <v>22</v>
      </c>
      <c r="I1772" s="1" t="s">
        <v>23</v>
      </c>
      <c r="L1772" s="1">
        <v>1</v>
      </c>
      <c r="M1772" s="1">
        <v>1.1000000000000001</v>
      </c>
      <c r="N1772" s="1">
        <v>1.1000000000000001</v>
      </c>
      <c r="O1772" s="11"/>
      <c r="P1772" s="11"/>
      <c r="Q1772" s="11"/>
      <c r="R1772" s="11"/>
    </row>
    <row r="1773" spans="4:18">
      <c r="D1773" s="1" t="s">
        <v>199</v>
      </c>
      <c r="E1773" s="1" t="s">
        <v>848</v>
      </c>
      <c r="H1773" s="1" t="s">
        <v>22</v>
      </c>
      <c r="I1773" s="1" t="s">
        <v>23</v>
      </c>
      <c r="L1773" s="1">
        <v>1</v>
      </c>
      <c r="M1773" s="1">
        <v>1.1000000000000001</v>
      </c>
      <c r="N1773" s="1">
        <v>1.1000000000000001</v>
      </c>
      <c r="O1773" s="11"/>
      <c r="P1773" s="11"/>
      <c r="Q1773" s="11"/>
      <c r="R1773" s="11"/>
    </row>
    <row r="1774" spans="4:18">
      <c r="D1774" s="1" t="s">
        <v>199</v>
      </c>
      <c r="E1774" s="1" t="s">
        <v>849</v>
      </c>
      <c r="H1774" s="1" t="s">
        <v>22</v>
      </c>
      <c r="I1774" s="1" t="s">
        <v>23</v>
      </c>
      <c r="L1774" s="1">
        <v>1</v>
      </c>
      <c r="M1774" s="1">
        <v>1.1000000000000001</v>
      </c>
      <c r="N1774" s="1">
        <v>1.1000000000000001</v>
      </c>
      <c r="O1774" s="11"/>
      <c r="P1774" s="11"/>
      <c r="Q1774" s="11"/>
      <c r="R1774" s="11"/>
    </row>
    <row r="1775" spans="4:18">
      <c r="D1775" s="1" t="s">
        <v>199</v>
      </c>
      <c r="E1775" s="1" t="s">
        <v>850</v>
      </c>
      <c r="H1775" s="1" t="s">
        <v>22</v>
      </c>
      <c r="I1775" s="1" t="s">
        <v>23</v>
      </c>
      <c r="L1775" s="1">
        <v>1</v>
      </c>
      <c r="M1775" s="1">
        <v>1.2</v>
      </c>
      <c r="N1775" s="1">
        <v>1.2</v>
      </c>
      <c r="O1775" s="11"/>
      <c r="P1775" s="11"/>
      <c r="Q1775" s="11"/>
      <c r="R1775" s="11"/>
    </row>
    <row r="1776" spans="4:18">
      <c r="D1776" s="1" t="s">
        <v>199</v>
      </c>
      <c r="E1776" s="1" t="s">
        <v>851</v>
      </c>
      <c r="H1776" s="1" t="s">
        <v>22</v>
      </c>
      <c r="I1776" s="1" t="s">
        <v>23</v>
      </c>
      <c r="L1776" s="1">
        <v>1</v>
      </c>
      <c r="M1776" s="1">
        <v>1.2</v>
      </c>
      <c r="N1776" s="1">
        <v>1.2</v>
      </c>
      <c r="O1776" s="11"/>
      <c r="P1776" s="11"/>
      <c r="Q1776" s="11"/>
      <c r="R1776" s="11"/>
    </row>
    <row r="1777" spans="4:18">
      <c r="D1777" s="1" t="s">
        <v>199</v>
      </c>
      <c r="E1777" s="1" t="s">
        <v>852</v>
      </c>
      <c r="H1777" s="1" t="s">
        <v>22</v>
      </c>
      <c r="I1777" s="1" t="s">
        <v>23</v>
      </c>
      <c r="L1777" s="1">
        <v>1</v>
      </c>
      <c r="M1777" s="1">
        <v>1.2</v>
      </c>
      <c r="N1777" s="1">
        <v>1.2</v>
      </c>
      <c r="O1777" s="11"/>
      <c r="P1777" s="11"/>
      <c r="Q1777" s="11"/>
      <c r="R1777" s="11"/>
    </row>
    <row r="1778" spans="4:18">
      <c r="D1778" s="1" t="s">
        <v>199</v>
      </c>
      <c r="E1778" s="1" t="s">
        <v>853</v>
      </c>
      <c r="H1778" s="1" t="s">
        <v>22</v>
      </c>
      <c r="I1778" s="1" t="s">
        <v>23</v>
      </c>
      <c r="L1778" s="1">
        <v>1</v>
      </c>
      <c r="M1778" s="1">
        <v>1.2</v>
      </c>
      <c r="N1778" s="1">
        <v>1.2</v>
      </c>
      <c r="O1778" s="11"/>
      <c r="P1778" s="11"/>
      <c r="Q1778" s="11"/>
      <c r="R1778" s="11"/>
    </row>
    <row r="1779" spans="4:18">
      <c r="D1779" s="1" t="s">
        <v>199</v>
      </c>
      <c r="E1779" s="1" t="s">
        <v>854</v>
      </c>
      <c r="H1779" s="1" t="s">
        <v>22</v>
      </c>
      <c r="I1779" s="1" t="s">
        <v>23</v>
      </c>
      <c r="L1779" s="1">
        <v>1</v>
      </c>
      <c r="M1779" s="1">
        <v>1.2</v>
      </c>
      <c r="N1779" s="1">
        <v>1.2</v>
      </c>
      <c r="O1779" s="11"/>
      <c r="P1779" s="11"/>
      <c r="Q1779" s="11"/>
      <c r="R1779" s="11"/>
    </row>
    <row r="1780" spans="4:18">
      <c r="D1780" s="1" t="s">
        <v>199</v>
      </c>
      <c r="E1780" s="1" t="s">
        <v>855</v>
      </c>
      <c r="H1780" s="1" t="s">
        <v>22</v>
      </c>
      <c r="I1780" s="1" t="s">
        <v>23</v>
      </c>
      <c r="L1780" s="1">
        <v>1</v>
      </c>
      <c r="M1780" s="1">
        <v>1.3</v>
      </c>
      <c r="N1780" s="1">
        <v>1.3</v>
      </c>
      <c r="O1780" s="11"/>
      <c r="P1780" s="11"/>
      <c r="Q1780" s="11"/>
      <c r="R1780" s="11"/>
    </row>
    <row r="1781" spans="4:18">
      <c r="D1781" s="1" t="s">
        <v>199</v>
      </c>
      <c r="E1781" s="1" t="s">
        <v>856</v>
      </c>
      <c r="H1781" s="1" t="s">
        <v>22</v>
      </c>
      <c r="I1781" s="1" t="s">
        <v>23</v>
      </c>
      <c r="L1781" s="1">
        <v>1</v>
      </c>
      <c r="M1781" s="1">
        <v>1.3</v>
      </c>
      <c r="N1781" s="1">
        <v>1.3</v>
      </c>
      <c r="O1781" s="11"/>
      <c r="P1781" s="11"/>
      <c r="Q1781" s="11"/>
      <c r="R1781" s="11"/>
    </row>
    <row r="1782" spans="4:18">
      <c r="D1782" s="1" t="s">
        <v>199</v>
      </c>
      <c r="E1782" s="1" t="s">
        <v>857</v>
      </c>
      <c r="H1782" s="1" t="s">
        <v>22</v>
      </c>
      <c r="I1782" s="1" t="s">
        <v>23</v>
      </c>
      <c r="L1782" s="1">
        <v>1</v>
      </c>
      <c r="M1782" s="1">
        <v>1.4</v>
      </c>
      <c r="N1782" s="1">
        <v>1.4</v>
      </c>
      <c r="O1782" s="11"/>
      <c r="P1782" s="11"/>
      <c r="Q1782" s="11"/>
      <c r="R1782" s="11"/>
    </row>
    <row r="1783" spans="4:18">
      <c r="D1783" s="1" t="s">
        <v>199</v>
      </c>
      <c r="E1783" s="1" t="s">
        <v>858</v>
      </c>
      <c r="H1783" s="1" t="s">
        <v>22</v>
      </c>
      <c r="I1783" s="1" t="s">
        <v>23</v>
      </c>
      <c r="L1783" s="1">
        <v>1</v>
      </c>
      <c r="M1783" s="1">
        <v>1.4</v>
      </c>
      <c r="N1783" s="1">
        <v>1.4</v>
      </c>
      <c r="O1783" s="11"/>
      <c r="P1783" s="11"/>
      <c r="Q1783" s="11"/>
      <c r="R1783" s="11"/>
    </row>
    <row r="1784" spans="4:18">
      <c r="D1784" s="1" t="s">
        <v>199</v>
      </c>
      <c r="E1784" s="1" t="s">
        <v>859</v>
      </c>
      <c r="H1784" s="1" t="s">
        <v>22</v>
      </c>
      <c r="I1784" s="1" t="s">
        <v>23</v>
      </c>
      <c r="L1784" s="1">
        <v>1</v>
      </c>
      <c r="M1784" s="1">
        <v>1.4</v>
      </c>
      <c r="N1784" s="1">
        <v>1.4</v>
      </c>
      <c r="O1784" s="11"/>
      <c r="P1784" s="11"/>
      <c r="Q1784" s="11"/>
      <c r="R1784" s="11"/>
    </row>
    <row r="1785" spans="4:18">
      <c r="D1785" s="1" t="s">
        <v>199</v>
      </c>
      <c r="E1785" s="1" t="s">
        <v>860</v>
      </c>
      <c r="H1785" s="1" t="s">
        <v>22</v>
      </c>
      <c r="I1785" s="1" t="s">
        <v>23</v>
      </c>
      <c r="L1785" s="1">
        <v>1</v>
      </c>
      <c r="M1785" s="1">
        <v>1.4</v>
      </c>
      <c r="N1785" s="1">
        <v>1.4</v>
      </c>
      <c r="O1785" s="11"/>
      <c r="P1785" s="11"/>
      <c r="Q1785" s="11"/>
      <c r="R1785" s="11"/>
    </row>
    <row r="1786" spans="4:18">
      <c r="D1786" s="1" t="s">
        <v>199</v>
      </c>
      <c r="E1786" s="1" t="s">
        <v>861</v>
      </c>
      <c r="H1786" s="1" t="s">
        <v>22</v>
      </c>
      <c r="I1786" s="1" t="s">
        <v>23</v>
      </c>
      <c r="L1786" s="1">
        <v>1</v>
      </c>
      <c r="M1786" s="1">
        <v>1.4</v>
      </c>
      <c r="N1786" s="1">
        <v>1.4</v>
      </c>
      <c r="O1786" s="11"/>
      <c r="P1786" s="11"/>
      <c r="Q1786" s="11"/>
      <c r="R1786" s="11"/>
    </row>
    <row r="1787" spans="4:18">
      <c r="D1787" s="1" t="s">
        <v>199</v>
      </c>
      <c r="E1787" s="1" t="s">
        <v>862</v>
      </c>
      <c r="H1787" s="1" t="s">
        <v>22</v>
      </c>
      <c r="I1787" s="1" t="s">
        <v>23</v>
      </c>
      <c r="L1787" s="1">
        <v>1</v>
      </c>
      <c r="M1787" s="1">
        <v>1.4</v>
      </c>
      <c r="N1787" s="1">
        <v>1.4</v>
      </c>
      <c r="O1787" s="11"/>
      <c r="P1787" s="11"/>
      <c r="Q1787" s="11"/>
      <c r="R1787" s="11"/>
    </row>
    <row r="1788" spans="4:18">
      <c r="D1788" s="1" t="s">
        <v>199</v>
      </c>
      <c r="E1788" s="1" t="s">
        <v>863</v>
      </c>
      <c r="H1788" s="1" t="s">
        <v>22</v>
      </c>
      <c r="I1788" s="1" t="s">
        <v>23</v>
      </c>
      <c r="L1788" s="1">
        <v>1</v>
      </c>
      <c r="M1788" s="1">
        <v>1.4</v>
      </c>
      <c r="N1788" s="1">
        <v>1.4</v>
      </c>
      <c r="O1788" s="11"/>
      <c r="P1788" s="11"/>
      <c r="Q1788" s="11"/>
      <c r="R1788" s="11"/>
    </row>
    <row r="1789" spans="4:18">
      <c r="D1789" s="1" t="s">
        <v>199</v>
      </c>
      <c r="E1789" s="1" t="s">
        <v>864</v>
      </c>
      <c r="H1789" s="1" t="s">
        <v>22</v>
      </c>
      <c r="I1789" s="1" t="s">
        <v>23</v>
      </c>
      <c r="L1789" s="1">
        <v>1</v>
      </c>
      <c r="M1789" s="1">
        <v>1.5</v>
      </c>
      <c r="N1789" s="1">
        <v>1.5</v>
      </c>
      <c r="O1789" s="11"/>
      <c r="P1789" s="11"/>
      <c r="Q1789" s="11"/>
      <c r="R1789" s="11"/>
    </row>
    <row r="1790" spans="4:18">
      <c r="D1790" s="1" t="s">
        <v>199</v>
      </c>
      <c r="E1790" s="1" t="s">
        <v>865</v>
      </c>
      <c r="H1790" s="1" t="s">
        <v>22</v>
      </c>
      <c r="I1790" s="1" t="s">
        <v>23</v>
      </c>
      <c r="L1790" s="1">
        <v>1</v>
      </c>
      <c r="M1790" s="1">
        <v>1.5</v>
      </c>
      <c r="N1790" s="1">
        <v>1.5</v>
      </c>
      <c r="O1790" s="11"/>
      <c r="P1790" s="11"/>
      <c r="Q1790" s="11"/>
      <c r="R1790" s="11"/>
    </row>
    <row r="1791" spans="4:18">
      <c r="D1791" s="1" t="s">
        <v>199</v>
      </c>
      <c r="E1791" s="1" t="s">
        <v>866</v>
      </c>
      <c r="H1791" s="1" t="s">
        <v>22</v>
      </c>
      <c r="I1791" s="1" t="s">
        <v>23</v>
      </c>
      <c r="L1791" s="1">
        <v>1</v>
      </c>
      <c r="M1791" s="1">
        <v>1.5</v>
      </c>
      <c r="N1791" s="1">
        <v>1.5</v>
      </c>
      <c r="O1791" s="11"/>
      <c r="P1791" s="11"/>
      <c r="Q1791" s="11"/>
      <c r="R1791" s="11"/>
    </row>
    <row r="1792" spans="4:18">
      <c r="D1792" s="1" t="s">
        <v>199</v>
      </c>
      <c r="E1792" s="1" t="s">
        <v>867</v>
      </c>
      <c r="H1792" s="1" t="s">
        <v>22</v>
      </c>
      <c r="I1792" s="1" t="s">
        <v>23</v>
      </c>
      <c r="L1792" s="1">
        <v>1</v>
      </c>
      <c r="M1792" s="1">
        <v>1.5</v>
      </c>
      <c r="N1792" s="1">
        <v>1.5</v>
      </c>
      <c r="O1792" s="11"/>
      <c r="P1792" s="11"/>
      <c r="Q1792" s="11"/>
      <c r="R1792" s="11"/>
    </row>
    <row r="1793" spans="1:18">
      <c r="D1793" s="1" t="s">
        <v>199</v>
      </c>
      <c r="E1793" s="1" t="s">
        <v>868</v>
      </c>
      <c r="H1793" s="1" t="s">
        <v>22</v>
      </c>
      <c r="I1793" s="1" t="s">
        <v>23</v>
      </c>
      <c r="L1793" s="1">
        <v>1</v>
      </c>
      <c r="M1793" s="1">
        <v>1.5</v>
      </c>
      <c r="N1793" s="1">
        <v>1.5</v>
      </c>
      <c r="O1793" s="11"/>
      <c r="P1793" s="11"/>
      <c r="Q1793" s="11"/>
      <c r="R1793" s="11"/>
    </row>
    <row r="1794" spans="1:18">
      <c r="D1794" s="1" t="s">
        <v>199</v>
      </c>
      <c r="E1794" s="1" t="s">
        <v>869</v>
      </c>
      <c r="H1794" s="1" t="s">
        <v>22</v>
      </c>
      <c r="I1794" s="1" t="s">
        <v>23</v>
      </c>
      <c r="L1794" s="1">
        <v>1</v>
      </c>
      <c r="M1794" s="1">
        <v>1.5</v>
      </c>
      <c r="N1794" s="1">
        <v>1.5</v>
      </c>
      <c r="O1794" s="11"/>
      <c r="P1794" s="11"/>
      <c r="Q1794" s="11"/>
      <c r="R1794" s="11"/>
    </row>
    <row r="1795" spans="1:18">
      <c r="D1795" s="1" t="s">
        <v>199</v>
      </c>
      <c r="E1795" s="1" t="s">
        <v>870</v>
      </c>
      <c r="H1795" s="1" t="s">
        <v>22</v>
      </c>
      <c r="I1795" s="1" t="s">
        <v>23</v>
      </c>
      <c r="L1795" s="1">
        <v>1</v>
      </c>
      <c r="M1795" s="1">
        <v>1.5</v>
      </c>
      <c r="N1795" s="1">
        <v>1.5</v>
      </c>
      <c r="O1795" s="11"/>
      <c r="P1795" s="11"/>
      <c r="Q1795" s="11"/>
      <c r="R1795" s="11"/>
    </row>
    <row r="1796" spans="1:18">
      <c r="A1796" s="2" t="s">
        <v>1722</v>
      </c>
      <c r="B1796" s="3" t="s">
        <v>1730</v>
      </c>
      <c r="D1796" s="1" t="s">
        <v>199</v>
      </c>
      <c r="E1796" s="1" t="s">
        <v>871</v>
      </c>
      <c r="H1796" s="1" t="s">
        <v>25</v>
      </c>
      <c r="I1796" s="1" t="s">
        <v>23</v>
      </c>
      <c r="M1796" s="1" t="b">
        <v>1</v>
      </c>
      <c r="N1796" s="1">
        <v>1</v>
      </c>
      <c r="O1796" s="11"/>
      <c r="P1796" s="11"/>
      <c r="Q1796" s="11"/>
      <c r="R1796" s="11"/>
    </row>
    <row r="1797" spans="1:18">
      <c r="A1797" s="2" t="s">
        <v>1722</v>
      </c>
      <c r="B1797" s="3" t="s">
        <v>1731</v>
      </c>
      <c r="D1797" s="1" t="s">
        <v>199</v>
      </c>
      <c r="E1797" s="1" t="s">
        <v>872</v>
      </c>
      <c r="F1797" s="1" t="s">
        <v>147</v>
      </c>
      <c r="G1797" s="1" t="s">
        <v>148</v>
      </c>
      <c r="H1797" s="1" t="s">
        <v>22</v>
      </c>
      <c r="I1797" s="1" t="s">
        <v>23</v>
      </c>
      <c r="J1797" s="1">
        <v>0</v>
      </c>
      <c r="K1797" s="1">
        <v>34121416.351331003</v>
      </c>
      <c r="L1797" s="1">
        <v>3.4121416351331</v>
      </c>
      <c r="M1797" s="1">
        <v>1706.07081756655</v>
      </c>
      <c r="N1797" s="1">
        <v>1706.07081756655</v>
      </c>
      <c r="O1797" s="11"/>
      <c r="P1797" s="11"/>
      <c r="Q1797" s="11"/>
      <c r="R1797" s="11"/>
    </row>
    <row r="1798" spans="1:18">
      <c r="D1798" s="1" t="s">
        <v>199</v>
      </c>
      <c r="E1798" s="1" t="s">
        <v>873</v>
      </c>
      <c r="F1798" s="1" t="s">
        <v>874</v>
      </c>
      <c r="G1798" s="1" t="s">
        <v>874</v>
      </c>
      <c r="H1798" s="1" t="s">
        <v>22</v>
      </c>
      <c r="I1798" s="1" t="s">
        <v>23</v>
      </c>
      <c r="L1798" s="1">
        <v>1</v>
      </c>
      <c r="M1798" s="1">
        <v>6000</v>
      </c>
      <c r="N1798" s="1">
        <v>6000</v>
      </c>
      <c r="O1798" s="11"/>
      <c r="P1798" s="11"/>
      <c r="Q1798" s="11"/>
      <c r="R1798" s="11"/>
    </row>
    <row r="1799" spans="1:18">
      <c r="D1799" s="1" t="s">
        <v>199</v>
      </c>
      <c r="E1799" s="1" t="s">
        <v>875</v>
      </c>
      <c r="H1799" s="1" t="s">
        <v>63</v>
      </c>
      <c r="I1799" s="1" t="s">
        <v>23</v>
      </c>
      <c r="M1799" s="1">
        <v>0</v>
      </c>
      <c r="N1799" s="1">
        <v>0</v>
      </c>
      <c r="O1799" s="11"/>
      <c r="P1799" s="11"/>
      <c r="Q1799" s="11"/>
      <c r="R1799" s="11"/>
    </row>
    <row r="1800" spans="1:18">
      <c r="D1800" s="1" t="s">
        <v>199</v>
      </c>
      <c r="E1800" s="1" t="s">
        <v>876</v>
      </c>
      <c r="H1800" s="1" t="s">
        <v>22</v>
      </c>
      <c r="I1800" s="1" t="s">
        <v>29</v>
      </c>
      <c r="J1800" s="1">
        <v>0</v>
      </c>
      <c r="K1800" s="1">
        <v>3</v>
      </c>
      <c r="L1800" s="1">
        <v>1</v>
      </c>
      <c r="N1800" s="1">
        <v>1.0607459607041922</v>
      </c>
      <c r="O1800" s="11"/>
      <c r="P1800" s="11"/>
      <c r="Q1800" s="11"/>
      <c r="R1800" s="11"/>
    </row>
    <row r="1801" spans="1:18">
      <c r="D1801" s="1" t="s">
        <v>199</v>
      </c>
      <c r="E1801" s="1" t="s">
        <v>877</v>
      </c>
      <c r="H1801" s="1" t="s">
        <v>22</v>
      </c>
      <c r="I1801" s="1" t="s">
        <v>23</v>
      </c>
      <c r="J1801" s="1">
        <v>0</v>
      </c>
      <c r="K1801" s="1">
        <v>3</v>
      </c>
      <c r="L1801" s="1">
        <v>1</v>
      </c>
      <c r="M1801" s="1">
        <v>1.05</v>
      </c>
      <c r="N1801" s="1">
        <v>1.05</v>
      </c>
      <c r="O1801" s="11"/>
      <c r="P1801" s="11"/>
      <c r="Q1801" s="11"/>
      <c r="R1801" s="11"/>
    </row>
    <row r="1802" spans="1:18">
      <c r="D1802" s="1" t="s">
        <v>199</v>
      </c>
      <c r="E1802" s="1" t="s">
        <v>878</v>
      </c>
      <c r="F1802" s="1" t="s">
        <v>879</v>
      </c>
      <c r="G1802" s="1" t="s">
        <v>880</v>
      </c>
      <c r="H1802" s="1" t="s">
        <v>22</v>
      </c>
      <c r="I1802" s="1" t="s">
        <v>29</v>
      </c>
      <c r="J1802" s="1">
        <v>0</v>
      </c>
      <c r="K1802" s="1">
        <v>107.6391041670972</v>
      </c>
      <c r="L1802" s="1">
        <v>0.10763910416709721</v>
      </c>
      <c r="N1802" s="1">
        <v>8.7551656760625457E-2</v>
      </c>
      <c r="O1802" s="11"/>
      <c r="P1802" s="11"/>
      <c r="Q1802" s="11"/>
      <c r="R1802" s="11"/>
    </row>
    <row r="1803" spans="1:18">
      <c r="D1803" s="1" t="s">
        <v>199</v>
      </c>
      <c r="E1803" s="1" t="s">
        <v>881</v>
      </c>
      <c r="F1803" s="1" t="s">
        <v>879</v>
      </c>
      <c r="G1803" s="1" t="s">
        <v>880</v>
      </c>
      <c r="H1803" s="1" t="s">
        <v>22</v>
      </c>
      <c r="I1803" s="1" t="s">
        <v>29</v>
      </c>
      <c r="J1803" s="1">
        <v>0</v>
      </c>
      <c r="K1803" s="1">
        <v>107.6391041670972</v>
      </c>
      <c r="L1803" s="1">
        <v>0.10763910416709721</v>
      </c>
      <c r="N1803" s="1">
        <v>6.1017618239587852E-2</v>
      </c>
      <c r="O1803" s="11"/>
      <c r="P1803" s="11"/>
      <c r="Q1803" s="11"/>
      <c r="R1803" s="11"/>
    </row>
    <row r="1804" spans="1:18">
      <c r="D1804" s="1" t="s">
        <v>199</v>
      </c>
      <c r="E1804" s="1" t="s">
        <v>882</v>
      </c>
      <c r="H1804" s="1" t="s">
        <v>22</v>
      </c>
      <c r="I1804" s="1" t="s">
        <v>29</v>
      </c>
      <c r="L1804" s="1">
        <v>1</v>
      </c>
      <c r="N1804" s="1">
        <v>0</v>
      </c>
      <c r="O1804" s="11"/>
      <c r="P1804" s="11"/>
      <c r="Q1804" s="11"/>
      <c r="R1804" s="11"/>
    </row>
    <row r="1805" spans="1:18">
      <c r="D1805" s="1" t="s">
        <v>199</v>
      </c>
      <c r="E1805" s="1" t="s">
        <v>883</v>
      </c>
      <c r="H1805" s="1" t="s">
        <v>22</v>
      </c>
      <c r="I1805" s="1" t="s">
        <v>29</v>
      </c>
      <c r="L1805" s="1">
        <v>1</v>
      </c>
      <c r="N1805" s="1">
        <v>0</v>
      </c>
      <c r="O1805" s="11"/>
      <c r="P1805" s="11"/>
      <c r="Q1805" s="11"/>
      <c r="R1805" s="11"/>
    </row>
    <row r="1806" spans="1:18">
      <c r="D1806" s="1" t="s">
        <v>199</v>
      </c>
      <c r="E1806" s="1" t="s">
        <v>884</v>
      </c>
      <c r="H1806" s="1" t="s">
        <v>22</v>
      </c>
      <c r="I1806" s="1" t="s">
        <v>29</v>
      </c>
      <c r="L1806" s="1">
        <v>1</v>
      </c>
      <c r="N1806" s="1">
        <v>0</v>
      </c>
      <c r="O1806" s="11"/>
      <c r="P1806" s="11"/>
      <c r="Q1806" s="11"/>
      <c r="R1806" s="11"/>
    </row>
    <row r="1807" spans="1:18">
      <c r="D1807" s="1" t="s">
        <v>199</v>
      </c>
      <c r="E1807" s="1" t="s">
        <v>885</v>
      </c>
      <c r="H1807" s="1" t="s">
        <v>22</v>
      </c>
      <c r="I1807" s="1" t="s">
        <v>29</v>
      </c>
      <c r="L1807" s="1">
        <v>1</v>
      </c>
      <c r="N1807" s="1">
        <v>0</v>
      </c>
      <c r="O1807" s="11"/>
      <c r="P1807" s="11"/>
      <c r="Q1807" s="11"/>
      <c r="R1807" s="11"/>
    </row>
    <row r="1808" spans="1:18">
      <c r="D1808" s="1" t="s">
        <v>199</v>
      </c>
      <c r="E1808" s="1" t="s">
        <v>886</v>
      </c>
      <c r="F1808" s="1" t="s">
        <v>45</v>
      </c>
      <c r="G1808" s="1" t="s">
        <v>46</v>
      </c>
      <c r="H1808" s="1" t="s">
        <v>22</v>
      </c>
      <c r="I1808" s="1" t="s">
        <v>29</v>
      </c>
      <c r="J1808" s="1">
        <v>-6.3932502128443591</v>
      </c>
      <c r="K1808" s="1">
        <v>358.61435929656</v>
      </c>
      <c r="L1808" s="1">
        <v>114.79148749423418</v>
      </c>
      <c r="N1808" s="1">
        <v>109.16408000572181</v>
      </c>
      <c r="O1808" s="11"/>
      <c r="P1808" s="11"/>
      <c r="Q1808" s="11"/>
      <c r="R1808" s="11"/>
    </row>
    <row r="1809" spans="4:18">
      <c r="D1809" s="1" t="s">
        <v>199</v>
      </c>
      <c r="E1809" s="1" t="s">
        <v>887</v>
      </c>
      <c r="F1809" s="1" t="s">
        <v>45</v>
      </c>
      <c r="G1809" s="1" t="s">
        <v>46</v>
      </c>
      <c r="H1809" s="1" t="s">
        <v>22</v>
      </c>
      <c r="I1809" s="1" t="s">
        <v>29</v>
      </c>
      <c r="J1809" s="1">
        <v>-6.3932502128443591</v>
      </c>
      <c r="K1809" s="1">
        <v>358.61435929656</v>
      </c>
      <c r="L1809" s="1">
        <v>114.79148749423418</v>
      </c>
      <c r="N1809" s="1">
        <v>114.83304235147598</v>
      </c>
      <c r="O1809" s="11"/>
      <c r="P1809" s="11"/>
      <c r="Q1809" s="11"/>
      <c r="R1809" s="11"/>
    </row>
    <row r="1810" spans="4:18">
      <c r="D1810" s="1" t="s">
        <v>199</v>
      </c>
      <c r="E1810" s="1" t="s">
        <v>888</v>
      </c>
      <c r="F1810" s="1" t="s">
        <v>45</v>
      </c>
      <c r="G1810" s="1" t="s">
        <v>46</v>
      </c>
      <c r="H1810" s="1" t="s">
        <v>22</v>
      </c>
      <c r="I1810" s="1" t="s">
        <v>29</v>
      </c>
      <c r="J1810" s="1">
        <v>-6.3932502128443591</v>
      </c>
      <c r="K1810" s="1">
        <v>358.61435929656</v>
      </c>
      <c r="L1810" s="1">
        <v>114.79148749423418</v>
      </c>
      <c r="N1810" s="1">
        <v>120.41281798690348</v>
      </c>
      <c r="O1810" s="11"/>
      <c r="P1810" s="11"/>
      <c r="Q1810" s="11"/>
      <c r="R1810" s="11"/>
    </row>
    <row r="1811" spans="4:18">
      <c r="D1811" s="1" t="s">
        <v>199</v>
      </c>
      <c r="E1811" s="1" t="s">
        <v>889</v>
      </c>
      <c r="F1811" s="1" t="s">
        <v>52</v>
      </c>
      <c r="G1811" s="1" t="s">
        <v>53</v>
      </c>
      <c r="H1811" s="1" t="s">
        <v>22</v>
      </c>
      <c r="I1811" s="1" t="s">
        <v>29</v>
      </c>
      <c r="J1811" s="1">
        <v>-7936641438.6555996</v>
      </c>
      <c r="K1811" s="1">
        <v>7936641438.6555996</v>
      </c>
      <c r="L1811" s="1">
        <v>7936.6414386555998</v>
      </c>
      <c r="N1811" s="1">
        <v>183317.80538679316</v>
      </c>
      <c r="O1811" s="11"/>
      <c r="P1811" s="11"/>
      <c r="Q1811" s="11"/>
      <c r="R1811" s="11"/>
    </row>
    <row r="1812" spans="4:18">
      <c r="D1812" s="1" t="s">
        <v>199</v>
      </c>
      <c r="E1812" s="1" t="s">
        <v>890</v>
      </c>
      <c r="F1812" s="1" t="s">
        <v>56</v>
      </c>
      <c r="G1812" s="1" t="s">
        <v>57</v>
      </c>
      <c r="H1812" s="1" t="s">
        <v>22</v>
      </c>
      <c r="I1812" s="1" t="s">
        <v>29</v>
      </c>
      <c r="J1812" s="1">
        <v>4.9312830828271128</v>
      </c>
      <c r="K1812" s="1">
        <v>623.66227223989961</v>
      </c>
      <c r="L1812" s="1">
        <v>50.713895374744951</v>
      </c>
      <c r="N1812" s="1">
        <v>52.491094147809733</v>
      </c>
      <c r="O1812" s="11"/>
      <c r="P1812" s="11"/>
      <c r="Q1812" s="11"/>
      <c r="R1812" s="11"/>
    </row>
    <row r="1813" spans="4:18">
      <c r="D1813" s="1" t="s">
        <v>199</v>
      </c>
      <c r="E1813" s="1" t="s">
        <v>891</v>
      </c>
      <c r="F1813" s="1" t="s">
        <v>56</v>
      </c>
      <c r="G1813" s="1" t="s">
        <v>57</v>
      </c>
      <c r="H1813" s="1" t="s">
        <v>22</v>
      </c>
      <c r="I1813" s="1" t="s">
        <v>29</v>
      </c>
      <c r="J1813" s="1">
        <v>4.9312830828271128</v>
      </c>
      <c r="K1813" s="1">
        <v>623.66227223989961</v>
      </c>
      <c r="L1813" s="1">
        <v>50.713895374744951</v>
      </c>
      <c r="N1813" s="1">
        <v>84.845137232962287</v>
      </c>
      <c r="O1813" s="11"/>
      <c r="P1813" s="11"/>
      <c r="Q1813" s="11"/>
      <c r="R1813" s="11"/>
    </row>
    <row r="1814" spans="4:18">
      <c r="D1814" s="1" t="s">
        <v>199</v>
      </c>
      <c r="E1814" s="1" t="s">
        <v>892</v>
      </c>
      <c r="H1814" s="1" t="s">
        <v>22</v>
      </c>
      <c r="I1814" s="1" t="s">
        <v>23</v>
      </c>
      <c r="J1814" s="1">
        <v>0.5</v>
      </c>
      <c r="K1814" s="1">
        <v>2</v>
      </c>
      <c r="L1814" s="1">
        <v>1</v>
      </c>
      <c r="M1814" s="1">
        <v>1</v>
      </c>
      <c r="N1814" s="1">
        <v>1</v>
      </c>
      <c r="O1814" s="11"/>
      <c r="P1814" s="11"/>
      <c r="Q1814" s="11"/>
      <c r="R1814" s="11"/>
    </row>
    <row r="1815" spans="4:18">
      <c r="D1815" s="1" t="s">
        <v>199</v>
      </c>
      <c r="E1815" s="1" t="s">
        <v>893</v>
      </c>
      <c r="H1815" s="1" t="s">
        <v>25</v>
      </c>
      <c r="I1815" s="1" t="s">
        <v>23</v>
      </c>
      <c r="M1815" s="1" t="b">
        <v>0</v>
      </c>
      <c r="N1815" s="1">
        <v>0</v>
      </c>
      <c r="O1815" s="11"/>
      <c r="P1815" s="11"/>
      <c r="Q1815" s="11"/>
      <c r="R1815" s="11"/>
    </row>
    <row r="1816" spans="4:18">
      <c r="D1816" s="1" t="s">
        <v>199</v>
      </c>
      <c r="E1816" s="1" t="s">
        <v>894</v>
      </c>
      <c r="H1816" s="1" t="s">
        <v>22</v>
      </c>
      <c r="I1816" s="1" t="s">
        <v>23</v>
      </c>
      <c r="J1816" s="1">
        <v>0.5</v>
      </c>
      <c r="K1816" s="1">
        <v>2</v>
      </c>
      <c r="L1816" s="1">
        <v>1</v>
      </c>
      <c r="M1816" s="1">
        <v>1</v>
      </c>
      <c r="N1816" s="1">
        <v>1</v>
      </c>
      <c r="O1816" s="11"/>
      <c r="P1816" s="11"/>
      <c r="Q1816" s="11"/>
      <c r="R1816" s="11"/>
    </row>
    <row r="1817" spans="4:18">
      <c r="D1817" s="1" t="s">
        <v>199</v>
      </c>
      <c r="E1817" s="1" t="s">
        <v>895</v>
      </c>
      <c r="H1817" s="1" t="s">
        <v>25</v>
      </c>
      <c r="I1817" s="1" t="s">
        <v>23</v>
      </c>
      <c r="M1817" s="1" t="b">
        <v>0</v>
      </c>
      <c r="N1817" s="1">
        <v>0</v>
      </c>
      <c r="O1817" s="11"/>
      <c r="P1817" s="11"/>
      <c r="Q1817" s="11"/>
      <c r="R1817" s="11"/>
    </row>
    <row r="1818" spans="4:18">
      <c r="D1818" s="1" t="s">
        <v>199</v>
      </c>
      <c r="E1818" s="1" t="s">
        <v>896</v>
      </c>
      <c r="H1818" s="1" t="s">
        <v>22</v>
      </c>
      <c r="I1818" s="1" t="s">
        <v>23</v>
      </c>
      <c r="J1818" s="1">
        <v>0.5</v>
      </c>
      <c r="K1818" s="1">
        <v>2</v>
      </c>
      <c r="L1818" s="1">
        <v>1</v>
      </c>
      <c r="M1818" s="1">
        <v>1</v>
      </c>
      <c r="N1818" s="1">
        <v>1</v>
      </c>
      <c r="O1818" s="11"/>
      <c r="P1818" s="11"/>
      <c r="Q1818" s="11"/>
      <c r="R1818" s="11"/>
    </row>
    <row r="1819" spans="4:18">
      <c r="D1819" s="1" t="s">
        <v>199</v>
      </c>
      <c r="E1819" s="1" t="s">
        <v>897</v>
      </c>
      <c r="H1819" s="1" t="s">
        <v>25</v>
      </c>
      <c r="I1819" s="1" t="s">
        <v>23</v>
      </c>
      <c r="M1819" s="1" t="b">
        <v>1</v>
      </c>
      <c r="N1819" s="1">
        <v>1</v>
      </c>
      <c r="O1819" s="11"/>
      <c r="P1819" s="11"/>
      <c r="Q1819" s="11"/>
      <c r="R1819" s="11"/>
    </row>
    <row r="1820" spans="4:18">
      <c r="D1820" s="1" t="s">
        <v>199</v>
      </c>
      <c r="E1820" s="1" t="s">
        <v>898</v>
      </c>
      <c r="H1820" s="1" t="s">
        <v>22</v>
      </c>
      <c r="I1820" s="1" t="s">
        <v>23</v>
      </c>
      <c r="L1820" s="1">
        <v>1</v>
      </c>
      <c r="M1820" s="1">
        <v>1.1172202</v>
      </c>
      <c r="N1820" s="1">
        <v>1.1172202</v>
      </c>
      <c r="O1820" s="11"/>
      <c r="P1820" s="11"/>
      <c r="Q1820" s="11"/>
      <c r="R1820" s="11"/>
    </row>
    <row r="1821" spans="4:18">
      <c r="D1821" s="1" t="s">
        <v>199</v>
      </c>
      <c r="E1821" s="1" t="s">
        <v>899</v>
      </c>
      <c r="H1821" s="1" t="s">
        <v>22</v>
      </c>
      <c r="I1821" s="1" t="s">
        <v>23</v>
      </c>
      <c r="L1821" s="1">
        <v>1</v>
      </c>
      <c r="M1821" s="1">
        <v>0.87132120000000002</v>
      </c>
      <c r="N1821" s="1">
        <v>0.87132120000000002</v>
      </c>
      <c r="O1821" s="11"/>
      <c r="P1821" s="11"/>
      <c r="Q1821" s="11"/>
      <c r="R1821" s="11"/>
    </row>
    <row r="1822" spans="4:18">
      <c r="D1822" s="1" t="s">
        <v>199</v>
      </c>
      <c r="E1822" s="1" t="s">
        <v>900</v>
      </c>
      <c r="H1822" s="1" t="s">
        <v>22</v>
      </c>
      <c r="I1822" s="1" t="s">
        <v>23</v>
      </c>
      <c r="L1822" s="1">
        <v>1</v>
      </c>
      <c r="M1822" s="1">
        <v>1.0089676999999999</v>
      </c>
      <c r="N1822" s="1">
        <v>1.0089676999999999</v>
      </c>
      <c r="O1822" s="11"/>
      <c r="P1822" s="11"/>
      <c r="Q1822" s="11"/>
      <c r="R1822" s="11"/>
    </row>
    <row r="1823" spans="4:18">
      <c r="D1823" s="1" t="s">
        <v>199</v>
      </c>
      <c r="E1823" s="1" t="s">
        <v>901</v>
      </c>
      <c r="H1823" s="1" t="s">
        <v>22</v>
      </c>
      <c r="I1823" s="1" t="s">
        <v>23</v>
      </c>
      <c r="L1823" s="1">
        <v>1</v>
      </c>
      <c r="M1823" s="1">
        <v>0.98033800000000004</v>
      </c>
      <c r="N1823" s="1">
        <v>0.98033800000000004</v>
      </c>
      <c r="O1823" s="11"/>
      <c r="P1823" s="11"/>
      <c r="Q1823" s="11"/>
      <c r="R1823" s="11"/>
    </row>
    <row r="1824" spans="4:18">
      <c r="D1824" s="1" t="s">
        <v>199</v>
      </c>
      <c r="E1824" s="1" t="s">
        <v>902</v>
      </c>
      <c r="H1824" s="1" t="s">
        <v>22</v>
      </c>
      <c r="I1824" s="1" t="s">
        <v>23</v>
      </c>
      <c r="L1824" s="1">
        <v>1</v>
      </c>
      <c r="M1824" s="1">
        <v>0.60685299999999998</v>
      </c>
      <c r="N1824" s="1">
        <v>0.60685299999999998</v>
      </c>
      <c r="O1824" s="11"/>
      <c r="P1824" s="11"/>
      <c r="Q1824" s="11"/>
      <c r="R1824" s="11"/>
    </row>
    <row r="1825" spans="4:18">
      <c r="D1825" s="1" t="s">
        <v>199</v>
      </c>
      <c r="E1825" s="1" t="s">
        <v>903</v>
      </c>
      <c r="H1825" s="1" t="s">
        <v>22</v>
      </c>
      <c r="I1825" s="1" t="s">
        <v>23</v>
      </c>
      <c r="L1825" s="1">
        <v>1</v>
      </c>
      <c r="M1825" s="1">
        <v>0.65223129999999996</v>
      </c>
      <c r="N1825" s="1">
        <v>0.65223129999999996</v>
      </c>
      <c r="O1825" s="11"/>
      <c r="P1825" s="11"/>
      <c r="Q1825" s="11"/>
      <c r="R1825" s="11"/>
    </row>
    <row r="1826" spans="4:18">
      <c r="D1826" s="1" t="s">
        <v>199</v>
      </c>
      <c r="E1826" s="1" t="s">
        <v>904</v>
      </c>
      <c r="H1826" s="1" t="s">
        <v>22</v>
      </c>
      <c r="I1826" s="1" t="s">
        <v>23</v>
      </c>
      <c r="L1826" s="1">
        <v>1</v>
      </c>
      <c r="M1826" s="1">
        <v>-0.13990669999999999</v>
      </c>
      <c r="N1826" s="1">
        <v>-0.13990669999999999</v>
      </c>
      <c r="O1826" s="11"/>
      <c r="P1826" s="11"/>
      <c r="Q1826" s="11"/>
      <c r="R1826" s="11"/>
    </row>
    <row r="1827" spans="4:18">
      <c r="D1827" s="1" t="s">
        <v>199</v>
      </c>
      <c r="E1827" s="1" t="s">
        <v>905</v>
      </c>
      <c r="H1827" s="1" t="s">
        <v>22</v>
      </c>
      <c r="I1827" s="1" t="s">
        <v>23</v>
      </c>
      <c r="L1827" s="1">
        <v>1</v>
      </c>
      <c r="M1827" s="1">
        <v>-0.18227769999999999</v>
      </c>
      <c r="N1827" s="1">
        <v>-0.18227769999999999</v>
      </c>
      <c r="O1827" s="11"/>
      <c r="P1827" s="11"/>
      <c r="Q1827" s="11"/>
      <c r="R1827" s="11"/>
    </row>
    <row r="1828" spans="4:18">
      <c r="D1828" s="1" t="s">
        <v>199</v>
      </c>
      <c r="E1828" s="1" t="s">
        <v>906</v>
      </c>
      <c r="H1828" s="1" t="s">
        <v>22</v>
      </c>
      <c r="I1828" s="1" t="s">
        <v>23</v>
      </c>
      <c r="J1828" s="1">
        <v>0.5</v>
      </c>
      <c r="K1828" s="1">
        <v>2</v>
      </c>
      <c r="L1828" s="1">
        <v>1</v>
      </c>
      <c r="M1828" s="1">
        <v>1</v>
      </c>
      <c r="N1828" s="1">
        <v>1</v>
      </c>
      <c r="O1828" s="11"/>
      <c r="P1828" s="11"/>
      <c r="Q1828" s="11"/>
      <c r="R1828" s="11"/>
    </row>
    <row r="1829" spans="4:18">
      <c r="D1829" s="1" t="s">
        <v>199</v>
      </c>
      <c r="E1829" s="1" t="s">
        <v>907</v>
      </c>
      <c r="H1829" s="1" t="s">
        <v>25</v>
      </c>
      <c r="I1829" s="1" t="s">
        <v>23</v>
      </c>
      <c r="M1829" s="1" t="b">
        <v>1</v>
      </c>
      <c r="N1829" s="1">
        <v>1</v>
      </c>
      <c r="O1829" s="11"/>
      <c r="P1829" s="11"/>
      <c r="Q1829" s="11"/>
      <c r="R1829" s="11"/>
    </row>
    <row r="1830" spans="4:18">
      <c r="D1830" s="1" t="s">
        <v>199</v>
      </c>
      <c r="E1830" s="1" t="s">
        <v>908</v>
      </c>
      <c r="H1830" s="1" t="s">
        <v>22</v>
      </c>
      <c r="I1830" s="1" t="s">
        <v>29</v>
      </c>
      <c r="J1830" s="1">
        <v>0.1</v>
      </c>
      <c r="K1830" s="1">
        <v>10</v>
      </c>
      <c r="L1830" s="1">
        <v>5.05</v>
      </c>
      <c r="N1830" s="1">
        <v>1</v>
      </c>
      <c r="O1830" s="11"/>
      <c r="P1830" s="11"/>
      <c r="Q1830" s="11"/>
      <c r="R1830" s="11"/>
    </row>
    <row r="1831" spans="4:18">
      <c r="D1831" s="1" t="s">
        <v>199</v>
      </c>
      <c r="E1831" s="1" t="s">
        <v>909</v>
      </c>
      <c r="H1831" s="1" t="s">
        <v>22</v>
      </c>
      <c r="I1831" s="1" t="s">
        <v>29</v>
      </c>
      <c r="J1831" s="1">
        <v>0.1</v>
      </c>
      <c r="K1831" s="1">
        <v>10</v>
      </c>
      <c r="L1831" s="1">
        <v>5.05</v>
      </c>
      <c r="N1831" s="1">
        <v>0.98850525396413258</v>
      </c>
      <c r="O1831" s="11"/>
      <c r="P1831" s="11"/>
      <c r="Q1831" s="11"/>
      <c r="R1831" s="11"/>
    </row>
    <row r="1832" spans="4:18">
      <c r="D1832" s="1" t="s">
        <v>199</v>
      </c>
      <c r="E1832" s="1" t="s">
        <v>910</v>
      </c>
      <c r="H1832" s="1" t="s">
        <v>22</v>
      </c>
      <c r="I1832" s="1" t="s">
        <v>29</v>
      </c>
      <c r="J1832" s="1">
        <v>0.1</v>
      </c>
      <c r="K1832" s="1">
        <v>10</v>
      </c>
      <c r="L1832" s="1">
        <v>5.05</v>
      </c>
      <c r="N1832" s="1">
        <v>0.98363046085318584</v>
      </c>
      <c r="O1832" s="11"/>
      <c r="P1832" s="11"/>
      <c r="Q1832" s="11"/>
      <c r="R1832" s="11"/>
    </row>
    <row r="1833" spans="4:18">
      <c r="D1833" s="1" t="s">
        <v>199</v>
      </c>
      <c r="E1833" s="1" t="s">
        <v>911</v>
      </c>
      <c r="H1833" s="1" t="s">
        <v>22</v>
      </c>
      <c r="I1833" s="1" t="s">
        <v>29</v>
      </c>
      <c r="J1833" s="1">
        <v>0.1</v>
      </c>
      <c r="K1833" s="1">
        <v>10</v>
      </c>
      <c r="L1833" s="1">
        <v>5.05</v>
      </c>
      <c r="N1833" s="1">
        <v>1</v>
      </c>
      <c r="O1833" s="11"/>
      <c r="P1833" s="11"/>
      <c r="Q1833" s="11"/>
      <c r="R1833" s="11"/>
    </row>
    <row r="1834" spans="4:18">
      <c r="D1834" s="1" t="s">
        <v>199</v>
      </c>
      <c r="E1834" s="1" t="s">
        <v>912</v>
      </c>
      <c r="H1834" s="1" t="s">
        <v>22</v>
      </c>
      <c r="I1834" s="1" t="s">
        <v>29</v>
      </c>
      <c r="J1834" s="1">
        <v>0.1</v>
      </c>
      <c r="K1834" s="1">
        <v>10</v>
      </c>
      <c r="L1834" s="1">
        <v>5.05</v>
      </c>
      <c r="N1834" s="1">
        <v>1</v>
      </c>
      <c r="O1834" s="11"/>
      <c r="P1834" s="11"/>
      <c r="Q1834" s="11"/>
      <c r="R1834" s="11"/>
    </row>
    <row r="1835" spans="4:18">
      <c r="D1835" s="1" t="s">
        <v>199</v>
      </c>
      <c r="E1835" s="1" t="s">
        <v>913</v>
      </c>
      <c r="H1835" s="1" t="s">
        <v>22</v>
      </c>
      <c r="I1835" s="1" t="s">
        <v>29</v>
      </c>
      <c r="J1835" s="1">
        <v>0.1</v>
      </c>
      <c r="K1835" s="1">
        <v>10</v>
      </c>
      <c r="L1835" s="1">
        <v>5.05</v>
      </c>
      <c r="N1835" s="1">
        <v>1</v>
      </c>
      <c r="O1835" s="11"/>
      <c r="P1835" s="11"/>
      <c r="Q1835" s="11"/>
      <c r="R1835" s="11"/>
    </row>
    <row r="1836" spans="4:18">
      <c r="D1836" s="1" t="s">
        <v>199</v>
      </c>
      <c r="E1836" s="1" t="s">
        <v>914</v>
      </c>
      <c r="H1836" s="1" t="s">
        <v>22</v>
      </c>
      <c r="I1836" s="1" t="s">
        <v>29</v>
      </c>
      <c r="J1836" s="1">
        <v>0.1</v>
      </c>
      <c r="K1836" s="1">
        <v>10</v>
      </c>
      <c r="L1836" s="1">
        <v>5.05</v>
      </c>
      <c r="N1836" s="1">
        <v>1</v>
      </c>
      <c r="O1836" s="11"/>
      <c r="P1836" s="11"/>
      <c r="Q1836" s="11"/>
      <c r="R1836" s="11"/>
    </row>
    <row r="1837" spans="4:18">
      <c r="D1837" s="1" t="s">
        <v>199</v>
      </c>
      <c r="E1837" s="1" t="s">
        <v>915</v>
      </c>
      <c r="H1837" s="1" t="s">
        <v>181</v>
      </c>
      <c r="I1837" s="1" t="s">
        <v>23</v>
      </c>
      <c r="J1837" s="1">
        <v>1</v>
      </c>
      <c r="K1837" s="1">
        <v>2</v>
      </c>
      <c r="M1837" s="1" t="s">
        <v>916</v>
      </c>
      <c r="N1837" s="1" t="s">
        <v>1817</v>
      </c>
      <c r="O1837" s="11"/>
      <c r="P1837" s="11"/>
      <c r="Q1837" s="11"/>
      <c r="R1837" s="11"/>
    </row>
    <row r="1838" spans="4:18">
      <c r="D1838" s="1" t="s">
        <v>199</v>
      </c>
      <c r="E1838" s="1" t="s">
        <v>917</v>
      </c>
      <c r="H1838" s="1" t="s">
        <v>22</v>
      </c>
      <c r="I1838" s="1" t="s">
        <v>23</v>
      </c>
      <c r="L1838" s="1">
        <v>1</v>
      </c>
      <c r="M1838" s="1">
        <v>9.9999999999999995E-7</v>
      </c>
      <c r="N1838" s="1">
        <v>9.9999999999999995E-7</v>
      </c>
      <c r="O1838" s="11"/>
      <c r="P1838" s="11"/>
      <c r="Q1838" s="11"/>
      <c r="R1838" s="11"/>
    </row>
    <row r="1839" spans="4:18">
      <c r="D1839" s="1" t="s">
        <v>199</v>
      </c>
      <c r="E1839" s="1" t="s">
        <v>918</v>
      </c>
      <c r="H1839" s="1" t="s">
        <v>22</v>
      </c>
      <c r="I1839" s="1" t="s">
        <v>23</v>
      </c>
      <c r="L1839" s="1">
        <v>1</v>
      </c>
      <c r="M1839" s="1">
        <v>3.4856456179999999</v>
      </c>
      <c r="N1839" s="1">
        <v>3.4856456179999999</v>
      </c>
      <c r="O1839" s="11"/>
      <c r="P1839" s="11"/>
      <c r="Q1839" s="11"/>
      <c r="R1839" s="11"/>
    </row>
    <row r="1840" spans="4:18">
      <c r="D1840" s="1" t="s">
        <v>199</v>
      </c>
      <c r="E1840" s="1" t="s">
        <v>919</v>
      </c>
      <c r="H1840" s="1" t="s">
        <v>22</v>
      </c>
      <c r="I1840" s="1" t="s">
        <v>23</v>
      </c>
      <c r="L1840" s="1">
        <v>1</v>
      </c>
      <c r="M1840" s="1">
        <v>2.9632862709999999</v>
      </c>
      <c r="N1840" s="1">
        <v>2.9632862709999999</v>
      </c>
      <c r="O1840" s="11"/>
      <c r="P1840" s="11"/>
      <c r="Q1840" s="11"/>
      <c r="R1840" s="11"/>
    </row>
    <row r="1841" spans="4:18">
      <c r="D1841" s="1" t="s">
        <v>199</v>
      </c>
      <c r="E1841" s="1" t="s">
        <v>47</v>
      </c>
      <c r="H1841" s="1" t="s">
        <v>25</v>
      </c>
      <c r="I1841" s="1" t="s">
        <v>23</v>
      </c>
      <c r="M1841" s="1" t="b">
        <v>0</v>
      </c>
      <c r="N1841" s="1">
        <v>0</v>
      </c>
      <c r="O1841" s="11"/>
      <c r="P1841" s="11"/>
      <c r="Q1841" s="11"/>
      <c r="R1841" s="11"/>
    </row>
    <row r="1842" spans="4:18">
      <c r="D1842" s="1" t="s">
        <v>199</v>
      </c>
      <c r="E1842" s="1" t="s">
        <v>920</v>
      </c>
      <c r="H1842" s="1" t="s">
        <v>22</v>
      </c>
      <c r="I1842" s="1" t="s">
        <v>23</v>
      </c>
      <c r="J1842" s="1">
        <v>-1</v>
      </c>
      <c r="K1842" s="1">
        <v>1</v>
      </c>
      <c r="L1842" s="1">
        <v>1</v>
      </c>
      <c r="M1842" s="1">
        <v>0</v>
      </c>
      <c r="N1842" s="1">
        <v>0</v>
      </c>
      <c r="O1842" s="11"/>
      <c r="P1842" s="11"/>
      <c r="Q1842" s="11"/>
      <c r="R1842" s="11"/>
    </row>
    <row r="1843" spans="4:18">
      <c r="D1843" s="1" t="s">
        <v>199</v>
      </c>
      <c r="E1843" s="1" t="s">
        <v>921</v>
      </c>
      <c r="H1843" s="1" t="s">
        <v>22</v>
      </c>
      <c r="I1843" s="1" t="s">
        <v>23</v>
      </c>
      <c r="J1843" s="1">
        <v>-1</v>
      </c>
      <c r="K1843" s="1">
        <v>1</v>
      </c>
      <c r="L1843" s="1">
        <v>1</v>
      </c>
      <c r="M1843" s="1">
        <v>0</v>
      </c>
      <c r="N1843" s="1">
        <v>0</v>
      </c>
      <c r="O1843" s="11"/>
      <c r="P1843" s="11"/>
      <c r="Q1843" s="11"/>
      <c r="R1843" s="11"/>
    </row>
    <row r="1844" spans="4:18">
      <c r="D1844" s="1" t="s">
        <v>199</v>
      </c>
      <c r="E1844" s="1" t="s">
        <v>922</v>
      </c>
      <c r="F1844" s="1" t="s">
        <v>56</v>
      </c>
      <c r="G1844" s="1" t="s">
        <v>57</v>
      </c>
      <c r="H1844" s="1" t="s">
        <v>22</v>
      </c>
      <c r="I1844" s="1" t="s">
        <v>29</v>
      </c>
      <c r="J1844" s="1">
        <v>4.9312830828271128</v>
      </c>
      <c r="K1844" s="1">
        <v>623.66227223989961</v>
      </c>
      <c r="L1844" s="1">
        <v>50.713895374744951</v>
      </c>
      <c r="N1844" s="1">
        <v>130.84848950424083</v>
      </c>
      <c r="O1844" s="11"/>
      <c r="P1844" s="11"/>
      <c r="Q1844" s="11"/>
      <c r="R1844" s="11"/>
    </row>
    <row r="1845" spans="4:18">
      <c r="D1845" s="1" t="s">
        <v>199</v>
      </c>
      <c r="E1845" s="1" t="s">
        <v>923</v>
      </c>
      <c r="H1845" s="1" t="s">
        <v>22</v>
      </c>
      <c r="I1845" s="1" t="s">
        <v>29</v>
      </c>
      <c r="J1845" s="1">
        <v>0.9</v>
      </c>
      <c r="K1845" s="1">
        <v>10</v>
      </c>
      <c r="L1845" s="1">
        <v>1.01</v>
      </c>
      <c r="N1845" s="1">
        <v>1.045417497236838</v>
      </c>
      <c r="O1845" s="11"/>
      <c r="P1845" s="11"/>
      <c r="Q1845" s="11"/>
      <c r="R1845" s="11"/>
    </row>
    <row r="1846" spans="4:18">
      <c r="D1846" s="1" t="s">
        <v>199</v>
      </c>
      <c r="E1846" s="1" t="s">
        <v>924</v>
      </c>
      <c r="F1846" s="1" t="s">
        <v>56</v>
      </c>
      <c r="G1846" s="1" t="s">
        <v>57</v>
      </c>
      <c r="H1846" s="1" t="s">
        <v>22</v>
      </c>
      <c r="I1846" s="1" t="s">
        <v>29</v>
      </c>
      <c r="J1846" s="1">
        <v>4.9312830828271128</v>
      </c>
      <c r="K1846" s="1">
        <v>623.66227223989961</v>
      </c>
      <c r="L1846" s="1">
        <v>50.713895374744951</v>
      </c>
      <c r="N1846" s="1">
        <v>95.151125432953719</v>
      </c>
      <c r="O1846" s="11"/>
      <c r="P1846" s="11"/>
      <c r="Q1846" s="11"/>
      <c r="R1846" s="11"/>
    </row>
    <row r="1847" spans="4:18">
      <c r="D1847" s="1" t="s">
        <v>199</v>
      </c>
      <c r="E1847" s="1" t="s">
        <v>925</v>
      </c>
      <c r="H1847" s="1" t="s">
        <v>22</v>
      </c>
      <c r="I1847" s="1" t="s">
        <v>29</v>
      </c>
      <c r="J1847" s="1">
        <v>0.9</v>
      </c>
      <c r="K1847" s="1">
        <v>10</v>
      </c>
      <c r="L1847" s="1">
        <v>1.01</v>
      </c>
      <c r="N1847" s="1">
        <v>1.1389782401498474</v>
      </c>
      <c r="O1847" s="11"/>
      <c r="P1847" s="11"/>
      <c r="Q1847" s="11"/>
      <c r="R1847" s="11"/>
    </row>
    <row r="1848" spans="4:18">
      <c r="D1848" s="1" t="s">
        <v>199</v>
      </c>
      <c r="E1848" s="1" t="s">
        <v>926</v>
      </c>
      <c r="H1848" s="1" t="s">
        <v>22</v>
      </c>
      <c r="I1848" s="1" t="s">
        <v>29</v>
      </c>
      <c r="J1848" s="1">
        <v>34000</v>
      </c>
      <c r="K1848" s="1">
        <v>4300000</v>
      </c>
      <c r="L1848" s="1">
        <v>349660</v>
      </c>
      <c r="N1848" s="1">
        <v>350000</v>
      </c>
      <c r="O1848" s="11"/>
      <c r="P1848" s="11"/>
      <c r="Q1848" s="11"/>
      <c r="R1848" s="11"/>
    </row>
    <row r="1849" spans="4:18">
      <c r="D1849" s="1" t="s">
        <v>199</v>
      </c>
      <c r="E1849" s="1" t="s">
        <v>927</v>
      </c>
      <c r="H1849" s="1" t="s">
        <v>22</v>
      </c>
      <c r="I1849" s="1" t="s">
        <v>29</v>
      </c>
      <c r="J1849" s="1">
        <v>-3.94</v>
      </c>
      <c r="K1849" s="1">
        <v>3.66</v>
      </c>
      <c r="L1849" s="1">
        <v>1</v>
      </c>
      <c r="N1849" s="1">
        <v>1.01</v>
      </c>
      <c r="O1849" s="11"/>
      <c r="P1849" s="11"/>
      <c r="Q1849" s="11"/>
      <c r="R1849" s="11"/>
    </row>
    <row r="1850" spans="4:18">
      <c r="D1850" s="1" t="s">
        <v>199</v>
      </c>
      <c r="E1850" s="1" t="s">
        <v>928</v>
      </c>
      <c r="H1850" s="1" t="s">
        <v>22</v>
      </c>
      <c r="I1850" s="1" t="s">
        <v>29</v>
      </c>
      <c r="J1850" s="1">
        <v>0</v>
      </c>
      <c r="K1850" s="1">
        <v>100</v>
      </c>
      <c r="L1850" s="1">
        <v>1</v>
      </c>
      <c r="N1850" s="1">
        <v>0</v>
      </c>
      <c r="O1850" s="11"/>
      <c r="P1850" s="11"/>
      <c r="Q1850" s="11"/>
      <c r="R1850" s="11"/>
    </row>
    <row r="1851" spans="4:18">
      <c r="D1851" s="1" t="s">
        <v>199</v>
      </c>
      <c r="E1851" s="1" t="s">
        <v>929</v>
      </c>
      <c r="H1851" s="1" t="s">
        <v>22</v>
      </c>
      <c r="I1851" s="1" t="s">
        <v>29</v>
      </c>
      <c r="J1851" s="1">
        <v>-3.94</v>
      </c>
      <c r="K1851" s="1">
        <v>3.66</v>
      </c>
      <c r="L1851" s="1">
        <v>1</v>
      </c>
      <c r="N1851" s="1">
        <v>1.01</v>
      </c>
      <c r="O1851" s="11"/>
      <c r="P1851" s="11"/>
      <c r="Q1851" s="11"/>
      <c r="R1851" s="11"/>
    </row>
    <row r="1852" spans="4:18">
      <c r="D1852" s="1" t="s">
        <v>199</v>
      </c>
      <c r="E1852" s="1" t="s">
        <v>930</v>
      </c>
      <c r="H1852" s="1" t="s">
        <v>22</v>
      </c>
      <c r="I1852" s="1" t="s">
        <v>29</v>
      </c>
      <c r="J1852" s="1">
        <v>34000</v>
      </c>
      <c r="K1852" s="1">
        <v>4300000</v>
      </c>
      <c r="L1852" s="1">
        <v>349660</v>
      </c>
      <c r="N1852" s="1">
        <v>350000</v>
      </c>
      <c r="O1852" s="11"/>
      <c r="P1852" s="11"/>
      <c r="Q1852" s="11"/>
      <c r="R1852" s="11"/>
    </row>
    <row r="1853" spans="4:18">
      <c r="D1853" s="1" t="s">
        <v>199</v>
      </c>
      <c r="E1853" s="1" t="s">
        <v>931</v>
      </c>
      <c r="H1853" s="1" t="s">
        <v>22</v>
      </c>
      <c r="I1853" s="1" t="s">
        <v>29</v>
      </c>
      <c r="J1853" s="1">
        <v>-3.94</v>
      </c>
      <c r="K1853" s="1">
        <v>3.66</v>
      </c>
      <c r="L1853" s="1">
        <v>1</v>
      </c>
      <c r="N1853" s="1">
        <v>1.01</v>
      </c>
      <c r="O1853" s="11"/>
      <c r="P1853" s="11"/>
      <c r="Q1853" s="11"/>
      <c r="R1853" s="11"/>
    </row>
    <row r="1854" spans="4:18">
      <c r="D1854" s="1" t="s">
        <v>199</v>
      </c>
      <c r="E1854" s="1" t="s">
        <v>932</v>
      </c>
      <c r="H1854" s="1" t="s">
        <v>22</v>
      </c>
      <c r="I1854" s="1" t="s">
        <v>29</v>
      </c>
      <c r="J1854" s="1">
        <v>0</v>
      </c>
      <c r="K1854" s="1">
        <v>100</v>
      </c>
      <c r="L1854" s="1">
        <v>1</v>
      </c>
      <c r="N1854" s="1">
        <v>0</v>
      </c>
      <c r="O1854" s="11"/>
      <c r="P1854" s="11"/>
      <c r="Q1854" s="11"/>
      <c r="R1854" s="11"/>
    </row>
    <row r="1855" spans="4:18">
      <c r="D1855" s="1" t="s">
        <v>199</v>
      </c>
      <c r="E1855" s="1" t="s">
        <v>933</v>
      </c>
      <c r="H1855" s="1" t="s">
        <v>22</v>
      </c>
      <c r="I1855" s="1" t="s">
        <v>29</v>
      </c>
      <c r="J1855" s="1">
        <v>-3.94</v>
      </c>
      <c r="K1855" s="1">
        <v>3.66</v>
      </c>
      <c r="L1855" s="1">
        <v>1</v>
      </c>
      <c r="N1855" s="1">
        <v>1.01</v>
      </c>
      <c r="O1855" s="11"/>
      <c r="P1855" s="11"/>
      <c r="Q1855" s="11"/>
      <c r="R1855" s="11"/>
    </row>
    <row r="1856" spans="4:18">
      <c r="D1856" s="1" t="s">
        <v>199</v>
      </c>
      <c r="E1856" s="1" t="s">
        <v>934</v>
      </c>
      <c r="H1856" s="1" t="s">
        <v>22</v>
      </c>
      <c r="I1856" s="1" t="s">
        <v>29</v>
      </c>
      <c r="J1856" s="1">
        <v>34000</v>
      </c>
      <c r="K1856" s="1">
        <v>4300000</v>
      </c>
      <c r="L1856" s="1">
        <v>349660</v>
      </c>
      <c r="N1856" s="1">
        <v>350000</v>
      </c>
      <c r="O1856" s="11"/>
      <c r="P1856" s="11"/>
      <c r="Q1856" s="11"/>
      <c r="R1856" s="11"/>
    </row>
    <row r="1857" spans="4:18">
      <c r="D1857" s="1" t="s">
        <v>199</v>
      </c>
      <c r="E1857" s="1" t="s">
        <v>935</v>
      </c>
      <c r="H1857" s="1" t="s">
        <v>22</v>
      </c>
      <c r="I1857" s="1" t="s">
        <v>29</v>
      </c>
      <c r="J1857" s="1">
        <v>-3.94</v>
      </c>
      <c r="K1857" s="1">
        <v>3.66</v>
      </c>
      <c r="L1857" s="1">
        <v>1</v>
      </c>
      <c r="N1857" s="1">
        <v>1.01</v>
      </c>
      <c r="O1857" s="11"/>
      <c r="P1857" s="11"/>
      <c r="Q1857" s="11"/>
      <c r="R1857" s="11"/>
    </row>
    <row r="1858" spans="4:18">
      <c r="D1858" s="1" t="s">
        <v>199</v>
      </c>
      <c r="E1858" s="1" t="s">
        <v>936</v>
      </c>
      <c r="H1858" s="1" t="s">
        <v>22</v>
      </c>
      <c r="I1858" s="1" t="s">
        <v>29</v>
      </c>
      <c r="J1858" s="1">
        <v>0</v>
      </c>
      <c r="K1858" s="1">
        <v>100</v>
      </c>
      <c r="L1858" s="1">
        <v>1</v>
      </c>
      <c r="N1858" s="1">
        <v>0</v>
      </c>
      <c r="O1858" s="11"/>
      <c r="P1858" s="11"/>
      <c r="Q1858" s="11"/>
      <c r="R1858" s="11"/>
    </row>
    <row r="1859" spans="4:18">
      <c r="D1859" s="1" t="s">
        <v>199</v>
      </c>
      <c r="E1859" s="1" t="s">
        <v>937</v>
      </c>
      <c r="H1859" s="1" t="s">
        <v>22</v>
      </c>
      <c r="I1859" s="1" t="s">
        <v>29</v>
      </c>
      <c r="J1859" s="1">
        <v>-3.94</v>
      </c>
      <c r="K1859" s="1">
        <v>3.66</v>
      </c>
      <c r="L1859" s="1">
        <v>1</v>
      </c>
      <c r="N1859" s="1">
        <v>1.01</v>
      </c>
      <c r="O1859" s="11"/>
      <c r="P1859" s="11"/>
      <c r="Q1859" s="11"/>
      <c r="R1859" s="11"/>
    </row>
    <row r="1860" spans="4:18">
      <c r="D1860" s="1" t="s">
        <v>199</v>
      </c>
      <c r="E1860" s="1" t="s">
        <v>938</v>
      </c>
      <c r="H1860" s="1" t="s">
        <v>22</v>
      </c>
      <c r="I1860" s="1" t="s">
        <v>29</v>
      </c>
      <c r="J1860" s="1">
        <v>34000</v>
      </c>
      <c r="K1860" s="1">
        <v>4300000</v>
      </c>
      <c r="L1860" s="1">
        <v>349660</v>
      </c>
      <c r="N1860" s="1">
        <v>350000</v>
      </c>
      <c r="O1860" s="11"/>
      <c r="P1860" s="11"/>
      <c r="Q1860" s="11"/>
      <c r="R1860" s="11"/>
    </row>
    <row r="1861" spans="4:18">
      <c r="D1861" s="1" t="s">
        <v>199</v>
      </c>
      <c r="E1861" s="1" t="s">
        <v>939</v>
      </c>
      <c r="H1861" s="1" t="s">
        <v>22</v>
      </c>
      <c r="I1861" s="1" t="s">
        <v>29</v>
      </c>
      <c r="J1861" s="1">
        <v>-3.94</v>
      </c>
      <c r="K1861" s="1">
        <v>3.66</v>
      </c>
      <c r="L1861" s="1">
        <v>1</v>
      </c>
      <c r="N1861" s="1">
        <v>1.01</v>
      </c>
      <c r="O1861" s="11"/>
      <c r="P1861" s="11"/>
      <c r="Q1861" s="11"/>
      <c r="R1861" s="11"/>
    </row>
    <row r="1862" spans="4:18">
      <c r="D1862" s="1" t="s">
        <v>199</v>
      </c>
      <c r="E1862" s="1" t="s">
        <v>940</v>
      </c>
      <c r="H1862" s="1" t="s">
        <v>22</v>
      </c>
      <c r="I1862" s="1" t="s">
        <v>29</v>
      </c>
      <c r="J1862" s="1">
        <v>0</v>
      </c>
      <c r="K1862" s="1">
        <v>100</v>
      </c>
      <c r="L1862" s="1">
        <v>1</v>
      </c>
      <c r="N1862" s="1">
        <v>0</v>
      </c>
      <c r="O1862" s="11"/>
      <c r="P1862" s="11"/>
      <c r="Q1862" s="11"/>
      <c r="R1862" s="11"/>
    </row>
    <row r="1863" spans="4:18">
      <c r="D1863" s="1" t="s">
        <v>199</v>
      </c>
      <c r="E1863" s="1" t="s">
        <v>941</v>
      </c>
      <c r="H1863" s="1" t="s">
        <v>22</v>
      </c>
      <c r="I1863" s="1" t="s">
        <v>29</v>
      </c>
      <c r="J1863" s="1">
        <v>-3.94</v>
      </c>
      <c r="K1863" s="1">
        <v>3.66</v>
      </c>
      <c r="L1863" s="1">
        <v>1</v>
      </c>
      <c r="N1863" s="1">
        <v>1.01</v>
      </c>
      <c r="O1863" s="11"/>
      <c r="P1863" s="11"/>
      <c r="Q1863" s="11"/>
      <c r="R1863" s="11"/>
    </row>
    <row r="1864" spans="4:18">
      <c r="D1864" s="1" t="s">
        <v>199</v>
      </c>
      <c r="E1864" s="1" t="s">
        <v>942</v>
      </c>
      <c r="H1864" s="1" t="s">
        <v>25</v>
      </c>
      <c r="I1864" s="1" t="s">
        <v>23</v>
      </c>
      <c r="M1864" s="1" t="b">
        <v>0</v>
      </c>
      <c r="N1864" s="1">
        <v>0</v>
      </c>
      <c r="O1864" s="11"/>
      <c r="P1864" s="11"/>
      <c r="Q1864" s="11"/>
      <c r="R1864" s="11"/>
    </row>
    <row r="1865" spans="4:18">
      <c r="D1865" s="1" t="s">
        <v>199</v>
      </c>
      <c r="E1865" s="1" t="s">
        <v>943</v>
      </c>
      <c r="H1865" s="1" t="s">
        <v>25</v>
      </c>
      <c r="I1865" s="1" t="s">
        <v>23</v>
      </c>
      <c r="M1865" s="1" t="b">
        <v>0</v>
      </c>
      <c r="N1865" s="1">
        <v>0</v>
      </c>
      <c r="O1865" s="11"/>
      <c r="P1865" s="11"/>
      <c r="Q1865" s="11"/>
      <c r="R1865" s="11"/>
    </row>
    <row r="1866" spans="4:18">
      <c r="D1866" s="1" t="s">
        <v>199</v>
      </c>
      <c r="E1866" s="1" t="s">
        <v>944</v>
      </c>
      <c r="F1866" s="1" t="s">
        <v>147</v>
      </c>
      <c r="G1866" s="1" t="s">
        <v>148</v>
      </c>
      <c r="H1866" s="1" t="s">
        <v>22</v>
      </c>
      <c r="I1866" s="1" t="s">
        <v>23</v>
      </c>
      <c r="J1866" s="1">
        <v>0</v>
      </c>
      <c r="K1866" s="1">
        <v>34121416.351331003</v>
      </c>
      <c r="L1866" s="1">
        <v>3.4121416351331</v>
      </c>
      <c r="M1866" s="1">
        <v>170607.08175665501</v>
      </c>
      <c r="N1866" s="1">
        <v>170607.08175665501</v>
      </c>
      <c r="O1866" s="11"/>
      <c r="P1866" s="11"/>
      <c r="Q1866" s="11"/>
      <c r="R1866" s="11"/>
    </row>
    <row r="1867" spans="4:18">
      <c r="D1867" s="1" t="s">
        <v>199</v>
      </c>
      <c r="E1867" s="1" t="s">
        <v>945</v>
      </c>
      <c r="H1867" s="1" t="s">
        <v>25</v>
      </c>
      <c r="I1867" s="1" t="s">
        <v>23</v>
      </c>
      <c r="M1867" s="1" t="b">
        <v>0</v>
      </c>
      <c r="N1867" s="1">
        <v>0</v>
      </c>
      <c r="O1867" s="11"/>
      <c r="P1867" s="11"/>
      <c r="Q1867" s="11"/>
      <c r="R1867" s="11"/>
    </row>
    <row r="1868" spans="4:18">
      <c r="D1868" s="1" t="s">
        <v>199</v>
      </c>
      <c r="E1868" s="1" t="s">
        <v>946</v>
      </c>
      <c r="F1868" s="1" t="s">
        <v>147</v>
      </c>
      <c r="G1868" s="1" t="s">
        <v>148</v>
      </c>
      <c r="H1868" s="1" t="s">
        <v>22</v>
      </c>
      <c r="I1868" s="1" t="s">
        <v>23</v>
      </c>
      <c r="J1868" s="1">
        <v>0</v>
      </c>
      <c r="K1868" s="1">
        <v>34121416.351331003</v>
      </c>
      <c r="L1868" s="1">
        <v>3.4121416351331</v>
      </c>
      <c r="M1868" s="1">
        <v>170607.08175665501</v>
      </c>
      <c r="N1868" s="1">
        <v>170607.08175665501</v>
      </c>
      <c r="O1868" s="11"/>
      <c r="P1868" s="11"/>
      <c r="Q1868" s="11"/>
      <c r="R1868" s="11"/>
    </row>
    <row r="1869" spans="4:18">
      <c r="D1869" s="1" t="s">
        <v>199</v>
      </c>
      <c r="E1869" s="1" t="s">
        <v>947</v>
      </c>
      <c r="H1869" s="1" t="s">
        <v>25</v>
      </c>
      <c r="I1869" s="1" t="s">
        <v>23</v>
      </c>
      <c r="M1869" s="1" t="b">
        <v>0</v>
      </c>
      <c r="N1869" s="1">
        <v>0</v>
      </c>
      <c r="O1869" s="11"/>
      <c r="P1869" s="11"/>
      <c r="Q1869" s="11"/>
      <c r="R1869" s="11"/>
    </row>
    <row r="1870" spans="4:18">
      <c r="D1870" s="1" t="s">
        <v>199</v>
      </c>
      <c r="E1870" s="1" t="s">
        <v>948</v>
      </c>
      <c r="F1870" s="1" t="s">
        <v>147</v>
      </c>
      <c r="G1870" s="1" t="s">
        <v>148</v>
      </c>
      <c r="H1870" s="1" t="s">
        <v>22</v>
      </c>
      <c r="I1870" s="1" t="s">
        <v>23</v>
      </c>
      <c r="J1870" s="1">
        <v>0</v>
      </c>
      <c r="K1870" s="1">
        <v>34121416.351331003</v>
      </c>
      <c r="L1870" s="1">
        <v>3.4121416351331</v>
      </c>
      <c r="M1870" s="1">
        <v>341214.16351331002</v>
      </c>
      <c r="N1870" s="1">
        <v>341214.16351331002</v>
      </c>
      <c r="O1870" s="11"/>
      <c r="P1870" s="11"/>
      <c r="Q1870" s="11"/>
      <c r="R1870" s="11"/>
    </row>
    <row r="1871" spans="4:18">
      <c r="D1871" s="1" t="s">
        <v>199</v>
      </c>
      <c r="E1871" s="1" t="s">
        <v>949</v>
      </c>
      <c r="H1871" s="1" t="s">
        <v>181</v>
      </c>
      <c r="I1871" s="1" t="s">
        <v>23</v>
      </c>
      <c r="J1871" s="1">
        <v>1</v>
      </c>
      <c r="K1871" s="1">
        <v>19</v>
      </c>
      <c r="M1871" s="1" t="s">
        <v>950</v>
      </c>
      <c r="N1871" s="1" t="s">
        <v>1818</v>
      </c>
      <c r="O1871" s="11"/>
      <c r="P1871" s="11"/>
      <c r="Q1871" s="11"/>
      <c r="R1871" s="11"/>
    </row>
    <row r="1872" spans="4:18">
      <c r="D1872" s="1" t="s">
        <v>199</v>
      </c>
      <c r="E1872" s="1" t="s">
        <v>951</v>
      </c>
      <c r="H1872" s="1" t="s">
        <v>181</v>
      </c>
      <c r="I1872" s="1" t="s">
        <v>23</v>
      </c>
      <c r="J1872" s="1">
        <v>1</v>
      </c>
      <c r="K1872" s="1">
        <v>8</v>
      </c>
      <c r="M1872" s="1" t="s">
        <v>952</v>
      </c>
      <c r="N1872" s="1" t="s">
        <v>1819</v>
      </c>
      <c r="O1872" s="11"/>
      <c r="P1872" s="11"/>
      <c r="Q1872" s="11"/>
      <c r="R1872" s="11"/>
    </row>
    <row r="1873" spans="1:18">
      <c r="D1873" s="1" t="s">
        <v>199</v>
      </c>
      <c r="E1873" s="1" t="s">
        <v>953</v>
      </c>
      <c r="F1873" s="1" t="s">
        <v>874</v>
      </c>
      <c r="G1873" s="1" t="s">
        <v>874</v>
      </c>
      <c r="H1873" s="1" t="s">
        <v>22</v>
      </c>
      <c r="I1873" s="1" t="s">
        <v>29</v>
      </c>
      <c r="L1873" s="1">
        <v>1</v>
      </c>
      <c r="N1873" s="1">
        <v>0</v>
      </c>
      <c r="O1873" s="11"/>
      <c r="P1873" s="11"/>
      <c r="Q1873" s="11"/>
      <c r="R1873" s="11"/>
    </row>
    <row r="1874" spans="1:18">
      <c r="D1874" s="1" t="s">
        <v>199</v>
      </c>
      <c r="E1874" s="1" t="s">
        <v>954</v>
      </c>
      <c r="F1874" s="1">
        <v>1</v>
      </c>
      <c r="G1874" s="1">
        <v>1</v>
      </c>
      <c r="H1874" s="1" t="s">
        <v>22</v>
      </c>
      <c r="I1874" s="1" t="s">
        <v>65</v>
      </c>
      <c r="J1874" s="1">
        <v>0</v>
      </c>
      <c r="L1874" s="1">
        <v>1</v>
      </c>
      <c r="N1874" s="1">
        <v>0.84560416868714172</v>
      </c>
      <c r="O1874" s="11"/>
      <c r="P1874" s="11"/>
      <c r="Q1874" s="11"/>
      <c r="R1874" s="11"/>
    </row>
    <row r="1875" spans="1:18">
      <c r="D1875" s="1" t="s">
        <v>199</v>
      </c>
      <c r="E1875" s="1" t="s">
        <v>955</v>
      </c>
      <c r="F1875" s="1">
        <v>1</v>
      </c>
      <c r="G1875" s="1">
        <v>1</v>
      </c>
      <c r="H1875" s="1" t="s">
        <v>22</v>
      </c>
      <c r="I1875" s="1" t="s">
        <v>65</v>
      </c>
      <c r="J1875" s="1">
        <v>0</v>
      </c>
      <c r="L1875" s="1">
        <v>1</v>
      </c>
      <c r="N1875" s="1">
        <v>0.83379999999907273</v>
      </c>
      <c r="O1875" s="11"/>
      <c r="P1875" s="11"/>
      <c r="Q1875" s="11"/>
      <c r="R1875" s="11"/>
    </row>
    <row r="1876" spans="1:18">
      <c r="D1876" s="1" t="s">
        <v>199</v>
      </c>
      <c r="E1876" s="1" t="s">
        <v>956</v>
      </c>
      <c r="F1876" s="1">
        <v>1</v>
      </c>
      <c r="G1876" s="1">
        <v>1</v>
      </c>
      <c r="H1876" s="1" t="s">
        <v>22</v>
      </c>
      <c r="I1876" s="1" t="s">
        <v>65</v>
      </c>
      <c r="J1876" s="1">
        <v>0</v>
      </c>
      <c r="L1876" s="1">
        <v>1</v>
      </c>
      <c r="N1876" s="1">
        <v>0.83379999999895482</v>
      </c>
      <c r="O1876" s="11"/>
      <c r="P1876" s="11"/>
      <c r="Q1876" s="11"/>
      <c r="R1876" s="11"/>
    </row>
    <row r="1877" spans="1:18">
      <c r="D1877" s="1" t="s">
        <v>199</v>
      </c>
      <c r="E1877" s="1" t="s">
        <v>957</v>
      </c>
      <c r="H1877" s="1" t="s">
        <v>22</v>
      </c>
      <c r="I1877" s="1" t="s">
        <v>65</v>
      </c>
      <c r="L1877" s="1">
        <v>1</v>
      </c>
      <c r="N1877" s="1">
        <v>1.0511476764942715</v>
      </c>
      <c r="O1877" s="11"/>
      <c r="P1877" s="11"/>
      <c r="Q1877" s="11"/>
      <c r="R1877" s="11"/>
    </row>
    <row r="1878" spans="1:18">
      <c r="D1878" s="1" t="s">
        <v>199</v>
      </c>
      <c r="E1878" s="1" t="s">
        <v>958</v>
      </c>
      <c r="H1878" s="1" t="s">
        <v>22</v>
      </c>
      <c r="I1878" s="1" t="s">
        <v>65</v>
      </c>
      <c r="L1878" s="1">
        <v>1</v>
      </c>
      <c r="N1878" s="1">
        <v>1.2167209567522095</v>
      </c>
      <c r="O1878" s="11"/>
      <c r="P1878" s="11"/>
      <c r="Q1878" s="11"/>
      <c r="R1878" s="11"/>
    </row>
    <row r="1879" spans="1:18">
      <c r="D1879" s="1" t="s">
        <v>199</v>
      </c>
      <c r="E1879" s="1" t="s">
        <v>959</v>
      </c>
      <c r="H1879" s="1" t="s">
        <v>22</v>
      </c>
      <c r="I1879" s="1" t="s">
        <v>65</v>
      </c>
      <c r="L1879" s="1">
        <v>1</v>
      </c>
      <c r="N1879" s="1">
        <v>1.0511476764942715</v>
      </c>
      <c r="O1879" s="11"/>
      <c r="P1879" s="11"/>
      <c r="Q1879" s="11"/>
      <c r="R1879" s="11"/>
    </row>
    <row r="1880" spans="1:18">
      <c r="D1880" s="1" t="s">
        <v>199</v>
      </c>
      <c r="E1880" s="1" t="s">
        <v>960</v>
      </c>
      <c r="H1880" s="1" t="s">
        <v>22</v>
      </c>
      <c r="I1880" s="1" t="s">
        <v>65</v>
      </c>
      <c r="L1880" s="1">
        <v>1</v>
      </c>
      <c r="N1880" s="1">
        <v>0.45796690778450949</v>
      </c>
      <c r="O1880" s="11"/>
      <c r="P1880" s="11"/>
      <c r="Q1880" s="11"/>
      <c r="R1880" s="11"/>
    </row>
    <row r="1881" spans="1:18">
      <c r="D1881" s="1" t="s">
        <v>199</v>
      </c>
      <c r="E1881" s="1" t="s">
        <v>961</v>
      </c>
      <c r="H1881" s="1" t="s">
        <v>22</v>
      </c>
      <c r="I1881" s="1" t="s">
        <v>65</v>
      </c>
      <c r="L1881" s="1">
        <v>1</v>
      </c>
      <c r="N1881" s="1">
        <v>1.2229387298205316</v>
      </c>
      <c r="O1881" s="11"/>
      <c r="P1881" s="11"/>
      <c r="Q1881" s="11"/>
      <c r="R1881" s="11"/>
    </row>
    <row r="1882" spans="1:18">
      <c r="D1882" s="1" t="s">
        <v>199</v>
      </c>
      <c r="E1882" s="1" t="s">
        <v>962</v>
      </c>
      <c r="H1882" s="1" t="s">
        <v>22</v>
      </c>
      <c r="I1882" s="1" t="s">
        <v>65</v>
      </c>
      <c r="L1882" s="1">
        <v>1</v>
      </c>
      <c r="N1882" s="1">
        <v>1.1261129598615183</v>
      </c>
      <c r="O1882" s="11"/>
      <c r="P1882" s="11"/>
      <c r="Q1882" s="11"/>
      <c r="R1882" s="11"/>
    </row>
    <row r="1883" spans="1:18">
      <c r="D1883" s="1" t="s">
        <v>199</v>
      </c>
      <c r="E1883" s="1" t="s">
        <v>963</v>
      </c>
      <c r="H1883" s="1" t="s">
        <v>22</v>
      </c>
      <c r="I1883" s="1" t="s">
        <v>65</v>
      </c>
      <c r="L1883" s="1">
        <v>1</v>
      </c>
      <c r="N1883" s="1">
        <v>1.1402516032347663</v>
      </c>
      <c r="O1883" s="11"/>
      <c r="P1883" s="11"/>
      <c r="Q1883" s="11"/>
      <c r="R1883" s="11"/>
    </row>
    <row r="1884" spans="1:18">
      <c r="D1884" s="1" t="s">
        <v>199</v>
      </c>
      <c r="E1884" s="1" t="s">
        <v>964</v>
      </c>
      <c r="H1884" s="1" t="s">
        <v>25</v>
      </c>
      <c r="I1884" s="1" t="s">
        <v>65</v>
      </c>
      <c r="N1884" s="1">
        <v>1</v>
      </c>
      <c r="O1884" s="11"/>
      <c r="P1884" s="11"/>
      <c r="Q1884" s="11"/>
      <c r="R1884" s="11"/>
    </row>
    <row r="1885" spans="1:18">
      <c r="D1885" s="1" t="s">
        <v>199</v>
      </c>
      <c r="E1885" s="1" t="s">
        <v>965</v>
      </c>
      <c r="H1885" s="1" t="s">
        <v>22</v>
      </c>
      <c r="I1885" s="1" t="s">
        <v>65</v>
      </c>
      <c r="L1885" s="1">
        <v>1</v>
      </c>
      <c r="N1885" s="1">
        <v>31.343630041439191</v>
      </c>
      <c r="O1885" s="11"/>
      <c r="P1885" s="11"/>
      <c r="Q1885" s="11"/>
      <c r="R1885" s="11"/>
    </row>
    <row r="1886" spans="1:18">
      <c r="D1886" s="1" t="s">
        <v>199</v>
      </c>
      <c r="E1886" s="1" t="s">
        <v>966</v>
      </c>
      <c r="H1886" s="1" t="s">
        <v>22</v>
      </c>
      <c r="I1886" s="1" t="s">
        <v>65</v>
      </c>
      <c r="L1886" s="1">
        <v>1</v>
      </c>
      <c r="N1886" s="1">
        <v>20.035201066932242</v>
      </c>
      <c r="O1886" s="11"/>
      <c r="P1886" s="11"/>
      <c r="Q1886" s="11"/>
      <c r="R1886" s="11"/>
    </row>
    <row r="1887" spans="1:18">
      <c r="A1887" s="2" t="s">
        <v>1759</v>
      </c>
      <c r="B1887" s="3" t="s">
        <v>1790</v>
      </c>
      <c r="D1887" s="1" t="s">
        <v>199</v>
      </c>
      <c r="E1887" s="1" t="s">
        <v>967</v>
      </c>
      <c r="F1887" s="1" t="s">
        <v>147</v>
      </c>
      <c r="G1887" s="1" t="s">
        <v>148</v>
      </c>
      <c r="H1887" s="1" t="s">
        <v>22</v>
      </c>
      <c r="I1887" s="1" t="s">
        <v>65</v>
      </c>
      <c r="L1887" s="1">
        <v>3.4121416351331</v>
      </c>
      <c r="N1887" s="1">
        <v>1706.07081756655</v>
      </c>
      <c r="O1887" s="11"/>
      <c r="P1887" s="11"/>
      <c r="Q1887" s="11"/>
      <c r="R1887" s="11"/>
    </row>
    <row r="1888" spans="1:18">
      <c r="D1888" s="1" t="s">
        <v>199</v>
      </c>
      <c r="E1888" s="1" t="s">
        <v>968</v>
      </c>
      <c r="F1888" s="1" t="s">
        <v>874</v>
      </c>
      <c r="G1888" s="1" t="s">
        <v>874</v>
      </c>
      <c r="H1888" s="1" t="s">
        <v>22</v>
      </c>
      <c r="I1888" s="1" t="s">
        <v>65</v>
      </c>
      <c r="L1888" s="1">
        <v>1</v>
      </c>
      <c r="N1888" s="1">
        <v>11666.084075824707</v>
      </c>
      <c r="O1888" s="11"/>
      <c r="P1888" s="11"/>
      <c r="Q1888" s="11"/>
      <c r="R1888" s="11"/>
    </row>
    <row r="1889" spans="1:18">
      <c r="D1889" s="1" t="s">
        <v>199</v>
      </c>
      <c r="E1889" s="1" t="s">
        <v>969</v>
      </c>
      <c r="H1889" s="1" t="s">
        <v>22</v>
      </c>
      <c r="I1889" s="1" t="s">
        <v>65</v>
      </c>
      <c r="L1889" s="1">
        <v>1</v>
      </c>
      <c r="N1889" s="1">
        <v>2.8216804135943541</v>
      </c>
      <c r="O1889" s="11"/>
      <c r="P1889" s="11"/>
      <c r="Q1889" s="11"/>
      <c r="R1889" s="11"/>
    </row>
    <row r="1890" spans="1:18">
      <c r="D1890" s="1" t="s">
        <v>199</v>
      </c>
      <c r="E1890" s="1" t="s">
        <v>970</v>
      </c>
      <c r="H1890" s="1" t="s">
        <v>22</v>
      </c>
      <c r="I1890" s="1" t="s">
        <v>65</v>
      </c>
      <c r="L1890" s="1">
        <v>1</v>
      </c>
      <c r="N1890" s="1">
        <v>1.7629990355202008</v>
      </c>
      <c r="O1890" s="11"/>
      <c r="P1890" s="11"/>
      <c r="Q1890" s="11"/>
      <c r="R1890" s="11"/>
    </row>
    <row r="1891" spans="1:18">
      <c r="D1891" s="1" t="s">
        <v>199</v>
      </c>
      <c r="E1891" s="1" t="s">
        <v>971</v>
      </c>
      <c r="H1891" s="1" t="s">
        <v>22</v>
      </c>
      <c r="I1891" s="1" t="s">
        <v>65</v>
      </c>
      <c r="L1891" s="1">
        <v>1</v>
      </c>
      <c r="N1891" s="1">
        <v>1.6797858237262904</v>
      </c>
      <c r="O1891" s="11"/>
      <c r="P1891" s="11"/>
      <c r="Q1891" s="11"/>
      <c r="R1891" s="11"/>
    </row>
    <row r="1892" spans="1:18">
      <c r="A1892" s="2" t="s">
        <v>1759</v>
      </c>
      <c r="B1892" s="3" t="s">
        <v>1791</v>
      </c>
      <c r="D1892" s="1" t="s">
        <v>199</v>
      </c>
      <c r="E1892" s="1" t="s">
        <v>972</v>
      </c>
      <c r="F1892" s="1" t="s">
        <v>147</v>
      </c>
      <c r="G1892" s="1" t="s">
        <v>148</v>
      </c>
      <c r="H1892" s="1" t="s">
        <v>22</v>
      </c>
      <c r="I1892" s="1" t="s">
        <v>65</v>
      </c>
      <c r="L1892" s="1">
        <v>3.4121416351331</v>
      </c>
      <c r="N1892" s="1">
        <v>1998640.1278365692</v>
      </c>
      <c r="O1892" s="11"/>
      <c r="P1892" s="11"/>
      <c r="Q1892" s="11"/>
      <c r="R1892" s="11"/>
    </row>
    <row r="1893" spans="1:18">
      <c r="A1893" s="2" t="s">
        <v>1759</v>
      </c>
      <c r="B1893" s="3" t="s">
        <v>1792</v>
      </c>
      <c r="D1893" s="1" t="s">
        <v>199</v>
      </c>
      <c r="E1893" s="1" t="s">
        <v>973</v>
      </c>
      <c r="F1893" s="1" t="s">
        <v>147</v>
      </c>
      <c r="G1893" s="1" t="s">
        <v>148</v>
      </c>
      <c r="H1893" s="1" t="s">
        <v>22</v>
      </c>
      <c r="I1893" s="1" t="s">
        <v>65</v>
      </c>
      <c r="L1893" s="1">
        <v>3.4121416351331</v>
      </c>
      <c r="N1893" s="1">
        <v>950878.95043458731</v>
      </c>
      <c r="O1893" s="11"/>
      <c r="P1893" s="11"/>
      <c r="Q1893" s="11"/>
      <c r="R1893" s="11"/>
    </row>
    <row r="1894" spans="1:18">
      <c r="A1894" s="2" t="s">
        <v>1759</v>
      </c>
      <c r="B1894" s="3" t="s">
        <v>1793</v>
      </c>
      <c r="D1894" s="1" t="s">
        <v>199</v>
      </c>
      <c r="E1894" s="1" t="s">
        <v>974</v>
      </c>
      <c r="F1894" s="1" t="s">
        <v>147</v>
      </c>
      <c r="G1894" s="1" t="s">
        <v>148</v>
      </c>
      <c r="H1894" s="1" t="s">
        <v>22</v>
      </c>
      <c r="I1894" s="1" t="s">
        <v>65</v>
      </c>
      <c r="L1894" s="1">
        <v>3.4121416351331</v>
      </c>
      <c r="N1894" s="1">
        <v>1047761.1774019819</v>
      </c>
      <c r="O1894" s="11"/>
      <c r="P1894" s="11"/>
      <c r="Q1894" s="11"/>
      <c r="R1894" s="11"/>
    </row>
    <row r="1895" spans="1:18">
      <c r="D1895" s="1" t="s">
        <v>199</v>
      </c>
      <c r="E1895" s="1" t="s">
        <v>975</v>
      </c>
      <c r="F1895" s="1" t="s">
        <v>35</v>
      </c>
      <c r="G1895" s="1" t="s">
        <v>36</v>
      </c>
      <c r="H1895" s="1" t="s">
        <v>22</v>
      </c>
      <c r="I1895" s="1" t="s">
        <v>65</v>
      </c>
      <c r="J1895" s="1">
        <v>-459.67</v>
      </c>
      <c r="L1895" s="1">
        <v>80.329999999999984</v>
      </c>
      <c r="N1895" s="1">
        <v>79.854854843970372</v>
      </c>
      <c r="O1895" s="11"/>
      <c r="P1895" s="11"/>
      <c r="Q1895" s="11"/>
      <c r="R1895" s="11"/>
    </row>
    <row r="1896" spans="1:18">
      <c r="D1896" s="1" t="s">
        <v>199</v>
      </c>
      <c r="E1896" s="1" t="s">
        <v>976</v>
      </c>
      <c r="F1896" s="1" t="s">
        <v>35</v>
      </c>
      <c r="G1896" s="1" t="s">
        <v>36</v>
      </c>
      <c r="H1896" s="1" t="s">
        <v>22</v>
      </c>
      <c r="I1896" s="1" t="s">
        <v>65</v>
      </c>
      <c r="J1896" s="1">
        <v>-459.67</v>
      </c>
      <c r="L1896" s="1">
        <v>80.329999999999984</v>
      </c>
      <c r="N1896" s="1">
        <v>113.55973289693799</v>
      </c>
      <c r="O1896" s="11"/>
      <c r="P1896" s="11"/>
      <c r="Q1896" s="11"/>
      <c r="R1896" s="11"/>
    </row>
    <row r="1897" spans="1:18">
      <c r="D1897" s="1" t="s">
        <v>199</v>
      </c>
      <c r="E1897" s="1" t="s">
        <v>977</v>
      </c>
      <c r="F1897" s="1" t="s">
        <v>35</v>
      </c>
      <c r="G1897" s="1" t="s">
        <v>36</v>
      </c>
      <c r="H1897" s="1" t="s">
        <v>22</v>
      </c>
      <c r="I1897" s="1" t="s">
        <v>65</v>
      </c>
      <c r="J1897" s="1">
        <v>-459.67</v>
      </c>
      <c r="L1897" s="1">
        <v>80.329999999999984</v>
      </c>
      <c r="N1897" s="1">
        <v>40.791179653592451</v>
      </c>
      <c r="O1897" s="11"/>
      <c r="P1897" s="11"/>
      <c r="Q1897" s="11"/>
      <c r="R1897" s="11"/>
    </row>
    <row r="1898" spans="1:18">
      <c r="D1898" s="1" t="s">
        <v>199</v>
      </c>
      <c r="E1898" s="1" t="s">
        <v>978</v>
      </c>
      <c r="F1898" s="1" t="s">
        <v>35</v>
      </c>
      <c r="G1898" s="1" t="s">
        <v>36</v>
      </c>
      <c r="H1898" s="1" t="s">
        <v>22</v>
      </c>
      <c r="I1898" s="1" t="s">
        <v>65</v>
      </c>
      <c r="J1898" s="1">
        <v>-459.67</v>
      </c>
      <c r="L1898" s="1">
        <v>80.329999999999984</v>
      </c>
      <c r="N1898" s="1">
        <v>78.004780538218085</v>
      </c>
      <c r="O1898" s="11"/>
      <c r="P1898" s="11"/>
      <c r="Q1898" s="11"/>
      <c r="R1898" s="11"/>
    </row>
    <row r="1899" spans="1:18">
      <c r="D1899" s="1" t="s">
        <v>199</v>
      </c>
      <c r="E1899" s="1" t="s">
        <v>979</v>
      </c>
      <c r="F1899" s="1" t="s">
        <v>35</v>
      </c>
      <c r="G1899" s="1" t="s">
        <v>36</v>
      </c>
      <c r="H1899" s="1" t="s">
        <v>22</v>
      </c>
      <c r="I1899" s="1" t="s">
        <v>65</v>
      </c>
      <c r="J1899" s="1">
        <v>-459.67</v>
      </c>
      <c r="L1899" s="1">
        <v>80.329999999999984</v>
      </c>
      <c r="N1899" s="1">
        <v>72.188085393193489</v>
      </c>
      <c r="O1899" s="11"/>
      <c r="P1899" s="11"/>
      <c r="Q1899" s="11"/>
      <c r="R1899" s="11"/>
    </row>
    <row r="1900" spans="1:18">
      <c r="D1900" s="1" t="s">
        <v>199</v>
      </c>
      <c r="E1900" s="1" t="s">
        <v>980</v>
      </c>
      <c r="F1900" s="1" t="s">
        <v>35</v>
      </c>
      <c r="G1900" s="1" t="s">
        <v>36</v>
      </c>
      <c r="H1900" s="1" t="s">
        <v>22</v>
      </c>
      <c r="I1900" s="1" t="s">
        <v>65</v>
      </c>
      <c r="J1900" s="1">
        <v>-459.67</v>
      </c>
      <c r="L1900" s="1">
        <v>80.329999999999984</v>
      </c>
      <c r="N1900" s="1">
        <v>101.73044457512043</v>
      </c>
      <c r="O1900" s="11"/>
      <c r="P1900" s="11"/>
      <c r="Q1900" s="11"/>
      <c r="R1900" s="11"/>
    </row>
    <row r="1901" spans="1:18">
      <c r="D1901" s="1" t="s">
        <v>199</v>
      </c>
      <c r="E1901" s="1" t="s">
        <v>981</v>
      </c>
      <c r="F1901" s="1" t="s">
        <v>35</v>
      </c>
      <c r="G1901" s="1" t="s">
        <v>36</v>
      </c>
      <c r="H1901" s="1" t="s">
        <v>22</v>
      </c>
      <c r="I1901" s="1" t="s">
        <v>65</v>
      </c>
      <c r="J1901" s="1">
        <v>-459.67</v>
      </c>
      <c r="L1901" s="1">
        <v>80.329999999999984</v>
      </c>
      <c r="N1901" s="1">
        <v>40.791179653592451</v>
      </c>
      <c r="O1901" s="11"/>
      <c r="P1901" s="11"/>
      <c r="Q1901" s="11"/>
      <c r="R1901" s="11"/>
    </row>
    <row r="1902" spans="1:18">
      <c r="D1902" s="1" t="s">
        <v>199</v>
      </c>
      <c r="E1902" s="1" t="s">
        <v>982</v>
      </c>
      <c r="F1902" s="1" t="s">
        <v>35</v>
      </c>
      <c r="G1902" s="1" t="s">
        <v>36</v>
      </c>
      <c r="H1902" s="1" t="s">
        <v>22</v>
      </c>
      <c r="I1902" s="1" t="s">
        <v>65</v>
      </c>
      <c r="J1902" s="1">
        <v>-459.67</v>
      </c>
      <c r="L1902" s="1">
        <v>80.329999999999984</v>
      </c>
      <c r="N1902" s="1">
        <v>69.34045235942034</v>
      </c>
      <c r="O1902" s="11"/>
      <c r="P1902" s="11"/>
      <c r="Q1902" s="11"/>
      <c r="R1902" s="11"/>
    </row>
    <row r="1903" spans="1:18">
      <c r="D1903" s="1" t="s">
        <v>199</v>
      </c>
      <c r="E1903" s="1" t="s">
        <v>983</v>
      </c>
      <c r="F1903" s="1" t="s">
        <v>41</v>
      </c>
      <c r="G1903" s="1" t="s">
        <v>42</v>
      </c>
      <c r="H1903" s="1" t="s">
        <v>22</v>
      </c>
      <c r="I1903" s="1" t="s">
        <v>65</v>
      </c>
      <c r="L1903" s="1">
        <v>1.8</v>
      </c>
      <c r="N1903" s="1">
        <v>7.6667694507768376</v>
      </c>
      <c r="O1903" s="11"/>
      <c r="P1903" s="11"/>
      <c r="Q1903" s="11"/>
      <c r="R1903" s="11"/>
    </row>
    <row r="1904" spans="1:18">
      <c r="D1904" s="1" t="s">
        <v>199</v>
      </c>
      <c r="E1904" s="1" t="s">
        <v>984</v>
      </c>
      <c r="F1904" s="1" t="s">
        <v>41</v>
      </c>
      <c r="G1904" s="1" t="s">
        <v>42</v>
      </c>
      <c r="H1904" s="1" t="s">
        <v>22</v>
      </c>
      <c r="I1904" s="1" t="s">
        <v>65</v>
      </c>
      <c r="L1904" s="1">
        <v>1.8</v>
      </c>
      <c r="N1904" s="1">
        <v>11.829288321817478</v>
      </c>
      <c r="O1904" s="11"/>
      <c r="P1904" s="11"/>
      <c r="Q1904" s="11"/>
      <c r="R1904" s="11"/>
    </row>
    <row r="1905" spans="4:18">
      <c r="D1905" s="1" t="s">
        <v>199</v>
      </c>
      <c r="E1905" s="1" t="s">
        <v>985</v>
      </c>
      <c r="F1905" s="1" t="s">
        <v>41</v>
      </c>
      <c r="G1905" s="1" t="s">
        <v>42</v>
      </c>
      <c r="H1905" s="1" t="s">
        <v>22</v>
      </c>
      <c r="I1905" s="1" t="s">
        <v>65</v>
      </c>
      <c r="L1905" s="1">
        <v>1.8</v>
      </c>
      <c r="N1905" s="1">
        <v>0</v>
      </c>
      <c r="O1905" s="11"/>
      <c r="P1905" s="11"/>
      <c r="Q1905" s="11"/>
      <c r="R1905" s="11"/>
    </row>
    <row r="1906" spans="4:18">
      <c r="D1906" s="1" t="s">
        <v>199</v>
      </c>
      <c r="E1906" s="1" t="s">
        <v>986</v>
      </c>
      <c r="F1906" s="1" t="s">
        <v>41</v>
      </c>
      <c r="G1906" s="1" t="s">
        <v>42</v>
      </c>
      <c r="H1906" s="1" t="s">
        <v>22</v>
      </c>
      <c r="I1906" s="1" t="s">
        <v>65</v>
      </c>
      <c r="L1906" s="1">
        <v>1.8</v>
      </c>
      <c r="N1906" s="1">
        <v>8.6643281787978257</v>
      </c>
      <c r="O1906" s="11"/>
      <c r="P1906" s="11"/>
      <c r="Q1906" s="11"/>
      <c r="R1906" s="11"/>
    </row>
    <row r="1907" spans="4:18">
      <c r="D1907" s="1" t="s">
        <v>199</v>
      </c>
      <c r="E1907" s="1" t="s">
        <v>987</v>
      </c>
      <c r="H1907" s="1" t="s">
        <v>22</v>
      </c>
      <c r="I1907" s="1" t="s">
        <v>65</v>
      </c>
      <c r="L1907" s="1">
        <v>1</v>
      </c>
      <c r="N1907" s="1">
        <v>0.98850525396413258</v>
      </c>
      <c r="O1907" s="11"/>
      <c r="P1907" s="11"/>
      <c r="Q1907" s="11"/>
      <c r="R1907" s="11"/>
    </row>
    <row r="1908" spans="4:18">
      <c r="D1908" s="1" t="s">
        <v>199</v>
      </c>
      <c r="E1908" s="1" t="s">
        <v>988</v>
      </c>
      <c r="H1908" s="1" t="s">
        <v>22</v>
      </c>
      <c r="I1908" s="1" t="s">
        <v>65</v>
      </c>
      <c r="L1908" s="1">
        <v>1</v>
      </c>
      <c r="N1908" s="1">
        <v>0.98363046085318584</v>
      </c>
      <c r="O1908" s="11"/>
      <c r="P1908" s="11"/>
      <c r="Q1908" s="11"/>
      <c r="R1908" s="11"/>
    </row>
    <row r="1909" spans="4:18">
      <c r="D1909" s="1" t="s">
        <v>199</v>
      </c>
      <c r="E1909" s="1" t="s">
        <v>989</v>
      </c>
      <c r="H1909" s="1" t="s">
        <v>22</v>
      </c>
      <c r="I1909" s="1" t="s">
        <v>65</v>
      </c>
      <c r="L1909" s="1">
        <v>1</v>
      </c>
      <c r="N1909" s="1">
        <v>1</v>
      </c>
      <c r="O1909" s="11"/>
      <c r="P1909" s="11"/>
      <c r="Q1909" s="11"/>
      <c r="R1909" s="11"/>
    </row>
    <row r="1910" spans="4:18">
      <c r="D1910" s="1" t="s">
        <v>199</v>
      </c>
      <c r="E1910" s="1" t="s">
        <v>990</v>
      </c>
      <c r="H1910" s="1" t="s">
        <v>22</v>
      </c>
      <c r="I1910" s="1" t="s">
        <v>65</v>
      </c>
      <c r="L1910" s="1">
        <v>1</v>
      </c>
      <c r="N1910" s="1">
        <v>1</v>
      </c>
      <c r="O1910" s="11"/>
      <c r="P1910" s="11"/>
      <c r="Q1910" s="11"/>
      <c r="R1910" s="11"/>
    </row>
    <row r="1911" spans="4:18">
      <c r="D1911" s="1" t="s">
        <v>199</v>
      </c>
      <c r="E1911" s="1" t="s">
        <v>991</v>
      </c>
      <c r="F1911" s="1" t="s">
        <v>118</v>
      </c>
      <c r="G1911" s="1" t="s">
        <v>119</v>
      </c>
      <c r="H1911" s="1" t="s">
        <v>22</v>
      </c>
      <c r="I1911" s="1" t="s">
        <v>120</v>
      </c>
      <c r="J1911" s="1">
        <v>0</v>
      </c>
      <c r="L1911" s="1">
        <v>2.20462262185</v>
      </c>
      <c r="N1911" s="1">
        <v>0</v>
      </c>
      <c r="O1911" s="11"/>
      <c r="P1911" s="11"/>
      <c r="Q1911" s="11"/>
      <c r="R1911" s="11"/>
    </row>
    <row r="1912" spans="4:18">
      <c r="D1912" s="1" t="s">
        <v>199</v>
      </c>
      <c r="E1912" s="1" t="s">
        <v>992</v>
      </c>
      <c r="F1912" s="1" t="s">
        <v>52</v>
      </c>
      <c r="G1912" s="1" t="s">
        <v>53</v>
      </c>
      <c r="H1912" s="1" t="s">
        <v>22</v>
      </c>
      <c r="I1912" s="1" t="s">
        <v>65</v>
      </c>
      <c r="L1912" s="1">
        <v>7936.6414386555998</v>
      </c>
      <c r="N1912" s="1">
        <v>-167734.2151113626</v>
      </c>
      <c r="O1912" s="11"/>
      <c r="P1912" s="11"/>
      <c r="Q1912" s="11"/>
      <c r="R1912" s="11"/>
    </row>
    <row r="1913" spans="4:18">
      <c r="D1913" s="1" t="s">
        <v>199</v>
      </c>
      <c r="E1913" s="1" t="s">
        <v>993</v>
      </c>
      <c r="F1913" s="1" t="s">
        <v>52</v>
      </c>
      <c r="G1913" s="1" t="s">
        <v>53</v>
      </c>
      <c r="H1913" s="1" t="s">
        <v>22</v>
      </c>
      <c r="I1913" s="1" t="s">
        <v>65</v>
      </c>
      <c r="L1913" s="1">
        <v>7936.6414386555998</v>
      </c>
      <c r="N1913" s="1">
        <v>-183317.80538679316</v>
      </c>
      <c r="O1913" s="11"/>
      <c r="P1913" s="11"/>
      <c r="Q1913" s="11"/>
      <c r="R1913" s="11"/>
    </row>
    <row r="1914" spans="4:18">
      <c r="D1914" s="1" t="s">
        <v>199</v>
      </c>
      <c r="E1914" s="1" t="s">
        <v>994</v>
      </c>
      <c r="F1914" s="1" t="s">
        <v>52</v>
      </c>
      <c r="G1914" s="1" t="s">
        <v>53</v>
      </c>
      <c r="H1914" s="1" t="s">
        <v>22</v>
      </c>
      <c r="I1914" s="1" t="s">
        <v>65</v>
      </c>
      <c r="L1914" s="1">
        <v>7936.6414386555998</v>
      </c>
      <c r="N1914" s="1">
        <v>167734.2151113626</v>
      </c>
      <c r="O1914" s="11"/>
      <c r="P1914" s="11"/>
      <c r="Q1914" s="11"/>
      <c r="R1914" s="11"/>
    </row>
    <row r="1915" spans="4:18">
      <c r="D1915" s="1" t="s">
        <v>199</v>
      </c>
      <c r="E1915" s="1" t="s">
        <v>995</v>
      </c>
      <c r="F1915" s="1" t="s">
        <v>52</v>
      </c>
      <c r="G1915" s="1" t="s">
        <v>53</v>
      </c>
      <c r="H1915" s="1" t="s">
        <v>22</v>
      </c>
      <c r="I1915" s="1" t="s">
        <v>65</v>
      </c>
      <c r="L1915" s="1">
        <v>7936.6414386555998</v>
      </c>
      <c r="N1915" s="1">
        <v>183317.80538679316</v>
      </c>
      <c r="O1915" s="11"/>
      <c r="P1915" s="11"/>
      <c r="Q1915" s="11"/>
      <c r="R1915" s="11"/>
    </row>
    <row r="1916" spans="4:18">
      <c r="D1916" s="1" t="s">
        <v>199</v>
      </c>
      <c r="E1916" s="1" t="s">
        <v>996</v>
      </c>
      <c r="H1916" s="1" t="s">
        <v>22</v>
      </c>
      <c r="I1916" s="1" t="s">
        <v>120</v>
      </c>
      <c r="L1916" s="1">
        <v>1</v>
      </c>
      <c r="N1916" s="1">
        <v>0</v>
      </c>
      <c r="O1916" s="11"/>
      <c r="P1916" s="11"/>
      <c r="Q1916" s="11"/>
      <c r="R1916" s="11"/>
    </row>
    <row r="1917" spans="4:18">
      <c r="D1917" s="1" t="s">
        <v>199</v>
      </c>
      <c r="E1917" s="1" t="s">
        <v>997</v>
      </c>
      <c r="H1917" s="1" t="s">
        <v>22</v>
      </c>
      <c r="I1917" s="1" t="s">
        <v>65</v>
      </c>
      <c r="L1917" s="1">
        <v>1</v>
      </c>
      <c r="N1917" s="1">
        <v>2</v>
      </c>
      <c r="O1917" s="11"/>
      <c r="P1917" s="11"/>
      <c r="Q1917" s="11"/>
      <c r="R1917" s="11"/>
    </row>
    <row r="1918" spans="4:18">
      <c r="D1918" s="1" t="s">
        <v>199</v>
      </c>
      <c r="E1918" s="1" t="s">
        <v>998</v>
      </c>
      <c r="F1918" s="1" t="s">
        <v>56</v>
      </c>
      <c r="G1918" s="1" t="s">
        <v>57</v>
      </c>
      <c r="H1918" s="1" t="s">
        <v>22</v>
      </c>
      <c r="I1918" s="1" t="s">
        <v>65</v>
      </c>
      <c r="L1918" s="1">
        <v>1.4503773773020921E-4</v>
      </c>
      <c r="N1918" s="1">
        <v>89.048194714691306</v>
      </c>
      <c r="O1918" s="11"/>
      <c r="P1918" s="11"/>
      <c r="Q1918" s="11"/>
      <c r="R1918" s="11"/>
    </row>
    <row r="1919" spans="4:18">
      <c r="D1919" s="1" t="s">
        <v>199</v>
      </c>
      <c r="E1919" s="1" t="s">
        <v>999</v>
      </c>
      <c r="F1919" s="1" t="s">
        <v>56</v>
      </c>
      <c r="G1919" s="1" t="s">
        <v>57</v>
      </c>
      <c r="H1919" s="1" t="s">
        <v>22</v>
      </c>
      <c r="I1919" s="1" t="s">
        <v>65</v>
      </c>
      <c r="L1919" s="1">
        <v>1.4503773773020921E-4</v>
      </c>
      <c r="N1919" s="1">
        <v>142.5216587360417</v>
      </c>
      <c r="O1919" s="11"/>
      <c r="P1919" s="11"/>
      <c r="Q1919" s="11"/>
      <c r="R1919" s="11"/>
    </row>
    <row r="1920" spans="4:18">
      <c r="D1920" s="1" t="s">
        <v>199</v>
      </c>
      <c r="E1920" s="1" t="s">
        <v>1000</v>
      </c>
      <c r="F1920" s="1" t="s">
        <v>56</v>
      </c>
      <c r="G1920" s="1" t="s">
        <v>57</v>
      </c>
      <c r="H1920" s="1" t="s">
        <v>22</v>
      </c>
      <c r="I1920" s="1" t="s">
        <v>65</v>
      </c>
      <c r="L1920" s="1">
        <v>1.4503773773020921E-4</v>
      </c>
      <c r="N1920" s="1">
        <v>50.509497124265998</v>
      </c>
      <c r="O1920" s="11"/>
      <c r="P1920" s="11"/>
      <c r="Q1920" s="11"/>
      <c r="R1920" s="11"/>
    </row>
    <row r="1921" spans="4:18">
      <c r="D1921" s="1" t="s">
        <v>199</v>
      </c>
      <c r="E1921" s="1" t="s">
        <v>1001</v>
      </c>
      <c r="F1921" s="1" t="s">
        <v>56</v>
      </c>
      <c r="G1921" s="1" t="s">
        <v>57</v>
      </c>
      <c r="H1921" s="1" t="s">
        <v>22</v>
      </c>
      <c r="I1921" s="1" t="s">
        <v>65</v>
      </c>
      <c r="L1921" s="1">
        <v>1.4503773773020921E-4</v>
      </c>
      <c r="N1921" s="1">
        <v>84.845137232962287</v>
      </c>
      <c r="O1921" s="11"/>
      <c r="P1921" s="11"/>
      <c r="Q1921" s="11"/>
      <c r="R1921" s="11"/>
    </row>
    <row r="1922" spans="4:18">
      <c r="D1922" s="1" t="s">
        <v>199</v>
      </c>
      <c r="E1922" s="1" t="s">
        <v>1002</v>
      </c>
      <c r="F1922" s="1" t="s">
        <v>124</v>
      </c>
      <c r="G1922" s="1" t="s">
        <v>125</v>
      </c>
      <c r="H1922" s="1" t="s">
        <v>22</v>
      </c>
      <c r="I1922" s="1" t="s">
        <v>120</v>
      </c>
      <c r="L1922" s="1">
        <v>35.314666699999997</v>
      </c>
      <c r="N1922" s="1">
        <v>0</v>
      </c>
      <c r="O1922" s="11"/>
      <c r="P1922" s="11"/>
      <c r="Q1922" s="11"/>
      <c r="R1922" s="11"/>
    </row>
    <row r="1923" spans="4:18">
      <c r="D1923" s="1" t="s">
        <v>199</v>
      </c>
      <c r="E1923" s="1" t="s">
        <v>1003</v>
      </c>
      <c r="H1923" s="1" t="s">
        <v>22</v>
      </c>
      <c r="I1923" s="1" t="s">
        <v>65</v>
      </c>
      <c r="L1923" s="1">
        <v>1</v>
      </c>
      <c r="N1923" s="1">
        <v>1.0237629023329005</v>
      </c>
      <c r="O1923" s="11"/>
      <c r="P1923" s="11"/>
      <c r="Q1923" s="11"/>
      <c r="R1923" s="11"/>
    </row>
    <row r="1924" spans="4:18">
      <c r="D1924" s="1" t="s">
        <v>199</v>
      </c>
      <c r="E1924" s="1" t="s">
        <v>1004</v>
      </c>
      <c r="H1924" s="1" t="s">
        <v>22</v>
      </c>
      <c r="I1924" s="1" t="s">
        <v>65</v>
      </c>
      <c r="L1924" s="1">
        <v>1</v>
      </c>
      <c r="N1924" s="1">
        <v>1.0443848500673389</v>
      </c>
      <c r="O1924" s="11"/>
      <c r="P1924" s="11"/>
      <c r="Q1924" s="11"/>
      <c r="R1924" s="11"/>
    </row>
    <row r="1925" spans="4:18">
      <c r="D1925" s="1" t="s">
        <v>199</v>
      </c>
      <c r="E1925" s="1" t="s">
        <v>1005</v>
      </c>
      <c r="H1925" s="1" t="s">
        <v>22</v>
      </c>
      <c r="I1925" s="1" t="s">
        <v>65</v>
      </c>
      <c r="L1925" s="1">
        <v>1</v>
      </c>
      <c r="N1925" s="1">
        <v>0.99311498100391271</v>
      </c>
      <c r="O1925" s="11"/>
      <c r="P1925" s="11"/>
      <c r="Q1925" s="11"/>
      <c r="R1925" s="11"/>
    </row>
    <row r="1926" spans="4:18">
      <c r="D1926" s="1" t="s">
        <v>199</v>
      </c>
      <c r="E1926" s="1" t="s">
        <v>1006</v>
      </c>
      <c r="H1926" s="1" t="s">
        <v>22</v>
      </c>
      <c r="I1926" s="1" t="s">
        <v>65</v>
      </c>
      <c r="L1926" s="1">
        <v>1</v>
      </c>
      <c r="N1926" s="1">
        <v>1.0263763535864106</v>
      </c>
      <c r="O1926" s="11"/>
      <c r="P1926" s="11"/>
      <c r="Q1926" s="11"/>
      <c r="R1926" s="11"/>
    </row>
    <row r="1927" spans="4:18">
      <c r="D1927" s="1" t="s">
        <v>199</v>
      </c>
      <c r="E1927" s="1" t="s">
        <v>1007</v>
      </c>
      <c r="H1927" s="1" t="s">
        <v>25</v>
      </c>
      <c r="I1927" s="1" t="s">
        <v>23</v>
      </c>
      <c r="M1927" s="1" t="b">
        <v>1</v>
      </c>
      <c r="N1927" s="1">
        <v>1</v>
      </c>
      <c r="O1927" s="11"/>
      <c r="P1927" s="11"/>
      <c r="Q1927" s="11"/>
      <c r="R1927" s="11"/>
    </row>
    <row r="1928" spans="4:18">
      <c r="D1928" s="1" t="s">
        <v>199</v>
      </c>
      <c r="E1928" s="1" t="s">
        <v>1008</v>
      </c>
      <c r="H1928" s="1" t="s">
        <v>25</v>
      </c>
      <c r="I1928" s="1" t="s">
        <v>23</v>
      </c>
      <c r="M1928" s="1" t="b">
        <v>1</v>
      </c>
      <c r="N1928" s="1">
        <v>1</v>
      </c>
      <c r="O1928" s="11"/>
      <c r="P1928" s="11"/>
      <c r="Q1928" s="11"/>
      <c r="R1928" s="11"/>
    </row>
    <row r="1929" spans="4:18">
      <c r="D1929" s="1" t="s">
        <v>199</v>
      </c>
      <c r="E1929" s="1" t="s">
        <v>1009</v>
      </c>
      <c r="H1929" s="1" t="s">
        <v>25</v>
      </c>
      <c r="I1929" s="1" t="s">
        <v>23</v>
      </c>
      <c r="M1929" s="1" t="b">
        <v>1</v>
      </c>
      <c r="N1929" s="1">
        <v>1</v>
      </c>
      <c r="O1929" s="11"/>
      <c r="P1929" s="11"/>
      <c r="Q1929" s="11"/>
      <c r="R1929" s="11"/>
    </row>
    <row r="1930" spans="4:18">
      <c r="D1930" s="1" t="s">
        <v>199</v>
      </c>
      <c r="E1930" s="1" t="s">
        <v>1010</v>
      </c>
      <c r="H1930" s="1" t="s">
        <v>25</v>
      </c>
      <c r="I1930" s="1" t="s">
        <v>23</v>
      </c>
      <c r="M1930" s="1" t="b">
        <v>0</v>
      </c>
      <c r="N1930" s="1">
        <v>0</v>
      </c>
      <c r="O1930" s="11"/>
      <c r="P1930" s="11"/>
      <c r="Q1930" s="11"/>
      <c r="R1930" s="11"/>
    </row>
    <row r="1931" spans="4:18">
      <c r="D1931" s="1" t="s">
        <v>199</v>
      </c>
      <c r="E1931" s="1" t="s">
        <v>1011</v>
      </c>
      <c r="H1931" s="1" t="s">
        <v>25</v>
      </c>
      <c r="I1931" s="1" t="s">
        <v>23</v>
      </c>
      <c r="M1931" s="1" t="b">
        <v>0</v>
      </c>
      <c r="N1931" s="1">
        <v>0</v>
      </c>
      <c r="O1931" s="11"/>
      <c r="P1931" s="11"/>
      <c r="Q1931" s="11"/>
      <c r="R1931" s="11"/>
    </row>
    <row r="1932" spans="4:18">
      <c r="D1932" s="1" t="s">
        <v>199</v>
      </c>
      <c r="E1932" s="1" t="s">
        <v>1012</v>
      </c>
      <c r="H1932" s="1" t="s">
        <v>25</v>
      </c>
      <c r="I1932" s="1" t="s">
        <v>23</v>
      </c>
      <c r="M1932" s="1" t="b">
        <v>0</v>
      </c>
      <c r="N1932" s="1">
        <v>0</v>
      </c>
      <c r="O1932" s="11"/>
      <c r="P1932" s="11"/>
      <c r="Q1932" s="11"/>
      <c r="R1932" s="11"/>
    </row>
    <row r="1933" spans="4:18">
      <c r="D1933" s="1" t="s">
        <v>199</v>
      </c>
      <c r="E1933" s="1" t="s">
        <v>1013</v>
      </c>
      <c r="H1933" s="1" t="s">
        <v>25</v>
      </c>
      <c r="I1933" s="1" t="s">
        <v>23</v>
      </c>
      <c r="M1933" s="1" t="b">
        <v>0</v>
      </c>
      <c r="N1933" s="1">
        <v>0</v>
      </c>
      <c r="O1933" s="11"/>
      <c r="P1933" s="11"/>
      <c r="Q1933" s="11"/>
      <c r="R1933" s="11"/>
    </row>
    <row r="1934" spans="4:18">
      <c r="D1934" s="1" t="s">
        <v>1014</v>
      </c>
      <c r="E1934" s="1" t="s">
        <v>1015</v>
      </c>
      <c r="F1934" s="1" t="s">
        <v>176</v>
      </c>
      <c r="G1934" s="1" t="s">
        <v>177</v>
      </c>
      <c r="H1934" s="1" t="s">
        <v>22</v>
      </c>
      <c r="I1934" s="1" t="s">
        <v>23</v>
      </c>
      <c r="J1934" s="1">
        <v>0</v>
      </c>
      <c r="L1934" s="1">
        <v>39.370078740157467</v>
      </c>
      <c r="M1934" s="1">
        <v>0.24803149606299205</v>
      </c>
      <c r="N1934" s="1">
        <v>0.24803149606299205</v>
      </c>
      <c r="O1934" s="11"/>
      <c r="P1934" s="11"/>
      <c r="Q1934" s="11"/>
      <c r="R1934" s="11"/>
    </row>
    <row r="1935" spans="4:18">
      <c r="D1935" s="1" t="s">
        <v>1014</v>
      </c>
      <c r="E1935" s="1" t="s">
        <v>1016</v>
      </c>
      <c r="F1935" s="1" t="s">
        <v>176</v>
      </c>
      <c r="G1935" s="1" t="s">
        <v>177</v>
      </c>
      <c r="H1935" s="1" t="s">
        <v>22</v>
      </c>
      <c r="I1935" s="1" t="s">
        <v>23</v>
      </c>
      <c r="L1935" s="1">
        <v>39.370078740157467</v>
      </c>
      <c r="M1935" s="1">
        <v>0</v>
      </c>
      <c r="N1935" s="1">
        <v>0</v>
      </c>
      <c r="O1935" s="11"/>
      <c r="P1935" s="11"/>
      <c r="Q1935" s="11"/>
      <c r="R1935" s="11"/>
    </row>
    <row r="1936" spans="4:18">
      <c r="D1936" s="1" t="s">
        <v>1014</v>
      </c>
      <c r="E1936" s="1" t="s">
        <v>1017</v>
      </c>
      <c r="F1936" s="1" t="s">
        <v>41</v>
      </c>
      <c r="G1936" s="1" t="s">
        <v>42</v>
      </c>
      <c r="H1936" s="1" t="s">
        <v>22</v>
      </c>
      <c r="I1936" s="1" t="s">
        <v>23</v>
      </c>
      <c r="J1936" s="1">
        <v>0</v>
      </c>
      <c r="K1936" s="1">
        <v>27</v>
      </c>
      <c r="L1936" s="1">
        <v>1.8</v>
      </c>
      <c r="M1936" s="1">
        <v>0.9</v>
      </c>
      <c r="N1936" s="1">
        <v>0.9</v>
      </c>
      <c r="O1936" s="11"/>
      <c r="P1936" s="11"/>
      <c r="Q1936" s="11"/>
      <c r="R1936" s="11"/>
    </row>
    <row r="1937" spans="1:18">
      <c r="D1937" s="1" t="s">
        <v>1014</v>
      </c>
      <c r="E1937" s="1" t="s">
        <v>1018</v>
      </c>
      <c r="H1937" s="1" t="s">
        <v>25</v>
      </c>
      <c r="I1937" s="1" t="s">
        <v>23</v>
      </c>
      <c r="M1937" s="1" t="b">
        <v>0</v>
      </c>
      <c r="N1937" s="1">
        <v>0</v>
      </c>
      <c r="O1937" s="11"/>
      <c r="P1937" s="11"/>
      <c r="Q1937" s="11"/>
      <c r="R1937" s="11"/>
    </row>
    <row r="1938" spans="1:18">
      <c r="D1938" s="1" t="s">
        <v>1014</v>
      </c>
      <c r="E1938" s="1" t="s">
        <v>1019</v>
      </c>
      <c r="F1938" s="1" t="s">
        <v>41</v>
      </c>
      <c r="G1938" s="1" t="s">
        <v>42</v>
      </c>
      <c r="H1938" s="1" t="s">
        <v>22</v>
      </c>
      <c r="I1938" s="1" t="s">
        <v>23</v>
      </c>
      <c r="J1938" s="1">
        <v>0</v>
      </c>
      <c r="K1938" s="1">
        <v>27</v>
      </c>
      <c r="L1938" s="1">
        <v>1.8</v>
      </c>
      <c r="M1938" s="1">
        <v>0.9</v>
      </c>
      <c r="N1938" s="1">
        <v>0.9</v>
      </c>
      <c r="O1938" s="11"/>
      <c r="P1938" s="11"/>
      <c r="Q1938" s="11"/>
      <c r="R1938" s="11"/>
    </row>
    <row r="1939" spans="1:18">
      <c r="D1939" s="1" t="s">
        <v>1014</v>
      </c>
      <c r="E1939" s="1" t="s">
        <v>1020</v>
      </c>
      <c r="F1939" s="1" t="s">
        <v>176</v>
      </c>
      <c r="G1939" s="1" t="s">
        <v>177</v>
      </c>
      <c r="H1939" s="1" t="s">
        <v>22</v>
      </c>
      <c r="I1939" s="1" t="s">
        <v>23</v>
      </c>
      <c r="L1939" s="1">
        <v>39.370078740157467</v>
      </c>
      <c r="M1939" s="1">
        <v>0.8748031496062989</v>
      </c>
      <c r="N1939" s="1">
        <v>0.8748031496062989</v>
      </c>
      <c r="O1939" s="11"/>
      <c r="P1939" s="11"/>
      <c r="Q1939" s="11"/>
      <c r="R1939" s="11"/>
    </row>
    <row r="1940" spans="1:18">
      <c r="D1940" s="1" t="s">
        <v>1014</v>
      </c>
      <c r="E1940" s="1" t="s">
        <v>1021</v>
      </c>
      <c r="F1940" s="1" t="s">
        <v>176</v>
      </c>
      <c r="G1940" s="1" t="s">
        <v>177</v>
      </c>
      <c r="H1940" s="1" t="s">
        <v>22</v>
      </c>
      <c r="I1940" s="1" t="s">
        <v>23</v>
      </c>
      <c r="L1940" s="1">
        <v>39.370078740157467</v>
      </c>
      <c r="M1940" s="1">
        <v>1.5157480314960625</v>
      </c>
      <c r="N1940" s="1">
        <v>1.5157480314960625</v>
      </c>
      <c r="O1940" s="11"/>
      <c r="P1940" s="11"/>
      <c r="Q1940" s="11"/>
      <c r="R1940" s="11"/>
    </row>
    <row r="1941" spans="1:18">
      <c r="A1941" s="2" t="s">
        <v>1722</v>
      </c>
      <c r="B1941" s="3" t="s">
        <v>1732</v>
      </c>
      <c r="D1941" s="1" t="s">
        <v>1014</v>
      </c>
      <c r="E1941" s="1" t="s">
        <v>1022</v>
      </c>
      <c r="F1941" s="1" t="s">
        <v>143</v>
      </c>
      <c r="G1941" s="1" t="s">
        <v>144</v>
      </c>
      <c r="H1941" s="1" t="s">
        <v>22</v>
      </c>
      <c r="I1941" s="1" t="s">
        <v>23</v>
      </c>
      <c r="J1941" s="1">
        <v>0</v>
      </c>
      <c r="K1941" s="1">
        <v>9.9937434836636016E-3</v>
      </c>
      <c r="L1941" s="1">
        <v>5.6782633429906824</v>
      </c>
      <c r="M1941" s="1">
        <v>2.4984358709159E-4</v>
      </c>
      <c r="N1941" s="1">
        <v>2.4984358709159E-4</v>
      </c>
      <c r="O1941" s="11"/>
      <c r="P1941" s="11"/>
      <c r="Q1941" s="11"/>
      <c r="R1941" s="11"/>
    </row>
    <row r="1942" spans="1:18">
      <c r="D1942" s="1" t="s">
        <v>1014</v>
      </c>
      <c r="E1942" s="1" t="s">
        <v>1023</v>
      </c>
      <c r="F1942" s="1" t="s">
        <v>35</v>
      </c>
      <c r="G1942" s="1" t="s">
        <v>36</v>
      </c>
      <c r="H1942" s="1" t="s">
        <v>22</v>
      </c>
      <c r="I1942" s="1" t="s">
        <v>23</v>
      </c>
      <c r="J1942" s="1">
        <v>-99.670000000000016</v>
      </c>
      <c r="K1942" s="1">
        <v>211.99999999999994</v>
      </c>
      <c r="L1942" s="1">
        <v>80.329999999999984</v>
      </c>
      <c r="M1942" s="1">
        <v>85.999999999999943</v>
      </c>
      <c r="N1942" s="1">
        <v>85.999999999999943</v>
      </c>
      <c r="O1942" s="11"/>
      <c r="P1942" s="11"/>
      <c r="Q1942" s="11"/>
      <c r="R1942" s="11"/>
    </row>
    <row r="1943" spans="1:18">
      <c r="D1943" s="1" t="s">
        <v>1014</v>
      </c>
      <c r="E1943" s="1" t="s">
        <v>1024</v>
      </c>
      <c r="F1943" s="1" t="s">
        <v>35</v>
      </c>
      <c r="G1943" s="1" t="s">
        <v>36</v>
      </c>
      <c r="H1943" s="1" t="s">
        <v>22</v>
      </c>
      <c r="I1943" s="1" t="s">
        <v>23</v>
      </c>
      <c r="J1943" s="1">
        <v>-99.670000000000016</v>
      </c>
      <c r="K1943" s="1">
        <v>211.99999999999994</v>
      </c>
      <c r="L1943" s="1">
        <v>80.329999999999984</v>
      </c>
      <c r="M1943" s="1">
        <v>94.999999999999943</v>
      </c>
      <c r="N1943" s="1">
        <v>94.999999999999943</v>
      </c>
      <c r="O1943" s="11"/>
      <c r="P1943" s="11"/>
      <c r="Q1943" s="11"/>
      <c r="R1943" s="11"/>
    </row>
    <row r="1944" spans="1:18">
      <c r="D1944" s="1" t="s">
        <v>1014</v>
      </c>
      <c r="E1944" s="1" t="s">
        <v>1025</v>
      </c>
      <c r="F1944" s="1" t="s">
        <v>41</v>
      </c>
      <c r="G1944" s="1" t="s">
        <v>42</v>
      </c>
      <c r="H1944" s="1" t="s">
        <v>22</v>
      </c>
      <c r="I1944" s="1" t="s">
        <v>23</v>
      </c>
      <c r="J1944" s="1">
        <v>0</v>
      </c>
      <c r="K1944" s="1">
        <v>36</v>
      </c>
      <c r="L1944" s="1">
        <v>1.8</v>
      </c>
      <c r="M1944" s="1">
        <v>3.6</v>
      </c>
      <c r="N1944" s="1">
        <v>3.6</v>
      </c>
      <c r="O1944" s="11"/>
      <c r="P1944" s="11"/>
      <c r="Q1944" s="11"/>
      <c r="R1944" s="11"/>
    </row>
    <row r="1945" spans="1:18">
      <c r="D1945" s="1" t="s">
        <v>1014</v>
      </c>
      <c r="E1945" s="1" t="s">
        <v>163</v>
      </c>
      <c r="H1945" s="1" t="s">
        <v>22</v>
      </c>
      <c r="I1945" s="1" t="s">
        <v>23</v>
      </c>
      <c r="J1945" s="1">
        <v>0</v>
      </c>
      <c r="K1945" s="1">
        <v>1</v>
      </c>
      <c r="L1945" s="1">
        <v>0.1</v>
      </c>
      <c r="M1945" s="1">
        <v>0.2</v>
      </c>
      <c r="N1945" s="1">
        <v>0.2</v>
      </c>
      <c r="O1945" s="11"/>
      <c r="P1945" s="11"/>
      <c r="Q1945" s="11"/>
      <c r="R1945" s="11"/>
    </row>
    <row r="1946" spans="1:18">
      <c r="D1946" s="1" t="s">
        <v>1014</v>
      </c>
      <c r="E1946" s="1" t="s">
        <v>1026</v>
      </c>
      <c r="H1946" s="1" t="s">
        <v>22</v>
      </c>
      <c r="I1946" s="1" t="s">
        <v>23</v>
      </c>
      <c r="J1946" s="1">
        <v>0.5</v>
      </c>
      <c r="K1946" s="1">
        <v>2</v>
      </c>
      <c r="L1946" s="1">
        <v>1</v>
      </c>
      <c r="M1946" s="1">
        <v>1</v>
      </c>
      <c r="N1946" s="1">
        <v>1</v>
      </c>
      <c r="O1946" s="11"/>
      <c r="P1946" s="11"/>
      <c r="Q1946" s="11"/>
      <c r="R1946" s="11"/>
    </row>
    <row r="1947" spans="1:18">
      <c r="D1947" s="1" t="s">
        <v>1014</v>
      </c>
      <c r="E1947" s="1" t="s">
        <v>1027</v>
      </c>
      <c r="H1947" s="1" t="s">
        <v>22</v>
      </c>
      <c r="I1947" s="1" t="s">
        <v>23</v>
      </c>
      <c r="J1947" s="1">
        <v>0.5</v>
      </c>
      <c r="K1947" s="1">
        <v>2</v>
      </c>
      <c r="L1947" s="1">
        <v>1</v>
      </c>
      <c r="M1947" s="1">
        <v>1</v>
      </c>
      <c r="N1947" s="1">
        <v>1</v>
      </c>
      <c r="O1947" s="11"/>
      <c r="P1947" s="11"/>
      <c r="Q1947" s="11"/>
      <c r="R1947" s="11"/>
    </row>
    <row r="1948" spans="1:18">
      <c r="D1948" s="1" t="s">
        <v>1014</v>
      </c>
      <c r="E1948" s="1" t="s">
        <v>1028</v>
      </c>
      <c r="H1948" s="1" t="s">
        <v>25</v>
      </c>
      <c r="I1948" s="1" t="s">
        <v>23</v>
      </c>
      <c r="M1948" s="1" t="b">
        <v>1</v>
      </c>
      <c r="N1948" s="1">
        <v>1</v>
      </c>
      <c r="O1948" s="11"/>
      <c r="P1948" s="11"/>
      <c r="Q1948" s="11"/>
      <c r="R1948" s="11"/>
    </row>
    <row r="1949" spans="1:18">
      <c r="D1949" s="1" t="s">
        <v>1014</v>
      </c>
      <c r="E1949" s="1" t="s">
        <v>1029</v>
      </c>
      <c r="H1949" s="1" t="s">
        <v>25</v>
      </c>
      <c r="I1949" s="1" t="s">
        <v>23</v>
      </c>
      <c r="M1949" s="1" t="b">
        <v>1</v>
      </c>
      <c r="N1949" s="1">
        <v>1</v>
      </c>
      <c r="O1949" s="11"/>
      <c r="P1949" s="11"/>
      <c r="Q1949" s="11"/>
      <c r="R1949" s="11"/>
    </row>
    <row r="1950" spans="1:18">
      <c r="D1950" s="1" t="s">
        <v>1014</v>
      </c>
      <c r="E1950" s="1" t="s">
        <v>1030</v>
      </c>
      <c r="H1950" s="1" t="s">
        <v>22</v>
      </c>
      <c r="I1950" s="1" t="s">
        <v>23</v>
      </c>
      <c r="J1950" s="1">
        <v>0.5</v>
      </c>
      <c r="K1950" s="1">
        <v>2</v>
      </c>
      <c r="L1950" s="1">
        <v>1</v>
      </c>
      <c r="M1950" s="1">
        <v>1</v>
      </c>
      <c r="N1950" s="1">
        <v>1</v>
      </c>
      <c r="O1950" s="11"/>
      <c r="P1950" s="11"/>
      <c r="Q1950" s="11"/>
      <c r="R1950" s="11"/>
    </row>
    <row r="1951" spans="1:18">
      <c r="D1951" s="1" t="s">
        <v>1014</v>
      </c>
      <c r="E1951" s="1" t="s">
        <v>1031</v>
      </c>
      <c r="H1951" s="1" t="s">
        <v>25</v>
      </c>
      <c r="I1951" s="1" t="s">
        <v>23</v>
      </c>
      <c r="M1951" s="1" t="b">
        <v>1</v>
      </c>
      <c r="N1951" s="1">
        <v>1</v>
      </c>
      <c r="O1951" s="11"/>
      <c r="P1951" s="11"/>
      <c r="Q1951" s="11"/>
      <c r="R1951" s="11"/>
    </row>
    <row r="1952" spans="1:18">
      <c r="D1952" s="1" t="s">
        <v>1014</v>
      </c>
      <c r="E1952" s="1" t="s">
        <v>1032</v>
      </c>
      <c r="H1952" s="1" t="s">
        <v>22</v>
      </c>
      <c r="I1952" s="1" t="s">
        <v>23</v>
      </c>
      <c r="J1952" s="1">
        <v>0.5</v>
      </c>
      <c r="K1952" s="1">
        <v>2</v>
      </c>
      <c r="L1952" s="1">
        <v>1</v>
      </c>
      <c r="M1952" s="1">
        <v>1</v>
      </c>
      <c r="N1952" s="1">
        <v>1</v>
      </c>
      <c r="O1952" s="11"/>
      <c r="P1952" s="11"/>
      <c r="Q1952" s="11"/>
      <c r="R1952" s="11"/>
    </row>
    <row r="1953" spans="4:18">
      <c r="D1953" s="1" t="s">
        <v>1014</v>
      </c>
      <c r="E1953" s="1" t="s">
        <v>1033</v>
      </c>
      <c r="H1953" s="1" t="s">
        <v>25</v>
      </c>
      <c r="I1953" s="1" t="s">
        <v>23</v>
      </c>
      <c r="M1953" s="1" t="b">
        <v>1</v>
      </c>
      <c r="N1953" s="1">
        <v>1</v>
      </c>
      <c r="O1953" s="11"/>
      <c r="P1953" s="11"/>
      <c r="Q1953" s="11"/>
      <c r="R1953" s="11"/>
    </row>
    <row r="1954" spans="4:18">
      <c r="D1954" s="1" t="s">
        <v>1014</v>
      </c>
      <c r="E1954" s="1" t="s">
        <v>1034</v>
      </c>
      <c r="H1954" s="1" t="s">
        <v>22</v>
      </c>
      <c r="I1954" s="1" t="s">
        <v>23</v>
      </c>
      <c r="J1954" s="1">
        <v>0.5</v>
      </c>
      <c r="K1954" s="1">
        <v>2</v>
      </c>
      <c r="L1954" s="1">
        <v>1</v>
      </c>
      <c r="M1954" s="1">
        <v>1</v>
      </c>
      <c r="N1954" s="1">
        <v>1</v>
      </c>
      <c r="O1954" s="11"/>
      <c r="P1954" s="11"/>
      <c r="Q1954" s="11"/>
      <c r="R1954" s="11"/>
    </row>
    <row r="1955" spans="4:18">
      <c r="D1955" s="1" t="s">
        <v>1014</v>
      </c>
      <c r="E1955" s="1" t="s">
        <v>1035</v>
      </c>
      <c r="H1955" s="1" t="s">
        <v>25</v>
      </c>
      <c r="I1955" s="1" t="s">
        <v>23</v>
      </c>
      <c r="M1955" s="1" t="b">
        <v>1</v>
      </c>
      <c r="N1955" s="1">
        <v>1</v>
      </c>
      <c r="O1955" s="11"/>
      <c r="P1955" s="11"/>
      <c r="Q1955" s="11"/>
      <c r="R1955" s="11"/>
    </row>
    <row r="1956" spans="4:18">
      <c r="D1956" s="1" t="s">
        <v>1014</v>
      </c>
      <c r="E1956" s="1" t="s">
        <v>1036</v>
      </c>
      <c r="H1956" s="1" t="s">
        <v>22</v>
      </c>
      <c r="I1956" s="1" t="s">
        <v>23</v>
      </c>
      <c r="J1956" s="1">
        <v>0.5</v>
      </c>
      <c r="K1956" s="1">
        <v>2</v>
      </c>
      <c r="L1956" s="1">
        <v>1</v>
      </c>
      <c r="M1956" s="1">
        <v>1</v>
      </c>
      <c r="N1956" s="1">
        <v>1</v>
      </c>
      <c r="O1956" s="11"/>
      <c r="P1956" s="11"/>
      <c r="Q1956" s="11"/>
      <c r="R1956" s="11"/>
    </row>
    <row r="1957" spans="4:18">
      <c r="D1957" s="1" t="s">
        <v>1014</v>
      </c>
      <c r="E1957" s="1" t="s">
        <v>1037</v>
      </c>
      <c r="H1957" s="1" t="s">
        <v>25</v>
      </c>
      <c r="I1957" s="1" t="s">
        <v>23</v>
      </c>
      <c r="M1957" s="1" t="b">
        <v>1</v>
      </c>
      <c r="N1957" s="1">
        <v>1</v>
      </c>
      <c r="O1957" s="11"/>
      <c r="P1957" s="11"/>
      <c r="Q1957" s="11"/>
      <c r="R1957" s="11"/>
    </row>
    <row r="1958" spans="4:18">
      <c r="D1958" s="1" t="s">
        <v>1014</v>
      </c>
      <c r="E1958" s="1" t="s">
        <v>1038</v>
      </c>
      <c r="H1958" s="1" t="s">
        <v>22</v>
      </c>
      <c r="I1958" s="1" t="s">
        <v>23</v>
      </c>
      <c r="J1958" s="1">
        <v>0.5</v>
      </c>
      <c r="K1958" s="1">
        <v>2</v>
      </c>
      <c r="L1958" s="1">
        <v>1</v>
      </c>
      <c r="M1958" s="1">
        <v>1</v>
      </c>
      <c r="N1958" s="1">
        <v>1</v>
      </c>
      <c r="O1958" s="11"/>
      <c r="P1958" s="11"/>
      <c r="Q1958" s="11"/>
      <c r="R1958" s="11"/>
    </row>
    <row r="1959" spans="4:18">
      <c r="D1959" s="1" t="s">
        <v>1014</v>
      </c>
      <c r="E1959" s="1" t="s">
        <v>1039</v>
      </c>
      <c r="H1959" s="1" t="s">
        <v>25</v>
      </c>
      <c r="I1959" s="1" t="s">
        <v>23</v>
      </c>
      <c r="M1959" s="1" t="b">
        <v>1</v>
      </c>
      <c r="N1959" s="1">
        <v>1</v>
      </c>
      <c r="O1959" s="11"/>
      <c r="P1959" s="11"/>
      <c r="Q1959" s="11"/>
      <c r="R1959" s="11"/>
    </row>
    <row r="1960" spans="4:18">
      <c r="D1960" s="1" t="s">
        <v>1014</v>
      </c>
      <c r="E1960" s="1" t="s">
        <v>1040</v>
      </c>
      <c r="F1960" s="1" t="s">
        <v>1041</v>
      </c>
      <c r="G1960" s="1" t="s">
        <v>1042</v>
      </c>
      <c r="H1960" s="1" t="s">
        <v>22</v>
      </c>
      <c r="I1960" s="1" t="s">
        <v>23</v>
      </c>
      <c r="J1960" s="1">
        <v>1.7611018362408509E-2</v>
      </c>
      <c r="K1960" s="1">
        <v>88.055091812042548</v>
      </c>
      <c r="L1960" s="1">
        <v>0.17611018362408509</v>
      </c>
      <c r="M1960" s="1">
        <v>0</v>
      </c>
      <c r="N1960" s="1">
        <v>0</v>
      </c>
      <c r="O1960" s="11"/>
      <c r="P1960" s="11"/>
      <c r="Q1960" s="11"/>
      <c r="R1960" s="11"/>
    </row>
    <row r="1961" spans="4:18">
      <c r="D1961" s="1" t="s">
        <v>1014</v>
      </c>
      <c r="E1961" s="1" t="s">
        <v>1043</v>
      </c>
      <c r="F1961" s="1" t="s">
        <v>1044</v>
      </c>
      <c r="G1961" s="1" t="s">
        <v>1045</v>
      </c>
      <c r="H1961" s="1" t="s">
        <v>22</v>
      </c>
      <c r="I1961" s="1" t="s">
        <v>23</v>
      </c>
      <c r="L1961" s="1">
        <v>57.29577951308238</v>
      </c>
      <c r="M1961" s="1">
        <v>30.000000000000028</v>
      </c>
      <c r="N1961" s="1">
        <v>30.000000000000028</v>
      </c>
      <c r="O1961" s="11"/>
      <c r="P1961" s="11"/>
      <c r="Q1961" s="11"/>
      <c r="R1961" s="11"/>
    </row>
    <row r="1962" spans="4:18">
      <c r="D1962" s="1" t="s">
        <v>1014</v>
      </c>
      <c r="E1962" s="1" t="s">
        <v>1046</v>
      </c>
      <c r="F1962" s="1" t="s">
        <v>1044</v>
      </c>
      <c r="G1962" s="1" t="s">
        <v>1045</v>
      </c>
      <c r="H1962" s="1" t="s">
        <v>22</v>
      </c>
      <c r="I1962" s="1" t="s">
        <v>23</v>
      </c>
      <c r="L1962" s="1">
        <v>57.29577951308238</v>
      </c>
      <c r="M1962" s="1">
        <v>30.000000000000028</v>
      </c>
      <c r="N1962" s="1">
        <v>30.000000000000028</v>
      </c>
      <c r="O1962" s="11"/>
      <c r="P1962" s="11"/>
      <c r="Q1962" s="11"/>
      <c r="R1962" s="11"/>
    </row>
    <row r="1963" spans="4:18">
      <c r="D1963" s="1" t="s">
        <v>1014</v>
      </c>
      <c r="E1963" s="1" t="s">
        <v>1047</v>
      </c>
      <c r="H1963" s="1" t="s">
        <v>22</v>
      </c>
      <c r="I1963" s="1" t="s">
        <v>29</v>
      </c>
      <c r="J1963" s="1">
        <v>0.1</v>
      </c>
      <c r="K1963" s="1">
        <v>10</v>
      </c>
      <c r="L1963" s="1">
        <v>5.05</v>
      </c>
      <c r="N1963" s="1">
        <v>1</v>
      </c>
      <c r="O1963" s="11"/>
      <c r="P1963" s="11"/>
      <c r="Q1963" s="11"/>
      <c r="R1963" s="11"/>
    </row>
    <row r="1964" spans="4:18">
      <c r="D1964" s="1" t="s">
        <v>1014</v>
      </c>
      <c r="E1964" s="1" t="s">
        <v>1048</v>
      </c>
      <c r="H1964" s="1" t="s">
        <v>22</v>
      </c>
      <c r="I1964" s="1" t="s">
        <v>29</v>
      </c>
      <c r="J1964" s="1">
        <v>0.1</v>
      </c>
      <c r="K1964" s="1">
        <v>10</v>
      </c>
      <c r="L1964" s="1">
        <v>5.05</v>
      </c>
      <c r="N1964" s="1">
        <v>1</v>
      </c>
      <c r="O1964" s="11"/>
      <c r="P1964" s="11"/>
      <c r="Q1964" s="11"/>
      <c r="R1964" s="11"/>
    </row>
    <row r="1965" spans="4:18">
      <c r="D1965" s="1" t="s">
        <v>1014</v>
      </c>
      <c r="E1965" s="1" t="s">
        <v>1049</v>
      </c>
      <c r="H1965" s="1" t="s">
        <v>22</v>
      </c>
      <c r="I1965" s="1" t="s">
        <v>29</v>
      </c>
      <c r="J1965" s="1">
        <v>0.1</v>
      </c>
      <c r="K1965" s="1">
        <v>10</v>
      </c>
      <c r="L1965" s="1">
        <v>5.05</v>
      </c>
      <c r="N1965" s="1">
        <v>1</v>
      </c>
      <c r="O1965" s="11"/>
      <c r="P1965" s="11"/>
      <c r="Q1965" s="11"/>
      <c r="R1965" s="11"/>
    </row>
    <row r="1966" spans="4:18">
      <c r="D1966" s="1" t="s">
        <v>1014</v>
      </c>
      <c r="E1966" s="1" t="s">
        <v>1050</v>
      </c>
      <c r="H1966" s="1" t="s">
        <v>22</v>
      </c>
      <c r="I1966" s="1" t="s">
        <v>29</v>
      </c>
      <c r="J1966" s="1">
        <v>0.1</v>
      </c>
      <c r="K1966" s="1">
        <v>10</v>
      </c>
      <c r="L1966" s="1">
        <v>5.05</v>
      </c>
      <c r="N1966" s="1">
        <v>1</v>
      </c>
      <c r="O1966" s="11"/>
      <c r="P1966" s="11"/>
      <c r="Q1966" s="11"/>
      <c r="R1966" s="11"/>
    </row>
    <row r="1967" spans="4:18">
      <c r="D1967" s="1" t="s">
        <v>1014</v>
      </c>
      <c r="E1967" s="1" t="s">
        <v>1051</v>
      </c>
      <c r="H1967" s="1" t="s">
        <v>22</v>
      </c>
      <c r="I1967" s="1" t="s">
        <v>29</v>
      </c>
      <c r="J1967" s="1">
        <v>0.1</v>
      </c>
      <c r="K1967" s="1">
        <v>10</v>
      </c>
      <c r="L1967" s="1">
        <v>5.05</v>
      </c>
      <c r="N1967" s="1">
        <v>1</v>
      </c>
      <c r="O1967" s="11"/>
      <c r="P1967" s="11"/>
      <c r="Q1967" s="11"/>
      <c r="R1967" s="11"/>
    </row>
    <row r="1968" spans="4:18">
      <c r="D1968" s="1" t="s">
        <v>1014</v>
      </c>
      <c r="E1968" s="1" t="s">
        <v>1052</v>
      </c>
      <c r="H1968" s="1" t="s">
        <v>22</v>
      </c>
      <c r="I1968" s="1" t="s">
        <v>29</v>
      </c>
      <c r="J1968" s="1">
        <v>0.1</v>
      </c>
      <c r="K1968" s="1">
        <v>10</v>
      </c>
      <c r="L1968" s="1">
        <v>5.05</v>
      </c>
      <c r="N1968" s="1">
        <v>1</v>
      </c>
      <c r="O1968" s="11"/>
      <c r="P1968" s="11"/>
      <c r="Q1968" s="11"/>
      <c r="R1968" s="11"/>
    </row>
    <row r="1969" spans="4:18">
      <c r="D1969" s="1" t="s">
        <v>1014</v>
      </c>
      <c r="E1969" s="1" t="s">
        <v>1053</v>
      </c>
      <c r="H1969" s="1" t="s">
        <v>22</v>
      </c>
      <c r="I1969" s="1" t="s">
        <v>29</v>
      </c>
      <c r="J1969" s="1">
        <v>0.1</v>
      </c>
      <c r="K1969" s="1">
        <v>10</v>
      </c>
      <c r="L1969" s="1">
        <v>5.05</v>
      </c>
      <c r="N1969" s="1">
        <v>1</v>
      </c>
      <c r="O1969" s="11"/>
      <c r="P1969" s="11"/>
      <c r="Q1969" s="11"/>
      <c r="R1969" s="11"/>
    </row>
    <row r="1970" spans="4:18">
      <c r="D1970" s="1" t="s">
        <v>1014</v>
      </c>
      <c r="E1970" s="1" t="s">
        <v>1054</v>
      </c>
      <c r="F1970" s="1" t="s">
        <v>147</v>
      </c>
      <c r="G1970" s="1" t="s">
        <v>148</v>
      </c>
      <c r="H1970" s="1" t="s">
        <v>22</v>
      </c>
      <c r="I1970" s="1" t="s">
        <v>23</v>
      </c>
      <c r="J1970" s="1">
        <v>0</v>
      </c>
      <c r="K1970" s="1">
        <v>68242832.702662006</v>
      </c>
      <c r="L1970" s="1">
        <v>3.4121416351331</v>
      </c>
      <c r="M1970" s="1">
        <v>3412141.6351331002</v>
      </c>
      <c r="N1970" s="1">
        <v>3412141.6351331002</v>
      </c>
      <c r="O1970" s="11"/>
      <c r="P1970" s="11"/>
      <c r="Q1970" s="11"/>
      <c r="R1970" s="11"/>
    </row>
    <row r="1971" spans="4:18">
      <c r="D1971" s="1" t="s">
        <v>1014</v>
      </c>
      <c r="E1971" s="1" t="s">
        <v>1055</v>
      </c>
      <c r="H1971" s="1" t="s">
        <v>25</v>
      </c>
      <c r="I1971" s="1" t="s">
        <v>23</v>
      </c>
      <c r="M1971" s="1" t="b">
        <v>0</v>
      </c>
      <c r="N1971" s="1">
        <v>0</v>
      </c>
      <c r="O1971" s="11"/>
      <c r="P1971" s="11"/>
      <c r="Q1971" s="11"/>
      <c r="R1971" s="11"/>
    </row>
    <row r="1972" spans="4:18">
      <c r="D1972" s="1" t="s">
        <v>1014</v>
      </c>
      <c r="E1972" s="1" t="s">
        <v>1056</v>
      </c>
      <c r="F1972" s="1" t="s">
        <v>56</v>
      </c>
      <c r="G1972" s="1" t="s">
        <v>57</v>
      </c>
      <c r="H1972" s="1" t="s">
        <v>22</v>
      </c>
      <c r="I1972" s="1" t="s">
        <v>23</v>
      </c>
      <c r="L1972" s="1">
        <v>1.4503773773020921E-4</v>
      </c>
      <c r="M1972" s="1">
        <v>0.72518868865104602</v>
      </c>
      <c r="N1972" s="1">
        <v>0.72518868865104602</v>
      </c>
      <c r="O1972" s="11"/>
      <c r="P1972" s="11"/>
      <c r="Q1972" s="11"/>
      <c r="R1972" s="11"/>
    </row>
    <row r="1973" spans="4:18">
      <c r="D1973" s="1" t="s">
        <v>1014</v>
      </c>
      <c r="E1973" s="1" t="s">
        <v>1057</v>
      </c>
      <c r="H1973" s="1" t="s">
        <v>25</v>
      </c>
      <c r="I1973" s="1" t="s">
        <v>23</v>
      </c>
      <c r="M1973" s="1" t="b">
        <v>0</v>
      </c>
      <c r="N1973" s="1">
        <v>0</v>
      </c>
      <c r="O1973" s="11"/>
      <c r="P1973" s="11"/>
      <c r="Q1973" s="11"/>
      <c r="R1973" s="11"/>
    </row>
    <row r="1974" spans="4:18">
      <c r="D1974" s="1" t="s">
        <v>1014</v>
      </c>
      <c r="E1974" s="1" t="s">
        <v>1058</v>
      </c>
      <c r="F1974" s="1" t="s">
        <v>56</v>
      </c>
      <c r="G1974" s="1" t="s">
        <v>57</v>
      </c>
      <c r="H1974" s="1" t="s">
        <v>22</v>
      </c>
      <c r="I1974" s="1" t="s">
        <v>29</v>
      </c>
      <c r="J1974" s="1">
        <v>4.9312830828271128</v>
      </c>
      <c r="K1974" s="1">
        <v>623.66227223989961</v>
      </c>
      <c r="L1974" s="1">
        <v>50.713895374744951</v>
      </c>
      <c r="N1974" s="1">
        <v>135.32432554524246</v>
      </c>
      <c r="O1974" s="11"/>
      <c r="P1974" s="11"/>
      <c r="Q1974" s="11"/>
      <c r="R1974" s="11"/>
    </row>
    <row r="1975" spans="4:18">
      <c r="D1975" s="1" t="s">
        <v>1014</v>
      </c>
      <c r="E1975" s="1" t="s">
        <v>1059</v>
      </c>
      <c r="F1975" s="1" t="s">
        <v>45</v>
      </c>
      <c r="G1975" s="1" t="s">
        <v>46</v>
      </c>
      <c r="H1975" s="1" t="s">
        <v>22</v>
      </c>
      <c r="I1975" s="1" t="s">
        <v>29</v>
      </c>
      <c r="J1975" s="1">
        <v>-6.3932502128443591</v>
      </c>
      <c r="K1975" s="1">
        <v>358.61435929656</v>
      </c>
      <c r="L1975" s="1">
        <v>114.79148749423418</v>
      </c>
      <c r="N1975" s="1">
        <v>42.783075138634636</v>
      </c>
      <c r="O1975" s="11"/>
      <c r="P1975" s="11"/>
      <c r="Q1975" s="11"/>
      <c r="R1975" s="11"/>
    </row>
    <row r="1976" spans="4:18">
      <c r="D1976" s="1" t="s">
        <v>1014</v>
      </c>
      <c r="E1976" s="1" t="s">
        <v>1060</v>
      </c>
      <c r="F1976" s="1" t="s">
        <v>56</v>
      </c>
      <c r="G1976" s="1" t="s">
        <v>57</v>
      </c>
      <c r="H1976" s="1" t="s">
        <v>22</v>
      </c>
      <c r="I1976" s="1" t="s">
        <v>29</v>
      </c>
      <c r="J1976" s="1">
        <v>4.9312830828271128</v>
      </c>
      <c r="K1976" s="1">
        <v>623.66227223989961</v>
      </c>
      <c r="L1976" s="1">
        <v>50.713895374744951</v>
      </c>
      <c r="N1976" s="1">
        <v>135.32432554524246</v>
      </c>
      <c r="O1976" s="11"/>
      <c r="P1976" s="11"/>
      <c r="Q1976" s="11"/>
      <c r="R1976" s="11"/>
    </row>
    <row r="1977" spans="4:18">
      <c r="D1977" s="1" t="s">
        <v>1014</v>
      </c>
      <c r="E1977" s="1" t="s">
        <v>1061</v>
      </c>
      <c r="H1977" s="1" t="s">
        <v>22</v>
      </c>
      <c r="I1977" s="1" t="s">
        <v>29</v>
      </c>
      <c r="L1977" s="1">
        <v>1</v>
      </c>
      <c r="N1977" s="1">
        <v>-0.41927556593734405</v>
      </c>
      <c r="O1977" s="11"/>
      <c r="P1977" s="11"/>
      <c r="Q1977" s="11"/>
      <c r="R1977" s="11"/>
    </row>
    <row r="1978" spans="4:18">
      <c r="D1978" s="1" t="s">
        <v>1014</v>
      </c>
      <c r="E1978" s="1" t="s">
        <v>1062</v>
      </c>
      <c r="F1978" s="1" t="s">
        <v>176</v>
      </c>
      <c r="G1978" s="1" t="s">
        <v>177</v>
      </c>
      <c r="H1978" s="1" t="s">
        <v>22</v>
      </c>
      <c r="I1978" s="1" t="s">
        <v>23</v>
      </c>
      <c r="J1978" s="1">
        <v>0</v>
      </c>
      <c r="L1978" s="1">
        <v>39.370078740157467</v>
      </c>
      <c r="M1978" s="1">
        <v>0.19685039370078733</v>
      </c>
      <c r="N1978" s="1">
        <v>0.19685039370078733</v>
      </c>
      <c r="O1978" s="11"/>
      <c r="P1978" s="11"/>
      <c r="Q1978" s="11"/>
      <c r="R1978" s="11"/>
    </row>
    <row r="1979" spans="4:18">
      <c r="D1979" s="1" t="s">
        <v>1014</v>
      </c>
      <c r="E1979" s="1" t="s">
        <v>1063</v>
      </c>
      <c r="F1979" s="1" t="s">
        <v>176</v>
      </c>
      <c r="G1979" s="1" t="s">
        <v>177</v>
      </c>
      <c r="H1979" s="1" t="s">
        <v>22</v>
      </c>
      <c r="I1979" s="1" t="s">
        <v>23</v>
      </c>
      <c r="J1979" s="1">
        <v>0</v>
      </c>
      <c r="L1979" s="1">
        <v>39.370078740157467</v>
      </c>
      <c r="M1979" s="1">
        <v>0.78740157480314932</v>
      </c>
      <c r="N1979" s="1">
        <v>0.78740157480314932</v>
      </c>
      <c r="O1979" s="11"/>
      <c r="P1979" s="11"/>
      <c r="Q1979" s="11"/>
      <c r="R1979" s="11"/>
    </row>
    <row r="1980" spans="4:18">
      <c r="D1980" s="1" t="s">
        <v>1014</v>
      </c>
      <c r="E1980" s="1" t="s">
        <v>1064</v>
      </c>
      <c r="F1980" s="1" t="s">
        <v>176</v>
      </c>
      <c r="G1980" s="1" t="s">
        <v>177</v>
      </c>
      <c r="H1980" s="1" t="s">
        <v>22</v>
      </c>
      <c r="I1980" s="1" t="s">
        <v>23</v>
      </c>
      <c r="J1980" s="1">
        <v>0</v>
      </c>
      <c r="L1980" s="1">
        <v>39.370078740157467</v>
      </c>
      <c r="M1980" s="1">
        <v>0.39370078740157466</v>
      </c>
      <c r="N1980" s="1">
        <v>0.39370078740157466</v>
      </c>
      <c r="O1980" s="11"/>
      <c r="P1980" s="11"/>
      <c r="Q1980" s="11"/>
      <c r="R1980" s="11"/>
    </row>
    <row r="1981" spans="4:18">
      <c r="D1981" s="1" t="s">
        <v>1014</v>
      </c>
      <c r="E1981" s="1" t="s">
        <v>1065</v>
      </c>
      <c r="F1981" s="1" t="s">
        <v>56</v>
      </c>
      <c r="G1981" s="1" t="s">
        <v>57</v>
      </c>
      <c r="H1981" s="1" t="s">
        <v>22</v>
      </c>
      <c r="I1981" s="1" t="s">
        <v>29</v>
      </c>
      <c r="J1981" s="1">
        <v>4.9312830828271128</v>
      </c>
      <c r="K1981" s="1">
        <v>623.66227223989961</v>
      </c>
      <c r="L1981" s="1">
        <v>50.713895374744951</v>
      </c>
      <c r="N1981" s="1">
        <v>135.32432554524246</v>
      </c>
      <c r="O1981" s="11"/>
      <c r="P1981" s="11"/>
      <c r="Q1981" s="11"/>
      <c r="R1981" s="11"/>
    </row>
    <row r="1982" spans="4:18">
      <c r="D1982" s="1" t="s">
        <v>1014</v>
      </c>
      <c r="E1982" s="1" t="s">
        <v>1066</v>
      </c>
      <c r="H1982" s="1" t="s">
        <v>25</v>
      </c>
      <c r="I1982" s="1" t="s">
        <v>23</v>
      </c>
      <c r="M1982" s="1" t="b">
        <v>0</v>
      </c>
      <c r="N1982" s="1">
        <v>0</v>
      </c>
      <c r="O1982" s="11"/>
      <c r="P1982" s="11"/>
      <c r="Q1982" s="11"/>
      <c r="R1982" s="11"/>
    </row>
    <row r="1983" spans="4:18">
      <c r="D1983" s="1" t="s">
        <v>1014</v>
      </c>
      <c r="E1983" s="1" t="s">
        <v>1067</v>
      </c>
      <c r="F1983" s="1" t="s">
        <v>176</v>
      </c>
      <c r="G1983" s="1" t="s">
        <v>177</v>
      </c>
      <c r="H1983" s="1" t="s">
        <v>22</v>
      </c>
      <c r="I1983" s="1" t="s">
        <v>23</v>
      </c>
      <c r="J1983" s="1">
        <v>0</v>
      </c>
      <c r="L1983" s="1">
        <v>39.370078740157467</v>
      </c>
      <c r="M1983" s="1">
        <v>0</v>
      </c>
      <c r="N1983" s="1">
        <v>0</v>
      </c>
      <c r="O1983" s="11"/>
      <c r="P1983" s="11"/>
      <c r="Q1983" s="11"/>
      <c r="R1983" s="11"/>
    </row>
    <row r="1984" spans="4:18">
      <c r="D1984" s="1" t="s">
        <v>1014</v>
      </c>
      <c r="E1984" s="1" t="s">
        <v>1068</v>
      </c>
      <c r="F1984" s="1" t="s">
        <v>176</v>
      </c>
      <c r="G1984" s="1" t="s">
        <v>177</v>
      </c>
      <c r="H1984" s="1" t="s">
        <v>22</v>
      </c>
      <c r="I1984" s="1" t="s">
        <v>23</v>
      </c>
      <c r="J1984" s="1">
        <v>0</v>
      </c>
      <c r="L1984" s="1">
        <v>39.370078740157467</v>
      </c>
      <c r="M1984" s="1">
        <v>4.7244094488188955</v>
      </c>
      <c r="N1984" s="1">
        <v>4.7244094488188955</v>
      </c>
      <c r="O1984" s="11"/>
      <c r="P1984" s="11"/>
      <c r="Q1984" s="11"/>
      <c r="R1984" s="11"/>
    </row>
    <row r="1985" spans="4:18">
      <c r="D1985" s="1" t="s">
        <v>1014</v>
      </c>
      <c r="E1985" s="1" t="s">
        <v>47</v>
      </c>
      <c r="H1985" s="1" t="s">
        <v>25</v>
      </c>
      <c r="I1985" s="1" t="s">
        <v>23</v>
      </c>
      <c r="M1985" s="1" t="b">
        <v>0</v>
      </c>
      <c r="N1985" s="1">
        <v>0</v>
      </c>
      <c r="O1985" s="11"/>
      <c r="P1985" s="11"/>
      <c r="Q1985" s="11"/>
      <c r="R1985" s="11"/>
    </row>
    <row r="1986" spans="4:18">
      <c r="D1986" s="1" t="s">
        <v>1014</v>
      </c>
      <c r="E1986" s="1" t="s">
        <v>1069</v>
      </c>
      <c r="H1986" s="1" t="s">
        <v>25</v>
      </c>
      <c r="I1986" s="1" t="s">
        <v>23</v>
      </c>
      <c r="M1986" s="1" t="b">
        <v>0</v>
      </c>
      <c r="N1986" s="1">
        <v>0</v>
      </c>
      <c r="O1986" s="11"/>
      <c r="P1986" s="11"/>
      <c r="Q1986" s="11"/>
      <c r="R1986" s="11"/>
    </row>
    <row r="1987" spans="4:18">
      <c r="D1987" s="1" t="s">
        <v>1014</v>
      </c>
      <c r="E1987" s="1" t="s">
        <v>920</v>
      </c>
      <c r="H1987" s="1" t="s">
        <v>22</v>
      </c>
      <c r="I1987" s="1" t="s">
        <v>23</v>
      </c>
      <c r="J1987" s="1">
        <v>0</v>
      </c>
      <c r="K1987" s="1">
        <v>1</v>
      </c>
      <c r="L1987" s="1">
        <v>1</v>
      </c>
      <c r="M1987" s="1">
        <v>0</v>
      </c>
      <c r="N1987" s="1">
        <v>0</v>
      </c>
      <c r="O1987" s="11"/>
      <c r="P1987" s="11"/>
      <c r="Q1987" s="11"/>
      <c r="R1987" s="11"/>
    </row>
    <row r="1988" spans="4:18">
      <c r="D1988" s="1" t="s">
        <v>1014</v>
      </c>
      <c r="E1988" s="1" t="s">
        <v>921</v>
      </c>
      <c r="H1988" s="1" t="s">
        <v>22</v>
      </c>
      <c r="I1988" s="1" t="s">
        <v>23</v>
      </c>
      <c r="J1988" s="1">
        <v>0</v>
      </c>
      <c r="K1988" s="1">
        <v>1</v>
      </c>
      <c r="L1988" s="1">
        <v>1</v>
      </c>
      <c r="M1988" s="1">
        <v>1</v>
      </c>
      <c r="N1988" s="1">
        <v>1</v>
      </c>
      <c r="O1988" s="11"/>
      <c r="P1988" s="11"/>
      <c r="Q1988" s="11"/>
      <c r="R1988" s="11"/>
    </row>
    <row r="1989" spans="4:18">
      <c r="D1989" s="1" t="s">
        <v>1014</v>
      </c>
      <c r="E1989" s="1" t="s">
        <v>1070</v>
      </c>
      <c r="F1989" s="1" t="s">
        <v>1071</v>
      </c>
      <c r="G1989" s="1" t="s">
        <v>1072</v>
      </c>
      <c r="H1989" s="1" t="s">
        <v>22</v>
      </c>
      <c r="I1989" s="1" t="s">
        <v>23</v>
      </c>
      <c r="J1989" s="1">
        <v>5.7778931654299819E-4</v>
      </c>
      <c r="K1989" s="1">
        <v>0.57778931654299814</v>
      </c>
      <c r="L1989" s="1">
        <v>0.57778931654299814</v>
      </c>
      <c r="M1989" s="1">
        <v>2.1672877263527863E-2</v>
      </c>
      <c r="N1989" s="1">
        <v>2.1672877263527863E-2</v>
      </c>
      <c r="O1989" s="11"/>
      <c r="P1989" s="11"/>
      <c r="Q1989" s="11"/>
      <c r="R1989" s="11"/>
    </row>
    <row r="1990" spans="4:18">
      <c r="D1990" s="1" t="s">
        <v>1014</v>
      </c>
      <c r="E1990" s="1" t="s">
        <v>1073</v>
      </c>
      <c r="H1990" s="1" t="s">
        <v>22</v>
      </c>
      <c r="I1990" s="1" t="s">
        <v>23</v>
      </c>
      <c r="J1990" s="1">
        <v>0.5</v>
      </c>
      <c r="K1990" s="1">
        <v>1</v>
      </c>
      <c r="L1990" s="1">
        <v>1</v>
      </c>
      <c r="M1990" s="1">
        <v>1</v>
      </c>
      <c r="N1990" s="1">
        <v>1</v>
      </c>
      <c r="O1990" s="11"/>
      <c r="P1990" s="11"/>
      <c r="Q1990" s="11"/>
      <c r="R1990" s="11"/>
    </row>
    <row r="1991" spans="4:18">
      <c r="D1991" s="1" t="s">
        <v>1014</v>
      </c>
      <c r="E1991" s="1" t="s">
        <v>1074</v>
      </c>
      <c r="H1991" s="1" t="s">
        <v>25</v>
      </c>
      <c r="I1991" s="1" t="s">
        <v>23</v>
      </c>
      <c r="M1991" s="1" t="b">
        <v>0</v>
      </c>
      <c r="N1991" s="1">
        <v>0</v>
      </c>
      <c r="O1991" s="11"/>
      <c r="P1991" s="11"/>
      <c r="Q1991" s="11"/>
      <c r="R1991" s="11"/>
    </row>
    <row r="1992" spans="4:18">
      <c r="D1992" s="1" t="s">
        <v>1014</v>
      </c>
      <c r="E1992" s="1" t="s">
        <v>1075</v>
      </c>
      <c r="H1992" s="1" t="s">
        <v>25</v>
      </c>
      <c r="I1992" s="1" t="s">
        <v>23</v>
      </c>
      <c r="M1992" s="1" t="b">
        <v>0</v>
      </c>
      <c r="N1992" s="1">
        <v>0</v>
      </c>
      <c r="O1992" s="11"/>
      <c r="P1992" s="11"/>
      <c r="Q1992" s="11"/>
      <c r="R1992" s="11"/>
    </row>
    <row r="1993" spans="4:18">
      <c r="D1993" s="1" t="s">
        <v>1014</v>
      </c>
      <c r="E1993" s="1" t="s">
        <v>1076</v>
      </c>
      <c r="F1993" s="1" t="s">
        <v>118</v>
      </c>
      <c r="G1993" s="1" t="s">
        <v>119</v>
      </c>
      <c r="H1993" s="1" t="s">
        <v>22</v>
      </c>
      <c r="I1993" s="1" t="s">
        <v>23</v>
      </c>
      <c r="J1993" s="1">
        <v>0</v>
      </c>
      <c r="K1993" s="1">
        <v>6613.8678655499998</v>
      </c>
      <c r="L1993" s="1">
        <v>2.20462262185</v>
      </c>
      <c r="M1993" s="1">
        <v>440.92452437000003</v>
      </c>
      <c r="N1993" s="1">
        <v>440.92452437000003</v>
      </c>
      <c r="O1993" s="11"/>
      <c r="P1993" s="11"/>
      <c r="Q1993" s="11"/>
      <c r="R1993" s="11"/>
    </row>
    <row r="1994" spans="4:18">
      <c r="D1994" s="1" t="s">
        <v>1014</v>
      </c>
      <c r="E1994" s="1" t="s">
        <v>1077</v>
      </c>
      <c r="H1994" s="1" t="s">
        <v>25</v>
      </c>
      <c r="I1994" s="1" t="s">
        <v>23</v>
      </c>
      <c r="M1994" s="1" t="b">
        <v>0</v>
      </c>
      <c r="N1994" s="1">
        <v>0</v>
      </c>
      <c r="O1994" s="11"/>
      <c r="P1994" s="11"/>
      <c r="Q1994" s="11"/>
      <c r="R1994" s="11"/>
    </row>
    <row r="1995" spans="4:18">
      <c r="D1995" s="1" t="s">
        <v>1014</v>
      </c>
      <c r="E1995" s="1" t="s">
        <v>1078</v>
      </c>
      <c r="H1995" s="1" t="s">
        <v>22</v>
      </c>
      <c r="I1995" s="1" t="s">
        <v>23</v>
      </c>
      <c r="J1995" s="1">
        <v>0</v>
      </c>
      <c r="K1995" s="1">
        <v>1</v>
      </c>
      <c r="L1995" s="1">
        <v>1</v>
      </c>
      <c r="M1995" s="1">
        <v>0.03</v>
      </c>
      <c r="N1995" s="1">
        <v>0.03</v>
      </c>
      <c r="O1995" s="11"/>
      <c r="P1995" s="11"/>
      <c r="Q1995" s="11"/>
      <c r="R1995" s="11"/>
    </row>
    <row r="1996" spans="4:18">
      <c r="D1996" s="1" t="s">
        <v>1014</v>
      </c>
      <c r="E1996" s="1" t="s">
        <v>1079</v>
      </c>
      <c r="H1996" s="1" t="s">
        <v>25</v>
      </c>
      <c r="I1996" s="1" t="s">
        <v>23</v>
      </c>
      <c r="M1996" s="1" t="b">
        <v>0</v>
      </c>
      <c r="N1996" s="1">
        <v>0</v>
      </c>
      <c r="O1996" s="11"/>
      <c r="P1996" s="11"/>
      <c r="Q1996" s="11"/>
      <c r="R1996" s="11"/>
    </row>
    <row r="1997" spans="4:18">
      <c r="D1997" s="1" t="s">
        <v>1014</v>
      </c>
      <c r="E1997" s="1" t="s">
        <v>1080</v>
      </c>
      <c r="H1997" s="1" t="s">
        <v>22</v>
      </c>
      <c r="I1997" s="1" t="s">
        <v>23</v>
      </c>
      <c r="J1997" s="1">
        <v>0</v>
      </c>
      <c r="K1997" s="1">
        <v>1</v>
      </c>
      <c r="L1997" s="1">
        <v>1</v>
      </c>
      <c r="M1997" s="1">
        <v>0.5</v>
      </c>
      <c r="N1997" s="1">
        <v>0.5</v>
      </c>
      <c r="O1997" s="11"/>
      <c r="P1997" s="11"/>
      <c r="Q1997" s="11"/>
      <c r="R1997" s="11"/>
    </row>
    <row r="1998" spans="4:18">
      <c r="D1998" s="1" t="s">
        <v>1014</v>
      </c>
      <c r="E1998" s="1" t="s">
        <v>1081</v>
      </c>
      <c r="H1998" s="1" t="s">
        <v>22</v>
      </c>
      <c r="I1998" s="1" t="s">
        <v>23</v>
      </c>
      <c r="J1998" s="1">
        <v>0</v>
      </c>
      <c r="K1998" s="1">
        <v>1</v>
      </c>
      <c r="L1998" s="1">
        <v>1</v>
      </c>
      <c r="M1998" s="1">
        <v>0.2</v>
      </c>
      <c r="N1998" s="1">
        <v>0.2</v>
      </c>
      <c r="O1998" s="11"/>
      <c r="P1998" s="11"/>
      <c r="Q1998" s="11"/>
      <c r="R1998" s="11"/>
    </row>
    <row r="1999" spans="4:18">
      <c r="D1999" s="1" t="s">
        <v>1014</v>
      </c>
      <c r="E1999" s="1" t="s">
        <v>1082</v>
      </c>
      <c r="H1999" s="1" t="s">
        <v>22</v>
      </c>
      <c r="I1999" s="1" t="s">
        <v>23</v>
      </c>
      <c r="J1999" s="1">
        <v>0</v>
      </c>
      <c r="K1999" s="1">
        <v>1</v>
      </c>
      <c r="L1999" s="1">
        <v>1</v>
      </c>
      <c r="M1999" s="1">
        <v>0.2</v>
      </c>
      <c r="N1999" s="1">
        <v>0.2</v>
      </c>
      <c r="O1999" s="11"/>
      <c r="P1999" s="11"/>
      <c r="Q1999" s="11"/>
      <c r="R1999" s="11"/>
    </row>
    <row r="2000" spans="4:18">
      <c r="D2000" s="1" t="s">
        <v>1014</v>
      </c>
      <c r="E2000" s="1" t="s">
        <v>1083</v>
      </c>
      <c r="H2000" s="1" t="s">
        <v>181</v>
      </c>
      <c r="I2000" s="1" t="s">
        <v>23</v>
      </c>
      <c r="J2000" s="1">
        <v>1</v>
      </c>
      <c r="K2000" s="1">
        <v>94</v>
      </c>
      <c r="M2000" s="1" t="s">
        <v>952</v>
      </c>
      <c r="N2000" s="1" t="s">
        <v>1819</v>
      </c>
      <c r="O2000" s="11"/>
      <c r="P2000" s="11"/>
      <c r="Q2000" s="11"/>
      <c r="R2000" s="11"/>
    </row>
    <row r="2001" spans="1:18">
      <c r="D2001" s="1" t="s">
        <v>1014</v>
      </c>
      <c r="E2001" s="1" t="s">
        <v>1084</v>
      </c>
      <c r="H2001" s="1" t="s">
        <v>181</v>
      </c>
      <c r="I2001" s="1" t="s">
        <v>23</v>
      </c>
      <c r="J2001" s="1">
        <v>1</v>
      </c>
      <c r="K2001" s="1">
        <v>3</v>
      </c>
      <c r="M2001" s="1" t="s">
        <v>1085</v>
      </c>
      <c r="N2001" s="1" t="s">
        <v>1820</v>
      </c>
      <c r="O2001" s="11"/>
      <c r="P2001" s="11"/>
      <c r="Q2001" s="11"/>
      <c r="R2001" s="11"/>
    </row>
    <row r="2002" spans="1:18">
      <c r="A2002" s="2" t="s">
        <v>1722</v>
      </c>
      <c r="B2002" s="3" t="s">
        <v>1733</v>
      </c>
      <c r="D2002" s="1" t="s">
        <v>1014</v>
      </c>
      <c r="E2002" s="1" t="s">
        <v>1086</v>
      </c>
      <c r="H2002" s="1" t="s">
        <v>181</v>
      </c>
      <c r="I2002" s="1" t="s">
        <v>23</v>
      </c>
      <c r="J2002" s="1">
        <v>1</v>
      </c>
      <c r="K2002" s="1">
        <v>54</v>
      </c>
      <c r="M2002" s="1" t="s">
        <v>1087</v>
      </c>
      <c r="N2002" s="1" t="s">
        <v>1821</v>
      </c>
      <c r="O2002" s="11"/>
      <c r="P2002" s="11"/>
      <c r="Q2002" s="11"/>
      <c r="R2002" s="11"/>
    </row>
    <row r="2003" spans="1:18">
      <c r="D2003" s="1" t="s">
        <v>1014</v>
      </c>
      <c r="E2003" s="1" t="s">
        <v>1088</v>
      </c>
      <c r="H2003" s="1" t="s">
        <v>25</v>
      </c>
      <c r="I2003" s="1" t="s">
        <v>23</v>
      </c>
      <c r="M2003" s="1" t="b">
        <v>0</v>
      </c>
      <c r="N2003" s="1">
        <v>0</v>
      </c>
      <c r="O2003" s="11"/>
      <c r="P2003" s="11"/>
      <c r="Q2003" s="11"/>
      <c r="R2003" s="11"/>
    </row>
    <row r="2004" spans="1:18">
      <c r="D2004" s="1" t="s">
        <v>1014</v>
      </c>
      <c r="E2004" s="1" t="s">
        <v>1089</v>
      </c>
      <c r="F2004" s="1" t="s">
        <v>35</v>
      </c>
      <c r="G2004" s="1" t="s">
        <v>36</v>
      </c>
      <c r="H2004" s="1" t="s">
        <v>22</v>
      </c>
      <c r="I2004" s="1" t="s">
        <v>29</v>
      </c>
      <c r="J2004" s="1">
        <v>-31.018000000000029</v>
      </c>
      <c r="K2004" s="1">
        <v>256.99999999999994</v>
      </c>
      <c r="L2004" s="1">
        <v>80.329999999999984</v>
      </c>
      <c r="N2004" s="1">
        <v>84.999999999991871</v>
      </c>
      <c r="O2004" s="11"/>
      <c r="P2004" s="11"/>
      <c r="Q2004" s="11"/>
      <c r="R2004" s="11"/>
    </row>
    <row r="2005" spans="1:18">
      <c r="D2005" s="1" t="s">
        <v>1014</v>
      </c>
      <c r="E2005" s="1" t="s">
        <v>1090</v>
      </c>
      <c r="F2005" s="1" t="s">
        <v>35</v>
      </c>
      <c r="G2005" s="1" t="s">
        <v>36</v>
      </c>
      <c r="H2005" s="1" t="s">
        <v>22</v>
      </c>
      <c r="I2005" s="1" t="s">
        <v>29</v>
      </c>
      <c r="J2005" s="1">
        <v>-31.018000000000029</v>
      </c>
      <c r="K2005" s="1">
        <v>256.99999999999994</v>
      </c>
      <c r="L2005" s="1">
        <v>80.329999999999984</v>
      </c>
      <c r="N2005" s="1">
        <v>87.816940973842918</v>
      </c>
      <c r="O2005" s="11"/>
      <c r="P2005" s="11"/>
      <c r="Q2005" s="11"/>
      <c r="R2005" s="11"/>
    </row>
    <row r="2006" spans="1:18">
      <c r="D2006" s="1" t="s">
        <v>1014</v>
      </c>
      <c r="E2006" s="1" t="s">
        <v>1091</v>
      </c>
      <c r="F2006" s="1" t="s">
        <v>35</v>
      </c>
      <c r="G2006" s="1" t="s">
        <v>36</v>
      </c>
      <c r="H2006" s="1" t="s">
        <v>22</v>
      </c>
      <c r="I2006" s="1" t="s">
        <v>29</v>
      </c>
      <c r="J2006" s="1">
        <v>-31.018000000000029</v>
      </c>
      <c r="K2006" s="1">
        <v>256.99999999999994</v>
      </c>
      <c r="L2006" s="1">
        <v>80.329999999999984</v>
      </c>
      <c r="N2006" s="1">
        <v>94.299999999999216</v>
      </c>
      <c r="O2006" s="11"/>
      <c r="P2006" s="11"/>
      <c r="Q2006" s="11"/>
      <c r="R2006" s="11"/>
    </row>
    <row r="2007" spans="1:18">
      <c r="D2007" s="1" t="s">
        <v>1014</v>
      </c>
      <c r="E2007" s="1" t="s">
        <v>1092</v>
      </c>
      <c r="F2007" s="1" t="s">
        <v>35</v>
      </c>
      <c r="G2007" s="1" t="s">
        <v>36</v>
      </c>
      <c r="H2007" s="1" t="s">
        <v>22</v>
      </c>
      <c r="I2007" s="1" t="s">
        <v>29</v>
      </c>
      <c r="J2007" s="1">
        <v>-31.018000000000029</v>
      </c>
      <c r="K2007" s="1">
        <v>256.99999999999994</v>
      </c>
      <c r="L2007" s="1">
        <v>80.329999999999984</v>
      </c>
      <c r="N2007" s="1">
        <v>95.81876956465868</v>
      </c>
      <c r="O2007" s="11"/>
      <c r="P2007" s="11"/>
      <c r="Q2007" s="11"/>
      <c r="R2007" s="11"/>
    </row>
    <row r="2008" spans="1:18">
      <c r="D2008" s="1" t="s">
        <v>1014</v>
      </c>
      <c r="E2008" s="1" t="s">
        <v>1093</v>
      </c>
      <c r="F2008" s="1" t="s">
        <v>45</v>
      </c>
      <c r="G2008" s="1" t="s">
        <v>46</v>
      </c>
      <c r="H2008" s="1" t="s">
        <v>22</v>
      </c>
      <c r="I2008" s="1" t="s">
        <v>29</v>
      </c>
      <c r="J2008" s="1">
        <v>-6.3932502128443591</v>
      </c>
      <c r="K2008" s="1">
        <v>358.61435929656</v>
      </c>
      <c r="L2008" s="1">
        <v>114.79148749423418</v>
      </c>
      <c r="N2008" s="1">
        <v>44.318184371278974</v>
      </c>
      <c r="O2008" s="11"/>
      <c r="P2008" s="11"/>
      <c r="Q2008" s="11"/>
      <c r="R2008" s="11"/>
    </row>
    <row r="2009" spans="1:18">
      <c r="D2009" s="1" t="s">
        <v>1014</v>
      </c>
      <c r="E2009" s="1" t="s">
        <v>1094</v>
      </c>
      <c r="F2009" s="1" t="s">
        <v>45</v>
      </c>
      <c r="G2009" s="1" t="s">
        <v>46</v>
      </c>
      <c r="H2009" s="1" t="s">
        <v>22</v>
      </c>
      <c r="I2009" s="1" t="s">
        <v>29</v>
      </c>
      <c r="J2009" s="1">
        <v>-6.3932502128443591</v>
      </c>
      <c r="K2009" s="1">
        <v>358.61435929656</v>
      </c>
      <c r="L2009" s="1">
        <v>114.79148749423418</v>
      </c>
      <c r="N2009" s="1">
        <v>44.119183692827143</v>
      </c>
      <c r="O2009" s="11"/>
      <c r="P2009" s="11"/>
      <c r="Q2009" s="11"/>
      <c r="R2009" s="11"/>
    </row>
    <row r="2010" spans="1:18">
      <c r="D2010" s="1" t="s">
        <v>1014</v>
      </c>
      <c r="E2010" s="1" t="s">
        <v>1095</v>
      </c>
      <c r="F2010" s="1" t="s">
        <v>45</v>
      </c>
      <c r="G2010" s="1" t="s">
        <v>46</v>
      </c>
      <c r="H2010" s="1" t="s">
        <v>22</v>
      </c>
      <c r="I2010" s="1" t="s">
        <v>29</v>
      </c>
      <c r="J2010" s="1">
        <v>-6.3932502128443591</v>
      </c>
      <c r="K2010" s="1">
        <v>358.61435929656</v>
      </c>
      <c r="L2010" s="1">
        <v>114.79148749423418</v>
      </c>
      <c r="N2010" s="1">
        <v>43.927954409258234</v>
      </c>
      <c r="O2010" s="11"/>
      <c r="P2010" s="11"/>
      <c r="Q2010" s="11"/>
      <c r="R2010" s="11"/>
    </row>
    <row r="2011" spans="1:18">
      <c r="D2011" s="1" t="s">
        <v>1014</v>
      </c>
      <c r="E2011" s="1" t="s">
        <v>1096</v>
      </c>
      <c r="F2011" s="1" t="s">
        <v>45</v>
      </c>
      <c r="G2011" s="1" t="s">
        <v>46</v>
      </c>
      <c r="H2011" s="1" t="s">
        <v>22</v>
      </c>
      <c r="I2011" s="1" t="s">
        <v>29</v>
      </c>
      <c r="J2011" s="1">
        <v>-6.3932502128443591</v>
      </c>
      <c r="K2011" s="1">
        <v>358.61435929656</v>
      </c>
      <c r="L2011" s="1">
        <v>114.79148749423418</v>
      </c>
      <c r="N2011" s="1">
        <v>43.74419282832919</v>
      </c>
      <c r="O2011" s="11"/>
      <c r="P2011" s="11"/>
      <c r="Q2011" s="11"/>
      <c r="R2011" s="11"/>
    </row>
    <row r="2012" spans="1:18">
      <c r="D2012" s="1" t="s">
        <v>1014</v>
      </c>
      <c r="E2012" s="1" t="s">
        <v>1097</v>
      </c>
      <c r="F2012" s="1" t="s">
        <v>45</v>
      </c>
      <c r="G2012" s="1" t="s">
        <v>46</v>
      </c>
      <c r="H2012" s="1" t="s">
        <v>22</v>
      </c>
      <c r="I2012" s="1" t="s">
        <v>29</v>
      </c>
      <c r="J2012" s="1">
        <v>-6.3932502128443591</v>
      </c>
      <c r="K2012" s="1">
        <v>358.61435929656</v>
      </c>
      <c r="L2012" s="1">
        <v>114.79148749423418</v>
      </c>
      <c r="N2012" s="1">
        <v>43.567607140735497</v>
      </c>
      <c r="O2012" s="11"/>
      <c r="P2012" s="11"/>
      <c r="Q2012" s="11"/>
      <c r="R2012" s="11"/>
    </row>
    <row r="2013" spans="1:18">
      <c r="D2013" s="1" t="s">
        <v>1014</v>
      </c>
      <c r="E2013" s="1" t="s">
        <v>1098</v>
      </c>
      <c r="F2013" s="1" t="s">
        <v>45</v>
      </c>
      <c r="G2013" s="1" t="s">
        <v>46</v>
      </c>
      <c r="H2013" s="1" t="s">
        <v>22</v>
      </c>
      <c r="I2013" s="1" t="s">
        <v>29</v>
      </c>
      <c r="J2013" s="1">
        <v>-6.3932502128443591</v>
      </c>
      <c r="K2013" s="1">
        <v>358.61435929656</v>
      </c>
      <c r="L2013" s="1">
        <v>114.79148749423418</v>
      </c>
      <c r="N2013" s="1">
        <v>43.397916954030244</v>
      </c>
      <c r="O2013" s="11"/>
      <c r="P2013" s="11"/>
      <c r="Q2013" s="11"/>
      <c r="R2013" s="11"/>
    </row>
    <row r="2014" spans="1:18">
      <c r="D2014" s="1" t="s">
        <v>1014</v>
      </c>
      <c r="E2014" s="1" t="s">
        <v>1099</v>
      </c>
      <c r="F2014" s="1" t="s">
        <v>45</v>
      </c>
      <c r="G2014" s="1" t="s">
        <v>46</v>
      </c>
      <c r="H2014" s="1" t="s">
        <v>22</v>
      </c>
      <c r="I2014" s="1" t="s">
        <v>29</v>
      </c>
      <c r="J2014" s="1">
        <v>-6.3932502128443591</v>
      </c>
      <c r="K2014" s="1">
        <v>358.61435929656</v>
      </c>
      <c r="L2014" s="1">
        <v>114.79148749423418</v>
      </c>
      <c r="N2014" s="1">
        <v>43.234852844905674</v>
      </c>
      <c r="O2014" s="11"/>
      <c r="P2014" s="11"/>
      <c r="Q2014" s="11"/>
      <c r="R2014" s="11"/>
    </row>
    <row r="2015" spans="1:18">
      <c r="D2015" s="1" t="s">
        <v>1014</v>
      </c>
      <c r="E2015" s="1" t="s">
        <v>1100</v>
      </c>
      <c r="F2015" s="1" t="s">
        <v>45</v>
      </c>
      <c r="G2015" s="1" t="s">
        <v>46</v>
      </c>
      <c r="H2015" s="1" t="s">
        <v>22</v>
      </c>
      <c r="I2015" s="1" t="s">
        <v>29</v>
      </c>
      <c r="J2015" s="1">
        <v>-6.3932502128443591</v>
      </c>
      <c r="K2015" s="1">
        <v>358.61435929656</v>
      </c>
      <c r="L2015" s="1">
        <v>114.79148749423418</v>
      </c>
      <c r="N2015" s="1">
        <v>43.078162778746417</v>
      </c>
      <c r="O2015" s="11"/>
      <c r="P2015" s="11"/>
      <c r="Q2015" s="11"/>
      <c r="R2015" s="11"/>
    </row>
    <row r="2016" spans="1:18">
      <c r="D2016" s="1" t="s">
        <v>1014</v>
      </c>
      <c r="E2016" s="1" t="s">
        <v>1101</v>
      </c>
      <c r="F2016" s="1" t="s">
        <v>45</v>
      </c>
      <c r="G2016" s="1" t="s">
        <v>46</v>
      </c>
      <c r="H2016" s="1" t="s">
        <v>22</v>
      </c>
      <c r="I2016" s="1" t="s">
        <v>29</v>
      </c>
      <c r="J2016" s="1">
        <v>-6.3932502128443591</v>
      </c>
      <c r="K2016" s="1">
        <v>358.61435929656</v>
      </c>
      <c r="L2016" s="1">
        <v>114.79148749423418</v>
      </c>
      <c r="N2016" s="1">
        <v>42.927651468317421</v>
      </c>
      <c r="O2016" s="11"/>
      <c r="P2016" s="11"/>
      <c r="Q2016" s="11"/>
      <c r="R2016" s="11"/>
    </row>
    <row r="2017" spans="4:18">
      <c r="D2017" s="1" t="s">
        <v>1014</v>
      </c>
      <c r="E2017" s="1" t="s">
        <v>1102</v>
      </c>
      <c r="F2017" s="1" t="s">
        <v>45</v>
      </c>
      <c r="G2017" s="1" t="s">
        <v>46</v>
      </c>
      <c r="H2017" s="1" t="s">
        <v>22</v>
      </c>
      <c r="I2017" s="1" t="s">
        <v>29</v>
      </c>
      <c r="J2017" s="1">
        <v>-6.3932502128443591</v>
      </c>
      <c r="K2017" s="1">
        <v>358.61435929656</v>
      </c>
      <c r="L2017" s="1">
        <v>114.79148749423418</v>
      </c>
      <c r="N2017" s="1">
        <v>42.783075138634636</v>
      </c>
      <c r="O2017" s="11"/>
      <c r="P2017" s="11"/>
      <c r="Q2017" s="11"/>
      <c r="R2017" s="11"/>
    </row>
    <row r="2018" spans="4:18">
      <c r="D2018" s="1" t="s">
        <v>1014</v>
      </c>
      <c r="E2018" s="1" t="s">
        <v>1103</v>
      </c>
      <c r="H2018" s="1" t="s">
        <v>22</v>
      </c>
      <c r="I2018" s="1" t="s">
        <v>29</v>
      </c>
      <c r="J2018" s="1">
        <v>-3.94</v>
      </c>
      <c r="K2018" s="1">
        <v>3.66</v>
      </c>
      <c r="L2018" s="1">
        <v>1</v>
      </c>
      <c r="N2018" s="1">
        <v>3.9226116687334231E-7</v>
      </c>
      <c r="O2018" s="11"/>
      <c r="P2018" s="11"/>
      <c r="Q2018" s="11"/>
      <c r="R2018" s="11"/>
    </row>
    <row r="2019" spans="4:18">
      <c r="D2019" s="1" t="s">
        <v>1014</v>
      </c>
      <c r="E2019" s="1" t="s">
        <v>1104</v>
      </c>
      <c r="F2019" s="1" t="s">
        <v>35</v>
      </c>
      <c r="G2019" s="1" t="s">
        <v>36</v>
      </c>
      <c r="H2019" s="1" t="s">
        <v>22</v>
      </c>
      <c r="I2019" s="1" t="s">
        <v>29</v>
      </c>
      <c r="J2019" s="1">
        <v>-99.670000000000016</v>
      </c>
      <c r="K2019" s="1">
        <v>440.33</v>
      </c>
      <c r="L2019" s="1">
        <v>80.329999999999984</v>
      </c>
      <c r="N2019" s="1">
        <v>85.295793385695845</v>
      </c>
      <c r="O2019" s="11"/>
      <c r="P2019" s="11"/>
      <c r="Q2019" s="11"/>
      <c r="R2019" s="11"/>
    </row>
    <row r="2020" spans="4:18">
      <c r="D2020" s="1" t="s">
        <v>1014</v>
      </c>
      <c r="E2020" s="1" t="s">
        <v>1105</v>
      </c>
      <c r="F2020" s="1" t="s">
        <v>35</v>
      </c>
      <c r="G2020" s="1" t="s">
        <v>36</v>
      </c>
      <c r="H2020" s="1" t="s">
        <v>22</v>
      </c>
      <c r="I2020" s="1" t="s">
        <v>29</v>
      </c>
      <c r="J2020" s="1">
        <v>-99.670000000000016</v>
      </c>
      <c r="K2020" s="1">
        <v>440.33</v>
      </c>
      <c r="L2020" s="1">
        <v>80.329999999999984</v>
      </c>
      <c r="N2020" s="1">
        <v>85.379805791740694</v>
      </c>
      <c r="O2020" s="11"/>
      <c r="P2020" s="11"/>
      <c r="Q2020" s="11"/>
      <c r="R2020" s="11"/>
    </row>
    <row r="2021" spans="4:18">
      <c r="D2021" s="1" t="s">
        <v>1014</v>
      </c>
      <c r="E2021" s="1" t="s">
        <v>1106</v>
      </c>
      <c r="F2021" s="1" t="s">
        <v>35</v>
      </c>
      <c r="G2021" s="1" t="s">
        <v>36</v>
      </c>
      <c r="H2021" s="1" t="s">
        <v>22</v>
      </c>
      <c r="I2021" s="1" t="s">
        <v>29</v>
      </c>
      <c r="J2021" s="1">
        <v>-99.670000000000016</v>
      </c>
      <c r="K2021" s="1">
        <v>440.33</v>
      </c>
      <c r="L2021" s="1">
        <v>80.329999999999984</v>
      </c>
      <c r="N2021" s="1">
        <v>85.467255400719353</v>
      </c>
      <c r="O2021" s="11"/>
      <c r="P2021" s="11"/>
      <c r="Q2021" s="11"/>
      <c r="R2021" s="11"/>
    </row>
    <row r="2022" spans="4:18">
      <c r="D2022" s="1" t="s">
        <v>1014</v>
      </c>
      <c r="E2022" s="1" t="s">
        <v>1107</v>
      </c>
      <c r="F2022" s="1" t="s">
        <v>35</v>
      </c>
      <c r="G2022" s="1" t="s">
        <v>36</v>
      </c>
      <c r="H2022" s="1" t="s">
        <v>22</v>
      </c>
      <c r="I2022" s="1" t="s">
        <v>29</v>
      </c>
      <c r="J2022" s="1">
        <v>-99.670000000000016</v>
      </c>
      <c r="K2022" s="1">
        <v>440.33</v>
      </c>
      <c r="L2022" s="1">
        <v>80.329999999999984</v>
      </c>
      <c r="N2022" s="1">
        <v>85.558163374877552</v>
      </c>
      <c r="O2022" s="11"/>
      <c r="P2022" s="11"/>
      <c r="Q2022" s="11"/>
      <c r="R2022" s="11"/>
    </row>
    <row r="2023" spans="4:18">
      <c r="D2023" s="1" t="s">
        <v>1014</v>
      </c>
      <c r="E2023" s="1" t="s">
        <v>1108</v>
      </c>
      <c r="F2023" s="1" t="s">
        <v>35</v>
      </c>
      <c r="G2023" s="1" t="s">
        <v>36</v>
      </c>
      <c r="H2023" s="1" t="s">
        <v>22</v>
      </c>
      <c r="I2023" s="1" t="s">
        <v>29</v>
      </c>
      <c r="J2023" s="1">
        <v>-99.670000000000016</v>
      </c>
      <c r="K2023" s="1">
        <v>440.33</v>
      </c>
      <c r="L2023" s="1">
        <v>80.329999999999984</v>
      </c>
      <c r="N2023" s="1">
        <v>85.652741575972925</v>
      </c>
      <c r="O2023" s="11"/>
      <c r="P2023" s="11"/>
      <c r="Q2023" s="11"/>
      <c r="R2023" s="11"/>
    </row>
    <row r="2024" spans="4:18">
      <c r="D2024" s="1" t="s">
        <v>1014</v>
      </c>
      <c r="E2024" s="1" t="s">
        <v>1109</v>
      </c>
      <c r="F2024" s="1" t="s">
        <v>35</v>
      </c>
      <c r="G2024" s="1" t="s">
        <v>36</v>
      </c>
      <c r="H2024" s="1" t="s">
        <v>22</v>
      </c>
      <c r="I2024" s="1" t="s">
        <v>29</v>
      </c>
      <c r="J2024" s="1">
        <v>-99.670000000000016</v>
      </c>
      <c r="K2024" s="1">
        <v>440.33</v>
      </c>
      <c r="L2024" s="1">
        <v>80.329999999999984</v>
      </c>
      <c r="N2024" s="1">
        <v>85.75114955058342</v>
      </c>
      <c r="O2024" s="11"/>
      <c r="P2024" s="11"/>
      <c r="Q2024" s="11"/>
      <c r="R2024" s="11"/>
    </row>
    <row r="2025" spans="4:18">
      <c r="D2025" s="1" t="s">
        <v>1014</v>
      </c>
      <c r="E2025" s="1" t="s">
        <v>1110</v>
      </c>
      <c r="F2025" s="1" t="s">
        <v>35</v>
      </c>
      <c r="G2025" s="1" t="s">
        <v>36</v>
      </c>
      <c r="H2025" s="1" t="s">
        <v>22</v>
      </c>
      <c r="I2025" s="1" t="s">
        <v>29</v>
      </c>
      <c r="J2025" s="1">
        <v>-99.670000000000016</v>
      </c>
      <c r="K2025" s="1">
        <v>440.33</v>
      </c>
      <c r="L2025" s="1">
        <v>80.329999999999984</v>
      </c>
      <c r="N2025" s="1">
        <v>85.853542268742842</v>
      </c>
      <c r="O2025" s="11"/>
      <c r="P2025" s="11"/>
      <c r="Q2025" s="11"/>
      <c r="R2025" s="11"/>
    </row>
    <row r="2026" spans="4:18">
      <c r="D2026" s="1" t="s">
        <v>1014</v>
      </c>
      <c r="E2026" s="1" t="s">
        <v>1111</v>
      </c>
      <c r="F2026" s="1" t="s">
        <v>35</v>
      </c>
      <c r="G2026" s="1" t="s">
        <v>36</v>
      </c>
      <c r="H2026" s="1" t="s">
        <v>22</v>
      </c>
      <c r="I2026" s="1" t="s">
        <v>29</v>
      </c>
      <c r="J2026" s="1">
        <v>-99.670000000000016</v>
      </c>
      <c r="K2026" s="1">
        <v>440.33</v>
      </c>
      <c r="L2026" s="1">
        <v>80.329999999999984</v>
      </c>
      <c r="N2026" s="1">
        <v>85.960080946828555</v>
      </c>
      <c r="O2026" s="11"/>
      <c r="P2026" s="11"/>
      <c r="Q2026" s="11"/>
      <c r="R2026" s="11"/>
    </row>
    <row r="2027" spans="4:18">
      <c r="D2027" s="1" t="s">
        <v>1014</v>
      </c>
      <c r="E2027" s="1" t="s">
        <v>1112</v>
      </c>
      <c r="F2027" s="1" t="s">
        <v>35</v>
      </c>
      <c r="G2027" s="1" t="s">
        <v>36</v>
      </c>
      <c r="H2027" s="1" t="s">
        <v>22</v>
      </c>
      <c r="I2027" s="1" t="s">
        <v>29</v>
      </c>
      <c r="J2027" s="1">
        <v>-99.670000000000016</v>
      </c>
      <c r="K2027" s="1">
        <v>440.33</v>
      </c>
      <c r="L2027" s="1">
        <v>80.329999999999984</v>
      </c>
      <c r="N2027" s="1">
        <v>86.070933297607155</v>
      </c>
      <c r="O2027" s="11"/>
      <c r="P2027" s="11"/>
      <c r="Q2027" s="11"/>
      <c r="R2027" s="11"/>
    </row>
    <row r="2028" spans="4:18">
      <c r="D2028" s="1" t="s">
        <v>1014</v>
      </c>
      <c r="E2028" s="1" t="s">
        <v>1113</v>
      </c>
      <c r="F2028" s="1" t="s">
        <v>35</v>
      </c>
      <c r="G2028" s="1" t="s">
        <v>36</v>
      </c>
      <c r="H2028" s="1" t="s">
        <v>22</v>
      </c>
      <c r="I2028" s="1" t="s">
        <v>29</v>
      </c>
      <c r="J2028" s="1">
        <v>-99.670000000000016</v>
      </c>
      <c r="K2028" s="1">
        <v>440.33</v>
      </c>
      <c r="L2028" s="1">
        <v>80.329999999999984</v>
      </c>
      <c r="N2028" s="1">
        <v>86.186273790159078</v>
      </c>
      <c r="O2028" s="11"/>
      <c r="P2028" s="11"/>
      <c r="Q2028" s="11"/>
      <c r="R2028" s="11"/>
    </row>
    <row r="2029" spans="4:18">
      <c r="D2029" s="1" t="s">
        <v>1014</v>
      </c>
      <c r="E2029" s="1" t="s">
        <v>1114</v>
      </c>
      <c r="F2029" s="1" t="s">
        <v>35</v>
      </c>
      <c r="G2029" s="1" t="s">
        <v>36</v>
      </c>
      <c r="H2029" s="1" t="s">
        <v>22</v>
      </c>
      <c r="I2029" s="1" t="s">
        <v>29</v>
      </c>
      <c r="J2029" s="1">
        <v>-31.018000000000029</v>
      </c>
      <c r="K2029" s="1">
        <v>256.99999999999994</v>
      </c>
      <c r="L2029" s="1">
        <v>80.329999999999984</v>
      </c>
      <c r="N2029" s="1">
        <v>85.071985720952796</v>
      </c>
      <c r="O2029" s="11"/>
      <c r="P2029" s="11"/>
      <c r="Q2029" s="11"/>
      <c r="R2029" s="11"/>
    </row>
    <row r="2030" spans="4:18">
      <c r="D2030" s="1" t="s">
        <v>1014</v>
      </c>
      <c r="E2030" s="1" t="s">
        <v>1115</v>
      </c>
      <c r="F2030" s="1" t="s">
        <v>35</v>
      </c>
      <c r="G2030" s="1" t="s">
        <v>36</v>
      </c>
      <c r="H2030" s="1" t="s">
        <v>22</v>
      </c>
      <c r="I2030" s="1" t="s">
        <v>29</v>
      </c>
      <c r="J2030" s="1">
        <v>-31.018000000000029</v>
      </c>
      <c r="K2030" s="1">
        <v>256.99999999999994</v>
      </c>
      <c r="L2030" s="1">
        <v>80.329999999999984</v>
      </c>
      <c r="N2030" s="1">
        <v>85.146922717666655</v>
      </c>
      <c r="O2030" s="11"/>
      <c r="P2030" s="11"/>
      <c r="Q2030" s="11"/>
      <c r="R2030" s="11"/>
    </row>
    <row r="2031" spans="4:18">
      <c r="D2031" s="1" t="s">
        <v>1014</v>
      </c>
      <c r="E2031" s="1" t="s">
        <v>1116</v>
      </c>
      <c r="F2031" s="1" t="s">
        <v>35</v>
      </c>
      <c r="G2031" s="1" t="s">
        <v>36</v>
      </c>
      <c r="H2031" s="1" t="s">
        <v>22</v>
      </c>
      <c r="I2031" s="1" t="s">
        <v>29</v>
      </c>
      <c r="J2031" s="1">
        <v>-31.018000000000029</v>
      </c>
      <c r="K2031" s="1">
        <v>256.99999999999994</v>
      </c>
      <c r="L2031" s="1">
        <v>80.329999999999984</v>
      </c>
      <c r="N2031" s="1">
        <v>85.224932259385071</v>
      </c>
      <c r="O2031" s="11"/>
      <c r="P2031" s="11"/>
      <c r="Q2031" s="11"/>
      <c r="R2031" s="11"/>
    </row>
    <row r="2032" spans="4:18">
      <c r="D2032" s="1" t="s">
        <v>1014</v>
      </c>
      <c r="E2032" s="1" t="s">
        <v>1117</v>
      </c>
      <c r="F2032" s="1" t="s">
        <v>35</v>
      </c>
      <c r="G2032" s="1" t="s">
        <v>36</v>
      </c>
      <c r="H2032" s="1" t="s">
        <v>22</v>
      </c>
      <c r="I2032" s="1" t="s">
        <v>29</v>
      </c>
      <c r="J2032" s="1">
        <v>-31.018000000000029</v>
      </c>
      <c r="K2032" s="1">
        <v>256.99999999999994</v>
      </c>
      <c r="L2032" s="1">
        <v>80.329999999999984</v>
      </c>
      <c r="N2032" s="1">
        <v>85.306111501259295</v>
      </c>
      <c r="O2032" s="11"/>
      <c r="P2032" s="11"/>
      <c r="Q2032" s="11"/>
      <c r="R2032" s="11"/>
    </row>
    <row r="2033" spans="4:18">
      <c r="D2033" s="1" t="s">
        <v>1014</v>
      </c>
      <c r="E2033" s="1" t="s">
        <v>1118</v>
      </c>
      <c r="F2033" s="1" t="s">
        <v>35</v>
      </c>
      <c r="G2033" s="1" t="s">
        <v>36</v>
      </c>
      <c r="H2033" s="1" t="s">
        <v>22</v>
      </c>
      <c r="I2033" s="1" t="s">
        <v>29</v>
      </c>
      <c r="J2033" s="1">
        <v>-31.018000000000029</v>
      </c>
      <c r="K2033" s="1">
        <v>256.99999999999994</v>
      </c>
      <c r="L2033" s="1">
        <v>80.329999999999984</v>
      </c>
      <c r="N2033" s="1">
        <v>85.390585823805679</v>
      </c>
      <c r="O2033" s="11"/>
      <c r="P2033" s="11"/>
      <c r="Q2033" s="11"/>
      <c r="R2033" s="11"/>
    </row>
    <row r="2034" spans="4:18">
      <c r="D2034" s="1" t="s">
        <v>1014</v>
      </c>
      <c r="E2034" s="1" t="s">
        <v>1119</v>
      </c>
      <c r="F2034" s="1" t="s">
        <v>35</v>
      </c>
      <c r="G2034" s="1" t="s">
        <v>36</v>
      </c>
      <c r="H2034" s="1" t="s">
        <v>22</v>
      </c>
      <c r="I2034" s="1" t="s">
        <v>29</v>
      </c>
      <c r="J2034" s="1">
        <v>-31.018000000000029</v>
      </c>
      <c r="K2034" s="1">
        <v>256.99999999999994</v>
      </c>
      <c r="L2034" s="1">
        <v>80.329999999999984</v>
      </c>
      <c r="N2034" s="1">
        <v>85.478489257841545</v>
      </c>
      <c r="O2034" s="11"/>
      <c r="P2034" s="11"/>
      <c r="Q2034" s="11"/>
      <c r="R2034" s="11"/>
    </row>
    <row r="2035" spans="4:18">
      <c r="D2035" s="1" t="s">
        <v>1014</v>
      </c>
      <c r="E2035" s="1" t="s">
        <v>1120</v>
      </c>
      <c r="F2035" s="1" t="s">
        <v>35</v>
      </c>
      <c r="G2035" s="1" t="s">
        <v>36</v>
      </c>
      <c r="H2035" s="1" t="s">
        <v>22</v>
      </c>
      <c r="I2035" s="1" t="s">
        <v>29</v>
      </c>
      <c r="J2035" s="1">
        <v>-31.018000000000029</v>
      </c>
      <c r="K2035" s="1">
        <v>256.99999999999994</v>
      </c>
      <c r="L2035" s="1">
        <v>80.329999999999984</v>
      </c>
      <c r="N2035" s="1">
        <v>85.56996129182329</v>
      </c>
      <c r="O2035" s="11"/>
      <c r="P2035" s="11"/>
      <c r="Q2035" s="11"/>
      <c r="R2035" s="11"/>
    </row>
    <row r="2036" spans="4:18">
      <c r="D2036" s="1" t="s">
        <v>1014</v>
      </c>
      <c r="E2036" s="1" t="s">
        <v>1121</v>
      </c>
      <c r="F2036" s="1" t="s">
        <v>35</v>
      </c>
      <c r="G2036" s="1" t="s">
        <v>36</v>
      </c>
      <c r="H2036" s="1" t="s">
        <v>22</v>
      </c>
      <c r="I2036" s="1" t="s">
        <v>29</v>
      </c>
      <c r="J2036" s="1">
        <v>-31.018000000000029</v>
      </c>
      <c r="K2036" s="1">
        <v>256.99999999999994</v>
      </c>
      <c r="L2036" s="1">
        <v>80.329999999999984</v>
      </c>
      <c r="N2036" s="1">
        <v>85.665147094664178</v>
      </c>
      <c r="O2036" s="11"/>
      <c r="P2036" s="11"/>
      <c r="Q2036" s="11"/>
      <c r="R2036" s="11"/>
    </row>
    <row r="2037" spans="4:18">
      <c r="D2037" s="1" t="s">
        <v>1014</v>
      </c>
      <c r="E2037" s="1" t="s">
        <v>1122</v>
      </c>
      <c r="F2037" s="1" t="s">
        <v>35</v>
      </c>
      <c r="G2037" s="1" t="s">
        <v>36</v>
      </c>
      <c r="H2037" s="1" t="s">
        <v>22</v>
      </c>
      <c r="I2037" s="1" t="s">
        <v>29</v>
      </c>
      <c r="J2037" s="1">
        <v>-31.018000000000029</v>
      </c>
      <c r="K2037" s="1">
        <v>256.99999999999994</v>
      </c>
      <c r="L2037" s="1">
        <v>80.329999999999984</v>
      </c>
      <c r="N2037" s="1">
        <v>85.764197747696528</v>
      </c>
      <c r="O2037" s="11"/>
      <c r="P2037" s="11"/>
      <c r="Q2037" s="11"/>
      <c r="R2037" s="11"/>
    </row>
    <row r="2038" spans="4:18">
      <c r="D2038" s="1" t="s">
        <v>1014</v>
      </c>
      <c r="E2038" s="1" t="s">
        <v>1123</v>
      </c>
      <c r="F2038" s="1" t="s">
        <v>35</v>
      </c>
      <c r="G2038" s="1" t="s">
        <v>36</v>
      </c>
      <c r="H2038" s="1" t="s">
        <v>22</v>
      </c>
      <c r="I2038" s="1" t="s">
        <v>29</v>
      </c>
      <c r="J2038" s="1">
        <v>-31.018000000000029</v>
      </c>
      <c r="K2038" s="1">
        <v>256.99999999999994</v>
      </c>
      <c r="L2038" s="1">
        <v>80.329999999999984</v>
      </c>
      <c r="N2038" s="1">
        <v>85.867270486144719</v>
      </c>
      <c r="O2038" s="11"/>
      <c r="P2038" s="11"/>
      <c r="Q2038" s="11"/>
      <c r="R2038" s="11"/>
    </row>
    <row r="2039" spans="4:18">
      <c r="D2039" s="1" t="s">
        <v>1014</v>
      </c>
      <c r="E2039" s="1" t="s">
        <v>1124</v>
      </c>
      <c r="F2039" s="1" t="s">
        <v>35</v>
      </c>
      <c r="G2039" s="1" t="s">
        <v>36</v>
      </c>
      <c r="H2039" s="1" t="s">
        <v>22</v>
      </c>
      <c r="I2039" s="1" t="s">
        <v>29</v>
      </c>
      <c r="J2039" s="1">
        <v>-31.018000000000029</v>
      </c>
      <c r="K2039" s="1">
        <v>256.99999999999994</v>
      </c>
      <c r="L2039" s="1">
        <v>80.329999999999984</v>
      </c>
      <c r="N2039" s="1">
        <v>84.999999999992212</v>
      </c>
      <c r="O2039" s="11"/>
      <c r="P2039" s="11"/>
      <c r="Q2039" s="11"/>
      <c r="R2039" s="11"/>
    </row>
    <row r="2040" spans="4:18">
      <c r="D2040" s="1" t="s">
        <v>1014</v>
      </c>
      <c r="E2040" s="1" t="s">
        <v>1125</v>
      </c>
      <c r="F2040" s="1" t="s">
        <v>35</v>
      </c>
      <c r="G2040" s="1" t="s">
        <v>36</v>
      </c>
      <c r="H2040" s="1" t="s">
        <v>22</v>
      </c>
      <c r="I2040" s="1" t="s">
        <v>29</v>
      </c>
      <c r="J2040" s="1">
        <v>-31.018000000000029</v>
      </c>
      <c r="K2040" s="1">
        <v>256.99999999999994</v>
      </c>
      <c r="L2040" s="1">
        <v>80.329999999999984</v>
      </c>
      <c r="N2040" s="1">
        <v>85.867270486144719</v>
      </c>
      <c r="O2040" s="11"/>
      <c r="P2040" s="11"/>
      <c r="Q2040" s="11"/>
      <c r="R2040" s="11"/>
    </row>
    <row r="2041" spans="4:18">
      <c r="D2041" s="1" t="s">
        <v>1014</v>
      </c>
      <c r="E2041" s="1" t="s">
        <v>1126</v>
      </c>
      <c r="F2041" s="1" t="s">
        <v>35</v>
      </c>
      <c r="G2041" s="1" t="s">
        <v>36</v>
      </c>
      <c r="H2041" s="1" t="s">
        <v>22</v>
      </c>
      <c r="I2041" s="1" t="s">
        <v>29</v>
      </c>
      <c r="J2041" s="1">
        <v>-99.670000000000016</v>
      </c>
      <c r="K2041" s="1">
        <v>440.33</v>
      </c>
      <c r="L2041" s="1">
        <v>80.329999999999984</v>
      </c>
      <c r="N2041" s="1">
        <v>89.859185236909354</v>
      </c>
      <c r="O2041" s="11"/>
      <c r="P2041" s="11"/>
      <c r="Q2041" s="11"/>
      <c r="R2041" s="11"/>
    </row>
    <row r="2042" spans="4:18">
      <c r="D2042" s="1" t="s">
        <v>1014</v>
      </c>
      <c r="E2042" s="1" t="s">
        <v>1127</v>
      </c>
      <c r="F2042" s="1" t="s">
        <v>35</v>
      </c>
      <c r="G2042" s="1" t="s">
        <v>36</v>
      </c>
      <c r="H2042" s="1" t="s">
        <v>22</v>
      </c>
      <c r="I2042" s="1" t="s">
        <v>29</v>
      </c>
      <c r="J2042" s="1">
        <v>-99.670000000000016</v>
      </c>
      <c r="K2042" s="1">
        <v>440.33</v>
      </c>
      <c r="L2042" s="1">
        <v>80.329999999999984</v>
      </c>
      <c r="N2042" s="1">
        <v>89.903671873112273</v>
      </c>
      <c r="O2042" s="11"/>
      <c r="P2042" s="11"/>
      <c r="Q2042" s="11"/>
      <c r="R2042" s="11"/>
    </row>
    <row r="2043" spans="4:18">
      <c r="D2043" s="1" t="s">
        <v>1014</v>
      </c>
      <c r="E2043" s="1" t="s">
        <v>1128</v>
      </c>
      <c r="F2043" s="1" t="s">
        <v>35</v>
      </c>
      <c r="G2043" s="1" t="s">
        <v>36</v>
      </c>
      <c r="H2043" s="1" t="s">
        <v>22</v>
      </c>
      <c r="I2043" s="1" t="s">
        <v>29</v>
      </c>
      <c r="J2043" s="1">
        <v>-99.670000000000016</v>
      </c>
      <c r="K2043" s="1">
        <v>440.33</v>
      </c>
      <c r="L2043" s="1">
        <v>80.329999999999984</v>
      </c>
      <c r="N2043" s="1">
        <v>89.951933616193799</v>
      </c>
      <c r="O2043" s="11"/>
      <c r="P2043" s="11"/>
      <c r="Q2043" s="11"/>
      <c r="R2043" s="11"/>
    </row>
    <row r="2044" spans="4:18">
      <c r="D2044" s="1" t="s">
        <v>1014</v>
      </c>
      <c r="E2044" s="1" t="s">
        <v>1129</v>
      </c>
      <c r="F2044" s="1" t="s">
        <v>35</v>
      </c>
      <c r="G2044" s="1" t="s">
        <v>36</v>
      </c>
      <c r="H2044" s="1" t="s">
        <v>22</v>
      </c>
      <c r="I2044" s="1" t="s">
        <v>29</v>
      </c>
      <c r="J2044" s="1">
        <v>-99.670000000000016</v>
      </c>
      <c r="K2044" s="1">
        <v>440.33</v>
      </c>
      <c r="L2044" s="1">
        <v>80.329999999999984</v>
      </c>
      <c r="N2044" s="1">
        <v>90.003990775630712</v>
      </c>
      <c r="O2044" s="11"/>
      <c r="P2044" s="11"/>
      <c r="Q2044" s="11"/>
      <c r="R2044" s="11"/>
    </row>
    <row r="2045" spans="4:18">
      <c r="D2045" s="1" t="s">
        <v>1014</v>
      </c>
      <c r="E2045" s="1" t="s">
        <v>1130</v>
      </c>
      <c r="F2045" s="1" t="s">
        <v>35</v>
      </c>
      <c r="G2045" s="1" t="s">
        <v>36</v>
      </c>
      <c r="H2045" s="1" t="s">
        <v>22</v>
      </c>
      <c r="I2045" s="1" t="s">
        <v>29</v>
      </c>
      <c r="J2045" s="1">
        <v>-99.670000000000016</v>
      </c>
      <c r="K2045" s="1">
        <v>440.33</v>
      </c>
      <c r="L2045" s="1">
        <v>80.329999999999984</v>
      </c>
      <c r="N2045" s="1">
        <v>90.060050400819193</v>
      </c>
      <c r="O2045" s="11"/>
      <c r="P2045" s="11"/>
      <c r="Q2045" s="11"/>
      <c r="R2045" s="11"/>
    </row>
    <row r="2046" spans="4:18">
      <c r="D2046" s="1" t="s">
        <v>1014</v>
      </c>
      <c r="E2046" s="1" t="s">
        <v>1131</v>
      </c>
      <c r="F2046" s="1" t="s">
        <v>35</v>
      </c>
      <c r="G2046" s="1" t="s">
        <v>36</v>
      </c>
      <c r="H2046" s="1" t="s">
        <v>22</v>
      </c>
      <c r="I2046" s="1" t="s">
        <v>29</v>
      </c>
      <c r="J2046" s="1">
        <v>-99.670000000000016</v>
      </c>
      <c r="K2046" s="1">
        <v>440.33</v>
      </c>
      <c r="L2046" s="1">
        <v>80.329999999999984</v>
      </c>
      <c r="N2046" s="1">
        <v>90.120268802613111</v>
      </c>
      <c r="O2046" s="11"/>
      <c r="P2046" s="11"/>
      <c r="Q2046" s="11"/>
      <c r="R2046" s="11"/>
    </row>
    <row r="2047" spans="4:18">
      <c r="D2047" s="1" t="s">
        <v>1014</v>
      </c>
      <c r="E2047" s="1" t="s">
        <v>1132</v>
      </c>
      <c r="F2047" s="1" t="s">
        <v>35</v>
      </c>
      <c r="G2047" s="1" t="s">
        <v>36</v>
      </c>
      <c r="H2047" s="1" t="s">
        <v>22</v>
      </c>
      <c r="I2047" s="1" t="s">
        <v>29</v>
      </c>
      <c r="J2047" s="1">
        <v>-99.670000000000016</v>
      </c>
      <c r="K2047" s="1">
        <v>440.33</v>
      </c>
      <c r="L2047" s="1">
        <v>80.329999999999984</v>
      </c>
      <c r="N2047" s="1">
        <v>90.184798002186255</v>
      </c>
      <c r="O2047" s="11"/>
      <c r="P2047" s="11"/>
      <c r="Q2047" s="11"/>
      <c r="R2047" s="11"/>
    </row>
    <row r="2048" spans="4:18">
      <c r="D2048" s="1" t="s">
        <v>1014</v>
      </c>
      <c r="E2048" s="1" t="s">
        <v>1133</v>
      </c>
      <c r="F2048" s="1" t="s">
        <v>35</v>
      </c>
      <c r="G2048" s="1" t="s">
        <v>36</v>
      </c>
      <c r="H2048" s="1" t="s">
        <v>22</v>
      </c>
      <c r="I2048" s="1" t="s">
        <v>29</v>
      </c>
      <c r="J2048" s="1">
        <v>-99.670000000000016</v>
      </c>
      <c r="K2048" s="1">
        <v>440.33</v>
      </c>
      <c r="L2048" s="1">
        <v>80.329999999999984</v>
      </c>
      <c r="N2048" s="1">
        <v>90.253796291672131</v>
      </c>
      <c r="O2048" s="11"/>
      <c r="P2048" s="11"/>
      <c r="Q2048" s="11"/>
      <c r="R2048" s="11"/>
    </row>
    <row r="2049" spans="4:18">
      <c r="D2049" s="1" t="s">
        <v>1014</v>
      </c>
      <c r="E2049" s="1" t="s">
        <v>1134</v>
      </c>
      <c r="F2049" s="1" t="s">
        <v>35</v>
      </c>
      <c r="G2049" s="1" t="s">
        <v>36</v>
      </c>
      <c r="H2049" s="1" t="s">
        <v>22</v>
      </c>
      <c r="I2049" s="1" t="s">
        <v>29</v>
      </c>
      <c r="J2049" s="1">
        <v>-99.670000000000016</v>
      </c>
      <c r="K2049" s="1">
        <v>440.33</v>
      </c>
      <c r="L2049" s="1">
        <v>80.329999999999984</v>
      </c>
      <c r="N2049" s="1">
        <v>90.327428484096743</v>
      </c>
      <c r="O2049" s="11"/>
      <c r="P2049" s="11"/>
      <c r="Q2049" s="11"/>
      <c r="R2049" s="11"/>
    </row>
    <row r="2050" spans="4:18">
      <c r="D2050" s="1" t="s">
        <v>1014</v>
      </c>
      <c r="E2050" s="1" t="s">
        <v>1135</v>
      </c>
      <c r="F2050" s="1" t="s">
        <v>35</v>
      </c>
      <c r="G2050" s="1" t="s">
        <v>36</v>
      </c>
      <c r="H2050" s="1" t="s">
        <v>22</v>
      </c>
      <c r="I2050" s="1" t="s">
        <v>29</v>
      </c>
      <c r="J2050" s="1">
        <v>-99.670000000000016</v>
      </c>
      <c r="K2050" s="1">
        <v>440.33</v>
      </c>
      <c r="L2050" s="1">
        <v>80.329999999999984</v>
      </c>
      <c r="N2050" s="1">
        <v>90.4058661732019</v>
      </c>
      <c r="O2050" s="11"/>
      <c r="P2050" s="11"/>
      <c r="Q2050" s="11"/>
      <c r="R2050" s="11"/>
    </row>
    <row r="2051" spans="4:18">
      <c r="D2051" s="1" t="s">
        <v>1014</v>
      </c>
      <c r="E2051" s="1" t="s">
        <v>1136</v>
      </c>
      <c r="F2051" s="1" t="s">
        <v>35</v>
      </c>
      <c r="G2051" s="1" t="s">
        <v>36</v>
      </c>
      <c r="H2051" s="1" t="s">
        <v>22</v>
      </c>
      <c r="I2051" s="1" t="s">
        <v>29</v>
      </c>
      <c r="J2051" s="1">
        <v>-31.018000000000029</v>
      </c>
      <c r="K2051" s="1">
        <v>256.99999999999994</v>
      </c>
      <c r="L2051" s="1">
        <v>80.329999999999984</v>
      </c>
      <c r="N2051" s="1">
        <v>89.764725041480858</v>
      </c>
      <c r="O2051" s="11"/>
      <c r="P2051" s="11"/>
      <c r="Q2051" s="11"/>
      <c r="R2051" s="11"/>
    </row>
    <row r="2052" spans="4:18">
      <c r="D2052" s="1" t="s">
        <v>1014</v>
      </c>
      <c r="E2052" s="1" t="s">
        <v>1137</v>
      </c>
      <c r="F2052" s="1" t="s">
        <v>35</v>
      </c>
      <c r="G2052" s="1" t="s">
        <v>36</v>
      </c>
      <c r="H2052" s="1" t="s">
        <v>22</v>
      </c>
      <c r="I2052" s="1" t="s">
        <v>29</v>
      </c>
      <c r="J2052" s="1">
        <v>-31.018000000000029</v>
      </c>
      <c r="K2052" s="1">
        <v>256.99999999999994</v>
      </c>
      <c r="L2052" s="1">
        <v>80.329999999999984</v>
      </c>
      <c r="N2052" s="1">
        <v>89.799223827275853</v>
      </c>
      <c r="O2052" s="11"/>
      <c r="P2052" s="11"/>
      <c r="Q2052" s="11"/>
      <c r="R2052" s="11"/>
    </row>
    <row r="2053" spans="4:18">
      <c r="D2053" s="1" t="s">
        <v>1014</v>
      </c>
      <c r="E2053" s="1" t="s">
        <v>1138</v>
      </c>
      <c r="F2053" s="1" t="s">
        <v>35</v>
      </c>
      <c r="G2053" s="1" t="s">
        <v>36</v>
      </c>
      <c r="H2053" s="1" t="s">
        <v>22</v>
      </c>
      <c r="I2053" s="1" t="s">
        <v>29</v>
      </c>
      <c r="J2053" s="1">
        <v>-31.018000000000029</v>
      </c>
      <c r="K2053" s="1">
        <v>256.99999999999994</v>
      </c>
      <c r="L2053" s="1">
        <v>80.329999999999984</v>
      </c>
      <c r="N2053" s="1">
        <v>89.837145715645136</v>
      </c>
      <c r="O2053" s="11"/>
      <c r="P2053" s="11"/>
      <c r="Q2053" s="11"/>
      <c r="R2053" s="11"/>
    </row>
    <row r="2054" spans="4:18">
      <c r="D2054" s="1" t="s">
        <v>1014</v>
      </c>
      <c r="E2054" s="1" t="s">
        <v>1139</v>
      </c>
      <c r="F2054" s="1" t="s">
        <v>35</v>
      </c>
      <c r="G2054" s="1" t="s">
        <v>36</v>
      </c>
      <c r="H2054" s="1" t="s">
        <v>22</v>
      </c>
      <c r="I2054" s="1" t="s">
        <v>29</v>
      </c>
      <c r="J2054" s="1">
        <v>-31.018000000000029</v>
      </c>
      <c r="K2054" s="1">
        <v>256.99999999999994</v>
      </c>
      <c r="L2054" s="1">
        <v>80.329999999999984</v>
      </c>
      <c r="N2054" s="1">
        <v>89.878584844273462</v>
      </c>
      <c r="O2054" s="11"/>
      <c r="P2054" s="11"/>
      <c r="Q2054" s="11"/>
      <c r="R2054" s="11"/>
    </row>
    <row r="2055" spans="4:18">
      <c r="D2055" s="1" t="s">
        <v>1014</v>
      </c>
      <c r="E2055" s="1" t="s">
        <v>1140</v>
      </c>
      <c r="F2055" s="1" t="s">
        <v>35</v>
      </c>
      <c r="G2055" s="1" t="s">
        <v>36</v>
      </c>
      <c r="H2055" s="1" t="s">
        <v>22</v>
      </c>
      <c r="I2055" s="1" t="s">
        <v>29</v>
      </c>
      <c r="J2055" s="1">
        <v>-31.018000000000029</v>
      </c>
      <c r="K2055" s="1">
        <v>256.99999999999994</v>
      </c>
      <c r="L2055" s="1">
        <v>80.329999999999984</v>
      </c>
      <c r="N2055" s="1">
        <v>89.923663621574917</v>
      </c>
      <c r="O2055" s="11"/>
      <c r="P2055" s="11"/>
      <c r="Q2055" s="11"/>
      <c r="R2055" s="11"/>
    </row>
    <row r="2056" spans="4:18">
      <c r="D2056" s="1" t="s">
        <v>1014</v>
      </c>
      <c r="E2056" s="1" t="s">
        <v>1141</v>
      </c>
      <c r="F2056" s="1" t="s">
        <v>35</v>
      </c>
      <c r="G2056" s="1" t="s">
        <v>36</v>
      </c>
      <c r="H2056" s="1" t="s">
        <v>22</v>
      </c>
      <c r="I2056" s="1" t="s">
        <v>29</v>
      </c>
      <c r="J2056" s="1">
        <v>-31.018000000000029</v>
      </c>
      <c r="K2056" s="1">
        <v>256.99999999999994</v>
      </c>
      <c r="L2056" s="1">
        <v>80.329999999999984</v>
      </c>
      <c r="N2056" s="1">
        <v>89.972513135164434</v>
      </c>
      <c r="O2056" s="11"/>
      <c r="P2056" s="11"/>
      <c r="Q2056" s="11"/>
      <c r="R2056" s="11"/>
    </row>
    <row r="2057" spans="4:18">
      <c r="D2057" s="1" t="s">
        <v>1014</v>
      </c>
      <c r="E2057" s="1" t="s">
        <v>1142</v>
      </c>
      <c r="F2057" s="1" t="s">
        <v>35</v>
      </c>
      <c r="G2057" s="1" t="s">
        <v>36</v>
      </c>
      <c r="H2057" s="1" t="s">
        <v>22</v>
      </c>
      <c r="I2057" s="1" t="s">
        <v>29</v>
      </c>
      <c r="J2057" s="1">
        <v>-31.018000000000029</v>
      </c>
      <c r="K2057" s="1">
        <v>256.99999999999994</v>
      </c>
      <c r="L2057" s="1">
        <v>80.329999999999984</v>
      </c>
      <c r="N2057" s="1">
        <v>90.025269956196269</v>
      </c>
      <c r="O2057" s="11"/>
      <c r="P2057" s="11"/>
      <c r="Q2057" s="11"/>
      <c r="R2057" s="11"/>
    </row>
    <row r="2058" spans="4:18">
      <c r="D2058" s="1" t="s">
        <v>1014</v>
      </c>
      <c r="E2058" s="1" t="s">
        <v>1143</v>
      </c>
      <c r="F2058" s="1" t="s">
        <v>35</v>
      </c>
      <c r="G2058" s="1" t="s">
        <v>36</v>
      </c>
      <c r="H2058" s="1" t="s">
        <v>22</v>
      </c>
      <c r="I2058" s="1" t="s">
        <v>29</v>
      </c>
      <c r="J2058" s="1">
        <v>-31.018000000000029</v>
      </c>
      <c r="K2058" s="1">
        <v>256.99999999999994</v>
      </c>
      <c r="L2058" s="1">
        <v>80.329999999999984</v>
      </c>
      <c r="N2058" s="1">
        <v>90.082076361919633</v>
      </c>
      <c r="O2058" s="11"/>
      <c r="P2058" s="11"/>
      <c r="Q2058" s="11"/>
      <c r="R2058" s="11"/>
    </row>
    <row r="2059" spans="4:18">
      <c r="D2059" s="1" t="s">
        <v>1014</v>
      </c>
      <c r="E2059" s="1" t="s">
        <v>1144</v>
      </c>
      <c r="F2059" s="1" t="s">
        <v>35</v>
      </c>
      <c r="G2059" s="1" t="s">
        <v>36</v>
      </c>
      <c r="H2059" s="1" t="s">
        <v>22</v>
      </c>
      <c r="I2059" s="1" t="s">
        <v>29</v>
      </c>
      <c r="J2059" s="1">
        <v>-31.018000000000029</v>
      </c>
      <c r="K2059" s="1">
        <v>256.99999999999994</v>
      </c>
      <c r="L2059" s="1">
        <v>80.329999999999984</v>
      </c>
      <c r="N2059" s="1">
        <v>90.14308056737201</v>
      </c>
      <c r="O2059" s="11"/>
      <c r="P2059" s="11"/>
      <c r="Q2059" s="11"/>
      <c r="R2059" s="11"/>
    </row>
    <row r="2060" spans="4:18">
      <c r="D2060" s="1" t="s">
        <v>1014</v>
      </c>
      <c r="E2060" s="1" t="s">
        <v>1145</v>
      </c>
      <c r="F2060" s="1" t="s">
        <v>35</v>
      </c>
      <c r="G2060" s="1" t="s">
        <v>36</v>
      </c>
      <c r="H2060" s="1" t="s">
        <v>22</v>
      </c>
      <c r="I2060" s="1" t="s">
        <v>29</v>
      </c>
      <c r="J2060" s="1">
        <v>-31.018000000000029</v>
      </c>
      <c r="K2060" s="1">
        <v>256.99999999999994</v>
      </c>
      <c r="L2060" s="1">
        <v>80.329999999999984</v>
      </c>
      <c r="N2060" s="1">
        <v>90.208436966579768</v>
      </c>
      <c r="O2060" s="11"/>
      <c r="P2060" s="11"/>
      <c r="Q2060" s="11"/>
      <c r="R2060" s="11"/>
    </row>
    <row r="2061" spans="4:18">
      <c r="D2061" s="1" t="s">
        <v>1014</v>
      </c>
      <c r="E2061" s="1" t="s">
        <v>1146</v>
      </c>
      <c r="F2061" s="1" t="s">
        <v>35</v>
      </c>
      <c r="G2061" s="1" t="s">
        <v>36</v>
      </c>
      <c r="H2061" s="1" t="s">
        <v>22</v>
      </c>
      <c r="I2061" s="1" t="s">
        <v>29</v>
      </c>
      <c r="J2061" s="1">
        <v>-31.018000000000029</v>
      </c>
      <c r="K2061" s="1">
        <v>256.99999999999994</v>
      </c>
      <c r="L2061" s="1">
        <v>80.329999999999984</v>
      </c>
      <c r="N2061" s="1">
        <v>89.733531110522051</v>
      </c>
      <c r="O2061" s="11"/>
      <c r="P2061" s="11"/>
      <c r="Q2061" s="11"/>
      <c r="R2061" s="11"/>
    </row>
    <row r="2062" spans="4:18">
      <c r="D2062" s="1" t="s">
        <v>1014</v>
      </c>
      <c r="E2062" s="1" t="s">
        <v>1147</v>
      </c>
      <c r="F2062" s="1" t="s">
        <v>35</v>
      </c>
      <c r="G2062" s="1" t="s">
        <v>36</v>
      </c>
      <c r="H2062" s="1" t="s">
        <v>22</v>
      </c>
      <c r="I2062" s="1" t="s">
        <v>29</v>
      </c>
      <c r="J2062" s="1">
        <v>-31.018000000000029</v>
      </c>
      <c r="K2062" s="1">
        <v>256.99999999999994</v>
      </c>
      <c r="L2062" s="1">
        <v>80.329999999999984</v>
      </c>
      <c r="N2062" s="1">
        <v>90.208436966581019</v>
      </c>
      <c r="O2062" s="11"/>
      <c r="P2062" s="11"/>
      <c r="Q2062" s="11"/>
      <c r="R2062" s="11"/>
    </row>
    <row r="2063" spans="4:18">
      <c r="D2063" s="1" t="s">
        <v>1014</v>
      </c>
      <c r="E2063" s="1" t="s">
        <v>1148</v>
      </c>
      <c r="F2063" s="1" t="s">
        <v>35</v>
      </c>
      <c r="G2063" s="1" t="s">
        <v>36</v>
      </c>
      <c r="H2063" s="1" t="s">
        <v>22</v>
      </c>
      <c r="I2063" s="1" t="s">
        <v>29</v>
      </c>
      <c r="J2063" s="1">
        <v>-99.670000000000016</v>
      </c>
      <c r="K2063" s="1">
        <v>440.33</v>
      </c>
      <c r="L2063" s="1">
        <v>80.329999999999984</v>
      </c>
      <c r="N2063" s="1">
        <v>87.41892049661493</v>
      </c>
      <c r="O2063" s="11"/>
      <c r="P2063" s="11"/>
      <c r="Q2063" s="11"/>
      <c r="R2063" s="11"/>
    </row>
    <row r="2064" spans="4:18">
      <c r="D2064" s="1" t="s">
        <v>1014</v>
      </c>
      <c r="E2064" s="1" t="s">
        <v>1149</v>
      </c>
      <c r="F2064" s="1" t="s">
        <v>35</v>
      </c>
      <c r="G2064" s="1" t="s">
        <v>36</v>
      </c>
      <c r="H2064" s="1" t="s">
        <v>22</v>
      </c>
      <c r="I2064" s="1" t="s">
        <v>29</v>
      </c>
      <c r="J2064" s="1">
        <v>-99.670000000000016</v>
      </c>
      <c r="K2064" s="1">
        <v>440.33</v>
      </c>
      <c r="L2064" s="1">
        <v>80.329999999999984</v>
      </c>
      <c r="N2064" s="1">
        <v>87.726597487615493</v>
      </c>
      <c r="O2064" s="11"/>
      <c r="P2064" s="11"/>
      <c r="Q2064" s="11"/>
      <c r="R2064" s="11"/>
    </row>
    <row r="2065" spans="4:18">
      <c r="D2065" s="1" t="s">
        <v>1014</v>
      </c>
      <c r="E2065" s="1" t="s">
        <v>1150</v>
      </c>
      <c r="F2065" s="1" t="s">
        <v>35</v>
      </c>
      <c r="G2065" s="1" t="s">
        <v>36</v>
      </c>
      <c r="H2065" s="1" t="s">
        <v>22</v>
      </c>
      <c r="I2065" s="1" t="s">
        <v>29</v>
      </c>
      <c r="J2065" s="1">
        <v>-99.670000000000016</v>
      </c>
      <c r="K2065" s="1">
        <v>440.33</v>
      </c>
      <c r="L2065" s="1">
        <v>80.329999999999984</v>
      </c>
      <c r="N2065" s="1">
        <v>88.030371568907583</v>
      </c>
      <c r="O2065" s="11"/>
      <c r="P2065" s="11"/>
      <c r="Q2065" s="11"/>
      <c r="R2065" s="11"/>
    </row>
    <row r="2066" spans="4:18">
      <c r="D2066" s="1" t="s">
        <v>1014</v>
      </c>
      <c r="E2066" s="1" t="s">
        <v>1151</v>
      </c>
      <c r="F2066" s="1" t="s">
        <v>35</v>
      </c>
      <c r="G2066" s="1" t="s">
        <v>36</v>
      </c>
      <c r="H2066" s="1" t="s">
        <v>22</v>
      </c>
      <c r="I2066" s="1" t="s">
        <v>29</v>
      </c>
      <c r="J2066" s="1">
        <v>-99.670000000000016</v>
      </c>
      <c r="K2066" s="1">
        <v>440.33</v>
      </c>
      <c r="L2066" s="1">
        <v>80.329999999999984</v>
      </c>
      <c r="N2066" s="1">
        <v>88.330132655471004</v>
      </c>
      <c r="O2066" s="11"/>
      <c r="P2066" s="11"/>
      <c r="Q2066" s="11"/>
      <c r="R2066" s="11"/>
    </row>
    <row r="2067" spans="4:18">
      <c r="D2067" s="1" t="s">
        <v>1014</v>
      </c>
      <c r="E2067" s="1" t="s">
        <v>1152</v>
      </c>
      <c r="F2067" s="1" t="s">
        <v>35</v>
      </c>
      <c r="G2067" s="1" t="s">
        <v>36</v>
      </c>
      <c r="H2067" s="1" t="s">
        <v>22</v>
      </c>
      <c r="I2067" s="1" t="s">
        <v>29</v>
      </c>
      <c r="J2067" s="1">
        <v>-99.670000000000016</v>
      </c>
      <c r="K2067" s="1">
        <v>440.33</v>
      </c>
      <c r="L2067" s="1">
        <v>80.329999999999984</v>
      </c>
      <c r="N2067" s="1">
        <v>88.625770304079367</v>
      </c>
      <c r="O2067" s="11"/>
      <c r="P2067" s="11"/>
      <c r="Q2067" s="11"/>
      <c r="R2067" s="11"/>
    </row>
    <row r="2068" spans="4:18">
      <c r="D2068" s="1" t="s">
        <v>1014</v>
      </c>
      <c r="E2068" s="1" t="s">
        <v>1153</v>
      </c>
      <c r="F2068" s="1" t="s">
        <v>35</v>
      </c>
      <c r="G2068" s="1" t="s">
        <v>36</v>
      </c>
      <c r="H2068" s="1" t="s">
        <v>22</v>
      </c>
      <c r="I2068" s="1" t="s">
        <v>29</v>
      </c>
      <c r="J2068" s="1">
        <v>-99.670000000000016</v>
      </c>
      <c r="K2068" s="1">
        <v>440.33</v>
      </c>
      <c r="L2068" s="1">
        <v>80.329999999999984</v>
      </c>
      <c r="N2068" s="1">
        <v>88.917174113044382</v>
      </c>
      <c r="O2068" s="11"/>
      <c r="P2068" s="11"/>
      <c r="Q2068" s="11"/>
      <c r="R2068" s="11"/>
    </row>
    <row r="2069" spans="4:18">
      <c r="D2069" s="1" t="s">
        <v>1014</v>
      </c>
      <c r="E2069" s="1" t="s">
        <v>1154</v>
      </c>
      <c r="F2069" s="1" t="s">
        <v>35</v>
      </c>
      <c r="G2069" s="1" t="s">
        <v>36</v>
      </c>
      <c r="H2069" s="1" t="s">
        <v>22</v>
      </c>
      <c r="I2069" s="1" t="s">
        <v>29</v>
      </c>
      <c r="J2069" s="1">
        <v>-99.670000000000016</v>
      </c>
      <c r="K2069" s="1">
        <v>440.33</v>
      </c>
      <c r="L2069" s="1">
        <v>80.329999999999984</v>
      </c>
      <c r="N2069" s="1">
        <v>89.204234161936199</v>
      </c>
      <c r="O2069" s="11"/>
      <c r="P2069" s="11"/>
      <c r="Q2069" s="11"/>
      <c r="R2069" s="11"/>
    </row>
    <row r="2070" spans="4:18">
      <c r="D2070" s="1" t="s">
        <v>1014</v>
      </c>
      <c r="E2070" s="1" t="s">
        <v>1155</v>
      </c>
      <c r="F2070" s="1" t="s">
        <v>35</v>
      </c>
      <c r="G2070" s="1" t="s">
        <v>36</v>
      </c>
      <c r="H2070" s="1" t="s">
        <v>22</v>
      </c>
      <c r="I2070" s="1" t="s">
        <v>29</v>
      </c>
      <c r="J2070" s="1">
        <v>-99.670000000000016</v>
      </c>
      <c r="K2070" s="1">
        <v>440.33</v>
      </c>
      <c r="L2070" s="1">
        <v>80.329999999999984</v>
      </c>
      <c r="N2070" s="1">
        <v>89.486841490636209</v>
      </c>
      <c r="O2070" s="11"/>
      <c r="P2070" s="11"/>
      <c r="Q2070" s="11"/>
      <c r="R2070" s="11"/>
    </row>
    <row r="2071" spans="4:18">
      <c r="D2071" s="1" t="s">
        <v>1014</v>
      </c>
      <c r="E2071" s="1" t="s">
        <v>1156</v>
      </c>
      <c r="F2071" s="1" t="s">
        <v>35</v>
      </c>
      <c r="G2071" s="1" t="s">
        <v>36</v>
      </c>
      <c r="H2071" s="1" t="s">
        <v>22</v>
      </c>
      <c r="I2071" s="1" t="s">
        <v>29</v>
      </c>
      <c r="J2071" s="1">
        <v>-99.670000000000016</v>
      </c>
      <c r="K2071" s="1">
        <v>440.33</v>
      </c>
      <c r="L2071" s="1">
        <v>80.329999999999984</v>
      </c>
      <c r="N2071" s="1">
        <v>89.764888616108408</v>
      </c>
      <c r="O2071" s="11"/>
      <c r="P2071" s="11"/>
      <c r="Q2071" s="11"/>
      <c r="R2071" s="11"/>
    </row>
    <row r="2072" spans="4:18">
      <c r="D2072" s="1" t="s">
        <v>1014</v>
      </c>
      <c r="E2072" s="1" t="s">
        <v>1157</v>
      </c>
      <c r="F2072" s="1" t="s">
        <v>35</v>
      </c>
      <c r="G2072" s="1" t="s">
        <v>36</v>
      </c>
      <c r="H2072" s="1" t="s">
        <v>22</v>
      </c>
      <c r="I2072" s="1" t="s">
        <v>29</v>
      </c>
      <c r="J2072" s="1">
        <v>-99.670000000000016</v>
      </c>
      <c r="K2072" s="1">
        <v>440.33</v>
      </c>
      <c r="L2072" s="1">
        <v>80.329999999999984</v>
      </c>
      <c r="N2072" s="1">
        <v>90.038270084434942</v>
      </c>
      <c r="O2072" s="11"/>
      <c r="P2072" s="11"/>
      <c r="Q2072" s="11"/>
      <c r="R2072" s="11"/>
    </row>
    <row r="2073" spans="4:18">
      <c r="D2073" s="1" t="s">
        <v>1014</v>
      </c>
      <c r="E2073" s="1" t="s">
        <v>1158</v>
      </c>
      <c r="F2073" s="1" t="s">
        <v>35</v>
      </c>
      <c r="G2073" s="1" t="s">
        <v>36</v>
      </c>
      <c r="H2073" s="1" t="s">
        <v>22</v>
      </c>
      <c r="I2073" s="1" t="s">
        <v>29</v>
      </c>
      <c r="J2073" s="1">
        <v>-99.670000000000016</v>
      </c>
      <c r="K2073" s="1">
        <v>440.33</v>
      </c>
      <c r="L2073" s="1">
        <v>80.329999999999984</v>
      </c>
      <c r="N2073" s="1">
        <v>90.306883054526736</v>
      </c>
      <c r="O2073" s="11"/>
      <c r="P2073" s="11"/>
      <c r="Q2073" s="11"/>
      <c r="R2073" s="11"/>
    </row>
    <row r="2074" spans="4:18">
      <c r="D2074" s="1" t="s">
        <v>1014</v>
      </c>
      <c r="E2074" s="1" t="s">
        <v>1159</v>
      </c>
      <c r="F2074" s="1" t="s">
        <v>35</v>
      </c>
      <c r="G2074" s="1" t="s">
        <v>36</v>
      </c>
      <c r="H2074" s="1" t="s">
        <v>22</v>
      </c>
      <c r="I2074" s="1" t="s">
        <v>29</v>
      </c>
      <c r="J2074" s="1">
        <v>-99.670000000000016</v>
      </c>
      <c r="K2074" s="1">
        <v>440.33</v>
      </c>
      <c r="L2074" s="1">
        <v>80.329999999999984</v>
      </c>
      <c r="N2074" s="1">
        <v>90.5706279088717</v>
      </c>
      <c r="O2074" s="11"/>
      <c r="P2074" s="11"/>
      <c r="Q2074" s="11"/>
      <c r="R2074" s="11"/>
    </row>
    <row r="2075" spans="4:18">
      <c r="D2075" s="1" t="s">
        <v>1014</v>
      </c>
      <c r="E2075" s="1" t="s">
        <v>1160</v>
      </c>
      <c r="F2075" s="1" t="s">
        <v>35</v>
      </c>
      <c r="G2075" s="1" t="s">
        <v>36</v>
      </c>
      <c r="H2075" s="1" t="s">
        <v>22</v>
      </c>
      <c r="I2075" s="1" t="s">
        <v>29</v>
      </c>
      <c r="J2075" s="1">
        <v>-99.670000000000016</v>
      </c>
      <c r="K2075" s="1">
        <v>440.33</v>
      </c>
      <c r="L2075" s="1">
        <v>80.329999999999984</v>
      </c>
      <c r="N2075" s="1">
        <v>90.829408885531336</v>
      </c>
      <c r="O2075" s="11"/>
      <c r="P2075" s="11"/>
      <c r="Q2075" s="11"/>
      <c r="R2075" s="11"/>
    </row>
    <row r="2076" spans="4:18">
      <c r="D2076" s="1" t="s">
        <v>1014</v>
      </c>
      <c r="E2076" s="1" t="s">
        <v>1161</v>
      </c>
      <c r="F2076" s="1" t="s">
        <v>35</v>
      </c>
      <c r="G2076" s="1" t="s">
        <v>36</v>
      </c>
      <c r="H2076" s="1" t="s">
        <v>22</v>
      </c>
      <c r="I2076" s="1" t="s">
        <v>29</v>
      </c>
      <c r="J2076" s="1">
        <v>-99.670000000000016</v>
      </c>
      <c r="K2076" s="1">
        <v>440.33</v>
      </c>
      <c r="L2076" s="1">
        <v>80.329999999999984</v>
      </c>
      <c r="N2076" s="1">
        <v>91.083134724464742</v>
      </c>
      <c r="O2076" s="11"/>
      <c r="P2076" s="11"/>
      <c r="Q2076" s="11"/>
      <c r="R2076" s="11"/>
    </row>
    <row r="2077" spans="4:18">
      <c r="D2077" s="1" t="s">
        <v>1014</v>
      </c>
      <c r="E2077" s="1" t="s">
        <v>1162</v>
      </c>
      <c r="F2077" s="1" t="s">
        <v>35</v>
      </c>
      <c r="G2077" s="1" t="s">
        <v>36</v>
      </c>
      <c r="H2077" s="1" t="s">
        <v>22</v>
      </c>
      <c r="I2077" s="1" t="s">
        <v>29</v>
      </c>
      <c r="J2077" s="1">
        <v>-99.670000000000016</v>
      </c>
      <c r="K2077" s="1">
        <v>440.33</v>
      </c>
      <c r="L2077" s="1">
        <v>80.329999999999984</v>
      </c>
      <c r="N2077" s="1">
        <v>91.336549722282086</v>
      </c>
      <c r="O2077" s="11"/>
      <c r="P2077" s="11"/>
      <c r="Q2077" s="11"/>
      <c r="R2077" s="11"/>
    </row>
    <row r="2078" spans="4:18">
      <c r="D2078" s="1" t="s">
        <v>1014</v>
      </c>
      <c r="E2078" s="1" t="s">
        <v>1163</v>
      </c>
      <c r="F2078" s="1" t="s">
        <v>35</v>
      </c>
      <c r="G2078" s="1" t="s">
        <v>36</v>
      </c>
      <c r="H2078" s="1" t="s">
        <v>22</v>
      </c>
      <c r="I2078" s="1" t="s">
        <v>29</v>
      </c>
      <c r="J2078" s="1">
        <v>-99.670000000000016</v>
      </c>
      <c r="K2078" s="1">
        <v>440.33</v>
      </c>
      <c r="L2078" s="1">
        <v>80.329999999999984</v>
      </c>
      <c r="N2078" s="1">
        <v>91.585488781772199</v>
      </c>
      <c r="O2078" s="11"/>
      <c r="P2078" s="11"/>
      <c r="Q2078" s="11"/>
      <c r="R2078" s="11"/>
    </row>
    <row r="2079" spans="4:18">
      <c r="D2079" s="1" t="s">
        <v>1014</v>
      </c>
      <c r="E2079" s="1" t="s">
        <v>1164</v>
      </c>
      <c r="F2079" s="1" t="s">
        <v>35</v>
      </c>
      <c r="G2079" s="1" t="s">
        <v>36</v>
      </c>
      <c r="H2079" s="1" t="s">
        <v>22</v>
      </c>
      <c r="I2079" s="1" t="s">
        <v>29</v>
      </c>
      <c r="J2079" s="1">
        <v>-99.670000000000016</v>
      </c>
      <c r="K2079" s="1">
        <v>440.33</v>
      </c>
      <c r="L2079" s="1">
        <v>80.329999999999984</v>
      </c>
      <c r="N2079" s="1">
        <v>91.829576408942955</v>
      </c>
      <c r="O2079" s="11"/>
      <c r="P2079" s="11"/>
      <c r="Q2079" s="11"/>
      <c r="R2079" s="11"/>
    </row>
    <row r="2080" spans="4:18">
      <c r="D2080" s="1" t="s">
        <v>1014</v>
      </c>
      <c r="E2080" s="1" t="s">
        <v>1165</v>
      </c>
      <c r="F2080" s="1" t="s">
        <v>35</v>
      </c>
      <c r="G2080" s="1" t="s">
        <v>36</v>
      </c>
      <c r="H2080" s="1" t="s">
        <v>22</v>
      </c>
      <c r="I2080" s="1" t="s">
        <v>29</v>
      </c>
      <c r="J2080" s="1">
        <v>-99.670000000000016</v>
      </c>
      <c r="K2080" s="1">
        <v>440.33</v>
      </c>
      <c r="L2080" s="1">
        <v>80.329999999999984</v>
      </c>
      <c r="N2080" s="1">
        <v>92.068690410704733</v>
      </c>
      <c r="O2080" s="11"/>
      <c r="P2080" s="11"/>
      <c r="Q2080" s="11"/>
      <c r="R2080" s="11"/>
    </row>
    <row r="2081" spans="4:18">
      <c r="D2081" s="1" t="s">
        <v>1014</v>
      </c>
      <c r="E2081" s="1" t="s">
        <v>1166</v>
      </c>
      <c r="F2081" s="1" t="s">
        <v>35</v>
      </c>
      <c r="G2081" s="1" t="s">
        <v>36</v>
      </c>
      <c r="H2081" s="1" t="s">
        <v>22</v>
      </c>
      <c r="I2081" s="1" t="s">
        <v>29</v>
      </c>
      <c r="J2081" s="1">
        <v>-99.670000000000016</v>
      </c>
      <c r="K2081" s="1">
        <v>440.33</v>
      </c>
      <c r="L2081" s="1">
        <v>80.329999999999984</v>
      </c>
      <c r="N2081" s="1">
        <v>92.30271385166742</v>
      </c>
      <c r="O2081" s="11"/>
      <c r="P2081" s="11"/>
      <c r="Q2081" s="11"/>
      <c r="R2081" s="11"/>
    </row>
    <row r="2082" spans="4:18">
      <c r="D2082" s="1" t="s">
        <v>1014</v>
      </c>
      <c r="E2082" s="1" t="s">
        <v>1167</v>
      </c>
      <c r="F2082" s="1" t="s">
        <v>35</v>
      </c>
      <c r="G2082" s="1" t="s">
        <v>36</v>
      </c>
      <c r="H2082" s="1" t="s">
        <v>22</v>
      </c>
      <c r="I2082" s="1" t="s">
        <v>29</v>
      </c>
      <c r="J2082" s="1">
        <v>-99.670000000000016</v>
      </c>
      <c r="K2082" s="1">
        <v>440.33</v>
      </c>
      <c r="L2082" s="1">
        <v>80.329999999999984</v>
      </c>
      <c r="N2082" s="1">
        <v>92.53153612603279</v>
      </c>
      <c r="O2082" s="11"/>
      <c r="P2082" s="11"/>
      <c r="Q2082" s="11"/>
      <c r="R2082" s="11"/>
    </row>
    <row r="2083" spans="4:18">
      <c r="D2083" s="1" t="s">
        <v>1014</v>
      </c>
      <c r="E2083" s="1" t="s">
        <v>1168</v>
      </c>
      <c r="F2083" s="1" t="s">
        <v>35</v>
      </c>
      <c r="G2083" s="1" t="s">
        <v>36</v>
      </c>
      <c r="H2083" s="1" t="s">
        <v>22</v>
      </c>
      <c r="I2083" s="1" t="s">
        <v>29</v>
      </c>
      <c r="J2083" s="1">
        <v>-31.018000000000029</v>
      </c>
      <c r="K2083" s="1">
        <v>256.99999999999994</v>
      </c>
      <c r="L2083" s="1">
        <v>80.329999999999984</v>
      </c>
      <c r="N2083" s="1">
        <v>85.3355539149332</v>
      </c>
      <c r="O2083" s="11"/>
      <c r="P2083" s="11"/>
      <c r="Q2083" s="11"/>
      <c r="R2083" s="11"/>
    </row>
    <row r="2084" spans="4:18">
      <c r="D2084" s="1" t="s">
        <v>1014</v>
      </c>
      <c r="E2084" s="1" t="s">
        <v>1169</v>
      </c>
      <c r="F2084" s="1" t="s">
        <v>35</v>
      </c>
      <c r="G2084" s="1" t="s">
        <v>36</v>
      </c>
      <c r="H2084" s="1" t="s">
        <v>22</v>
      </c>
      <c r="I2084" s="1" t="s">
        <v>29</v>
      </c>
      <c r="J2084" s="1">
        <v>-31.018000000000029</v>
      </c>
      <c r="K2084" s="1">
        <v>256.99999999999994</v>
      </c>
      <c r="L2084" s="1">
        <v>80.329999999999984</v>
      </c>
      <c r="N2084" s="1">
        <v>85.667784372362178</v>
      </c>
      <c r="O2084" s="11"/>
      <c r="P2084" s="11"/>
      <c r="Q2084" s="11"/>
      <c r="R2084" s="11"/>
    </row>
    <row r="2085" spans="4:18">
      <c r="D2085" s="1" t="s">
        <v>1014</v>
      </c>
      <c r="E2085" s="1" t="s">
        <v>1170</v>
      </c>
      <c r="F2085" s="1" t="s">
        <v>35</v>
      </c>
      <c r="G2085" s="1" t="s">
        <v>36</v>
      </c>
      <c r="H2085" s="1" t="s">
        <v>22</v>
      </c>
      <c r="I2085" s="1" t="s">
        <v>29</v>
      </c>
      <c r="J2085" s="1">
        <v>-31.018000000000029</v>
      </c>
      <c r="K2085" s="1">
        <v>256.99999999999994</v>
      </c>
      <c r="L2085" s="1">
        <v>80.329999999999984</v>
      </c>
      <c r="N2085" s="1">
        <v>85.996591538846189</v>
      </c>
      <c r="O2085" s="11"/>
      <c r="P2085" s="11"/>
      <c r="Q2085" s="11"/>
      <c r="R2085" s="11"/>
    </row>
    <row r="2086" spans="4:18">
      <c r="D2086" s="1" t="s">
        <v>1014</v>
      </c>
      <c r="E2086" s="1" t="s">
        <v>1171</v>
      </c>
      <c r="F2086" s="1" t="s">
        <v>35</v>
      </c>
      <c r="G2086" s="1" t="s">
        <v>36</v>
      </c>
      <c r="H2086" s="1" t="s">
        <v>22</v>
      </c>
      <c r="I2086" s="1" t="s">
        <v>29</v>
      </c>
      <c r="J2086" s="1">
        <v>-31.018000000000029</v>
      </c>
      <c r="K2086" s="1">
        <v>256.99999999999994</v>
      </c>
      <c r="L2086" s="1">
        <v>80.329999999999984</v>
      </c>
      <c r="N2086" s="1">
        <v>86.321873861332904</v>
      </c>
      <c r="O2086" s="11"/>
      <c r="P2086" s="11"/>
      <c r="Q2086" s="11"/>
      <c r="R2086" s="11"/>
    </row>
    <row r="2087" spans="4:18">
      <c r="D2087" s="1" t="s">
        <v>1014</v>
      </c>
      <c r="E2087" s="1" t="s">
        <v>1172</v>
      </c>
      <c r="F2087" s="1" t="s">
        <v>35</v>
      </c>
      <c r="G2087" s="1" t="s">
        <v>36</v>
      </c>
      <c r="H2087" s="1" t="s">
        <v>22</v>
      </c>
      <c r="I2087" s="1" t="s">
        <v>29</v>
      </c>
      <c r="J2087" s="1">
        <v>-31.018000000000029</v>
      </c>
      <c r="K2087" s="1">
        <v>256.99999999999994</v>
      </c>
      <c r="L2087" s="1">
        <v>80.329999999999984</v>
      </c>
      <c r="N2087" s="1">
        <v>86.643528263542919</v>
      </c>
      <c r="O2087" s="11"/>
      <c r="P2087" s="11"/>
      <c r="Q2087" s="11"/>
      <c r="R2087" s="11"/>
    </row>
    <row r="2088" spans="4:18">
      <c r="D2088" s="1" t="s">
        <v>1014</v>
      </c>
      <c r="E2088" s="1" t="s">
        <v>1173</v>
      </c>
      <c r="F2088" s="1" t="s">
        <v>35</v>
      </c>
      <c r="G2088" s="1" t="s">
        <v>36</v>
      </c>
      <c r="H2088" s="1" t="s">
        <v>22</v>
      </c>
      <c r="I2088" s="1" t="s">
        <v>29</v>
      </c>
      <c r="J2088" s="1">
        <v>-31.018000000000029</v>
      </c>
      <c r="K2088" s="1">
        <v>256.99999999999994</v>
      </c>
      <c r="L2088" s="1">
        <v>80.329999999999984</v>
      </c>
      <c r="N2088" s="1">
        <v>86.961450373310925</v>
      </c>
      <c r="O2088" s="11"/>
      <c r="P2088" s="11"/>
      <c r="Q2088" s="11"/>
      <c r="R2088" s="11"/>
    </row>
    <row r="2089" spans="4:18">
      <c r="D2089" s="1" t="s">
        <v>1014</v>
      </c>
      <c r="E2089" s="1" t="s">
        <v>1174</v>
      </c>
      <c r="F2089" s="1" t="s">
        <v>35</v>
      </c>
      <c r="G2089" s="1" t="s">
        <v>36</v>
      </c>
      <c r="H2089" s="1" t="s">
        <v>22</v>
      </c>
      <c r="I2089" s="1" t="s">
        <v>29</v>
      </c>
      <c r="J2089" s="1">
        <v>-31.018000000000029</v>
      </c>
      <c r="K2089" s="1">
        <v>256.99999999999994</v>
      </c>
      <c r="L2089" s="1">
        <v>80.329999999999984</v>
      </c>
      <c r="N2089" s="1">
        <v>87.275534782356601</v>
      </c>
      <c r="O2089" s="11"/>
      <c r="P2089" s="11"/>
      <c r="Q2089" s="11"/>
      <c r="R2089" s="11"/>
    </row>
    <row r="2090" spans="4:18">
      <c r="D2090" s="1" t="s">
        <v>1014</v>
      </c>
      <c r="E2090" s="1" t="s">
        <v>1175</v>
      </c>
      <c r="F2090" s="1" t="s">
        <v>35</v>
      </c>
      <c r="G2090" s="1" t="s">
        <v>36</v>
      </c>
      <c r="H2090" s="1" t="s">
        <v>22</v>
      </c>
      <c r="I2090" s="1" t="s">
        <v>29</v>
      </c>
      <c r="J2090" s="1">
        <v>-31.018000000000029</v>
      </c>
      <c r="K2090" s="1">
        <v>256.99999999999994</v>
      </c>
      <c r="L2090" s="1">
        <v>80.329999999999984</v>
      </c>
      <c r="N2090" s="1">
        <v>87.585675339719899</v>
      </c>
      <c r="O2090" s="11"/>
      <c r="P2090" s="11"/>
      <c r="Q2090" s="11"/>
      <c r="R2090" s="11"/>
    </row>
    <row r="2091" spans="4:18">
      <c r="D2091" s="1" t="s">
        <v>1014</v>
      </c>
      <c r="E2091" s="1" t="s">
        <v>1176</v>
      </c>
      <c r="F2091" s="1" t="s">
        <v>35</v>
      </c>
      <c r="G2091" s="1" t="s">
        <v>36</v>
      </c>
      <c r="H2091" s="1" t="s">
        <v>22</v>
      </c>
      <c r="I2091" s="1" t="s">
        <v>29</v>
      </c>
      <c r="J2091" s="1">
        <v>-31.018000000000029</v>
      </c>
      <c r="K2091" s="1">
        <v>256.99999999999994</v>
      </c>
      <c r="L2091" s="1">
        <v>80.329999999999984</v>
      </c>
      <c r="N2091" s="1">
        <v>87.891765479578851</v>
      </c>
      <c r="O2091" s="11"/>
      <c r="P2091" s="11"/>
      <c r="Q2091" s="11"/>
      <c r="R2091" s="11"/>
    </row>
    <row r="2092" spans="4:18">
      <c r="D2092" s="1" t="s">
        <v>1014</v>
      </c>
      <c r="E2092" s="1" t="s">
        <v>1177</v>
      </c>
      <c r="F2092" s="1" t="s">
        <v>35</v>
      </c>
      <c r="G2092" s="1" t="s">
        <v>36</v>
      </c>
      <c r="H2092" s="1" t="s">
        <v>22</v>
      </c>
      <c r="I2092" s="1" t="s">
        <v>29</v>
      </c>
      <c r="J2092" s="1">
        <v>-31.018000000000029</v>
      </c>
      <c r="K2092" s="1">
        <v>256.99999999999994</v>
      </c>
      <c r="L2092" s="1">
        <v>80.329999999999984</v>
      </c>
      <c r="N2092" s="1">
        <v>88.193698583817365</v>
      </c>
      <c r="O2092" s="11"/>
      <c r="P2092" s="11"/>
      <c r="Q2092" s="11"/>
      <c r="R2092" s="11"/>
    </row>
    <row r="2093" spans="4:18">
      <c r="D2093" s="1" t="s">
        <v>1014</v>
      </c>
      <c r="E2093" s="1" t="s">
        <v>1178</v>
      </c>
      <c r="F2093" s="1" t="s">
        <v>35</v>
      </c>
      <c r="G2093" s="1" t="s">
        <v>36</v>
      </c>
      <c r="H2093" s="1" t="s">
        <v>22</v>
      </c>
      <c r="I2093" s="1" t="s">
        <v>29</v>
      </c>
      <c r="J2093" s="1">
        <v>-31.018000000000029</v>
      </c>
      <c r="K2093" s="1">
        <v>256.99999999999994</v>
      </c>
      <c r="L2093" s="1">
        <v>80.329999999999984</v>
      </c>
      <c r="N2093" s="1">
        <v>88.491368379031371</v>
      </c>
      <c r="O2093" s="11"/>
      <c r="P2093" s="11"/>
      <c r="Q2093" s="11"/>
      <c r="R2093" s="11"/>
    </row>
    <row r="2094" spans="4:18">
      <c r="D2094" s="1" t="s">
        <v>1014</v>
      </c>
      <c r="E2094" s="1" t="s">
        <v>1179</v>
      </c>
      <c r="F2094" s="1" t="s">
        <v>35</v>
      </c>
      <c r="G2094" s="1" t="s">
        <v>36</v>
      </c>
      <c r="H2094" s="1" t="s">
        <v>22</v>
      </c>
      <c r="I2094" s="1" t="s">
        <v>29</v>
      </c>
      <c r="J2094" s="1">
        <v>-31.018000000000029</v>
      </c>
      <c r="K2094" s="1">
        <v>256.99999999999994</v>
      </c>
      <c r="L2094" s="1">
        <v>80.329999999999984</v>
      </c>
      <c r="N2094" s="1">
        <v>88.784669367079971</v>
      </c>
      <c r="O2094" s="11"/>
      <c r="P2094" s="11"/>
      <c r="Q2094" s="11"/>
      <c r="R2094" s="11"/>
    </row>
    <row r="2095" spans="4:18">
      <c r="D2095" s="1" t="s">
        <v>1014</v>
      </c>
      <c r="E2095" s="1" t="s">
        <v>1180</v>
      </c>
      <c r="F2095" s="1" t="s">
        <v>35</v>
      </c>
      <c r="G2095" s="1" t="s">
        <v>36</v>
      </c>
      <c r="H2095" s="1" t="s">
        <v>22</v>
      </c>
      <c r="I2095" s="1" t="s">
        <v>29</v>
      </c>
      <c r="J2095" s="1">
        <v>-31.018000000000029</v>
      </c>
      <c r="K2095" s="1">
        <v>256.99999999999994</v>
      </c>
      <c r="L2095" s="1">
        <v>80.329999999999984</v>
      </c>
      <c r="N2095" s="1">
        <v>89.073497287527346</v>
      </c>
      <c r="O2095" s="11"/>
      <c r="P2095" s="11"/>
      <c r="Q2095" s="11"/>
      <c r="R2095" s="11"/>
    </row>
    <row r="2096" spans="4:18">
      <c r="D2096" s="1" t="s">
        <v>1014</v>
      </c>
      <c r="E2096" s="1" t="s">
        <v>1181</v>
      </c>
      <c r="F2096" s="1" t="s">
        <v>35</v>
      </c>
      <c r="G2096" s="1" t="s">
        <v>36</v>
      </c>
      <c r="H2096" s="1" t="s">
        <v>22</v>
      </c>
      <c r="I2096" s="1" t="s">
        <v>29</v>
      </c>
      <c r="J2096" s="1">
        <v>-31.018000000000029</v>
      </c>
      <c r="K2096" s="1">
        <v>256.99999999999994</v>
      </c>
      <c r="L2096" s="1">
        <v>80.329999999999984</v>
      </c>
      <c r="N2096" s="1">
        <v>89.357749609530913</v>
      </c>
      <c r="O2096" s="11"/>
      <c r="P2096" s="11"/>
      <c r="Q2096" s="11"/>
      <c r="R2096" s="11"/>
    </row>
    <row r="2097" spans="4:18">
      <c r="D2097" s="1" t="s">
        <v>1014</v>
      </c>
      <c r="E2097" s="1" t="s">
        <v>1182</v>
      </c>
      <c r="F2097" s="1" t="s">
        <v>35</v>
      </c>
      <c r="G2097" s="1" t="s">
        <v>36</v>
      </c>
      <c r="H2097" s="1" t="s">
        <v>22</v>
      </c>
      <c r="I2097" s="1" t="s">
        <v>29</v>
      </c>
      <c r="J2097" s="1">
        <v>-31.018000000000029</v>
      </c>
      <c r="K2097" s="1">
        <v>256.99999999999994</v>
      </c>
      <c r="L2097" s="1">
        <v>80.329999999999984</v>
      </c>
      <c r="N2097" s="1">
        <v>89.638011091735109</v>
      </c>
      <c r="O2097" s="11"/>
      <c r="P2097" s="11"/>
      <c r="Q2097" s="11"/>
      <c r="R2097" s="11"/>
    </row>
    <row r="2098" spans="4:18">
      <c r="D2098" s="1" t="s">
        <v>1014</v>
      </c>
      <c r="E2098" s="1" t="s">
        <v>1183</v>
      </c>
      <c r="F2098" s="1" t="s">
        <v>35</v>
      </c>
      <c r="G2098" s="1" t="s">
        <v>36</v>
      </c>
      <c r="H2098" s="1" t="s">
        <v>22</v>
      </c>
      <c r="I2098" s="1" t="s">
        <v>29</v>
      </c>
      <c r="J2098" s="1">
        <v>-31.018000000000029</v>
      </c>
      <c r="K2098" s="1">
        <v>256.99999999999994</v>
      </c>
      <c r="L2098" s="1">
        <v>80.329999999999984</v>
      </c>
      <c r="N2098" s="1">
        <v>89.914195473614939</v>
      </c>
      <c r="O2098" s="11"/>
      <c r="P2098" s="11"/>
      <c r="Q2098" s="11"/>
      <c r="R2098" s="11"/>
    </row>
    <row r="2099" spans="4:18">
      <c r="D2099" s="1" t="s">
        <v>1014</v>
      </c>
      <c r="E2099" s="1" t="s">
        <v>1184</v>
      </c>
      <c r="F2099" s="1" t="s">
        <v>35</v>
      </c>
      <c r="G2099" s="1" t="s">
        <v>36</v>
      </c>
      <c r="H2099" s="1" t="s">
        <v>22</v>
      </c>
      <c r="I2099" s="1" t="s">
        <v>29</v>
      </c>
      <c r="J2099" s="1">
        <v>-31.018000000000029</v>
      </c>
      <c r="K2099" s="1">
        <v>256.99999999999994</v>
      </c>
      <c r="L2099" s="1">
        <v>80.329999999999984</v>
      </c>
      <c r="N2099" s="1">
        <v>90.186175302529534</v>
      </c>
      <c r="O2099" s="11"/>
      <c r="P2099" s="11"/>
      <c r="Q2099" s="11"/>
      <c r="R2099" s="11"/>
    </row>
    <row r="2100" spans="4:18">
      <c r="D2100" s="1" t="s">
        <v>1014</v>
      </c>
      <c r="E2100" s="1" t="s">
        <v>1185</v>
      </c>
      <c r="F2100" s="1" t="s">
        <v>35</v>
      </c>
      <c r="G2100" s="1" t="s">
        <v>36</v>
      </c>
      <c r="H2100" s="1" t="s">
        <v>22</v>
      </c>
      <c r="I2100" s="1" t="s">
        <v>29</v>
      </c>
      <c r="J2100" s="1">
        <v>-31.018000000000029</v>
      </c>
      <c r="K2100" s="1">
        <v>256.99999999999994</v>
      </c>
      <c r="L2100" s="1">
        <v>80.329999999999984</v>
      </c>
      <c r="N2100" s="1">
        <v>90.453823616890247</v>
      </c>
      <c r="O2100" s="11"/>
      <c r="P2100" s="11"/>
      <c r="Q2100" s="11"/>
      <c r="R2100" s="11"/>
    </row>
    <row r="2101" spans="4:18">
      <c r="D2101" s="1" t="s">
        <v>1014</v>
      </c>
      <c r="E2101" s="1" t="s">
        <v>1186</v>
      </c>
      <c r="F2101" s="1" t="s">
        <v>35</v>
      </c>
      <c r="G2101" s="1" t="s">
        <v>36</v>
      </c>
      <c r="H2101" s="1" t="s">
        <v>22</v>
      </c>
      <c r="I2101" s="1" t="s">
        <v>29</v>
      </c>
      <c r="J2101" s="1">
        <v>-31.018000000000029</v>
      </c>
      <c r="K2101" s="1">
        <v>256.99999999999994</v>
      </c>
      <c r="L2101" s="1">
        <v>80.329999999999984</v>
      </c>
      <c r="N2101" s="1">
        <v>90.717014654604384</v>
      </c>
      <c r="O2101" s="11"/>
      <c r="P2101" s="11"/>
      <c r="Q2101" s="11"/>
      <c r="R2101" s="11"/>
    </row>
    <row r="2102" spans="4:18">
      <c r="D2102" s="1" t="s">
        <v>1014</v>
      </c>
      <c r="E2102" s="1" t="s">
        <v>1187</v>
      </c>
      <c r="F2102" s="1" t="s">
        <v>35</v>
      </c>
      <c r="G2102" s="1" t="s">
        <v>36</v>
      </c>
      <c r="H2102" s="1" t="s">
        <v>22</v>
      </c>
      <c r="I2102" s="1" t="s">
        <v>29</v>
      </c>
      <c r="J2102" s="1">
        <v>-31.018000000000029</v>
      </c>
      <c r="K2102" s="1">
        <v>256.99999999999994</v>
      </c>
      <c r="L2102" s="1">
        <v>80.329999999999984</v>
      </c>
      <c r="N2102" s="1">
        <v>90.975624618439781</v>
      </c>
      <c r="O2102" s="11"/>
      <c r="P2102" s="11"/>
      <c r="Q2102" s="11"/>
      <c r="R2102" s="11"/>
    </row>
    <row r="2103" spans="4:18">
      <c r="D2103" s="1" t="s">
        <v>1014</v>
      </c>
      <c r="E2103" s="1" t="s">
        <v>1188</v>
      </c>
      <c r="F2103" s="1" t="s">
        <v>35</v>
      </c>
      <c r="G2103" s="1" t="s">
        <v>36</v>
      </c>
      <c r="H2103" s="1" t="s">
        <v>22</v>
      </c>
      <c r="I2103" s="1" t="s">
        <v>29</v>
      </c>
      <c r="J2103" s="1">
        <v>-31.018000000000029</v>
      </c>
      <c r="K2103" s="1">
        <v>256.99999999999994</v>
      </c>
      <c r="L2103" s="1">
        <v>80.329999999999984</v>
      </c>
      <c r="N2103" s="1">
        <v>84.999999999992212</v>
      </c>
      <c r="O2103" s="11"/>
      <c r="P2103" s="11"/>
      <c r="Q2103" s="11"/>
      <c r="R2103" s="11"/>
    </row>
    <row r="2104" spans="4:18">
      <c r="D2104" s="1" t="s">
        <v>1014</v>
      </c>
      <c r="E2104" s="1" t="s">
        <v>1189</v>
      </c>
      <c r="F2104" s="1" t="s">
        <v>35</v>
      </c>
      <c r="G2104" s="1" t="s">
        <v>36</v>
      </c>
      <c r="H2104" s="1" t="s">
        <v>22</v>
      </c>
      <c r="I2104" s="1" t="s">
        <v>29</v>
      </c>
      <c r="J2104" s="1">
        <v>-31.018000000000029</v>
      </c>
      <c r="K2104" s="1">
        <v>256.99999999999994</v>
      </c>
      <c r="L2104" s="1">
        <v>80.329999999999984</v>
      </c>
      <c r="N2104" s="1">
        <v>90.975624618439667</v>
      </c>
      <c r="O2104" s="11"/>
      <c r="P2104" s="11"/>
      <c r="Q2104" s="11"/>
      <c r="R2104" s="11"/>
    </row>
    <row r="2105" spans="4:18">
      <c r="D2105" s="1" t="s">
        <v>1014</v>
      </c>
      <c r="E2105" s="1" t="s">
        <v>1190</v>
      </c>
      <c r="F2105" s="1" t="s">
        <v>35</v>
      </c>
      <c r="G2105" s="1" t="s">
        <v>36</v>
      </c>
      <c r="H2105" s="1" t="s">
        <v>22</v>
      </c>
      <c r="I2105" s="1" t="s">
        <v>29</v>
      </c>
      <c r="J2105" s="1">
        <v>-99.670000000000016</v>
      </c>
      <c r="K2105" s="1">
        <v>440.33</v>
      </c>
      <c r="L2105" s="1">
        <v>80.329999999999984</v>
      </c>
      <c r="N2105" s="1">
        <v>91.670049388897439</v>
      </c>
      <c r="O2105" s="11"/>
      <c r="P2105" s="11"/>
      <c r="Q2105" s="11"/>
      <c r="R2105" s="11"/>
    </row>
    <row r="2106" spans="4:18">
      <c r="D2106" s="1" t="s">
        <v>1014</v>
      </c>
      <c r="E2106" s="1" t="s">
        <v>1191</v>
      </c>
      <c r="F2106" s="1" t="s">
        <v>35</v>
      </c>
      <c r="G2106" s="1" t="s">
        <v>36</v>
      </c>
      <c r="H2106" s="1" t="s">
        <v>22</v>
      </c>
      <c r="I2106" s="1" t="s">
        <v>29</v>
      </c>
      <c r="J2106" s="1">
        <v>-99.670000000000016</v>
      </c>
      <c r="K2106" s="1">
        <v>440.33</v>
      </c>
      <c r="L2106" s="1">
        <v>80.329999999999984</v>
      </c>
      <c r="N2106" s="1">
        <v>91.912438807153819</v>
      </c>
      <c r="O2106" s="11"/>
      <c r="P2106" s="11"/>
      <c r="Q2106" s="11"/>
      <c r="R2106" s="11"/>
    </row>
    <row r="2107" spans="4:18">
      <c r="D2107" s="1" t="s">
        <v>1014</v>
      </c>
      <c r="E2107" s="1" t="s">
        <v>1192</v>
      </c>
      <c r="F2107" s="1" t="s">
        <v>35</v>
      </c>
      <c r="G2107" s="1" t="s">
        <v>36</v>
      </c>
      <c r="H2107" s="1" t="s">
        <v>22</v>
      </c>
      <c r="I2107" s="1" t="s">
        <v>29</v>
      </c>
      <c r="J2107" s="1">
        <v>-99.670000000000016</v>
      </c>
      <c r="K2107" s="1">
        <v>440.33</v>
      </c>
      <c r="L2107" s="1">
        <v>80.329999999999984</v>
      </c>
      <c r="N2107" s="1">
        <v>92.149813707588748</v>
      </c>
      <c r="O2107" s="11"/>
      <c r="P2107" s="11"/>
      <c r="Q2107" s="11"/>
      <c r="R2107" s="11"/>
    </row>
    <row r="2108" spans="4:18">
      <c r="D2108" s="1" t="s">
        <v>1014</v>
      </c>
      <c r="E2108" s="1" t="s">
        <v>1193</v>
      </c>
      <c r="F2108" s="1" t="s">
        <v>35</v>
      </c>
      <c r="G2108" s="1" t="s">
        <v>36</v>
      </c>
      <c r="H2108" s="1" t="s">
        <v>22</v>
      </c>
      <c r="I2108" s="1" t="s">
        <v>29</v>
      </c>
      <c r="J2108" s="1">
        <v>-99.670000000000016</v>
      </c>
      <c r="K2108" s="1">
        <v>440.33</v>
      </c>
      <c r="L2108" s="1">
        <v>80.329999999999984</v>
      </c>
      <c r="N2108" s="1">
        <v>92.38205921137893</v>
      </c>
      <c r="O2108" s="11"/>
      <c r="P2108" s="11"/>
      <c r="Q2108" s="11"/>
      <c r="R2108" s="11"/>
    </row>
    <row r="2109" spans="4:18">
      <c r="D2109" s="1" t="s">
        <v>1014</v>
      </c>
      <c r="E2109" s="1" t="s">
        <v>1194</v>
      </c>
      <c r="F2109" s="1" t="s">
        <v>35</v>
      </c>
      <c r="G2109" s="1" t="s">
        <v>36</v>
      </c>
      <c r="H2109" s="1" t="s">
        <v>22</v>
      </c>
      <c r="I2109" s="1" t="s">
        <v>29</v>
      </c>
      <c r="J2109" s="1">
        <v>-99.670000000000016</v>
      </c>
      <c r="K2109" s="1">
        <v>440.33</v>
      </c>
      <c r="L2109" s="1">
        <v>80.329999999999984</v>
      </c>
      <c r="N2109" s="1">
        <v>92.60906714142078</v>
      </c>
      <c r="O2109" s="11"/>
      <c r="P2109" s="11"/>
      <c r="Q2109" s="11"/>
      <c r="R2109" s="11"/>
    </row>
    <row r="2110" spans="4:18">
      <c r="D2110" s="1" t="s">
        <v>1014</v>
      </c>
      <c r="E2110" s="1" t="s">
        <v>1195</v>
      </c>
      <c r="F2110" s="1" t="s">
        <v>35</v>
      </c>
      <c r="G2110" s="1" t="s">
        <v>36</v>
      </c>
      <c r="H2110" s="1" t="s">
        <v>22</v>
      </c>
      <c r="I2110" s="1" t="s">
        <v>29</v>
      </c>
      <c r="J2110" s="1">
        <v>-99.670000000000016</v>
      </c>
      <c r="K2110" s="1">
        <v>440.33</v>
      </c>
      <c r="L2110" s="1">
        <v>80.329999999999984</v>
      </c>
      <c r="N2110" s="1">
        <v>92.830737102255569</v>
      </c>
      <c r="O2110" s="11"/>
      <c r="P2110" s="11"/>
      <c r="Q2110" s="11"/>
      <c r="R2110" s="11"/>
    </row>
    <row r="2111" spans="4:18">
      <c r="D2111" s="1" t="s">
        <v>1014</v>
      </c>
      <c r="E2111" s="1" t="s">
        <v>1196</v>
      </c>
      <c r="F2111" s="1" t="s">
        <v>35</v>
      </c>
      <c r="G2111" s="1" t="s">
        <v>36</v>
      </c>
      <c r="H2111" s="1" t="s">
        <v>22</v>
      </c>
      <c r="I2111" s="1" t="s">
        <v>29</v>
      </c>
      <c r="J2111" s="1">
        <v>-99.670000000000016</v>
      </c>
      <c r="K2111" s="1">
        <v>440.33</v>
      </c>
      <c r="L2111" s="1">
        <v>80.329999999999984</v>
      </c>
      <c r="N2111" s="1">
        <v>93.046977540667228</v>
      </c>
      <c r="O2111" s="11"/>
      <c r="P2111" s="11"/>
      <c r="Q2111" s="11"/>
      <c r="R2111" s="11"/>
    </row>
    <row r="2112" spans="4:18">
      <c r="D2112" s="1" t="s">
        <v>1014</v>
      </c>
      <c r="E2112" s="1" t="s">
        <v>1197</v>
      </c>
      <c r="F2112" s="1" t="s">
        <v>35</v>
      </c>
      <c r="G2112" s="1" t="s">
        <v>36</v>
      </c>
      <c r="H2112" s="1" t="s">
        <v>22</v>
      </c>
      <c r="I2112" s="1" t="s">
        <v>29</v>
      </c>
      <c r="J2112" s="1">
        <v>-99.670000000000016</v>
      </c>
      <c r="K2112" s="1">
        <v>440.33</v>
      </c>
      <c r="L2112" s="1">
        <v>80.329999999999984</v>
      </c>
      <c r="N2112" s="1">
        <v>93.257706763465251</v>
      </c>
      <c r="O2112" s="11"/>
      <c r="P2112" s="11"/>
      <c r="Q2112" s="11"/>
      <c r="R2112" s="11"/>
    </row>
    <row r="2113" spans="4:18">
      <c r="D2113" s="1" t="s">
        <v>1014</v>
      </c>
      <c r="E2113" s="1" t="s">
        <v>1198</v>
      </c>
      <c r="F2113" s="1" t="s">
        <v>35</v>
      </c>
      <c r="G2113" s="1" t="s">
        <v>36</v>
      </c>
      <c r="H2113" s="1" t="s">
        <v>22</v>
      </c>
      <c r="I2113" s="1" t="s">
        <v>29</v>
      </c>
      <c r="J2113" s="1">
        <v>-99.670000000000016</v>
      </c>
      <c r="K2113" s="1">
        <v>440.33</v>
      </c>
      <c r="L2113" s="1">
        <v>80.329999999999984</v>
      </c>
      <c r="N2113" s="1">
        <v>93.462853888094457</v>
      </c>
      <c r="O2113" s="11"/>
      <c r="P2113" s="11"/>
      <c r="Q2113" s="11"/>
      <c r="R2113" s="11"/>
    </row>
    <row r="2114" spans="4:18">
      <c r="D2114" s="1" t="s">
        <v>1014</v>
      </c>
      <c r="E2114" s="1" t="s">
        <v>1199</v>
      </c>
      <c r="F2114" s="1" t="s">
        <v>35</v>
      </c>
      <c r="G2114" s="1" t="s">
        <v>36</v>
      </c>
      <c r="H2114" s="1" t="s">
        <v>22</v>
      </c>
      <c r="I2114" s="1" t="s">
        <v>29</v>
      </c>
      <c r="J2114" s="1">
        <v>-99.670000000000016</v>
      </c>
      <c r="K2114" s="1">
        <v>440.33</v>
      </c>
      <c r="L2114" s="1">
        <v>80.329999999999984</v>
      </c>
      <c r="N2114" s="1">
        <v>93.662359701866023</v>
      </c>
      <c r="O2114" s="11"/>
      <c r="P2114" s="11"/>
      <c r="Q2114" s="11"/>
      <c r="R2114" s="11"/>
    </row>
    <row r="2115" spans="4:18">
      <c r="D2115" s="1" t="s">
        <v>1014</v>
      </c>
      <c r="E2115" s="1" t="s">
        <v>1200</v>
      </c>
      <c r="F2115" s="1" t="s">
        <v>35</v>
      </c>
      <c r="G2115" s="1" t="s">
        <v>36</v>
      </c>
      <c r="H2115" s="1" t="s">
        <v>22</v>
      </c>
      <c r="I2115" s="1" t="s">
        <v>29</v>
      </c>
      <c r="J2115" s="1">
        <v>-99.670000000000016</v>
      </c>
      <c r="K2115" s="1">
        <v>440.33</v>
      </c>
      <c r="L2115" s="1">
        <v>80.329999999999984</v>
      </c>
      <c r="N2115" s="1">
        <v>93.856177406791119</v>
      </c>
      <c r="O2115" s="11"/>
      <c r="P2115" s="11"/>
      <c r="Q2115" s="11"/>
      <c r="R2115" s="11"/>
    </row>
    <row r="2116" spans="4:18">
      <c r="D2116" s="1" t="s">
        <v>1014</v>
      </c>
      <c r="E2116" s="1" t="s">
        <v>1201</v>
      </c>
      <c r="F2116" s="1" t="s">
        <v>35</v>
      </c>
      <c r="G2116" s="1" t="s">
        <v>36</v>
      </c>
      <c r="H2116" s="1" t="s">
        <v>22</v>
      </c>
      <c r="I2116" s="1" t="s">
        <v>29</v>
      </c>
      <c r="J2116" s="1">
        <v>-99.670000000000016</v>
      </c>
      <c r="K2116" s="1">
        <v>440.33</v>
      </c>
      <c r="L2116" s="1">
        <v>80.329999999999984</v>
      </c>
      <c r="N2116" s="1">
        <v>94.044273229325029</v>
      </c>
      <c r="O2116" s="11"/>
      <c r="P2116" s="11"/>
      <c r="Q2116" s="11"/>
      <c r="R2116" s="11"/>
    </row>
    <row r="2117" spans="4:18">
      <c r="D2117" s="1" t="s">
        <v>1014</v>
      </c>
      <c r="E2117" s="1" t="s">
        <v>1202</v>
      </c>
      <c r="F2117" s="1" t="s">
        <v>35</v>
      </c>
      <c r="G2117" s="1" t="s">
        <v>36</v>
      </c>
      <c r="H2117" s="1" t="s">
        <v>22</v>
      </c>
      <c r="I2117" s="1" t="s">
        <v>29</v>
      </c>
      <c r="J2117" s="1">
        <v>-99.670000000000016</v>
      </c>
      <c r="K2117" s="1">
        <v>440.33</v>
      </c>
      <c r="L2117" s="1">
        <v>80.329999999999984</v>
      </c>
      <c r="N2117" s="1">
        <v>94.226626877695878</v>
      </c>
      <c r="O2117" s="11"/>
      <c r="P2117" s="11"/>
      <c r="Q2117" s="11"/>
      <c r="R2117" s="11"/>
    </row>
    <row r="2118" spans="4:18">
      <c r="D2118" s="1" t="s">
        <v>1014</v>
      </c>
      <c r="E2118" s="1" t="s">
        <v>1203</v>
      </c>
      <c r="F2118" s="1" t="s">
        <v>35</v>
      </c>
      <c r="G2118" s="1" t="s">
        <v>36</v>
      </c>
      <c r="H2118" s="1" t="s">
        <v>22</v>
      </c>
      <c r="I2118" s="1" t="s">
        <v>29</v>
      </c>
      <c r="J2118" s="1">
        <v>-99.670000000000016</v>
      </c>
      <c r="K2118" s="1">
        <v>440.33</v>
      </c>
      <c r="L2118" s="1">
        <v>80.329999999999984</v>
      </c>
      <c r="N2118" s="1">
        <v>94.403980958457112</v>
      </c>
      <c r="O2118" s="11"/>
      <c r="P2118" s="11"/>
      <c r="Q2118" s="11"/>
      <c r="R2118" s="11"/>
    </row>
    <row r="2119" spans="4:18">
      <c r="D2119" s="1" t="s">
        <v>1014</v>
      </c>
      <c r="E2119" s="1" t="s">
        <v>1204</v>
      </c>
      <c r="F2119" s="1" t="s">
        <v>35</v>
      </c>
      <c r="G2119" s="1" t="s">
        <v>36</v>
      </c>
      <c r="H2119" s="1" t="s">
        <v>22</v>
      </c>
      <c r="I2119" s="1" t="s">
        <v>29</v>
      </c>
      <c r="J2119" s="1">
        <v>-99.670000000000016</v>
      </c>
      <c r="K2119" s="1">
        <v>440.33</v>
      </c>
      <c r="L2119" s="1">
        <v>80.329999999999984</v>
      </c>
      <c r="N2119" s="1">
        <v>94.576597289456515</v>
      </c>
      <c r="O2119" s="11"/>
      <c r="P2119" s="11"/>
      <c r="Q2119" s="11"/>
      <c r="R2119" s="11"/>
    </row>
    <row r="2120" spans="4:18">
      <c r="D2120" s="1" t="s">
        <v>1014</v>
      </c>
      <c r="E2120" s="1" t="s">
        <v>1205</v>
      </c>
      <c r="F2120" s="1" t="s">
        <v>35</v>
      </c>
      <c r="G2120" s="1" t="s">
        <v>36</v>
      </c>
      <c r="H2120" s="1" t="s">
        <v>22</v>
      </c>
      <c r="I2120" s="1" t="s">
        <v>29</v>
      </c>
      <c r="J2120" s="1">
        <v>-99.670000000000016</v>
      </c>
      <c r="K2120" s="1">
        <v>440.33</v>
      </c>
      <c r="L2120" s="1">
        <v>80.329999999999984</v>
      </c>
      <c r="N2120" s="1">
        <v>94.743551677028393</v>
      </c>
      <c r="O2120" s="11"/>
      <c r="P2120" s="11"/>
      <c r="Q2120" s="11"/>
      <c r="R2120" s="11"/>
    </row>
    <row r="2121" spans="4:18">
      <c r="D2121" s="1" t="s">
        <v>1014</v>
      </c>
      <c r="E2121" s="1" t="s">
        <v>1206</v>
      </c>
      <c r="F2121" s="1" t="s">
        <v>35</v>
      </c>
      <c r="G2121" s="1" t="s">
        <v>36</v>
      </c>
      <c r="H2121" s="1" t="s">
        <v>22</v>
      </c>
      <c r="I2121" s="1" t="s">
        <v>29</v>
      </c>
      <c r="J2121" s="1">
        <v>-99.670000000000016</v>
      </c>
      <c r="K2121" s="1">
        <v>440.33</v>
      </c>
      <c r="L2121" s="1">
        <v>80.329999999999984</v>
      </c>
      <c r="N2121" s="1">
        <v>94.904852985263176</v>
      </c>
      <c r="O2121" s="11"/>
      <c r="P2121" s="11"/>
      <c r="Q2121" s="11"/>
      <c r="R2121" s="11"/>
    </row>
    <row r="2122" spans="4:18">
      <c r="D2122" s="1" t="s">
        <v>1014</v>
      </c>
      <c r="E2122" s="1" t="s">
        <v>1207</v>
      </c>
      <c r="F2122" s="1" t="s">
        <v>35</v>
      </c>
      <c r="G2122" s="1" t="s">
        <v>36</v>
      </c>
      <c r="H2122" s="1" t="s">
        <v>22</v>
      </c>
      <c r="I2122" s="1" t="s">
        <v>29</v>
      </c>
      <c r="J2122" s="1">
        <v>-99.670000000000016</v>
      </c>
      <c r="K2122" s="1">
        <v>440.33</v>
      </c>
      <c r="L2122" s="1">
        <v>80.329999999999984</v>
      </c>
      <c r="N2122" s="1">
        <v>95.060525069306038</v>
      </c>
      <c r="O2122" s="11"/>
      <c r="P2122" s="11"/>
      <c r="Q2122" s="11"/>
      <c r="R2122" s="11"/>
    </row>
    <row r="2123" spans="4:18">
      <c r="D2123" s="1" t="s">
        <v>1014</v>
      </c>
      <c r="E2123" s="1" t="s">
        <v>1208</v>
      </c>
      <c r="F2123" s="1" t="s">
        <v>35</v>
      </c>
      <c r="G2123" s="1" t="s">
        <v>36</v>
      </c>
      <c r="H2123" s="1" t="s">
        <v>22</v>
      </c>
      <c r="I2123" s="1" t="s">
        <v>29</v>
      </c>
      <c r="J2123" s="1">
        <v>-99.670000000000016</v>
      </c>
      <c r="K2123" s="1">
        <v>440.33</v>
      </c>
      <c r="L2123" s="1">
        <v>80.329999999999984</v>
      </c>
      <c r="N2123" s="1">
        <v>95.210606463668739</v>
      </c>
      <c r="O2123" s="11"/>
      <c r="P2123" s="11"/>
      <c r="Q2123" s="11"/>
      <c r="R2123" s="11"/>
    </row>
    <row r="2124" spans="4:18">
      <c r="D2124" s="1" t="s">
        <v>1014</v>
      </c>
      <c r="E2124" s="1" t="s">
        <v>1209</v>
      </c>
      <c r="F2124" s="1" t="s">
        <v>35</v>
      </c>
      <c r="G2124" s="1" t="s">
        <v>36</v>
      </c>
      <c r="H2124" s="1" t="s">
        <v>22</v>
      </c>
      <c r="I2124" s="1" t="s">
        <v>29</v>
      </c>
      <c r="J2124" s="1">
        <v>-99.670000000000016</v>
      </c>
      <c r="K2124" s="1">
        <v>440.33</v>
      </c>
      <c r="L2124" s="1">
        <v>80.329999999999984</v>
      </c>
      <c r="N2124" s="1">
        <v>95.355149874897904</v>
      </c>
      <c r="O2124" s="11"/>
      <c r="P2124" s="11"/>
      <c r="Q2124" s="11"/>
      <c r="R2124" s="11"/>
    </row>
    <row r="2125" spans="4:18">
      <c r="D2125" s="1" t="s">
        <v>1014</v>
      </c>
      <c r="E2125" s="1" t="s">
        <v>1210</v>
      </c>
      <c r="F2125" s="1" t="s">
        <v>35</v>
      </c>
      <c r="G2125" s="1" t="s">
        <v>36</v>
      </c>
      <c r="H2125" s="1" t="s">
        <v>22</v>
      </c>
      <c r="I2125" s="1" t="s">
        <v>29</v>
      </c>
      <c r="J2125" s="1">
        <v>-31.018000000000029</v>
      </c>
      <c r="K2125" s="1">
        <v>256.99999999999994</v>
      </c>
      <c r="L2125" s="1">
        <v>80.329999999999984</v>
      </c>
      <c r="N2125" s="1">
        <v>90.008282799108827</v>
      </c>
      <c r="O2125" s="11"/>
      <c r="P2125" s="11"/>
      <c r="Q2125" s="11"/>
      <c r="R2125" s="11"/>
    </row>
    <row r="2126" spans="4:18">
      <c r="D2126" s="1" t="s">
        <v>1014</v>
      </c>
      <c r="E2126" s="1" t="s">
        <v>1211</v>
      </c>
      <c r="F2126" s="1" t="s">
        <v>35</v>
      </c>
      <c r="G2126" s="1" t="s">
        <v>36</v>
      </c>
      <c r="H2126" s="1" t="s">
        <v>22</v>
      </c>
      <c r="I2126" s="1" t="s">
        <v>29</v>
      </c>
      <c r="J2126" s="1">
        <v>-31.018000000000029</v>
      </c>
      <c r="K2126" s="1">
        <v>256.99999999999994</v>
      </c>
      <c r="L2126" s="1">
        <v>80.329999999999984</v>
      </c>
      <c r="N2126" s="1">
        <v>90.278786148800748</v>
      </c>
      <c r="O2126" s="11"/>
      <c r="P2126" s="11"/>
      <c r="Q2126" s="11"/>
      <c r="R2126" s="11"/>
    </row>
    <row r="2127" spans="4:18">
      <c r="D2127" s="1" t="s">
        <v>1014</v>
      </c>
      <c r="E2127" s="1" t="s">
        <v>1212</v>
      </c>
      <c r="F2127" s="1" t="s">
        <v>35</v>
      </c>
      <c r="G2127" s="1" t="s">
        <v>36</v>
      </c>
      <c r="H2127" s="1" t="s">
        <v>22</v>
      </c>
      <c r="I2127" s="1" t="s">
        <v>29</v>
      </c>
      <c r="J2127" s="1">
        <v>-31.018000000000029</v>
      </c>
      <c r="K2127" s="1">
        <v>256.99999999999994</v>
      </c>
      <c r="L2127" s="1">
        <v>80.329999999999984</v>
      </c>
      <c r="N2127" s="1">
        <v>90.54491452788767</v>
      </c>
      <c r="O2127" s="11"/>
      <c r="P2127" s="11"/>
      <c r="Q2127" s="11"/>
      <c r="R2127" s="11"/>
    </row>
    <row r="2128" spans="4:18">
      <c r="D2128" s="1" t="s">
        <v>1014</v>
      </c>
      <c r="E2128" s="1" t="s">
        <v>1213</v>
      </c>
      <c r="F2128" s="1" t="s">
        <v>35</v>
      </c>
      <c r="G2128" s="1" t="s">
        <v>36</v>
      </c>
      <c r="H2128" s="1" t="s">
        <v>22</v>
      </c>
      <c r="I2128" s="1" t="s">
        <v>29</v>
      </c>
      <c r="J2128" s="1">
        <v>-31.018000000000029</v>
      </c>
      <c r="K2128" s="1">
        <v>256.99999999999994</v>
      </c>
      <c r="L2128" s="1">
        <v>80.329999999999984</v>
      </c>
      <c r="N2128" s="1">
        <v>90.806542761439516</v>
      </c>
      <c r="O2128" s="11"/>
      <c r="P2128" s="11"/>
      <c r="Q2128" s="11"/>
      <c r="R2128" s="11"/>
    </row>
    <row r="2129" spans="4:18">
      <c r="D2129" s="1" t="s">
        <v>1014</v>
      </c>
      <c r="E2129" s="1" t="s">
        <v>1214</v>
      </c>
      <c r="F2129" s="1" t="s">
        <v>35</v>
      </c>
      <c r="G2129" s="1" t="s">
        <v>36</v>
      </c>
      <c r="H2129" s="1" t="s">
        <v>22</v>
      </c>
      <c r="I2129" s="1" t="s">
        <v>29</v>
      </c>
      <c r="J2129" s="1">
        <v>-31.018000000000029</v>
      </c>
      <c r="K2129" s="1">
        <v>256.99999999999994</v>
      </c>
      <c r="L2129" s="1">
        <v>80.329999999999984</v>
      </c>
      <c r="N2129" s="1">
        <v>91.063547914816866</v>
      </c>
      <c r="O2129" s="11"/>
      <c r="P2129" s="11"/>
      <c r="Q2129" s="11"/>
      <c r="R2129" s="11"/>
    </row>
    <row r="2130" spans="4:18">
      <c r="D2130" s="1" t="s">
        <v>1014</v>
      </c>
      <c r="E2130" s="1" t="s">
        <v>1215</v>
      </c>
      <c r="F2130" s="1" t="s">
        <v>35</v>
      </c>
      <c r="G2130" s="1" t="s">
        <v>36</v>
      </c>
      <c r="H2130" s="1" t="s">
        <v>22</v>
      </c>
      <c r="I2130" s="1" t="s">
        <v>29</v>
      </c>
      <c r="J2130" s="1">
        <v>-31.018000000000029</v>
      </c>
      <c r="K2130" s="1">
        <v>256.99999999999994</v>
      </c>
      <c r="L2130" s="1">
        <v>80.329999999999984</v>
      </c>
      <c r="N2130" s="1">
        <v>91.315810124594293</v>
      </c>
      <c r="O2130" s="11"/>
      <c r="P2130" s="11"/>
      <c r="Q2130" s="11"/>
      <c r="R2130" s="11"/>
    </row>
    <row r="2131" spans="4:18">
      <c r="D2131" s="1" t="s">
        <v>1014</v>
      </c>
      <c r="E2131" s="1" t="s">
        <v>1216</v>
      </c>
      <c r="F2131" s="1" t="s">
        <v>35</v>
      </c>
      <c r="G2131" s="1" t="s">
        <v>36</v>
      </c>
      <c r="H2131" s="1" t="s">
        <v>22</v>
      </c>
      <c r="I2131" s="1" t="s">
        <v>29</v>
      </c>
      <c r="J2131" s="1">
        <v>-31.018000000000029</v>
      </c>
      <c r="K2131" s="1">
        <v>256.99999999999994</v>
      </c>
      <c r="L2131" s="1">
        <v>80.329999999999984</v>
      </c>
      <c r="N2131" s="1">
        <v>91.563213467250819</v>
      </c>
      <c r="O2131" s="11"/>
      <c r="P2131" s="11"/>
      <c r="Q2131" s="11"/>
      <c r="R2131" s="11"/>
    </row>
    <row r="2132" spans="4:18">
      <c r="D2132" s="1" t="s">
        <v>1014</v>
      </c>
      <c r="E2132" s="1" t="s">
        <v>1217</v>
      </c>
      <c r="F2132" s="1" t="s">
        <v>35</v>
      </c>
      <c r="G2132" s="1" t="s">
        <v>36</v>
      </c>
      <c r="H2132" s="1" t="s">
        <v>22</v>
      </c>
      <c r="I2132" s="1" t="s">
        <v>29</v>
      </c>
      <c r="J2132" s="1">
        <v>-31.018000000000029</v>
      </c>
      <c r="K2132" s="1">
        <v>256.99999999999994</v>
      </c>
      <c r="L2132" s="1">
        <v>80.329999999999984</v>
      </c>
      <c r="N2132" s="1">
        <v>91.805646853890778</v>
      </c>
      <c r="O2132" s="11"/>
      <c r="P2132" s="11"/>
      <c r="Q2132" s="11"/>
      <c r="R2132" s="11"/>
    </row>
    <row r="2133" spans="4:18">
      <c r="D2133" s="1" t="s">
        <v>1014</v>
      </c>
      <c r="E2133" s="1" t="s">
        <v>1218</v>
      </c>
      <c r="F2133" s="1" t="s">
        <v>35</v>
      </c>
      <c r="G2133" s="1" t="s">
        <v>36</v>
      </c>
      <c r="H2133" s="1" t="s">
        <v>22</v>
      </c>
      <c r="I2133" s="1" t="s">
        <v>29</v>
      </c>
      <c r="J2133" s="1">
        <v>-31.018000000000029</v>
      </c>
      <c r="K2133" s="1">
        <v>256.99999999999994</v>
      </c>
      <c r="L2133" s="1">
        <v>80.329999999999984</v>
      </c>
      <c r="N2133" s="1">
        <v>92.043004937297894</v>
      </c>
      <c r="O2133" s="11"/>
      <c r="P2133" s="11"/>
      <c r="Q2133" s="11"/>
      <c r="R2133" s="11"/>
    </row>
    <row r="2134" spans="4:18">
      <c r="D2134" s="1" t="s">
        <v>1014</v>
      </c>
      <c r="E2134" s="1" t="s">
        <v>1219</v>
      </c>
      <c r="F2134" s="1" t="s">
        <v>35</v>
      </c>
      <c r="G2134" s="1" t="s">
        <v>36</v>
      </c>
      <c r="H2134" s="1" t="s">
        <v>22</v>
      </c>
      <c r="I2134" s="1" t="s">
        <v>29</v>
      </c>
      <c r="J2134" s="1">
        <v>-31.018000000000029</v>
      </c>
      <c r="K2134" s="1">
        <v>256.99999999999994</v>
      </c>
      <c r="L2134" s="1">
        <v>80.329999999999984</v>
      </c>
      <c r="N2134" s="1">
        <v>92.27518901598711</v>
      </c>
      <c r="O2134" s="11"/>
      <c r="P2134" s="11"/>
      <c r="Q2134" s="11"/>
      <c r="R2134" s="11"/>
    </row>
    <row r="2135" spans="4:18">
      <c r="D2135" s="1" t="s">
        <v>1014</v>
      </c>
      <c r="E2135" s="1" t="s">
        <v>1220</v>
      </c>
      <c r="F2135" s="1" t="s">
        <v>35</v>
      </c>
      <c r="G2135" s="1" t="s">
        <v>36</v>
      </c>
      <c r="H2135" s="1" t="s">
        <v>22</v>
      </c>
      <c r="I2135" s="1" t="s">
        <v>29</v>
      </c>
      <c r="J2135" s="1">
        <v>-31.018000000000029</v>
      </c>
      <c r="K2135" s="1">
        <v>256.99999999999994</v>
      </c>
      <c r="L2135" s="1">
        <v>80.329999999999984</v>
      </c>
      <c r="N2135" s="1">
        <v>92.502107918660784</v>
      </c>
      <c r="O2135" s="11"/>
      <c r="P2135" s="11"/>
      <c r="Q2135" s="11"/>
      <c r="R2135" s="11"/>
    </row>
    <row r="2136" spans="4:18">
      <c r="D2136" s="1" t="s">
        <v>1014</v>
      </c>
      <c r="E2136" s="1" t="s">
        <v>1221</v>
      </c>
      <c r="F2136" s="1" t="s">
        <v>35</v>
      </c>
      <c r="G2136" s="1" t="s">
        <v>36</v>
      </c>
      <c r="H2136" s="1" t="s">
        <v>22</v>
      </c>
      <c r="I2136" s="1" t="s">
        <v>29</v>
      </c>
      <c r="J2136" s="1">
        <v>-31.018000000000029</v>
      </c>
      <c r="K2136" s="1">
        <v>256.99999999999994</v>
      </c>
      <c r="L2136" s="1">
        <v>80.329999999999984</v>
      </c>
      <c r="N2136" s="1">
        <v>92.723678851766806</v>
      </c>
      <c r="O2136" s="11"/>
      <c r="P2136" s="11"/>
      <c r="Q2136" s="11"/>
      <c r="R2136" s="11"/>
    </row>
    <row r="2137" spans="4:18">
      <c r="D2137" s="1" t="s">
        <v>1014</v>
      </c>
      <c r="E2137" s="1" t="s">
        <v>1222</v>
      </c>
      <c r="F2137" s="1" t="s">
        <v>35</v>
      </c>
      <c r="G2137" s="1" t="s">
        <v>36</v>
      </c>
      <c r="H2137" s="1" t="s">
        <v>22</v>
      </c>
      <c r="I2137" s="1" t="s">
        <v>29</v>
      </c>
      <c r="J2137" s="1">
        <v>-31.018000000000029</v>
      </c>
      <c r="K2137" s="1">
        <v>256.99999999999994</v>
      </c>
      <c r="L2137" s="1">
        <v>80.329999999999984</v>
      </c>
      <c r="N2137" s="1">
        <v>92.939828192749189</v>
      </c>
      <c r="O2137" s="11"/>
      <c r="P2137" s="11"/>
      <c r="Q2137" s="11"/>
      <c r="R2137" s="11"/>
    </row>
    <row r="2138" spans="4:18">
      <c r="D2138" s="1" t="s">
        <v>1014</v>
      </c>
      <c r="E2138" s="1" t="s">
        <v>1223</v>
      </c>
      <c r="F2138" s="1" t="s">
        <v>35</v>
      </c>
      <c r="G2138" s="1" t="s">
        <v>36</v>
      </c>
      <c r="H2138" s="1" t="s">
        <v>22</v>
      </c>
      <c r="I2138" s="1" t="s">
        <v>29</v>
      </c>
      <c r="J2138" s="1">
        <v>-31.018000000000029</v>
      </c>
      <c r="K2138" s="1">
        <v>256.99999999999994</v>
      </c>
      <c r="L2138" s="1">
        <v>80.329999999999984</v>
      </c>
      <c r="N2138" s="1">
        <v>93.150600155496761</v>
      </c>
      <c r="O2138" s="11"/>
      <c r="P2138" s="11"/>
      <c r="Q2138" s="11"/>
      <c r="R2138" s="11"/>
    </row>
    <row r="2139" spans="4:18">
      <c r="D2139" s="1" t="s">
        <v>1014</v>
      </c>
      <c r="E2139" s="1" t="s">
        <v>1224</v>
      </c>
      <c r="F2139" s="1" t="s">
        <v>35</v>
      </c>
      <c r="G2139" s="1" t="s">
        <v>36</v>
      </c>
      <c r="H2139" s="1" t="s">
        <v>22</v>
      </c>
      <c r="I2139" s="1" t="s">
        <v>29</v>
      </c>
      <c r="J2139" s="1">
        <v>-31.018000000000029</v>
      </c>
      <c r="K2139" s="1">
        <v>256.99999999999994</v>
      </c>
      <c r="L2139" s="1">
        <v>80.329999999999984</v>
      </c>
      <c r="N2139" s="1">
        <v>93.356071004757212</v>
      </c>
      <c r="O2139" s="11"/>
      <c r="P2139" s="11"/>
      <c r="Q2139" s="11"/>
      <c r="R2139" s="11"/>
    </row>
    <row r="2140" spans="4:18">
      <c r="D2140" s="1" t="s">
        <v>1014</v>
      </c>
      <c r="E2140" s="1" t="s">
        <v>1225</v>
      </c>
      <c r="F2140" s="1" t="s">
        <v>35</v>
      </c>
      <c r="G2140" s="1" t="s">
        <v>36</v>
      </c>
      <c r="H2140" s="1" t="s">
        <v>22</v>
      </c>
      <c r="I2140" s="1" t="s">
        <v>29</v>
      </c>
      <c r="J2140" s="1">
        <v>-31.018000000000029</v>
      </c>
      <c r="K2140" s="1">
        <v>256.99999999999994</v>
      </c>
      <c r="L2140" s="1">
        <v>80.329999999999984</v>
      </c>
      <c r="N2140" s="1">
        <v>93.556173351216842</v>
      </c>
      <c r="O2140" s="11"/>
      <c r="P2140" s="11"/>
      <c r="Q2140" s="11"/>
      <c r="R2140" s="11"/>
    </row>
    <row r="2141" spans="4:18">
      <c r="D2141" s="1" t="s">
        <v>1014</v>
      </c>
      <c r="E2141" s="1" t="s">
        <v>1226</v>
      </c>
      <c r="F2141" s="1" t="s">
        <v>35</v>
      </c>
      <c r="G2141" s="1" t="s">
        <v>36</v>
      </c>
      <c r="H2141" s="1" t="s">
        <v>22</v>
      </c>
      <c r="I2141" s="1" t="s">
        <v>29</v>
      </c>
      <c r="J2141" s="1">
        <v>-31.018000000000029</v>
      </c>
      <c r="K2141" s="1">
        <v>256.99999999999994</v>
      </c>
      <c r="L2141" s="1">
        <v>80.329999999999984</v>
      </c>
      <c r="N2141" s="1">
        <v>93.750851063601601</v>
      </c>
      <c r="O2141" s="11"/>
      <c r="P2141" s="11"/>
      <c r="Q2141" s="11"/>
      <c r="R2141" s="11"/>
    </row>
    <row r="2142" spans="4:18">
      <c r="D2142" s="1" t="s">
        <v>1014</v>
      </c>
      <c r="E2142" s="1" t="s">
        <v>1227</v>
      </c>
      <c r="F2142" s="1" t="s">
        <v>35</v>
      </c>
      <c r="G2142" s="1" t="s">
        <v>36</v>
      </c>
      <c r="H2142" s="1" t="s">
        <v>22</v>
      </c>
      <c r="I2142" s="1" t="s">
        <v>29</v>
      </c>
      <c r="J2142" s="1">
        <v>-31.018000000000029</v>
      </c>
      <c r="K2142" s="1">
        <v>256.99999999999994</v>
      </c>
      <c r="L2142" s="1">
        <v>80.329999999999984</v>
      </c>
      <c r="N2142" s="1">
        <v>93.940059867148705</v>
      </c>
      <c r="O2142" s="11"/>
      <c r="P2142" s="11"/>
      <c r="Q2142" s="11"/>
      <c r="R2142" s="11"/>
    </row>
    <row r="2143" spans="4:18">
      <c r="D2143" s="1" t="s">
        <v>1014</v>
      </c>
      <c r="E2143" s="1" t="s">
        <v>1228</v>
      </c>
      <c r="F2143" s="1" t="s">
        <v>35</v>
      </c>
      <c r="G2143" s="1" t="s">
        <v>36</v>
      </c>
      <c r="H2143" s="1" t="s">
        <v>22</v>
      </c>
      <c r="I2143" s="1" t="s">
        <v>29</v>
      </c>
      <c r="J2143" s="1">
        <v>-31.018000000000029</v>
      </c>
      <c r="K2143" s="1">
        <v>256.99999999999994</v>
      </c>
      <c r="L2143" s="1">
        <v>80.329999999999984</v>
      </c>
      <c r="N2143" s="1">
        <v>94.12376780877895</v>
      </c>
      <c r="O2143" s="11"/>
      <c r="P2143" s="11"/>
      <c r="Q2143" s="11"/>
      <c r="R2143" s="11"/>
    </row>
    <row r="2144" spans="4:18">
      <c r="D2144" s="1" t="s">
        <v>1014</v>
      </c>
      <c r="E2144" s="1" t="s">
        <v>1229</v>
      </c>
      <c r="F2144" s="1" t="s">
        <v>35</v>
      </c>
      <c r="G2144" s="1" t="s">
        <v>36</v>
      </c>
      <c r="H2144" s="1" t="s">
        <v>22</v>
      </c>
      <c r="I2144" s="1" t="s">
        <v>29</v>
      </c>
      <c r="J2144" s="1">
        <v>-31.018000000000029</v>
      </c>
      <c r="K2144" s="1">
        <v>256.99999999999994</v>
      </c>
      <c r="L2144" s="1">
        <v>80.329999999999984</v>
      </c>
      <c r="N2144" s="1">
        <v>94.301955578873446</v>
      </c>
      <c r="O2144" s="11"/>
      <c r="P2144" s="11"/>
      <c r="Q2144" s="11"/>
      <c r="R2144" s="11"/>
    </row>
    <row r="2145" spans="4:18">
      <c r="D2145" s="1" t="s">
        <v>1014</v>
      </c>
      <c r="E2145" s="1" t="s">
        <v>1230</v>
      </c>
      <c r="F2145" s="1" t="s">
        <v>35</v>
      </c>
      <c r="G2145" s="1" t="s">
        <v>36</v>
      </c>
      <c r="H2145" s="1" t="s">
        <v>22</v>
      </c>
      <c r="I2145" s="1" t="s">
        <v>29</v>
      </c>
      <c r="J2145" s="1">
        <v>-31.018000000000029</v>
      </c>
      <c r="K2145" s="1">
        <v>256.99999999999994</v>
      </c>
      <c r="L2145" s="1">
        <v>80.329999999999984</v>
      </c>
      <c r="N2145" s="1">
        <v>89.733531110522051</v>
      </c>
      <c r="O2145" s="11"/>
      <c r="P2145" s="11"/>
      <c r="Q2145" s="11"/>
      <c r="R2145" s="11"/>
    </row>
    <row r="2146" spans="4:18">
      <c r="D2146" s="1" t="s">
        <v>1014</v>
      </c>
      <c r="E2146" s="1" t="s">
        <v>1231</v>
      </c>
      <c r="F2146" s="1" t="s">
        <v>35</v>
      </c>
      <c r="G2146" s="1" t="s">
        <v>36</v>
      </c>
      <c r="H2146" s="1" t="s">
        <v>22</v>
      </c>
      <c r="I2146" s="1" t="s">
        <v>29</v>
      </c>
      <c r="J2146" s="1">
        <v>-31.018000000000029</v>
      </c>
      <c r="K2146" s="1">
        <v>256.99999999999994</v>
      </c>
      <c r="L2146" s="1">
        <v>80.329999999999984</v>
      </c>
      <c r="N2146" s="1">
        <v>94.301955578872764</v>
      </c>
      <c r="O2146" s="11"/>
      <c r="P2146" s="11"/>
      <c r="Q2146" s="11"/>
      <c r="R2146" s="11"/>
    </row>
    <row r="2147" spans="4:18">
      <c r="D2147" s="1" t="s">
        <v>1014</v>
      </c>
      <c r="E2147" s="1" t="s">
        <v>1232</v>
      </c>
      <c r="H2147" s="1" t="s">
        <v>22</v>
      </c>
      <c r="I2147" s="1" t="s">
        <v>29</v>
      </c>
      <c r="J2147" s="1">
        <v>-5</v>
      </c>
      <c r="K2147" s="1">
        <v>5</v>
      </c>
      <c r="L2147" s="1">
        <v>1</v>
      </c>
      <c r="N2147" s="1">
        <v>-3.9226116687334233E-9</v>
      </c>
      <c r="O2147" s="11"/>
      <c r="P2147" s="11"/>
      <c r="Q2147" s="11"/>
      <c r="R2147" s="11"/>
    </row>
    <row r="2148" spans="4:18">
      <c r="D2148" s="1" t="s">
        <v>1014</v>
      </c>
      <c r="E2148" s="1" t="s">
        <v>1233</v>
      </c>
      <c r="H2148" s="1" t="s">
        <v>22</v>
      </c>
      <c r="I2148" s="1" t="s">
        <v>29</v>
      </c>
      <c r="L2148" s="1">
        <v>1</v>
      </c>
      <c r="N2148" s="1">
        <v>-0.54849840697092778</v>
      </c>
      <c r="O2148" s="11"/>
      <c r="P2148" s="11"/>
      <c r="Q2148" s="11"/>
      <c r="R2148" s="11"/>
    </row>
    <row r="2149" spans="4:18">
      <c r="D2149" s="1" t="s">
        <v>1014</v>
      </c>
      <c r="E2149" s="1" t="s">
        <v>1234</v>
      </c>
      <c r="F2149" s="1" t="s">
        <v>35</v>
      </c>
      <c r="G2149" s="1" t="s">
        <v>36</v>
      </c>
      <c r="H2149" s="1" t="s">
        <v>22</v>
      </c>
      <c r="I2149" s="1" t="s">
        <v>29</v>
      </c>
      <c r="J2149" s="1">
        <v>-99.670000000000016</v>
      </c>
      <c r="K2149" s="1">
        <v>440.33</v>
      </c>
      <c r="L2149" s="1">
        <v>80.329999999999984</v>
      </c>
      <c r="N2149" s="1">
        <v>86.456129818423449</v>
      </c>
      <c r="O2149" s="11"/>
      <c r="P2149" s="11"/>
      <c r="Q2149" s="11"/>
      <c r="R2149" s="11"/>
    </row>
    <row r="2150" spans="4:18">
      <c r="D2150" s="1" t="s">
        <v>1014</v>
      </c>
      <c r="E2150" s="1" t="s">
        <v>1235</v>
      </c>
      <c r="F2150" s="1" t="s">
        <v>35</v>
      </c>
      <c r="G2150" s="1" t="s">
        <v>36</v>
      </c>
      <c r="H2150" s="1" t="s">
        <v>22</v>
      </c>
      <c r="I2150" s="1" t="s">
        <v>29</v>
      </c>
      <c r="J2150" s="1">
        <v>-99.670000000000016</v>
      </c>
      <c r="K2150" s="1">
        <v>440.33</v>
      </c>
      <c r="L2150" s="1">
        <v>80.329999999999984</v>
      </c>
      <c r="N2150" s="1">
        <v>86.330259840216684</v>
      </c>
      <c r="O2150" s="11"/>
      <c r="P2150" s="11"/>
      <c r="Q2150" s="11"/>
      <c r="R2150" s="11"/>
    </row>
    <row r="2151" spans="4:18">
      <c r="D2151" s="1" t="s">
        <v>1014</v>
      </c>
      <c r="E2151" s="1" t="s">
        <v>1236</v>
      </c>
      <c r="F2151" s="1" t="s">
        <v>35</v>
      </c>
      <c r="G2151" s="1" t="s">
        <v>36</v>
      </c>
      <c r="H2151" s="1" t="s">
        <v>22</v>
      </c>
      <c r="I2151" s="1" t="s">
        <v>29</v>
      </c>
      <c r="J2151" s="1">
        <v>-99.670000000000016</v>
      </c>
      <c r="K2151" s="1">
        <v>440.33</v>
      </c>
      <c r="L2151" s="1">
        <v>80.329999999999984</v>
      </c>
      <c r="N2151" s="1">
        <v>86.209289580267921</v>
      </c>
      <c r="O2151" s="11"/>
      <c r="P2151" s="11"/>
      <c r="Q2151" s="11"/>
      <c r="R2151" s="11"/>
    </row>
    <row r="2152" spans="4:18">
      <c r="D2152" s="1" t="s">
        <v>1014</v>
      </c>
      <c r="E2152" s="1" t="s">
        <v>1237</v>
      </c>
      <c r="F2152" s="1" t="s">
        <v>35</v>
      </c>
      <c r="G2152" s="1" t="s">
        <v>36</v>
      </c>
      <c r="H2152" s="1" t="s">
        <v>22</v>
      </c>
      <c r="I2152" s="1" t="s">
        <v>29</v>
      </c>
      <c r="J2152" s="1">
        <v>-99.670000000000016</v>
      </c>
      <c r="K2152" s="1">
        <v>440.33</v>
      </c>
      <c r="L2152" s="1">
        <v>80.329999999999984</v>
      </c>
      <c r="N2152" s="1">
        <v>86.093028464300517</v>
      </c>
      <c r="O2152" s="11"/>
      <c r="P2152" s="11"/>
      <c r="Q2152" s="11"/>
      <c r="R2152" s="11"/>
    </row>
    <row r="2153" spans="4:18">
      <c r="D2153" s="1" t="s">
        <v>1014</v>
      </c>
      <c r="E2153" s="1" t="s">
        <v>1238</v>
      </c>
      <c r="F2153" s="1" t="s">
        <v>35</v>
      </c>
      <c r="G2153" s="1" t="s">
        <v>36</v>
      </c>
      <c r="H2153" s="1" t="s">
        <v>22</v>
      </c>
      <c r="I2153" s="1" t="s">
        <v>29</v>
      </c>
      <c r="J2153" s="1">
        <v>-99.670000000000016</v>
      </c>
      <c r="K2153" s="1">
        <v>440.33</v>
      </c>
      <c r="L2153" s="1">
        <v>80.329999999999984</v>
      </c>
      <c r="N2153" s="1">
        <v>85.981293306166492</v>
      </c>
      <c r="O2153" s="11"/>
      <c r="P2153" s="11"/>
      <c r="Q2153" s="11"/>
      <c r="R2153" s="11"/>
    </row>
    <row r="2154" spans="4:18">
      <c r="D2154" s="1" t="s">
        <v>1014</v>
      </c>
      <c r="E2154" s="1" t="s">
        <v>1239</v>
      </c>
      <c r="F2154" s="1" t="s">
        <v>35</v>
      </c>
      <c r="G2154" s="1" t="s">
        <v>36</v>
      </c>
      <c r="H2154" s="1" t="s">
        <v>22</v>
      </c>
      <c r="I2154" s="1" t="s">
        <v>29</v>
      </c>
      <c r="J2154" s="1">
        <v>-99.670000000000016</v>
      </c>
      <c r="K2154" s="1">
        <v>440.33</v>
      </c>
      <c r="L2154" s="1">
        <v>80.329999999999984</v>
      </c>
      <c r="N2154" s="1">
        <v>85.873908023020988</v>
      </c>
      <c r="O2154" s="11"/>
      <c r="P2154" s="11"/>
      <c r="Q2154" s="11"/>
      <c r="R2154" s="11"/>
    </row>
    <row r="2155" spans="4:18">
      <c r="D2155" s="1" t="s">
        <v>1014</v>
      </c>
      <c r="E2155" s="1" t="s">
        <v>1240</v>
      </c>
      <c r="F2155" s="1" t="s">
        <v>35</v>
      </c>
      <c r="G2155" s="1" t="s">
        <v>36</v>
      </c>
      <c r="H2155" s="1" t="s">
        <v>22</v>
      </c>
      <c r="I2155" s="1" t="s">
        <v>29</v>
      </c>
      <c r="J2155" s="1">
        <v>-99.670000000000016</v>
      </c>
      <c r="K2155" s="1">
        <v>440.33</v>
      </c>
      <c r="L2155" s="1">
        <v>80.329999999999984</v>
      </c>
      <c r="N2155" s="1">
        <v>85.770703361366202</v>
      </c>
      <c r="O2155" s="11"/>
      <c r="P2155" s="11"/>
      <c r="Q2155" s="11"/>
      <c r="R2155" s="11"/>
    </row>
    <row r="2156" spans="4:18">
      <c r="D2156" s="1" t="s">
        <v>1014</v>
      </c>
      <c r="E2156" s="1" t="s">
        <v>1241</v>
      </c>
      <c r="F2156" s="1" t="s">
        <v>35</v>
      </c>
      <c r="G2156" s="1" t="s">
        <v>36</v>
      </c>
      <c r="H2156" s="1" t="s">
        <v>22</v>
      </c>
      <c r="I2156" s="1" t="s">
        <v>29</v>
      </c>
      <c r="J2156" s="1">
        <v>-99.670000000000016</v>
      </c>
      <c r="K2156" s="1">
        <v>440.33</v>
      </c>
      <c r="L2156" s="1">
        <v>80.329999999999984</v>
      </c>
      <c r="N2156" s="1">
        <v>85.671497131872627</v>
      </c>
      <c r="O2156" s="11"/>
      <c r="P2156" s="11"/>
      <c r="Q2156" s="11"/>
      <c r="R2156" s="11"/>
    </row>
    <row r="2157" spans="4:18">
      <c r="D2157" s="1" t="s">
        <v>1014</v>
      </c>
      <c r="E2157" s="1" t="s">
        <v>1242</v>
      </c>
      <c r="F2157" s="1" t="s">
        <v>35</v>
      </c>
      <c r="G2157" s="1" t="s">
        <v>36</v>
      </c>
      <c r="H2157" s="1" t="s">
        <v>22</v>
      </c>
      <c r="I2157" s="1" t="s">
        <v>29</v>
      </c>
      <c r="J2157" s="1">
        <v>-99.670000000000016</v>
      </c>
      <c r="K2157" s="1">
        <v>440.33</v>
      </c>
      <c r="L2157" s="1">
        <v>80.329999999999984</v>
      </c>
      <c r="N2157" s="1">
        <v>85.576003578704274</v>
      </c>
      <c r="O2157" s="11"/>
      <c r="P2157" s="11"/>
      <c r="Q2157" s="11"/>
      <c r="R2157" s="11"/>
    </row>
    <row r="2158" spans="4:18">
      <c r="D2158" s="1" t="s">
        <v>1014</v>
      </c>
      <c r="E2158" s="1" t="s">
        <v>1243</v>
      </c>
      <c r="F2158" s="1" t="s">
        <v>35</v>
      </c>
      <c r="G2158" s="1" t="s">
        <v>36</v>
      </c>
      <c r="H2158" s="1" t="s">
        <v>22</v>
      </c>
      <c r="I2158" s="1" t="s">
        <v>29</v>
      </c>
      <c r="J2158" s="1">
        <v>-99.670000000000016</v>
      </c>
      <c r="K2158" s="1">
        <v>440.33</v>
      </c>
      <c r="L2158" s="1">
        <v>80.329999999999984</v>
      </c>
      <c r="N2158" s="1">
        <v>85.484264678573311</v>
      </c>
      <c r="O2158" s="11"/>
      <c r="P2158" s="11"/>
      <c r="Q2158" s="11"/>
      <c r="R2158" s="11"/>
    </row>
    <row r="2159" spans="4:18">
      <c r="D2159" s="1" t="s">
        <v>1014</v>
      </c>
      <c r="E2159" s="1" t="s">
        <v>1244</v>
      </c>
      <c r="F2159" s="1" t="s">
        <v>35</v>
      </c>
      <c r="G2159" s="1" t="s">
        <v>36</v>
      </c>
      <c r="H2159" s="1" t="s">
        <v>22</v>
      </c>
      <c r="I2159" s="1" t="s">
        <v>29</v>
      </c>
      <c r="J2159" s="1">
        <v>-99.670000000000016</v>
      </c>
      <c r="K2159" s="1">
        <v>440.33</v>
      </c>
      <c r="L2159" s="1">
        <v>80.329999999999984</v>
      </c>
      <c r="N2159" s="1">
        <v>90.576959423082087</v>
      </c>
      <c r="O2159" s="11"/>
      <c r="P2159" s="11"/>
      <c r="Q2159" s="11"/>
      <c r="R2159" s="11"/>
    </row>
    <row r="2160" spans="4:18">
      <c r="D2160" s="1" t="s">
        <v>1014</v>
      </c>
      <c r="E2160" s="1" t="s">
        <v>1245</v>
      </c>
      <c r="F2160" s="1" t="s">
        <v>35</v>
      </c>
      <c r="G2160" s="1" t="s">
        <v>36</v>
      </c>
      <c r="H2160" s="1" t="s">
        <v>22</v>
      </c>
      <c r="I2160" s="1" t="s">
        <v>29</v>
      </c>
      <c r="J2160" s="1">
        <v>-99.670000000000016</v>
      </c>
      <c r="K2160" s="1">
        <v>440.33</v>
      </c>
      <c r="L2160" s="1">
        <v>80.329999999999984</v>
      </c>
      <c r="N2160" s="1">
        <v>90.487128510058653</v>
      </c>
      <c r="O2160" s="11"/>
      <c r="P2160" s="11"/>
      <c r="Q2160" s="11"/>
      <c r="R2160" s="11"/>
    </row>
    <row r="2161" spans="4:18">
      <c r="D2161" s="1" t="s">
        <v>1014</v>
      </c>
      <c r="E2161" s="1" t="s">
        <v>1246</v>
      </c>
      <c r="F2161" s="1" t="s">
        <v>35</v>
      </c>
      <c r="G2161" s="1" t="s">
        <v>36</v>
      </c>
      <c r="H2161" s="1" t="s">
        <v>22</v>
      </c>
      <c r="I2161" s="1" t="s">
        <v>29</v>
      </c>
      <c r="J2161" s="1">
        <v>-99.670000000000016</v>
      </c>
      <c r="K2161" s="1">
        <v>440.33</v>
      </c>
      <c r="L2161" s="1">
        <v>80.329999999999984</v>
      </c>
      <c r="N2161" s="1">
        <v>90.402507242266381</v>
      </c>
      <c r="O2161" s="11"/>
      <c r="P2161" s="11"/>
      <c r="Q2161" s="11"/>
      <c r="R2161" s="11"/>
    </row>
    <row r="2162" spans="4:18">
      <c r="D2162" s="1" t="s">
        <v>1014</v>
      </c>
      <c r="E2162" s="1" t="s">
        <v>1247</v>
      </c>
      <c r="F2162" s="1" t="s">
        <v>35</v>
      </c>
      <c r="G2162" s="1" t="s">
        <v>36</v>
      </c>
      <c r="H2162" s="1" t="s">
        <v>22</v>
      </c>
      <c r="I2162" s="1" t="s">
        <v>29</v>
      </c>
      <c r="J2162" s="1">
        <v>-99.670000000000016</v>
      </c>
      <c r="K2162" s="1">
        <v>440.33</v>
      </c>
      <c r="L2162" s="1">
        <v>80.329999999999984</v>
      </c>
      <c r="N2162" s="1">
        <v>90.322907853468166</v>
      </c>
      <c r="O2162" s="11"/>
      <c r="P2162" s="11"/>
      <c r="Q2162" s="11"/>
      <c r="R2162" s="11"/>
    </row>
    <row r="2163" spans="4:18">
      <c r="D2163" s="1" t="s">
        <v>1014</v>
      </c>
      <c r="E2163" s="1" t="s">
        <v>1248</v>
      </c>
      <c r="F2163" s="1" t="s">
        <v>35</v>
      </c>
      <c r="G2163" s="1" t="s">
        <v>36</v>
      </c>
      <c r="H2163" s="1" t="s">
        <v>22</v>
      </c>
      <c r="I2163" s="1" t="s">
        <v>29</v>
      </c>
      <c r="J2163" s="1">
        <v>-99.670000000000016</v>
      </c>
      <c r="K2163" s="1">
        <v>440.33</v>
      </c>
      <c r="L2163" s="1">
        <v>80.329999999999984</v>
      </c>
      <c r="N2163" s="1">
        <v>90.24814998938615</v>
      </c>
      <c r="O2163" s="11"/>
      <c r="P2163" s="11"/>
      <c r="Q2163" s="11"/>
      <c r="R2163" s="11"/>
    </row>
    <row r="2164" spans="4:18">
      <c r="D2164" s="1" t="s">
        <v>1014</v>
      </c>
      <c r="E2164" s="1" t="s">
        <v>1249</v>
      </c>
      <c r="F2164" s="1" t="s">
        <v>35</v>
      </c>
      <c r="G2164" s="1" t="s">
        <v>36</v>
      </c>
      <c r="H2164" s="1" t="s">
        <v>22</v>
      </c>
      <c r="I2164" s="1" t="s">
        <v>29</v>
      </c>
      <c r="J2164" s="1">
        <v>-99.670000000000016</v>
      </c>
      <c r="K2164" s="1">
        <v>440.33</v>
      </c>
      <c r="L2164" s="1">
        <v>80.329999999999984</v>
      </c>
      <c r="N2164" s="1">
        <v>90.178060422974738</v>
      </c>
      <c r="O2164" s="11"/>
      <c r="P2164" s="11"/>
      <c r="Q2164" s="11"/>
      <c r="R2164" s="11"/>
    </row>
    <row r="2165" spans="4:18">
      <c r="D2165" s="1" t="s">
        <v>1014</v>
      </c>
      <c r="E2165" s="1" t="s">
        <v>1250</v>
      </c>
      <c r="F2165" s="1" t="s">
        <v>35</v>
      </c>
      <c r="G2165" s="1" t="s">
        <v>36</v>
      </c>
      <c r="H2165" s="1" t="s">
        <v>22</v>
      </c>
      <c r="I2165" s="1" t="s">
        <v>29</v>
      </c>
      <c r="J2165" s="1">
        <v>-99.670000000000016</v>
      </c>
      <c r="K2165" s="1">
        <v>440.33</v>
      </c>
      <c r="L2165" s="1">
        <v>80.329999999999984</v>
      </c>
      <c r="N2165" s="1">
        <v>90.11247278057607</v>
      </c>
      <c r="O2165" s="11"/>
      <c r="P2165" s="11"/>
      <c r="Q2165" s="11"/>
      <c r="R2165" s="11"/>
    </row>
    <row r="2166" spans="4:18">
      <c r="D2166" s="1" t="s">
        <v>1014</v>
      </c>
      <c r="E2166" s="1" t="s">
        <v>1251</v>
      </c>
      <c r="F2166" s="1" t="s">
        <v>35</v>
      </c>
      <c r="G2166" s="1" t="s">
        <v>36</v>
      </c>
      <c r="H2166" s="1" t="s">
        <v>22</v>
      </c>
      <c r="I2166" s="1" t="s">
        <v>29</v>
      </c>
      <c r="J2166" s="1">
        <v>-99.670000000000016</v>
      </c>
      <c r="K2166" s="1">
        <v>440.33</v>
      </c>
      <c r="L2166" s="1">
        <v>80.329999999999984</v>
      </c>
      <c r="N2166" s="1">
        <v>90.051208032850411</v>
      </c>
      <c r="O2166" s="11"/>
      <c r="P2166" s="11"/>
      <c r="Q2166" s="11"/>
      <c r="R2166" s="11"/>
    </row>
    <row r="2167" spans="4:18">
      <c r="D2167" s="1" t="s">
        <v>1014</v>
      </c>
      <c r="E2167" s="1" t="s">
        <v>1252</v>
      </c>
      <c r="F2167" s="1" t="s">
        <v>35</v>
      </c>
      <c r="G2167" s="1" t="s">
        <v>36</v>
      </c>
      <c r="H2167" s="1" t="s">
        <v>22</v>
      </c>
      <c r="I2167" s="1" t="s">
        <v>29</v>
      </c>
      <c r="J2167" s="1">
        <v>-99.670000000000016</v>
      </c>
      <c r="K2167" s="1">
        <v>440.33</v>
      </c>
      <c r="L2167" s="1">
        <v>80.329999999999984</v>
      </c>
      <c r="N2167" s="1">
        <v>89.993985123685832</v>
      </c>
      <c r="O2167" s="11"/>
      <c r="P2167" s="11"/>
      <c r="Q2167" s="11"/>
      <c r="R2167" s="11"/>
    </row>
    <row r="2168" spans="4:18">
      <c r="D2168" s="1" t="s">
        <v>1014</v>
      </c>
      <c r="E2168" s="1" t="s">
        <v>1253</v>
      </c>
      <c r="F2168" s="1" t="s">
        <v>35</v>
      </c>
      <c r="G2168" s="1" t="s">
        <v>36</v>
      </c>
      <c r="H2168" s="1" t="s">
        <v>22</v>
      </c>
      <c r="I2168" s="1" t="s">
        <v>29</v>
      </c>
      <c r="J2168" s="1">
        <v>-99.670000000000016</v>
      </c>
      <c r="K2168" s="1">
        <v>440.33</v>
      </c>
      <c r="L2168" s="1">
        <v>80.329999999999984</v>
      </c>
      <c r="N2168" s="1">
        <v>89.940846862603905</v>
      </c>
      <c r="O2168" s="11"/>
      <c r="P2168" s="11"/>
      <c r="Q2168" s="11"/>
      <c r="R2168" s="11"/>
    </row>
    <row r="2169" spans="4:18">
      <c r="D2169" s="1" t="s">
        <v>1014</v>
      </c>
      <c r="E2169" s="1" t="s">
        <v>1254</v>
      </c>
      <c r="F2169" s="1" t="s">
        <v>35</v>
      </c>
      <c r="G2169" s="1" t="s">
        <v>36</v>
      </c>
      <c r="H2169" s="1" t="s">
        <v>22</v>
      </c>
      <c r="I2169" s="1" t="s">
        <v>29</v>
      </c>
      <c r="J2169" s="1">
        <v>-99.670000000000016</v>
      </c>
      <c r="K2169" s="1">
        <v>440.33</v>
      </c>
      <c r="L2169" s="1">
        <v>80.329999999999984</v>
      </c>
      <c r="N2169" s="1">
        <v>89.175991535130777</v>
      </c>
      <c r="O2169" s="11"/>
      <c r="P2169" s="11"/>
      <c r="Q2169" s="11"/>
      <c r="R2169" s="11"/>
    </row>
    <row r="2170" spans="4:18">
      <c r="D2170" s="1" t="s">
        <v>1014</v>
      </c>
      <c r="E2170" s="1" t="s">
        <v>1255</v>
      </c>
      <c r="F2170" s="1" t="s">
        <v>35</v>
      </c>
      <c r="G2170" s="1" t="s">
        <v>36</v>
      </c>
      <c r="H2170" s="1" t="s">
        <v>22</v>
      </c>
      <c r="I2170" s="1" t="s">
        <v>29</v>
      </c>
      <c r="J2170" s="1">
        <v>-99.670000000000016</v>
      </c>
      <c r="K2170" s="1">
        <v>440.33</v>
      </c>
      <c r="L2170" s="1">
        <v>80.329999999999984</v>
      </c>
      <c r="N2170" s="1">
        <v>89.466247548920762</v>
      </c>
      <c r="O2170" s="11"/>
      <c r="P2170" s="11"/>
      <c r="Q2170" s="11"/>
      <c r="R2170" s="11"/>
    </row>
    <row r="2171" spans="4:18">
      <c r="D2171" s="1" t="s">
        <v>1014</v>
      </c>
      <c r="E2171" s="1" t="s">
        <v>1256</v>
      </c>
      <c r="F2171" s="1" t="s">
        <v>35</v>
      </c>
      <c r="G2171" s="1" t="s">
        <v>36</v>
      </c>
      <c r="H2171" s="1" t="s">
        <v>22</v>
      </c>
      <c r="I2171" s="1" t="s">
        <v>29</v>
      </c>
      <c r="J2171" s="1">
        <v>-99.670000000000016</v>
      </c>
      <c r="K2171" s="1">
        <v>440.33</v>
      </c>
      <c r="L2171" s="1">
        <v>80.329999999999984</v>
      </c>
      <c r="N2171" s="1">
        <v>89.752079073453444</v>
      </c>
      <c r="O2171" s="11"/>
      <c r="P2171" s="11"/>
      <c r="Q2171" s="11"/>
      <c r="R2171" s="11"/>
    </row>
    <row r="2172" spans="4:18">
      <c r="D2172" s="1" t="s">
        <v>1014</v>
      </c>
      <c r="E2172" s="1" t="s">
        <v>1257</v>
      </c>
      <c r="F2172" s="1" t="s">
        <v>35</v>
      </c>
      <c r="G2172" s="1" t="s">
        <v>36</v>
      </c>
      <c r="H2172" s="1" t="s">
        <v>22</v>
      </c>
      <c r="I2172" s="1" t="s">
        <v>29</v>
      </c>
      <c r="J2172" s="1">
        <v>-99.670000000000016</v>
      </c>
      <c r="K2172" s="1">
        <v>440.33</v>
      </c>
      <c r="L2172" s="1">
        <v>80.329999999999984</v>
      </c>
      <c r="N2172" s="1">
        <v>90.033366991013679</v>
      </c>
      <c r="O2172" s="11"/>
      <c r="P2172" s="11"/>
      <c r="Q2172" s="11"/>
      <c r="R2172" s="11"/>
    </row>
    <row r="2173" spans="4:18">
      <c r="D2173" s="1" t="s">
        <v>1014</v>
      </c>
      <c r="E2173" s="1" t="s">
        <v>1258</v>
      </c>
      <c r="F2173" s="1" t="s">
        <v>35</v>
      </c>
      <c r="G2173" s="1" t="s">
        <v>36</v>
      </c>
      <c r="H2173" s="1" t="s">
        <v>22</v>
      </c>
      <c r="I2173" s="1" t="s">
        <v>29</v>
      </c>
      <c r="J2173" s="1">
        <v>-99.670000000000016</v>
      </c>
      <c r="K2173" s="1">
        <v>440.33</v>
      </c>
      <c r="L2173" s="1">
        <v>80.329999999999984</v>
      </c>
      <c r="N2173" s="1">
        <v>90.309992853605365</v>
      </c>
      <c r="O2173" s="11"/>
      <c r="P2173" s="11"/>
      <c r="Q2173" s="11"/>
      <c r="R2173" s="11"/>
    </row>
    <row r="2174" spans="4:18">
      <c r="D2174" s="1" t="s">
        <v>1014</v>
      </c>
      <c r="E2174" s="1" t="s">
        <v>1259</v>
      </c>
      <c r="F2174" s="1" t="s">
        <v>35</v>
      </c>
      <c r="G2174" s="1" t="s">
        <v>36</v>
      </c>
      <c r="H2174" s="1" t="s">
        <v>22</v>
      </c>
      <c r="I2174" s="1" t="s">
        <v>29</v>
      </c>
      <c r="J2174" s="1">
        <v>-99.670000000000016</v>
      </c>
      <c r="K2174" s="1">
        <v>440.33</v>
      </c>
      <c r="L2174" s="1">
        <v>80.329999999999984</v>
      </c>
      <c r="N2174" s="1">
        <v>90.581839444730065</v>
      </c>
      <c r="O2174" s="11"/>
      <c r="P2174" s="11"/>
      <c r="Q2174" s="11"/>
      <c r="R2174" s="11"/>
    </row>
    <row r="2175" spans="4:18">
      <c r="D2175" s="1" t="s">
        <v>1014</v>
      </c>
      <c r="E2175" s="1" t="s">
        <v>1260</v>
      </c>
      <c r="F2175" s="1" t="s">
        <v>35</v>
      </c>
      <c r="G2175" s="1" t="s">
        <v>36</v>
      </c>
      <c r="H2175" s="1" t="s">
        <v>22</v>
      </c>
      <c r="I2175" s="1" t="s">
        <v>29</v>
      </c>
      <c r="J2175" s="1">
        <v>-99.670000000000016</v>
      </c>
      <c r="K2175" s="1">
        <v>440.33</v>
      </c>
      <c r="L2175" s="1">
        <v>80.329999999999984</v>
      </c>
      <c r="N2175" s="1">
        <v>90.848791388990151</v>
      </c>
      <c r="O2175" s="11"/>
      <c r="P2175" s="11"/>
      <c r="Q2175" s="11"/>
      <c r="R2175" s="11"/>
    </row>
    <row r="2176" spans="4:18">
      <c r="D2176" s="1" t="s">
        <v>1014</v>
      </c>
      <c r="E2176" s="1" t="s">
        <v>1261</v>
      </c>
      <c r="F2176" s="1" t="s">
        <v>35</v>
      </c>
      <c r="G2176" s="1" t="s">
        <v>36</v>
      </c>
      <c r="H2176" s="1" t="s">
        <v>22</v>
      </c>
      <c r="I2176" s="1" t="s">
        <v>29</v>
      </c>
      <c r="J2176" s="1">
        <v>-99.670000000000016</v>
      </c>
      <c r="K2176" s="1">
        <v>440.33</v>
      </c>
      <c r="L2176" s="1">
        <v>80.329999999999984</v>
      </c>
      <c r="N2176" s="1">
        <v>91.110735807221602</v>
      </c>
      <c r="O2176" s="11"/>
      <c r="P2176" s="11"/>
      <c r="Q2176" s="11"/>
      <c r="R2176" s="11"/>
    </row>
    <row r="2177" spans="4:18">
      <c r="D2177" s="1" t="s">
        <v>1014</v>
      </c>
      <c r="E2177" s="1" t="s">
        <v>1262</v>
      </c>
      <c r="F2177" s="1" t="s">
        <v>35</v>
      </c>
      <c r="G2177" s="1" t="s">
        <v>36</v>
      </c>
      <c r="H2177" s="1" t="s">
        <v>22</v>
      </c>
      <c r="I2177" s="1" t="s">
        <v>29</v>
      </c>
      <c r="J2177" s="1">
        <v>-99.670000000000016</v>
      </c>
      <c r="K2177" s="1">
        <v>440.33</v>
      </c>
      <c r="L2177" s="1">
        <v>80.329999999999984</v>
      </c>
      <c r="N2177" s="1">
        <v>91.367563013470601</v>
      </c>
      <c r="O2177" s="11"/>
      <c r="P2177" s="11"/>
      <c r="Q2177" s="11"/>
      <c r="R2177" s="11"/>
    </row>
    <row r="2178" spans="4:18">
      <c r="D2178" s="1" t="s">
        <v>1014</v>
      </c>
      <c r="E2178" s="1" t="s">
        <v>1263</v>
      </c>
      <c r="F2178" s="1" t="s">
        <v>35</v>
      </c>
      <c r="G2178" s="1" t="s">
        <v>36</v>
      </c>
      <c r="H2178" s="1" t="s">
        <v>22</v>
      </c>
      <c r="I2178" s="1" t="s">
        <v>29</v>
      </c>
      <c r="J2178" s="1">
        <v>-99.670000000000016</v>
      </c>
      <c r="K2178" s="1">
        <v>440.33</v>
      </c>
      <c r="L2178" s="1">
        <v>80.329999999999984</v>
      </c>
      <c r="N2178" s="1">
        <v>91.619167248826955</v>
      </c>
      <c r="O2178" s="11"/>
      <c r="P2178" s="11"/>
      <c r="Q2178" s="11"/>
      <c r="R2178" s="11"/>
    </row>
    <row r="2179" spans="4:18">
      <c r="D2179" s="1" t="s">
        <v>1014</v>
      </c>
      <c r="E2179" s="1" t="s">
        <v>1264</v>
      </c>
      <c r="F2179" s="1" t="s">
        <v>35</v>
      </c>
      <c r="G2179" s="1" t="s">
        <v>36</v>
      </c>
      <c r="H2179" s="1" t="s">
        <v>22</v>
      </c>
      <c r="I2179" s="1" t="s">
        <v>29</v>
      </c>
      <c r="J2179" s="1">
        <v>-99.670000000000016</v>
      </c>
      <c r="K2179" s="1">
        <v>440.33</v>
      </c>
      <c r="L2179" s="1">
        <v>80.329999999999984</v>
      </c>
      <c r="N2179" s="1">
        <v>91.865447445546522</v>
      </c>
      <c r="O2179" s="11"/>
      <c r="P2179" s="11"/>
      <c r="Q2179" s="11"/>
      <c r="R2179" s="11"/>
    </row>
    <row r="2180" spans="4:18">
      <c r="D2180" s="1" t="s">
        <v>1014</v>
      </c>
      <c r="E2180" s="1" t="s">
        <v>1265</v>
      </c>
      <c r="F2180" s="1" t="s">
        <v>35</v>
      </c>
      <c r="G2180" s="1" t="s">
        <v>36</v>
      </c>
      <c r="H2180" s="1" t="s">
        <v>22</v>
      </c>
      <c r="I2180" s="1" t="s">
        <v>29</v>
      </c>
      <c r="J2180" s="1">
        <v>-99.670000000000016</v>
      </c>
      <c r="K2180" s="1">
        <v>440.33</v>
      </c>
      <c r="L2180" s="1">
        <v>80.329999999999984</v>
      </c>
      <c r="N2180" s="1">
        <v>92.106308013407272</v>
      </c>
      <c r="O2180" s="11"/>
      <c r="P2180" s="11"/>
      <c r="Q2180" s="11"/>
      <c r="R2180" s="11"/>
    </row>
    <row r="2181" spans="4:18">
      <c r="D2181" s="1" t="s">
        <v>1014</v>
      </c>
      <c r="E2181" s="1" t="s">
        <v>1266</v>
      </c>
      <c r="F2181" s="1" t="s">
        <v>35</v>
      </c>
      <c r="G2181" s="1" t="s">
        <v>36</v>
      </c>
      <c r="H2181" s="1" t="s">
        <v>22</v>
      </c>
      <c r="I2181" s="1" t="s">
        <v>29</v>
      </c>
      <c r="J2181" s="1">
        <v>-99.670000000000016</v>
      </c>
      <c r="K2181" s="1">
        <v>440.33</v>
      </c>
      <c r="L2181" s="1">
        <v>80.329999999999984</v>
      </c>
      <c r="N2181" s="1">
        <v>92.341659638697649</v>
      </c>
      <c r="O2181" s="11"/>
      <c r="P2181" s="11"/>
      <c r="Q2181" s="11"/>
      <c r="R2181" s="11"/>
    </row>
    <row r="2182" spans="4:18">
      <c r="D2182" s="1" t="s">
        <v>1014</v>
      </c>
      <c r="E2182" s="1" t="s">
        <v>1267</v>
      </c>
      <c r="F2182" s="1" t="s">
        <v>35</v>
      </c>
      <c r="G2182" s="1" t="s">
        <v>36</v>
      </c>
      <c r="H2182" s="1" t="s">
        <v>22</v>
      </c>
      <c r="I2182" s="1" t="s">
        <v>29</v>
      </c>
      <c r="J2182" s="1">
        <v>-99.670000000000016</v>
      </c>
      <c r="K2182" s="1">
        <v>440.33</v>
      </c>
      <c r="L2182" s="1">
        <v>80.329999999999984</v>
      </c>
      <c r="N2182" s="1">
        <v>92.571420084771773</v>
      </c>
      <c r="O2182" s="11"/>
      <c r="P2182" s="11"/>
      <c r="Q2182" s="11"/>
      <c r="R2182" s="11"/>
    </row>
    <row r="2183" spans="4:18">
      <c r="D2183" s="1" t="s">
        <v>1014</v>
      </c>
      <c r="E2183" s="1" t="s">
        <v>1268</v>
      </c>
      <c r="F2183" s="1" t="s">
        <v>35</v>
      </c>
      <c r="G2183" s="1" t="s">
        <v>36</v>
      </c>
      <c r="H2183" s="1" t="s">
        <v>22</v>
      </c>
      <c r="I2183" s="1" t="s">
        <v>29</v>
      </c>
      <c r="J2183" s="1">
        <v>-99.670000000000016</v>
      </c>
      <c r="K2183" s="1">
        <v>440.33</v>
      </c>
      <c r="L2183" s="1">
        <v>80.329999999999984</v>
      </c>
      <c r="N2183" s="1">
        <v>92.80393209054597</v>
      </c>
      <c r="O2183" s="11"/>
      <c r="P2183" s="11"/>
      <c r="Q2183" s="11"/>
      <c r="R2183" s="11"/>
    </row>
    <row r="2184" spans="4:18">
      <c r="D2184" s="1" t="s">
        <v>1014</v>
      </c>
      <c r="E2184" s="1" t="s">
        <v>1269</v>
      </c>
      <c r="F2184" s="1" t="s">
        <v>35</v>
      </c>
      <c r="G2184" s="1" t="s">
        <v>36</v>
      </c>
      <c r="H2184" s="1" t="s">
        <v>22</v>
      </c>
      <c r="I2184" s="1" t="s">
        <v>29</v>
      </c>
      <c r="J2184" s="1">
        <v>-99.670000000000016</v>
      </c>
      <c r="K2184" s="1">
        <v>440.33</v>
      </c>
      <c r="L2184" s="1">
        <v>80.329999999999984</v>
      </c>
      <c r="N2184" s="1">
        <v>93.031517186102917</v>
      </c>
      <c r="O2184" s="11"/>
      <c r="P2184" s="11"/>
      <c r="Q2184" s="11"/>
      <c r="R2184" s="11"/>
    </row>
    <row r="2185" spans="4:18">
      <c r="D2185" s="1" t="s">
        <v>1014</v>
      </c>
      <c r="E2185" s="1" t="s">
        <v>1270</v>
      </c>
      <c r="F2185" s="1" t="s">
        <v>35</v>
      </c>
      <c r="G2185" s="1" t="s">
        <v>36</v>
      </c>
      <c r="H2185" s="1" t="s">
        <v>22</v>
      </c>
      <c r="I2185" s="1" t="s">
        <v>29</v>
      </c>
      <c r="J2185" s="1">
        <v>-99.670000000000016</v>
      </c>
      <c r="K2185" s="1">
        <v>440.33</v>
      </c>
      <c r="L2185" s="1">
        <v>80.329999999999984</v>
      </c>
      <c r="N2185" s="1">
        <v>93.253584180530481</v>
      </c>
      <c r="O2185" s="11"/>
      <c r="P2185" s="11"/>
      <c r="Q2185" s="11"/>
      <c r="R2185" s="11"/>
    </row>
    <row r="2186" spans="4:18">
      <c r="D2186" s="1" t="s">
        <v>1014</v>
      </c>
      <c r="E2186" s="1" t="s">
        <v>1271</v>
      </c>
      <c r="F2186" s="1" t="s">
        <v>35</v>
      </c>
      <c r="G2186" s="1" t="s">
        <v>36</v>
      </c>
      <c r="H2186" s="1" t="s">
        <v>22</v>
      </c>
      <c r="I2186" s="1" t="s">
        <v>29</v>
      </c>
      <c r="J2186" s="1">
        <v>-99.670000000000016</v>
      </c>
      <c r="K2186" s="1">
        <v>440.33</v>
      </c>
      <c r="L2186" s="1">
        <v>80.329999999999984</v>
      </c>
      <c r="N2186" s="1">
        <v>93.470013428149002</v>
      </c>
      <c r="O2186" s="11"/>
      <c r="P2186" s="11"/>
      <c r="Q2186" s="11"/>
      <c r="R2186" s="11"/>
    </row>
    <row r="2187" spans="4:18">
      <c r="D2187" s="1" t="s">
        <v>1014</v>
      </c>
      <c r="E2187" s="1" t="s">
        <v>1272</v>
      </c>
      <c r="F2187" s="1" t="s">
        <v>35</v>
      </c>
      <c r="G2187" s="1" t="s">
        <v>36</v>
      </c>
      <c r="H2187" s="1" t="s">
        <v>22</v>
      </c>
      <c r="I2187" s="1" t="s">
        <v>29</v>
      </c>
      <c r="J2187" s="1">
        <v>-99.670000000000016</v>
      </c>
      <c r="K2187" s="1">
        <v>440.33</v>
      </c>
      <c r="L2187" s="1">
        <v>80.329999999999984</v>
      </c>
      <c r="N2187" s="1">
        <v>93.680694249677742</v>
      </c>
      <c r="O2187" s="11"/>
      <c r="P2187" s="11"/>
      <c r="Q2187" s="11"/>
      <c r="R2187" s="11"/>
    </row>
    <row r="2188" spans="4:18">
      <c r="D2188" s="1" t="s">
        <v>1014</v>
      </c>
      <c r="E2188" s="1" t="s">
        <v>1273</v>
      </c>
      <c r="F2188" s="1" t="s">
        <v>35</v>
      </c>
      <c r="G2188" s="1" t="s">
        <v>36</v>
      </c>
      <c r="H2188" s="1" t="s">
        <v>22</v>
      </c>
      <c r="I2188" s="1" t="s">
        <v>29</v>
      </c>
      <c r="J2188" s="1">
        <v>-99.670000000000016</v>
      </c>
      <c r="K2188" s="1">
        <v>440.33</v>
      </c>
      <c r="L2188" s="1">
        <v>80.329999999999984</v>
      </c>
      <c r="N2188" s="1">
        <v>93.885526302184815</v>
      </c>
      <c r="O2188" s="11"/>
      <c r="P2188" s="11"/>
      <c r="Q2188" s="11"/>
      <c r="R2188" s="11"/>
    </row>
    <row r="2189" spans="4:18">
      <c r="D2189" s="1" t="s">
        <v>1014</v>
      </c>
      <c r="E2189" s="1" t="s">
        <v>1274</v>
      </c>
      <c r="F2189" s="1" t="s">
        <v>35</v>
      </c>
      <c r="G2189" s="1" t="s">
        <v>36</v>
      </c>
      <c r="H2189" s="1" t="s">
        <v>22</v>
      </c>
      <c r="I2189" s="1" t="s">
        <v>29</v>
      </c>
      <c r="J2189" s="1">
        <v>-99.670000000000016</v>
      </c>
      <c r="K2189" s="1">
        <v>440.33</v>
      </c>
      <c r="L2189" s="1">
        <v>80.329999999999984</v>
      </c>
      <c r="N2189" s="1">
        <v>93.108574211282587</v>
      </c>
      <c r="O2189" s="11"/>
      <c r="P2189" s="11"/>
      <c r="Q2189" s="11"/>
      <c r="R2189" s="11"/>
    </row>
    <row r="2190" spans="4:18">
      <c r="D2190" s="1" t="s">
        <v>1014</v>
      </c>
      <c r="E2190" s="1" t="s">
        <v>1275</v>
      </c>
      <c r="F2190" s="1" t="s">
        <v>35</v>
      </c>
      <c r="G2190" s="1" t="s">
        <v>36</v>
      </c>
      <c r="H2190" s="1" t="s">
        <v>22</v>
      </c>
      <c r="I2190" s="1" t="s">
        <v>29</v>
      </c>
      <c r="J2190" s="1">
        <v>-99.670000000000016</v>
      </c>
      <c r="K2190" s="1">
        <v>440.33</v>
      </c>
      <c r="L2190" s="1">
        <v>80.329999999999984</v>
      </c>
      <c r="N2190" s="1">
        <v>93.328713959917934</v>
      </c>
      <c r="O2190" s="11"/>
      <c r="P2190" s="11"/>
      <c r="Q2190" s="11"/>
      <c r="R2190" s="11"/>
    </row>
    <row r="2191" spans="4:18">
      <c r="D2191" s="1" t="s">
        <v>1014</v>
      </c>
      <c r="E2191" s="1" t="s">
        <v>1276</v>
      </c>
      <c r="F2191" s="1" t="s">
        <v>35</v>
      </c>
      <c r="G2191" s="1" t="s">
        <v>36</v>
      </c>
      <c r="H2191" s="1" t="s">
        <v>22</v>
      </c>
      <c r="I2191" s="1" t="s">
        <v>29</v>
      </c>
      <c r="J2191" s="1">
        <v>-99.670000000000016</v>
      </c>
      <c r="K2191" s="1">
        <v>440.33</v>
      </c>
      <c r="L2191" s="1">
        <v>80.329999999999984</v>
      </c>
      <c r="N2191" s="1">
        <v>93.543176788236849</v>
      </c>
      <c r="O2191" s="11"/>
      <c r="P2191" s="11"/>
      <c r="Q2191" s="11"/>
      <c r="R2191" s="11"/>
    </row>
    <row r="2192" spans="4:18">
      <c r="D2192" s="1" t="s">
        <v>1014</v>
      </c>
      <c r="E2192" s="1" t="s">
        <v>1277</v>
      </c>
      <c r="F2192" s="1" t="s">
        <v>35</v>
      </c>
      <c r="G2192" s="1" t="s">
        <v>36</v>
      </c>
      <c r="H2192" s="1" t="s">
        <v>22</v>
      </c>
      <c r="I2192" s="1" t="s">
        <v>29</v>
      </c>
      <c r="J2192" s="1">
        <v>-99.670000000000016</v>
      </c>
      <c r="K2192" s="1">
        <v>440.33</v>
      </c>
      <c r="L2192" s="1">
        <v>80.329999999999984</v>
      </c>
      <c r="N2192" s="1">
        <v>93.751855420419872</v>
      </c>
      <c r="O2192" s="11"/>
      <c r="P2192" s="11"/>
      <c r="Q2192" s="11"/>
      <c r="R2192" s="11"/>
    </row>
    <row r="2193" spans="4:18">
      <c r="D2193" s="1" t="s">
        <v>1014</v>
      </c>
      <c r="E2193" s="1" t="s">
        <v>1278</v>
      </c>
      <c r="F2193" s="1" t="s">
        <v>35</v>
      </c>
      <c r="G2193" s="1" t="s">
        <v>36</v>
      </c>
      <c r="H2193" s="1" t="s">
        <v>22</v>
      </c>
      <c r="I2193" s="1" t="s">
        <v>29</v>
      </c>
      <c r="J2193" s="1">
        <v>-99.670000000000016</v>
      </c>
      <c r="K2193" s="1">
        <v>440.33</v>
      </c>
      <c r="L2193" s="1">
        <v>80.329999999999984</v>
      </c>
      <c r="N2193" s="1">
        <v>93.95465338415255</v>
      </c>
      <c r="O2193" s="11"/>
      <c r="P2193" s="11"/>
      <c r="Q2193" s="11"/>
      <c r="R2193" s="11"/>
    </row>
    <row r="2194" spans="4:18">
      <c r="D2194" s="1" t="s">
        <v>1014</v>
      </c>
      <c r="E2194" s="1" t="s">
        <v>1279</v>
      </c>
      <c r="F2194" s="1" t="s">
        <v>35</v>
      </c>
      <c r="G2194" s="1" t="s">
        <v>36</v>
      </c>
      <c r="H2194" s="1" t="s">
        <v>22</v>
      </c>
      <c r="I2194" s="1" t="s">
        <v>29</v>
      </c>
      <c r="J2194" s="1">
        <v>-99.670000000000016</v>
      </c>
      <c r="K2194" s="1">
        <v>440.33</v>
      </c>
      <c r="L2194" s="1">
        <v>80.329999999999984</v>
      </c>
      <c r="N2194" s="1">
        <v>94.151486338770667</v>
      </c>
      <c r="O2194" s="11"/>
      <c r="P2194" s="11"/>
      <c r="Q2194" s="11"/>
      <c r="R2194" s="11"/>
    </row>
    <row r="2195" spans="4:18">
      <c r="D2195" s="1" t="s">
        <v>1014</v>
      </c>
      <c r="E2195" s="1" t="s">
        <v>1280</v>
      </c>
      <c r="F2195" s="1" t="s">
        <v>35</v>
      </c>
      <c r="G2195" s="1" t="s">
        <v>36</v>
      </c>
      <c r="H2195" s="1" t="s">
        <v>22</v>
      </c>
      <c r="I2195" s="1" t="s">
        <v>29</v>
      </c>
      <c r="J2195" s="1">
        <v>-99.670000000000016</v>
      </c>
      <c r="K2195" s="1">
        <v>440.33</v>
      </c>
      <c r="L2195" s="1">
        <v>80.329999999999984</v>
      </c>
      <c r="N2195" s="1">
        <v>94.342283333678836</v>
      </c>
      <c r="O2195" s="11"/>
      <c r="P2195" s="11"/>
      <c r="Q2195" s="11"/>
      <c r="R2195" s="11"/>
    </row>
    <row r="2196" spans="4:18">
      <c r="D2196" s="1" t="s">
        <v>1014</v>
      </c>
      <c r="E2196" s="1" t="s">
        <v>1281</v>
      </c>
      <c r="F2196" s="1" t="s">
        <v>35</v>
      </c>
      <c r="G2196" s="1" t="s">
        <v>36</v>
      </c>
      <c r="H2196" s="1" t="s">
        <v>22</v>
      </c>
      <c r="I2196" s="1" t="s">
        <v>29</v>
      </c>
      <c r="J2196" s="1">
        <v>-99.670000000000016</v>
      </c>
      <c r="K2196" s="1">
        <v>440.33</v>
      </c>
      <c r="L2196" s="1">
        <v>80.329999999999984</v>
      </c>
      <c r="N2196" s="1">
        <v>94.526987962459941</v>
      </c>
      <c r="O2196" s="11"/>
      <c r="P2196" s="11"/>
      <c r="Q2196" s="11"/>
      <c r="R2196" s="11"/>
    </row>
    <row r="2197" spans="4:18">
      <c r="D2197" s="1" t="s">
        <v>1014</v>
      </c>
      <c r="E2197" s="1" t="s">
        <v>1282</v>
      </c>
      <c r="F2197" s="1" t="s">
        <v>35</v>
      </c>
      <c r="G2197" s="1" t="s">
        <v>36</v>
      </c>
      <c r="H2197" s="1" t="s">
        <v>22</v>
      </c>
      <c r="I2197" s="1" t="s">
        <v>29</v>
      </c>
      <c r="J2197" s="1">
        <v>-99.670000000000016</v>
      </c>
      <c r="K2197" s="1">
        <v>440.33</v>
      </c>
      <c r="L2197" s="1">
        <v>80.329999999999984</v>
      </c>
      <c r="N2197" s="1">
        <v>94.705559378143391</v>
      </c>
      <c r="O2197" s="11"/>
      <c r="P2197" s="11"/>
      <c r="Q2197" s="11"/>
      <c r="R2197" s="11"/>
    </row>
    <row r="2198" spans="4:18">
      <c r="D2198" s="1" t="s">
        <v>1014</v>
      </c>
      <c r="E2198" s="1" t="s">
        <v>1283</v>
      </c>
      <c r="F2198" s="1" t="s">
        <v>35</v>
      </c>
      <c r="G2198" s="1" t="s">
        <v>36</v>
      </c>
      <c r="H2198" s="1" t="s">
        <v>22</v>
      </c>
      <c r="I2198" s="1" t="s">
        <v>29</v>
      </c>
      <c r="J2198" s="1">
        <v>-99.670000000000016</v>
      </c>
      <c r="K2198" s="1">
        <v>440.33</v>
      </c>
      <c r="L2198" s="1">
        <v>80.329999999999984</v>
      </c>
      <c r="N2198" s="1">
        <v>94.877973136771345</v>
      </c>
      <c r="O2198" s="11"/>
      <c r="P2198" s="11"/>
      <c r="Q2198" s="11"/>
      <c r="R2198" s="11"/>
    </row>
    <row r="2199" spans="4:18">
      <c r="D2199" s="1" t="s">
        <v>1014</v>
      </c>
      <c r="E2199" s="1" t="s">
        <v>1284</v>
      </c>
      <c r="F2199" s="1" t="s">
        <v>35</v>
      </c>
      <c r="G2199" s="1" t="s">
        <v>36</v>
      </c>
      <c r="H2199" s="1" t="s">
        <v>22</v>
      </c>
      <c r="I2199" s="1" t="s">
        <v>29</v>
      </c>
      <c r="J2199" s="1">
        <v>-99.670000000000016</v>
      </c>
      <c r="K2199" s="1">
        <v>440.33</v>
      </c>
      <c r="L2199" s="1">
        <v>80.329999999999984</v>
      </c>
      <c r="N2199" s="1">
        <v>95.044221839756403</v>
      </c>
      <c r="O2199" s="11"/>
      <c r="P2199" s="11"/>
      <c r="Q2199" s="11"/>
      <c r="R2199" s="11"/>
    </row>
    <row r="2200" spans="4:18">
      <c r="D2200" s="1" t="s">
        <v>1014</v>
      </c>
      <c r="E2200" s="1" t="s">
        <v>1285</v>
      </c>
      <c r="F2200" s="1" t="s">
        <v>35</v>
      </c>
      <c r="G2200" s="1" t="s">
        <v>36</v>
      </c>
      <c r="H2200" s="1" t="s">
        <v>22</v>
      </c>
      <c r="I2200" s="1" t="s">
        <v>29</v>
      </c>
      <c r="J2200" s="1">
        <v>-99.670000000000016</v>
      </c>
      <c r="K2200" s="1">
        <v>440.33</v>
      </c>
      <c r="L2200" s="1">
        <v>80.329999999999984</v>
      </c>
      <c r="N2200" s="1">
        <v>95.204315550551712</v>
      </c>
      <c r="O2200" s="11"/>
      <c r="P2200" s="11"/>
      <c r="Q2200" s="11"/>
      <c r="R2200" s="11"/>
    </row>
    <row r="2201" spans="4:18">
      <c r="D2201" s="1" t="s">
        <v>1014</v>
      </c>
      <c r="E2201" s="1" t="s">
        <v>1286</v>
      </c>
      <c r="F2201" s="1" t="s">
        <v>35</v>
      </c>
      <c r="G2201" s="1" t="s">
        <v>36</v>
      </c>
      <c r="H2201" s="1" t="s">
        <v>22</v>
      </c>
      <c r="I2201" s="1" t="s">
        <v>29</v>
      </c>
      <c r="J2201" s="1">
        <v>-99.670000000000016</v>
      </c>
      <c r="K2201" s="1">
        <v>440.33</v>
      </c>
      <c r="L2201" s="1">
        <v>80.329999999999984</v>
      </c>
      <c r="N2201" s="1">
        <v>95.358281967672326</v>
      </c>
      <c r="O2201" s="11"/>
      <c r="P2201" s="11"/>
      <c r="Q2201" s="11"/>
      <c r="R2201" s="11"/>
    </row>
    <row r="2202" spans="4:18">
      <c r="D2202" s="1" t="s">
        <v>1014</v>
      </c>
      <c r="E2202" s="1" t="s">
        <v>1287</v>
      </c>
      <c r="F2202" s="1" t="s">
        <v>35</v>
      </c>
      <c r="G2202" s="1" t="s">
        <v>36</v>
      </c>
      <c r="H2202" s="1" t="s">
        <v>22</v>
      </c>
      <c r="I2202" s="1" t="s">
        <v>29</v>
      </c>
      <c r="J2202" s="1">
        <v>-99.670000000000016</v>
      </c>
      <c r="K2202" s="1">
        <v>440.33</v>
      </c>
      <c r="L2202" s="1">
        <v>80.329999999999984</v>
      </c>
      <c r="N2202" s="1">
        <v>95.507480607443142</v>
      </c>
      <c r="O2202" s="11"/>
      <c r="P2202" s="11"/>
      <c r="Q2202" s="11"/>
      <c r="R2202" s="11"/>
    </row>
    <row r="2203" spans="4:18">
      <c r="D2203" s="1" t="s">
        <v>1014</v>
      </c>
      <c r="E2203" s="1" t="s">
        <v>1288</v>
      </c>
      <c r="F2203" s="1" t="s">
        <v>35</v>
      </c>
      <c r="G2203" s="1" t="s">
        <v>36</v>
      </c>
      <c r="H2203" s="1" t="s">
        <v>22</v>
      </c>
      <c r="I2203" s="1" t="s">
        <v>29</v>
      </c>
      <c r="J2203" s="1">
        <v>-99.670000000000016</v>
      </c>
      <c r="K2203" s="1">
        <v>440.33</v>
      </c>
      <c r="L2203" s="1">
        <v>80.329999999999984</v>
      </c>
      <c r="N2203" s="1">
        <v>95.652341062800076</v>
      </c>
      <c r="O2203" s="11"/>
      <c r="P2203" s="11"/>
      <c r="Q2203" s="11"/>
      <c r="R2203" s="11"/>
    </row>
    <row r="2204" spans="4:18">
      <c r="D2204" s="1" t="s">
        <v>1014</v>
      </c>
      <c r="E2204" s="1" t="s">
        <v>1289</v>
      </c>
      <c r="F2204" s="1" t="s">
        <v>35</v>
      </c>
      <c r="G2204" s="1" t="s">
        <v>36</v>
      </c>
      <c r="H2204" s="1" t="s">
        <v>22</v>
      </c>
      <c r="I2204" s="1" t="s">
        <v>29</v>
      </c>
      <c r="J2204" s="1">
        <v>-99.670000000000016</v>
      </c>
      <c r="K2204" s="1">
        <v>440.33</v>
      </c>
      <c r="L2204" s="1">
        <v>80.329999999999984</v>
      </c>
      <c r="N2204" s="1">
        <v>95.79118701383976</v>
      </c>
      <c r="O2204" s="11"/>
      <c r="P2204" s="11"/>
      <c r="Q2204" s="11"/>
      <c r="R2204" s="11"/>
    </row>
    <row r="2205" spans="4:18">
      <c r="D2205" s="1" t="s">
        <v>1014</v>
      </c>
      <c r="E2205" s="1" t="s">
        <v>1290</v>
      </c>
      <c r="F2205" s="1" t="s">
        <v>35</v>
      </c>
      <c r="G2205" s="1" t="s">
        <v>36</v>
      </c>
      <c r="H2205" s="1" t="s">
        <v>22</v>
      </c>
      <c r="I2205" s="1" t="s">
        <v>29</v>
      </c>
      <c r="J2205" s="1">
        <v>-99.670000000000016</v>
      </c>
      <c r="K2205" s="1">
        <v>440.33</v>
      </c>
      <c r="L2205" s="1">
        <v>80.329999999999984</v>
      </c>
      <c r="N2205" s="1">
        <v>95.924086245606134</v>
      </c>
      <c r="O2205" s="11"/>
      <c r="P2205" s="11"/>
      <c r="Q2205" s="11"/>
      <c r="R2205" s="11"/>
    </row>
    <row r="2206" spans="4:18">
      <c r="D2206" s="1" t="s">
        <v>1014</v>
      </c>
      <c r="E2206" s="1" t="s">
        <v>1291</v>
      </c>
      <c r="F2206" s="1" t="s">
        <v>35</v>
      </c>
      <c r="G2206" s="1" t="s">
        <v>36</v>
      </c>
      <c r="H2206" s="1" t="s">
        <v>22</v>
      </c>
      <c r="I2206" s="1" t="s">
        <v>29</v>
      </c>
      <c r="J2206" s="1">
        <v>-99.670000000000016</v>
      </c>
      <c r="K2206" s="1">
        <v>440.33</v>
      </c>
      <c r="L2206" s="1">
        <v>80.329999999999984</v>
      </c>
      <c r="N2206" s="1">
        <v>96.051124668029672</v>
      </c>
      <c r="O2206" s="11"/>
      <c r="P2206" s="11"/>
      <c r="Q2206" s="11"/>
      <c r="R2206" s="11"/>
    </row>
    <row r="2207" spans="4:18">
      <c r="D2207" s="1" t="s">
        <v>1014</v>
      </c>
      <c r="E2207" s="1" t="s">
        <v>1292</v>
      </c>
      <c r="F2207" s="1" t="s">
        <v>35</v>
      </c>
      <c r="G2207" s="1" t="s">
        <v>36</v>
      </c>
      <c r="H2207" s="1" t="s">
        <v>22</v>
      </c>
      <c r="I2207" s="1" t="s">
        <v>29</v>
      </c>
      <c r="J2207" s="1">
        <v>-99.670000000000016</v>
      </c>
      <c r="K2207" s="1">
        <v>440.33</v>
      </c>
      <c r="L2207" s="1">
        <v>80.329999999999984</v>
      </c>
      <c r="N2207" s="1">
        <v>96.172405306397138</v>
      </c>
      <c r="O2207" s="11"/>
      <c r="P2207" s="11"/>
      <c r="Q2207" s="11"/>
      <c r="R2207" s="11"/>
    </row>
    <row r="2208" spans="4:18">
      <c r="D2208" s="1" t="s">
        <v>1014</v>
      </c>
      <c r="E2208" s="1" t="s">
        <v>1293</v>
      </c>
      <c r="F2208" s="1" t="s">
        <v>35</v>
      </c>
      <c r="G2208" s="1" t="s">
        <v>36</v>
      </c>
      <c r="H2208" s="1" t="s">
        <v>22</v>
      </c>
      <c r="I2208" s="1" t="s">
        <v>29</v>
      </c>
      <c r="J2208" s="1">
        <v>-99.670000000000016</v>
      </c>
      <c r="K2208" s="1">
        <v>440.33</v>
      </c>
      <c r="L2208" s="1">
        <v>80.329999999999984</v>
      </c>
      <c r="N2208" s="1">
        <v>96.288047043443214</v>
      </c>
      <c r="O2208" s="11"/>
      <c r="P2208" s="11"/>
      <c r="Q2208" s="11"/>
      <c r="R2208" s="11"/>
    </row>
    <row r="2209" spans="1:18">
      <c r="D2209" s="1" t="s">
        <v>1014</v>
      </c>
      <c r="E2209" s="1" t="s">
        <v>1294</v>
      </c>
      <c r="F2209" s="1" t="s">
        <v>41</v>
      </c>
      <c r="G2209" s="1" t="s">
        <v>42</v>
      </c>
      <c r="H2209" s="1" t="s">
        <v>22</v>
      </c>
      <c r="I2209" s="1" t="s">
        <v>23</v>
      </c>
      <c r="J2209" s="1">
        <v>-36</v>
      </c>
      <c r="K2209" s="1">
        <v>0</v>
      </c>
      <c r="L2209" s="1">
        <v>1.8</v>
      </c>
      <c r="M2209" s="1">
        <v>-3.6</v>
      </c>
      <c r="N2209" s="1">
        <v>-3.6</v>
      </c>
      <c r="O2209" s="11"/>
      <c r="P2209" s="11"/>
      <c r="Q2209" s="11"/>
      <c r="R2209" s="11"/>
    </row>
    <row r="2210" spans="1:18">
      <c r="D2210" s="1" t="s">
        <v>1014</v>
      </c>
      <c r="E2210" s="1" t="s">
        <v>1295</v>
      </c>
      <c r="H2210" s="1" t="s">
        <v>25</v>
      </c>
      <c r="I2210" s="1" t="s">
        <v>23</v>
      </c>
      <c r="M2210" s="1" t="b">
        <v>0</v>
      </c>
      <c r="N2210" s="1">
        <v>0</v>
      </c>
      <c r="O2210" s="11"/>
      <c r="P2210" s="11"/>
      <c r="Q2210" s="11"/>
      <c r="R2210" s="11"/>
    </row>
    <row r="2211" spans="1:18">
      <c r="A2211" s="2" t="s">
        <v>1759</v>
      </c>
      <c r="B2211" s="3" t="s">
        <v>1795</v>
      </c>
      <c r="D2211" s="1" t="s">
        <v>1014</v>
      </c>
      <c r="E2211" s="1" t="s">
        <v>1296</v>
      </c>
      <c r="F2211" s="1" t="s">
        <v>41</v>
      </c>
      <c r="G2211" s="1" t="s">
        <v>42</v>
      </c>
      <c r="H2211" s="1" t="s">
        <v>22</v>
      </c>
      <c r="I2211" s="1" t="s">
        <v>65</v>
      </c>
      <c r="L2211" s="1">
        <v>1.8</v>
      </c>
      <c r="N2211" s="1">
        <v>4.0038416766498699</v>
      </c>
      <c r="O2211" s="11"/>
      <c r="P2211" s="11"/>
      <c r="Q2211" s="11"/>
      <c r="R2211" s="11"/>
    </row>
    <row r="2212" spans="1:18">
      <c r="D2212" s="1" t="s">
        <v>1014</v>
      </c>
      <c r="E2212" s="1" t="s">
        <v>1297</v>
      </c>
      <c r="H2212" s="1" t="s">
        <v>22</v>
      </c>
      <c r="I2212" s="1" t="s">
        <v>65</v>
      </c>
      <c r="L2212" s="1">
        <v>1</v>
      </c>
      <c r="N2212" s="1">
        <v>0.26987715463098066</v>
      </c>
      <c r="O2212" s="11"/>
      <c r="P2212" s="11"/>
      <c r="Q2212" s="11"/>
      <c r="R2212" s="11"/>
    </row>
    <row r="2213" spans="1:18">
      <c r="D2213" s="1" t="s">
        <v>1014</v>
      </c>
      <c r="E2213" s="1" t="s">
        <v>1298</v>
      </c>
      <c r="F2213" s="1" t="s">
        <v>147</v>
      </c>
      <c r="G2213" s="1" t="s">
        <v>148</v>
      </c>
      <c r="H2213" s="1" t="s">
        <v>22</v>
      </c>
      <c r="I2213" s="1" t="s">
        <v>65</v>
      </c>
      <c r="L2213" s="1">
        <v>3.4121416351331</v>
      </c>
      <c r="N2213" s="1">
        <v>14069125.697649267</v>
      </c>
      <c r="O2213" s="11"/>
      <c r="P2213" s="11"/>
      <c r="Q2213" s="11"/>
      <c r="R2213" s="11"/>
    </row>
    <row r="2214" spans="1:18">
      <c r="D2214" s="1" t="s">
        <v>1014</v>
      </c>
      <c r="E2214" s="1" t="s">
        <v>1299</v>
      </c>
      <c r="F2214" s="1" t="s">
        <v>147</v>
      </c>
      <c r="G2214" s="1" t="s">
        <v>148</v>
      </c>
      <c r="H2214" s="1" t="s">
        <v>22</v>
      </c>
      <c r="I2214" s="1" t="s">
        <v>65</v>
      </c>
      <c r="L2214" s="1">
        <v>3.4121416351331</v>
      </c>
      <c r="N2214" s="1">
        <v>13749749.89960341</v>
      </c>
      <c r="O2214" s="11"/>
      <c r="P2214" s="11"/>
      <c r="Q2214" s="11"/>
      <c r="R2214" s="11"/>
    </row>
    <row r="2215" spans="1:18">
      <c r="D2215" s="1" t="s">
        <v>1014</v>
      </c>
      <c r="E2215" s="1" t="s">
        <v>1300</v>
      </c>
      <c r="F2215" s="1" t="s">
        <v>147</v>
      </c>
      <c r="G2215" s="1" t="s">
        <v>148</v>
      </c>
      <c r="H2215" s="1" t="s">
        <v>22</v>
      </c>
      <c r="I2215" s="1" t="s">
        <v>65</v>
      </c>
      <c r="L2215" s="1">
        <v>3.4121416351331</v>
      </c>
      <c r="N2215" s="1">
        <v>0</v>
      </c>
      <c r="O2215" s="11"/>
      <c r="P2215" s="11"/>
      <c r="Q2215" s="11"/>
      <c r="R2215" s="11"/>
    </row>
    <row r="2216" spans="1:18">
      <c r="D2216" s="1" t="s">
        <v>1014</v>
      </c>
      <c r="E2216" s="1" t="s">
        <v>1301</v>
      </c>
      <c r="F2216" s="1" t="s">
        <v>147</v>
      </c>
      <c r="G2216" s="1" t="s">
        <v>148</v>
      </c>
      <c r="H2216" s="1" t="s">
        <v>22</v>
      </c>
      <c r="I2216" s="1" t="s">
        <v>65</v>
      </c>
      <c r="L2216" s="1">
        <v>3.4121416351331</v>
      </c>
      <c r="N2216" s="1">
        <v>319375.79804585641</v>
      </c>
      <c r="O2216" s="11"/>
      <c r="P2216" s="11"/>
      <c r="Q2216" s="11"/>
      <c r="R2216" s="11"/>
    </row>
    <row r="2217" spans="1:18">
      <c r="D2217" s="1" t="s">
        <v>1014</v>
      </c>
      <c r="E2217" s="1" t="s">
        <v>1302</v>
      </c>
      <c r="H2217" s="1" t="s">
        <v>22</v>
      </c>
      <c r="I2217" s="1" t="s">
        <v>65</v>
      </c>
      <c r="L2217" s="1">
        <v>1</v>
      </c>
      <c r="N2217" s="1">
        <v>47304.750949385802</v>
      </c>
      <c r="O2217" s="11"/>
      <c r="P2217" s="11"/>
      <c r="Q2217" s="11"/>
      <c r="R2217" s="11"/>
    </row>
    <row r="2218" spans="1:18">
      <c r="D2218" s="1" t="s">
        <v>1014</v>
      </c>
      <c r="E2218" s="1" t="s">
        <v>1303</v>
      </c>
      <c r="F2218" s="1" t="s">
        <v>35</v>
      </c>
      <c r="G2218" s="1" t="s">
        <v>36</v>
      </c>
      <c r="H2218" s="1" t="s">
        <v>22</v>
      </c>
      <c r="I2218" s="1" t="s">
        <v>65</v>
      </c>
      <c r="J2218" s="1">
        <v>-459.67</v>
      </c>
      <c r="L2218" s="1">
        <v>80.329999999999984</v>
      </c>
      <c r="N2218" s="1">
        <v>98.303841676649029</v>
      </c>
      <c r="O2218" s="11"/>
      <c r="P2218" s="11"/>
      <c r="Q2218" s="11"/>
      <c r="R2218" s="11"/>
    </row>
    <row r="2219" spans="1:18">
      <c r="D2219" s="1" t="s">
        <v>1014</v>
      </c>
      <c r="E2219" s="1" t="s">
        <v>1304</v>
      </c>
      <c r="H2219" s="1" t="s">
        <v>22</v>
      </c>
      <c r="I2219" s="1" t="s">
        <v>65</v>
      </c>
      <c r="L2219" s="1">
        <v>1</v>
      </c>
      <c r="N2219" s="1">
        <v>1</v>
      </c>
      <c r="O2219" s="11"/>
      <c r="P2219" s="11"/>
      <c r="Q2219" s="11"/>
      <c r="R2219" s="11"/>
    </row>
    <row r="2220" spans="1:18">
      <c r="D2220" s="1" t="s">
        <v>1014</v>
      </c>
      <c r="E2220" s="1" t="s">
        <v>1305</v>
      </c>
      <c r="H2220" s="1" t="s">
        <v>22</v>
      </c>
      <c r="I2220" s="1" t="s">
        <v>65</v>
      </c>
      <c r="L2220" s="1">
        <v>1</v>
      </c>
      <c r="N2220" s="1">
        <v>1</v>
      </c>
      <c r="O2220" s="11"/>
      <c r="P2220" s="11"/>
      <c r="Q2220" s="11"/>
      <c r="R2220" s="11"/>
    </row>
    <row r="2221" spans="1:18">
      <c r="D2221" s="1" t="s">
        <v>1014</v>
      </c>
      <c r="E2221" s="1" t="s">
        <v>1306</v>
      </c>
      <c r="H2221" s="1" t="s">
        <v>22</v>
      </c>
      <c r="I2221" s="1" t="s">
        <v>65</v>
      </c>
      <c r="L2221" s="1">
        <v>1</v>
      </c>
      <c r="N2221" s="1">
        <v>1</v>
      </c>
      <c r="O2221" s="11"/>
      <c r="P2221" s="11"/>
      <c r="Q2221" s="11"/>
      <c r="R2221" s="11"/>
    </row>
    <row r="2222" spans="1:18">
      <c r="D2222" s="1" t="s">
        <v>1014</v>
      </c>
      <c r="E2222" s="1" t="s">
        <v>1307</v>
      </c>
      <c r="H2222" s="1" t="s">
        <v>22</v>
      </c>
      <c r="I2222" s="1" t="s">
        <v>65</v>
      </c>
      <c r="L2222" s="1">
        <v>1</v>
      </c>
      <c r="N2222" s="1">
        <v>1</v>
      </c>
      <c r="O2222" s="11"/>
      <c r="P2222" s="11"/>
      <c r="Q2222" s="11"/>
      <c r="R2222" s="11"/>
    </row>
    <row r="2223" spans="1:18">
      <c r="D2223" s="1" t="s">
        <v>1014</v>
      </c>
      <c r="E2223" s="1" t="s">
        <v>1308</v>
      </c>
      <c r="H2223" s="1" t="s">
        <v>22</v>
      </c>
      <c r="I2223" s="1" t="s">
        <v>65</v>
      </c>
      <c r="L2223" s="1">
        <v>1</v>
      </c>
      <c r="N2223" s="1">
        <v>1</v>
      </c>
      <c r="O2223" s="11"/>
      <c r="P2223" s="11"/>
      <c r="Q2223" s="11"/>
      <c r="R2223" s="11"/>
    </row>
    <row r="2224" spans="1:18">
      <c r="D2224" s="1" t="s">
        <v>1014</v>
      </c>
      <c r="E2224" s="1" t="s">
        <v>1309</v>
      </c>
      <c r="H2224" s="1" t="s">
        <v>22</v>
      </c>
      <c r="I2224" s="1" t="s">
        <v>65</v>
      </c>
      <c r="L2224" s="1">
        <v>1</v>
      </c>
      <c r="N2224" s="1">
        <v>1</v>
      </c>
      <c r="O2224" s="11"/>
      <c r="P2224" s="11"/>
      <c r="Q2224" s="11"/>
      <c r="R2224" s="11"/>
    </row>
    <row r="2225" spans="1:18">
      <c r="D2225" s="1" t="s">
        <v>1014</v>
      </c>
      <c r="E2225" s="1" t="s">
        <v>1310</v>
      </c>
      <c r="H2225" s="1" t="s">
        <v>22</v>
      </c>
      <c r="I2225" s="1" t="s">
        <v>65</v>
      </c>
      <c r="L2225" s="1">
        <v>1</v>
      </c>
      <c r="N2225" s="1">
        <v>1</v>
      </c>
      <c r="O2225" s="11"/>
      <c r="P2225" s="11"/>
      <c r="Q2225" s="11"/>
      <c r="R2225" s="11"/>
    </row>
    <row r="2226" spans="1:18">
      <c r="D2226" s="1" t="s">
        <v>1014</v>
      </c>
      <c r="E2226" s="1" t="s">
        <v>1311</v>
      </c>
      <c r="F2226" s="1" t="s">
        <v>1041</v>
      </c>
      <c r="G2226" s="1" t="s">
        <v>1042</v>
      </c>
      <c r="H2226" s="1" t="s">
        <v>22</v>
      </c>
      <c r="I2226" s="1" t="s">
        <v>65</v>
      </c>
      <c r="L2226" s="1">
        <v>0.17611018362408509</v>
      </c>
      <c r="N2226" s="1">
        <v>3087.501287450315</v>
      </c>
      <c r="O2226" s="11"/>
      <c r="P2226" s="11"/>
      <c r="Q2226" s="11"/>
      <c r="R2226" s="11"/>
    </row>
    <row r="2227" spans="1:18">
      <c r="D2227" s="1" t="s">
        <v>1014</v>
      </c>
      <c r="E2227" s="1" t="s">
        <v>1312</v>
      </c>
      <c r="F2227" s="1" t="s">
        <v>1041</v>
      </c>
      <c r="G2227" s="1" t="s">
        <v>1042</v>
      </c>
      <c r="H2227" s="1" t="s">
        <v>22</v>
      </c>
      <c r="I2227" s="1" t="s">
        <v>65</v>
      </c>
      <c r="L2227" s="1">
        <v>0.17611018362408509</v>
      </c>
      <c r="N2227" s="1">
        <v>1630.9227280541711</v>
      </c>
      <c r="O2227" s="11"/>
      <c r="P2227" s="11"/>
      <c r="Q2227" s="11"/>
      <c r="R2227" s="11"/>
    </row>
    <row r="2228" spans="1:18">
      <c r="D2228" s="1" t="s">
        <v>1014</v>
      </c>
      <c r="E2228" s="1" t="s">
        <v>1313</v>
      </c>
      <c r="F2228" s="1" t="s">
        <v>1041</v>
      </c>
      <c r="G2228" s="1" t="s">
        <v>1042</v>
      </c>
      <c r="H2228" s="1" t="s">
        <v>22</v>
      </c>
      <c r="I2228" s="1" t="s">
        <v>65</v>
      </c>
      <c r="L2228" s="1">
        <v>0.17611018362408509</v>
      </c>
      <c r="N2228" s="1">
        <v>128.94451674676904</v>
      </c>
      <c r="O2228" s="11"/>
      <c r="P2228" s="11"/>
      <c r="Q2228" s="11"/>
      <c r="R2228" s="11"/>
    </row>
    <row r="2229" spans="1:18">
      <c r="D2229" s="1" t="s">
        <v>1014</v>
      </c>
      <c r="E2229" s="1" t="s">
        <v>1314</v>
      </c>
      <c r="F2229" s="1" t="s">
        <v>879</v>
      </c>
      <c r="G2229" s="1" t="s">
        <v>880</v>
      </c>
      <c r="H2229" s="1" t="s">
        <v>22</v>
      </c>
      <c r="I2229" s="1" t="s">
        <v>65</v>
      </c>
      <c r="L2229" s="1">
        <v>10.76391041670972</v>
      </c>
      <c r="N2229" s="1">
        <v>2.1002669320422562E-2</v>
      </c>
      <c r="O2229" s="11"/>
      <c r="P2229" s="11"/>
      <c r="Q2229" s="11"/>
      <c r="R2229" s="11"/>
    </row>
    <row r="2230" spans="1:18">
      <c r="D2230" s="1" t="s">
        <v>1014</v>
      </c>
      <c r="E2230" s="1" t="s">
        <v>1315</v>
      </c>
      <c r="F2230" s="1" t="s">
        <v>879</v>
      </c>
      <c r="G2230" s="1" t="s">
        <v>880</v>
      </c>
      <c r="H2230" s="1" t="s">
        <v>22</v>
      </c>
      <c r="I2230" s="1" t="s">
        <v>65</v>
      </c>
      <c r="L2230" s="1">
        <v>10.76391041670972</v>
      </c>
      <c r="N2230" s="1">
        <v>2829.7428092383775</v>
      </c>
      <c r="O2230" s="11"/>
      <c r="P2230" s="11"/>
      <c r="Q2230" s="11"/>
      <c r="R2230" s="11"/>
    </row>
    <row r="2231" spans="1:18">
      <c r="D2231" s="1" t="s">
        <v>1014</v>
      </c>
      <c r="E2231" s="1" t="s">
        <v>1316</v>
      </c>
      <c r="F2231" s="1" t="s">
        <v>879</v>
      </c>
      <c r="G2231" s="1" t="s">
        <v>880</v>
      </c>
      <c r="H2231" s="1" t="s">
        <v>22</v>
      </c>
      <c r="I2231" s="1" t="s">
        <v>65</v>
      </c>
      <c r="L2231" s="1">
        <v>10.76391041670972</v>
      </c>
      <c r="N2231" s="1">
        <v>392.49719076162444</v>
      </c>
      <c r="O2231" s="11"/>
      <c r="P2231" s="11"/>
      <c r="Q2231" s="11"/>
      <c r="R2231" s="11"/>
    </row>
    <row r="2232" spans="1:18">
      <c r="D2232" s="1" t="s">
        <v>1014</v>
      </c>
      <c r="E2232" s="1" t="s">
        <v>1317</v>
      </c>
      <c r="F2232" s="1" t="s">
        <v>879</v>
      </c>
      <c r="G2232" s="1" t="s">
        <v>880</v>
      </c>
      <c r="H2232" s="1" t="s">
        <v>22</v>
      </c>
      <c r="I2232" s="1" t="s">
        <v>70</v>
      </c>
      <c r="L2232" s="1">
        <v>10.76391041670972</v>
      </c>
      <c r="N2232" s="1">
        <v>3222.2400000000021</v>
      </c>
      <c r="O2232" s="11"/>
      <c r="P2232" s="11"/>
      <c r="Q2232" s="11"/>
      <c r="R2232" s="11"/>
    </row>
    <row r="2233" spans="1:18">
      <c r="D2233" s="1" t="s">
        <v>1014</v>
      </c>
      <c r="E2233" s="1" t="s">
        <v>1318</v>
      </c>
      <c r="F2233" s="1" t="s">
        <v>879</v>
      </c>
      <c r="G2233" s="1" t="s">
        <v>880</v>
      </c>
      <c r="H2233" s="1" t="s">
        <v>22</v>
      </c>
      <c r="I2233" s="1" t="s">
        <v>65</v>
      </c>
      <c r="L2233" s="1">
        <v>10.76391041670972</v>
      </c>
      <c r="N2233" s="1">
        <v>1886.4952061589186</v>
      </c>
      <c r="O2233" s="11"/>
      <c r="P2233" s="11"/>
      <c r="Q2233" s="11"/>
      <c r="R2233" s="11"/>
    </row>
    <row r="2234" spans="1:18">
      <c r="D2234" s="1" t="s">
        <v>1014</v>
      </c>
      <c r="E2234" s="1" t="s">
        <v>1319</v>
      </c>
      <c r="F2234" s="1" t="s">
        <v>879</v>
      </c>
      <c r="G2234" s="1" t="s">
        <v>880</v>
      </c>
      <c r="H2234" s="1" t="s">
        <v>22</v>
      </c>
      <c r="I2234" s="1" t="s">
        <v>65</v>
      </c>
      <c r="L2234" s="1">
        <v>10.76391041670972</v>
      </c>
      <c r="N2234" s="1">
        <v>261.66479384108294</v>
      </c>
      <c r="O2234" s="11"/>
      <c r="P2234" s="11"/>
      <c r="Q2234" s="11"/>
      <c r="R2234" s="11"/>
    </row>
    <row r="2235" spans="1:18">
      <c r="D2235" s="1" t="s">
        <v>1014</v>
      </c>
      <c r="E2235" s="1" t="s">
        <v>1320</v>
      </c>
      <c r="F2235" s="1" t="s">
        <v>879</v>
      </c>
      <c r="G2235" s="1" t="s">
        <v>880</v>
      </c>
      <c r="H2235" s="1" t="s">
        <v>22</v>
      </c>
      <c r="I2235" s="1" t="s">
        <v>70</v>
      </c>
      <c r="L2235" s="1">
        <v>10.76391041670972</v>
      </c>
      <c r="N2235" s="1">
        <v>2148.1600000000017</v>
      </c>
      <c r="O2235" s="11"/>
      <c r="P2235" s="11"/>
      <c r="Q2235" s="11"/>
      <c r="R2235" s="11"/>
    </row>
    <row r="2236" spans="1:18">
      <c r="D2236" s="1" t="s">
        <v>1014</v>
      </c>
      <c r="E2236" s="1" t="s">
        <v>1321</v>
      </c>
      <c r="F2236" s="1" t="s">
        <v>879</v>
      </c>
      <c r="G2236" s="1" t="s">
        <v>880</v>
      </c>
      <c r="H2236" s="1" t="s">
        <v>22</v>
      </c>
      <c r="I2236" s="1" t="s">
        <v>65</v>
      </c>
      <c r="L2236" s="1">
        <v>10.76391041670972</v>
      </c>
      <c r="N2236" s="1">
        <v>2.1002669320422045E-2</v>
      </c>
      <c r="O2236" s="11"/>
      <c r="P2236" s="11"/>
      <c r="Q2236" s="11"/>
      <c r="R2236" s="11"/>
    </row>
    <row r="2237" spans="1:18">
      <c r="A2237" s="2" t="s">
        <v>1759</v>
      </c>
      <c r="B2237" s="3" t="s">
        <v>1796</v>
      </c>
      <c r="D2237" s="1" t="s">
        <v>1014</v>
      </c>
      <c r="E2237" s="1" t="s">
        <v>1322</v>
      </c>
      <c r="F2237" s="1" t="s">
        <v>56</v>
      </c>
      <c r="G2237" s="1" t="s">
        <v>57</v>
      </c>
      <c r="H2237" s="1" t="s">
        <v>22</v>
      </c>
      <c r="I2237" s="1" t="s">
        <v>65</v>
      </c>
      <c r="L2237" s="1">
        <v>1.4503773773020921E-4</v>
      </c>
      <c r="N2237" s="1">
        <v>13.147475939832326</v>
      </c>
      <c r="O2237" s="11"/>
      <c r="P2237" s="11"/>
      <c r="Q2237" s="11"/>
      <c r="R2237" s="11"/>
    </row>
    <row r="2238" spans="1:18">
      <c r="D2238" s="1" t="s">
        <v>1014</v>
      </c>
      <c r="E2238" s="1" t="s">
        <v>1323</v>
      </c>
      <c r="F2238" s="1" t="s">
        <v>56</v>
      </c>
      <c r="G2238" s="1" t="s">
        <v>57</v>
      </c>
      <c r="H2238" s="1" t="s">
        <v>22</v>
      </c>
      <c r="I2238" s="1" t="s">
        <v>65</v>
      </c>
      <c r="L2238" s="1">
        <v>1.4503773773020921E-4</v>
      </c>
      <c r="N2238" s="1">
        <v>43.261667420240848</v>
      </c>
      <c r="O2238" s="11"/>
      <c r="P2238" s="11"/>
      <c r="Q2238" s="11"/>
      <c r="R2238" s="11"/>
    </row>
    <row r="2239" spans="1:18">
      <c r="D2239" s="1" t="s">
        <v>1014</v>
      </c>
      <c r="E2239" s="1" t="s">
        <v>1324</v>
      </c>
      <c r="F2239" s="1" t="s">
        <v>56</v>
      </c>
      <c r="G2239" s="1" t="s">
        <v>57</v>
      </c>
      <c r="H2239" s="1" t="s">
        <v>22</v>
      </c>
      <c r="I2239" s="1" t="s">
        <v>65</v>
      </c>
      <c r="L2239" s="1">
        <v>1.4503773773020921E-4</v>
      </c>
      <c r="N2239" s="1">
        <v>1.0048160366862449</v>
      </c>
      <c r="O2239" s="11"/>
      <c r="P2239" s="11"/>
      <c r="Q2239" s="11"/>
      <c r="R2239" s="11"/>
    </row>
    <row r="2240" spans="1:18">
      <c r="D2240" s="1" t="s">
        <v>1014</v>
      </c>
      <c r="E2240" s="1" t="s">
        <v>1325</v>
      </c>
      <c r="F2240" s="1" t="s">
        <v>56</v>
      </c>
      <c r="G2240" s="1" t="s">
        <v>57</v>
      </c>
      <c r="H2240" s="1" t="s">
        <v>22</v>
      </c>
      <c r="I2240" s="1" t="s">
        <v>65</v>
      </c>
      <c r="L2240" s="1">
        <v>1.4503773773020921E-4</v>
      </c>
      <c r="N2240" s="1">
        <v>9.6745905576929125</v>
      </c>
      <c r="O2240" s="11"/>
      <c r="P2240" s="11"/>
      <c r="Q2240" s="11"/>
      <c r="R2240" s="11"/>
    </row>
    <row r="2241" spans="4:18">
      <c r="D2241" s="1" t="s">
        <v>1014</v>
      </c>
      <c r="E2241" s="1" t="s">
        <v>1326</v>
      </c>
      <c r="F2241" s="1" t="s">
        <v>56</v>
      </c>
      <c r="G2241" s="1" t="s">
        <v>57</v>
      </c>
      <c r="H2241" s="1" t="s">
        <v>22</v>
      </c>
      <c r="I2241" s="1" t="s">
        <v>65</v>
      </c>
      <c r="L2241" s="1">
        <v>1.4503773773020921E-4</v>
      </c>
      <c r="N2241" s="1">
        <v>2.4680693454531699</v>
      </c>
      <c r="O2241" s="11"/>
      <c r="P2241" s="11"/>
      <c r="Q2241" s="11"/>
      <c r="R2241" s="11"/>
    </row>
    <row r="2242" spans="4:18">
      <c r="D2242" s="1" t="s">
        <v>1014</v>
      </c>
      <c r="E2242" s="1" t="s">
        <v>1327</v>
      </c>
      <c r="F2242" s="1" t="s">
        <v>1328</v>
      </c>
      <c r="G2242" s="1" t="s">
        <v>1329</v>
      </c>
      <c r="H2242" s="1" t="s">
        <v>22</v>
      </c>
      <c r="I2242" s="1" t="s">
        <v>65</v>
      </c>
      <c r="L2242" s="1">
        <v>0.31699833100000002</v>
      </c>
      <c r="N2242" s="1">
        <v>7288.5156891800461</v>
      </c>
      <c r="O2242" s="11"/>
      <c r="P2242" s="11"/>
      <c r="Q2242" s="11"/>
      <c r="R2242" s="11"/>
    </row>
    <row r="2243" spans="4:18">
      <c r="D2243" s="1" t="s">
        <v>1014</v>
      </c>
      <c r="E2243" s="1" t="s">
        <v>1330</v>
      </c>
      <c r="F2243" s="1" t="s">
        <v>1328</v>
      </c>
      <c r="G2243" s="1" t="s">
        <v>1329</v>
      </c>
      <c r="H2243" s="1" t="s">
        <v>22</v>
      </c>
      <c r="I2243" s="1" t="s">
        <v>65</v>
      </c>
      <c r="L2243" s="1">
        <v>0.31699833100000002</v>
      </c>
      <c r="N2243" s="1">
        <v>1220.5531877046442</v>
      </c>
      <c r="O2243" s="11"/>
      <c r="P2243" s="11"/>
      <c r="Q2243" s="11"/>
      <c r="R2243" s="11"/>
    </row>
    <row r="2244" spans="4:18">
      <c r="D2244" s="1" t="s">
        <v>1014</v>
      </c>
      <c r="E2244" s="1" t="s">
        <v>1331</v>
      </c>
      <c r="F2244" s="1" t="s">
        <v>176</v>
      </c>
      <c r="G2244" s="1" t="s">
        <v>177</v>
      </c>
      <c r="H2244" s="1" t="s">
        <v>22</v>
      </c>
      <c r="I2244" s="1" t="s">
        <v>70</v>
      </c>
      <c r="J2244" s="1">
        <v>0</v>
      </c>
      <c r="L2244" s="1">
        <v>39.370078740157467</v>
      </c>
      <c r="N2244" s="1">
        <v>19.314964923648041</v>
      </c>
      <c r="O2244" s="11"/>
      <c r="P2244" s="11"/>
      <c r="Q2244" s="11"/>
      <c r="R2244" s="11"/>
    </row>
    <row r="2245" spans="4:18">
      <c r="D2245" s="1" t="s">
        <v>1014</v>
      </c>
      <c r="E2245" s="1" t="s">
        <v>69</v>
      </c>
      <c r="H2245" s="1" t="s">
        <v>25</v>
      </c>
      <c r="I2245" s="1" t="s">
        <v>70</v>
      </c>
      <c r="N2245" s="1">
        <v>0</v>
      </c>
      <c r="O2245" s="11"/>
      <c r="P2245" s="11"/>
      <c r="Q2245" s="11"/>
      <c r="R2245" s="11"/>
    </row>
    <row r="2246" spans="4:18">
      <c r="D2246" s="1" t="s">
        <v>1014</v>
      </c>
      <c r="E2246" s="1" t="s">
        <v>1332</v>
      </c>
      <c r="F2246" s="1" t="s">
        <v>176</v>
      </c>
      <c r="G2246" s="1" t="s">
        <v>177</v>
      </c>
      <c r="H2246" s="1" t="s">
        <v>22</v>
      </c>
      <c r="I2246" s="1" t="s">
        <v>65</v>
      </c>
      <c r="L2246" s="1">
        <v>39.370078740157467</v>
      </c>
      <c r="N2246" s="1">
        <v>4.3385020601599287</v>
      </c>
      <c r="O2246" s="11"/>
      <c r="P2246" s="11"/>
      <c r="Q2246" s="11"/>
      <c r="R2246" s="11"/>
    </row>
    <row r="2247" spans="4:18">
      <c r="D2247" s="1" t="s">
        <v>1014</v>
      </c>
      <c r="E2247" s="1" t="s">
        <v>1333</v>
      </c>
      <c r="F2247" s="1" t="s">
        <v>176</v>
      </c>
      <c r="G2247" s="1" t="s">
        <v>177</v>
      </c>
      <c r="H2247" s="1" t="s">
        <v>22</v>
      </c>
      <c r="I2247" s="1" t="s">
        <v>65</v>
      </c>
      <c r="J2247" s="1">
        <v>0</v>
      </c>
      <c r="L2247" s="1">
        <v>39.370078740157467</v>
      </c>
      <c r="N2247" s="1">
        <v>5.214535939512742</v>
      </c>
      <c r="O2247" s="11"/>
      <c r="P2247" s="11"/>
      <c r="Q2247" s="11"/>
      <c r="R2247" s="11"/>
    </row>
    <row r="2248" spans="4:18">
      <c r="D2248" s="1" t="s">
        <v>1014</v>
      </c>
      <c r="E2248" s="1" t="s">
        <v>991</v>
      </c>
      <c r="F2248" s="1" t="s">
        <v>118</v>
      </c>
      <c r="G2248" s="1" t="s">
        <v>119</v>
      </c>
      <c r="H2248" s="1" t="s">
        <v>22</v>
      </c>
      <c r="I2248" s="1" t="s">
        <v>65</v>
      </c>
      <c r="J2248" s="1">
        <v>0</v>
      </c>
      <c r="L2248" s="1">
        <v>2.20462262185</v>
      </c>
      <c r="N2248" s="1">
        <v>688.87286656862182</v>
      </c>
      <c r="O2248" s="11"/>
      <c r="P2248" s="11"/>
      <c r="Q2248" s="11"/>
      <c r="R2248" s="11"/>
    </row>
    <row r="2249" spans="4:18">
      <c r="D2249" s="1" t="s">
        <v>1014</v>
      </c>
      <c r="E2249" s="1" t="s">
        <v>1334</v>
      </c>
      <c r="H2249" s="1" t="s">
        <v>22</v>
      </c>
      <c r="I2249" s="1" t="s">
        <v>65</v>
      </c>
      <c r="L2249" s="1">
        <v>1</v>
      </c>
      <c r="N2249" s="1">
        <v>702.5529592428561</v>
      </c>
      <c r="O2249" s="11"/>
      <c r="P2249" s="11"/>
      <c r="Q2249" s="11"/>
      <c r="R2249" s="11"/>
    </row>
    <row r="2250" spans="4:18">
      <c r="D2250" s="1" t="s">
        <v>1014</v>
      </c>
      <c r="E2250" s="1" t="s">
        <v>1335</v>
      </c>
      <c r="H2250" s="1" t="s">
        <v>22</v>
      </c>
      <c r="I2250" s="1" t="s">
        <v>65</v>
      </c>
      <c r="L2250" s="1">
        <v>1</v>
      </c>
      <c r="N2250" s="1">
        <v>97.447040757143895</v>
      </c>
      <c r="O2250" s="11"/>
      <c r="P2250" s="11"/>
      <c r="Q2250" s="11"/>
      <c r="R2250" s="11"/>
    </row>
    <row r="2251" spans="4:18">
      <c r="D2251" s="1" t="s">
        <v>1014</v>
      </c>
      <c r="E2251" s="1" t="s">
        <v>1336</v>
      </c>
      <c r="F2251" s="1" t="s">
        <v>56</v>
      </c>
      <c r="G2251" s="1" t="s">
        <v>57</v>
      </c>
      <c r="H2251" s="1" t="s">
        <v>22</v>
      </c>
      <c r="I2251" s="1" t="s">
        <v>65</v>
      </c>
      <c r="L2251" s="1">
        <v>1.4503773773020921E-4</v>
      </c>
      <c r="N2251" s="1">
        <v>135.32432554524246</v>
      </c>
      <c r="O2251" s="11"/>
      <c r="P2251" s="11"/>
      <c r="Q2251" s="11"/>
      <c r="R2251" s="11"/>
    </row>
    <row r="2252" spans="4:18">
      <c r="D2252" s="1" t="s">
        <v>1014</v>
      </c>
      <c r="E2252" s="1" t="s">
        <v>1337</v>
      </c>
      <c r="H2252" s="1" t="s">
        <v>22</v>
      </c>
      <c r="I2252" s="1" t="s">
        <v>65</v>
      </c>
      <c r="L2252" s="1">
        <v>1</v>
      </c>
      <c r="N2252" s="1">
        <v>0.23074775760213181</v>
      </c>
      <c r="O2252" s="11"/>
      <c r="P2252" s="11"/>
      <c r="Q2252" s="11"/>
      <c r="R2252" s="11"/>
    </row>
    <row r="2253" spans="4:18">
      <c r="D2253" s="1" t="s">
        <v>1014</v>
      </c>
      <c r="E2253" s="1" t="s">
        <v>1338</v>
      </c>
      <c r="H2253" s="1" t="s">
        <v>22</v>
      </c>
      <c r="I2253" s="1" t="s">
        <v>65</v>
      </c>
      <c r="L2253" s="1">
        <v>1</v>
      </c>
      <c r="N2253" s="1">
        <v>0.10329766809904524</v>
      </c>
      <c r="O2253" s="11"/>
      <c r="P2253" s="11"/>
      <c r="Q2253" s="11"/>
      <c r="R2253" s="11"/>
    </row>
    <row r="2254" spans="4:18">
      <c r="D2254" s="1" t="s">
        <v>1014</v>
      </c>
      <c r="E2254" s="1" t="s">
        <v>1339</v>
      </c>
      <c r="H2254" s="1" t="s">
        <v>22</v>
      </c>
      <c r="I2254" s="1" t="s">
        <v>65</v>
      </c>
      <c r="L2254" s="1">
        <v>1</v>
      </c>
      <c r="N2254" s="1">
        <v>0.22461868697717061</v>
      </c>
      <c r="O2254" s="11"/>
      <c r="P2254" s="11"/>
      <c r="Q2254" s="11"/>
      <c r="R2254" s="11"/>
    </row>
    <row r="2255" spans="4:18">
      <c r="D2255" s="1" t="s">
        <v>1014</v>
      </c>
      <c r="E2255" s="1" t="s">
        <v>1340</v>
      </c>
      <c r="H2255" s="1" t="s">
        <v>22</v>
      </c>
      <c r="I2255" s="1" t="s">
        <v>65</v>
      </c>
      <c r="L2255" s="1">
        <v>1</v>
      </c>
      <c r="N2255" s="1">
        <v>0.12180880094642987</v>
      </c>
      <c r="O2255" s="11"/>
      <c r="P2255" s="11"/>
      <c r="Q2255" s="11"/>
      <c r="R2255" s="11"/>
    </row>
    <row r="2256" spans="4:18">
      <c r="D2256" s="1" t="s">
        <v>1014</v>
      </c>
      <c r="E2256" s="1" t="s">
        <v>1341</v>
      </c>
      <c r="H2256" s="1" t="s">
        <v>25</v>
      </c>
      <c r="I2256" s="1" t="s">
        <v>65</v>
      </c>
      <c r="N2256" s="1">
        <v>1</v>
      </c>
      <c r="O2256" s="11"/>
      <c r="P2256" s="11"/>
      <c r="Q2256" s="11"/>
      <c r="R2256" s="11"/>
    </row>
    <row r="2257" spans="1:18">
      <c r="A2257" s="2" t="s">
        <v>1849</v>
      </c>
      <c r="B2257" s="3" t="s">
        <v>1850</v>
      </c>
      <c r="D2257" s="1" t="s">
        <v>1014</v>
      </c>
      <c r="E2257" s="1" t="s">
        <v>1342</v>
      </c>
      <c r="F2257" s="1" t="s">
        <v>41</v>
      </c>
      <c r="G2257" s="1" t="s">
        <v>42</v>
      </c>
      <c r="H2257" s="1" t="s">
        <v>22</v>
      </c>
      <c r="I2257" s="1" t="s">
        <v>65</v>
      </c>
      <c r="L2257" s="1">
        <v>1.8</v>
      </c>
      <c r="N2257" s="1">
        <v>-4.9557024280056341</v>
      </c>
      <c r="O2257" s="11"/>
      <c r="P2257" s="11"/>
      <c r="Q2257" s="11"/>
      <c r="R2257" s="11"/>
    </row>
    <row r="2258" spans="1:18">
      <c r="D2258" s="1" t="s">
        <v>1014</v>
      </c>
      <c r="E2258" s="1" t="s">
        <v>1343</v>
      </c>
      <c r="F2258" s="1" t="s">
        <v>1344</v>
      </c>
      <c r="G2258" s="1" t="s">
        <v>1345</v>
      </c>
      <c r="H2258" s="1" t="s">
        <v>22</v>
      </c>
      <c r="I2258" s="1" t="s">
        <v>65</v>
      </c>
      <c r="L2258" s="1">
        <v>2.2369362919199998</v>
      </c>
      <c r="N2258" s="1">
        <v>5.3089776047573976</v>
      </c>
      <c r="O2258" s="11"/>
      <c r="P2258" s="11"/>
      <c r="Q2258" s="11"/>
      <c r="R2258" s="11"/>
    </row>
    <row r="2259" spans="1:18">
      <c r="D2259" s="1" t="s">
        <v>1014</v>
      </c>
      <c r="E2259" s="1" t="s">
        <v>1346</v>
      </c>
      <c r="F2259" s="1" t="s">
        <v>124</v>
      </c>
      <c r="G2259" s="1" t="s">
        <v>125</v>
      </c>
      <c r="H2259" s="1" t="s">
        <v>22</v>
      </c>
      <c r="I2259" s="1" t="s">
        <v>65</v>
      </c>
      <c r="L2259" s="1">
        <v>35.314666699999997</v>
      </c>
      <c r="N2259" s="1">
        <v>3.1211364413992997</v>
      </c>
      <c r="O2259" s="11"/>
      <c r="P2259" s="11"/>
      <c r="Q2259" s="11"/>
      <c r="R2259" s="11"/>
    </row>
    <row r="2260" spans="1:18">
      <c r="D2260" s="1" t="s">
        <v>1014</v>
      </c>
      <c r="E2260" s="1" t="s">
        <v>1347</v>
      </c>
      <c r="F2260" s="1" t="s">
        <v>124</v>
      </c>
      <c r="G2260" s="1" t="s">
        <v>125</v>
      </c>
      <c r="H2260" s="1" t="s">
        <v>22</v>
      </c>
      <c r="I2260" s="1" t="s">
        <v>65</v>
      </c>
      <c r="L2260" s="1">
        <v>35.314666699999997</v>
      </c>
      <c r="N2260" s="1">
        <v>95.183062580838154</v>
      </c>
      <c r="O2260" s="11"/>
      <c r="P2260" s="11"/>
      <c r="Q2260" s="11"/>
      <c r="R2260" s="11"/>
    </row>
    <row r="2261" spans="1:18">
      <c r="D2261" s="1" t="s">
        <v>1014</v>
      </c>
      <c r="E2261" s="1" t="s">
        <v>1348</v>
      </c>
      <c r="F2261" s="1" t="s">
        <v>176</v>
      </c>
      <c r="G2261" s="1" t="s">
        <v>177</v>
      </c>
      <c r="H2261" s="1" t="s">
        <v>22</v>
      </c>
      <c r="I2261" s="1" t="s">
        <v>23</v>
      </c>
      <c r="J2261" s="1">
        <v>3.9370078740157466E-2</v>
      </c>
      <c r="K2261" s="1">
        <v>3.9370078740157468</v>
      </c>
      <c r="L2261" s="1">
        <v>39.370078740157467</v>
      </c>
      <c r="M2261" s="1">
        <v>0.49999999999999983</v>
      </c>
      <c r="N2261" s="1">
        <v>0.49999999999999983</v>
      </c>
      <c r="O2261" s="11"/>
      <c r="P2261" s="11"/>
      <c r="Q2261" s="11"/>
      <c r="R2261" s="11"/>
    </row>
    <row r="2262" spans="1:18">
      <c r="D2262" s="1" t="s">
        <v>1014</v>
      </c>
      <c r="E2262" s="1" t="s">
        <v>1349</v>
      </c>
      <c r="H2262" s="1" t="s">
        <v>25</v>
      </c>
      <c r="I2262" s="1" t="s">
        <v>23</v>
      </c>
      <c r="M2262" s="1" t="b">
        <v>1</v>
      </c>
      <c r="N2262" s="1">
        <v>1</v>
      </c>
      <c r="O2262" s="11"/>
      <c r="P2262" s="11"/>
      <c r="Q2262" s="11"/>
      <c r="R2262" s="11"/>
    </row>
    <row r="2263" spans="1:18">
      <c r="D2263" s="1" t="s">
        <v>1014</v>
      </c>
      <c r="E2263" s="1" t="s">
        <v>1350</v>
      </c>
      <c r="H2263" s="1" t="s">
        <v>25</v>
      </c>
      <c r="I2263" s="1" t="s">
        <v>23</v>
      </c>
      <c r="M2263" s="1" t="b">
        <v>0</v>
      </c>
      <c r="N2263" s="1">
        <v>0</v>
      </c>
      <c r="O2263" s="11"/>
      <c r="P2263" s="11"/>
      <c r="Q2263" s="11"/>
      <c r="R2263" s="11"/>
    </row>
    <row r="2264" spans="1:18">
      <c r="D2264" s="1" t="s">
        <v>1014</v>
      </c>
      <c r="E2264" s="1" t="s">
        <v>1351</v>
      </c>
      <c r="H2264" s="1" t="s">
        <v>25</v>
      </c>
      <c r="I2264" s="1" t="s">
        <v>23</v>
      </c>
      <c r="M2264" s="1" t="b">
        <v>0</v>
      </c>
      <c r="N2264" s="1">
        <v>0</v>
      </c>
      <c r="O2264" s="11"/>
      <c r="P2264" s="11"/>
      <c r="Q2264" s="11"/>
      <c r="R2264" s="11"/>
    </row>
    <row r="2265" spans="1:18">
      <c r="D2265" s="1" t="s">
        <v>1014</v>
      </c>
      <c r="E2265" s="1" t="s">
        <v>1352</v>
      </c>
      <c r="H2265" s="1" t="s">
        <v>25</v>
      </c>
      <c r="I2265" s="1" t="s">
        <v>23</v>
      </c>
      <c r="M2265" s="1" t="b">
        <v>0</v>
      </c>
      <c r="N2265" s="1">
        <v>0</v>
      </c>
      <c r="O2265" s="11"/>
      <c r="P2265" s="11"/>
      <c r="Q2265" s="11"/>
      <c r="R2265" s="11"/>
    </row>
    <row r="2266" spans="1:18">
      <c r="D2266" s="1" t="s">
        <v>1014</v>
      </c>
      <c r="E2266" s="1" t="s">
        <v>1353</v>
      </c>
      <c r="H2266" s="1" t="s">
        <v>25</v>
      </c>
      <c r="I2266" s="1" t="s">
        <v>23</v>
      </c>
      <c r="M2266" s="1" t="b">
        <v>0</v>
      </c>
      <c r="N2266" s="1">
        <v>0</v>
      </c>
      <c r="O2266" s="11"/>
      <c r="P2266" s="11"/>
      <c r="Q2266" s="11"/>
      <c r="R2266" s="11"/>
    </row>
    <row r="2267" spans="1:18">
      <c r="D2267" s="1" t="s">
        <v>1014</v>
      </c>
      <c r="E2267" s="1" t="s">
        <v>1354</v>
      </c>
      <c r="H2267" s="1" t="s">
        <v>22</v>
      </c>
      <c r="I2267" s="1" t="s">
        <v>23</v>
      </c>
      <c r="J2267" s="1">
        <v>0.5</v>
      </c>
      <c r="K2267" s="1">
        <v>2</v>
      </c>
      <c r="L2267" s="1">
        <v>1</v>
      </c>
      <c r="M2267" s="1">
        <v>1</v>
      </c>
      <c r="N2267" s="1">
        <v>1</v>
      </c>
      <c r="O2267" s="11"/>
      <c r="P2267" s="11"/>
      <c r="Q2267" s="11"/>
      <c r="R2267" s="11"/>
    </row>
    <row r="2268" spans="1:18">
      <c r="D2268" s="1" t="s">
        <v>1014</v>
      </c>
      <c r="E2268" s="1" t="s">
        <v>1355</v>
      </c>
      <c r="H2268" s="1" t="s">
        <v>22</v>
      </c>
      <c r="I2268" s="1" t="s">
        <v>23</v>
      </c>
      <c r="J2268" s="1">
        <v>0</v>
      </c>
      <c r="K2268" s="1">
        <v>10</v>
      </c>
      <c r="L2268" s="1">
        <v>1</v>
      </c>
      <c r="M2268" s="1">
        <v>1</v>
      </c>
      <c r="N2268" s="1">
        <v>1</v>
      </c>
      <c r="O2268" s="11"/>
      <c r="P2268" s="11"/>
      <c r="Q2268" s="11"/>
      <c r="R2268" s="11"/>
    </row>
    <row r="2269" spans="1:18">
      <c r="D2269" s="1" t="s">
        <v>1014</v>
      </c>
      <c r="E2269" s="1" t="s">
        <v>1356</v>
      </c>
      <c r="H2269" s="1" t="s">
        <v>150</v>
      </c>
      <c r="I2269" s="1" t="s">
        <v>23</v>
      </c>
      <c r="M2269" s="1" t="s">
        <v>1357</v>
      </c>
      <c r="N2269" s="1" t="s">
        <v>1822</v>
      </c>
      <c r="O2269" s="11"/>
      <c r="P2269" s="11"/>
      <c r="Q2269" s="11"/>
      <c r="R2269" s="11"/>
    </row>
    <row r="2270" spans="1:18">
      <c r="A2270" s="2" t="s">
        <v>1722</v>
      </c>
      <c r="B2270" s="3" t="s">
        <v>1734</v>
      </c>
      <c r="D2270" s="1" t="s">
        <v>1014</v>
      </c>
      <c r="E2270" s="1" t="s">
        <v>1358</v>
      </c>
      <c r="F2270" s="1" t="s">
        <v>176</v>
      </c>
      <c r="G2270" s="1" t="s">
        <v>177</v>
      </c>
      <c r="H2270" s="1" t="s">
        <v>22</v>
      </c>
      <c r="I2270" s="1" t="s">
        <v>23</v>
      </c>
      <c r="J2270" s="1">
        <v>0.39370078740157466</v>
      </c>
      <c r="K2270" s="1">
        <v>393.70078740157464</v>
      </c>
      <c r="L2270" s="1">
        <v>39.370078740157467</v>
      </c>
      <c r="M2270" s="1">
        <v>42.000000000000284</v>
      </c>
      <c r="N2270" s="1">
        <v>42.000000000000284</v>
      </c>
      <c r="O2270" s="11"/>
      <c r="P2270" s="11"/>
      <c r="Q2270" s="11"/>
      <c r="R2270" s="11"/>
    </row>
    <row r="2271" spans="1:18">
      <c r="A2271" s="2" t="s">
        <v>1722</v>
      </c>
      <c r="B2271" s="3" t="s">
        <v>1735</v>
      </c>
      <c r="D2271" s="1" t="s">
        <v>1014</v>
      </c>
      <c r="E2271" s="1" t="s">
        <v>1359</v>
      </c>
      <c r="F2271" s="1" t="s">
        <v>176</v>
      </c>
      <c r="G2271" s="1" t="s">
        <v>177</v>
      </c>
      <c r="H2271" s="1" t="s">
        <v>22</v>
      </c>
      <c r="I2271" s="1" t="s">
        <v>23</v>
      </c>
      <c r="J2271" s="1">
        <v>0</v>
      </c>
      <c r="L2271" s="1">
        <v>39.370078740157467</v>
      </c>
      <c r="M2271" s="1">
        <v>10.119999999999994</v>
      </c>
      <c r="N2271" s="1">
        <v>10.119999999999994</v>
      </c>
      <c r="O2271" s="11"/>
      <c r="P2271" s="11"/>
      <c r="Q2271" s="11"/>
      <c r="R2271" s="11"/>
    </row>
    <row r="2272" spans="1:18">
      <c r="D2272" s="1" t="s">
        <v>1014</v>
      </c>
      <c r="E2272" s="1" t="s">
        <v>1360</v>
      </c>
      <c r="H2272" s="1" t="s">
        <v>150</v>
      </c>
      <c r="I2272" s="1" t="s">
        <v>23</v>
      </c>
      <c r="M2272" s="1" t="s">
        <v>1357</v>
      </c>
      <c r="N2272" s="1" t="s">
        <v>1822</v>
      </c>
      <c r="O2272" s="11"/>
      <c r="P2272" s="11"/>
      <c r="Q2272" s="11"/>
      <c r="R2272" s="11"/>
    </row>
    <row r="2273" spans="1:18">
      <c r="D2273" s="1" t="s">
        <v>1014</v>
      </c>
      <c r="E2273" s="1" t="s">
        <v>1361</v>
      </c>
      <c r="F2273" s="1" t="s">
        <v>176</v>
      </c>
      <c r="G2273" s="1" t="s">
        <v>177</v>
      </c>
      <c r="H2273" s="1" t="s">
        <v>22</v>
      </c>
      <c r="I2273" s="1" t="s">
        <v>23</v>
      </c>
      <c r="J2273" s="1">
        <v>0</v>
      </c>
      <c r="L2273" s="1">
        <v>39.370078740157467</v>
      </c>
      <c r="M2273" s="1">
        <v>0</v>
      </c>
      <c r="N2273" s="1">
        <v>0</v>
      </c>
      <c r="O2273" s="11"/>
      <c r="P2273" s="11"/>
      <c r="Q2273" s="11"/>
      <c r="R2273" s="11"/>
    </row>
    <row r="2274" spans="1:18">
      <c r="A2274" s="2" t="s">
        <v>1722</v>
      </c>
      <c r="B2274" s="3" t="s">
        <v>1736</v>
      </c>
      <c r="D2274" s="1" t="s">
        <v>1014</v>
      </c>
      <c r="E2274" s="1" t="s">
        <v>1362</v>
      </c>
      <c r="F2274" s="1" t="s">
        <v>176</v>
      </c>
      <c r="G2274" s="1" t="s">
        <v>177</v>
      </c>
      <c r="H2274" s="1" t="s">
        <v>22</v>
      </c>
      <c r="I2274" s="1" t="s">
        <v>23</v>
      </c>
      <c r="J2274" s="1">
        <v>3.9370078740157468</v>
      </c>
      <c r="K2274" s="1">
        <v>393.70078740157464</v>
      </c>
      <c r="L2274" s="1">
        <v>39.370078740157467</v>
      </c>
      <c r="M2274" s="1">
        <v>164.39999999999992</v>
      </c>
      <c r="N2274" s="1">
        <v>164.39999999999992</v>
      </c>
      <c r="O2274" s="11"/>
      <c r="P2274" s="11"/>
      <c r="Q2274" s="11"/>
      <c r="R2274" s="11"/>
    </row>
    <row r="2275" spans="1:18">
      <c r="D2275" s="1" t="s">
        <v>1014</v>
      </c>
      <c r="E2275" s="1" t="s">
        <v>1363</v>
      </c>
      <c r="H2275" s="1" t="s">
        <v>63</v>
      </c>
      <c r="I2275" s="1" t="s">
        <v>23</v>
      </c>
      <c r="M2275" s="1">
        <v>4</v>
      </c>
      <c r="N2275" s="1">
        <v>4</v>
      </c>
      <c r="O2275" s="11"/>
      <c r="P2275" s="11"/>
      <c r="Q2275" s="11"/>
      <c r="R2275" s="11"/>
    </row>
    <row r="2276" spans="1:18">
      <c r="D2276" s="1" t="s">
        <v>1014</v>
      </c>
      <c r="E2276" s="1" t="s">
        <v>1364</v>
      </c>
      <c r="H2276" s="1" t="s">
        <v>63</v>
      </c>
      <c r="I2276" s="1" t="s">
        <v>23</v>
      </c>
      <c r="M2276" s="1">
        <v>1</v>
      </c>
      <c r="N2276" s="1">
        <v>1</v>
      </c>
      <c r="O2276" s="11"/>
      <c r="P2276" s="11"/>
      <c r="Q2276" s="11"/>
      <c r="R2276" s="11"/>
    </row>
    <row r="2277" spans="1:18">
      <c r="D2277" s="1" t="s">
        <v>1014</v>
      </c>
      <c r="E2277" s="1" t="s">
        <v>1365</v>
      </c>
      <c r="H2277" s="1" t="s">
        <v>63</v>
      </c>
      <c r="I2277" s="1" t="s">
        <v>70</v>
      </c>
      <c r="N2277" s="1">
        <v>2</v>
      </c>
      <c r="O2277" s="11"/>
      <c r="P2277" s="11"/>
      <c r="Q2277" s="11"/>
      <c r="R2277" s="11"/>
    </row>
    <row r="2278" spans="1:18">
      <c r="A2278" s="2" t="s">
        <v>1722</v>
      </c>
      <c r="B2278" s="3" t="s">
        <v>1737</v>
      </c>
      <c r="D2278" s="1" t="s">
        <v>1014</v>
      </c>
      <c r="E2278" s="1" t="s">
        <v>1366</v>
      </c>
      <c r="H2278" s="1" t="s">
        <v>63</v>
      </c>
      <c r="I2278" s="1" t="s">
        <v>23</v>
      </c>
      <c r="M2278" s="1">
        <v>400</v>
      </c>
      <c r="N2278" s="1">
        <v>400</v>
      </c>
      <c r="O2278" s="11"/>
      <c r="P2278" s="11"/>
      <c r="Q2278" s="11"/>
      <c r="R2278" s="11"/>
    </row>
    <row r="2279" spans="1:18">
      <c r="A2279" s="2" t="s">
        <v>1722</v>
      </c>
      <c r="B2279" s="3" t="s">
        <v>1738</v>
      </c>
      <c r="D2279" s="1" t="s">
        <v>1014</v>
      </c>
      <c r="E2279" s="1" t="s">
        <v>1367</v>
      </c>
      <c r="H2279" s="1" t="s">
        <v>63</v>
      </c>
      <c r="I2279" s="1" t="s">
        <v>23</v>
      </c>
      <c r="M2279" s="1">
        <v>400</v>
      </c>
      <c r="N2279" s="1">
        <v>400</v>
      </c>
      <c r="O2279" s="11"/>
      <c r="P2279" s="11"/>
      <c r="Q2279" s="11"/>
      <c r="R2279" s="11"/>
    </row>
    <row r="2280" spans="1:18">
      <c r="D2280" s="1" t="s">
        <v>1014</v>
      </c>
      <c r="E2280" s="1" t="s">
        <v>1368</v>
      </c>
      <c r="H2280" s="1" t="s">
        <v>63</v>
      </c>
      <c r="I2280" s="1" t="s">
        <v>23</v>
      </c>
      <c r="M2280" s="1">
        <v>0</v>
      </c>
      <c r="N2280" s="1">
        <v>0</v>
      </c>
      <c r="O2280" s="11"/>
      <c r="P2280" s="11"/>
      <c r="Q2280" s="11"/>
      <c r="R2280" s="11"/>
    </row>
    <row r="2281" spans="1:18">
      <c r="D2281" s="1" t="s">
        <v>1014</v>
      </c>
      <c r="E2281" s="1" t="s">
        <v>1369</v>
      </c>
      <c r="H2281" s="1" t="s">
        <v>63</v>
      </c>
      <c r="I2281" s="1" t="s">
        <v>23</v>
      </c>
      <c r="M2281" s="1">
        <v>0</v>
      </c>
      <c r="N2281" s="1">
        <v>0</v>
      </c>
      <c r="O2281" s="11"/>
      <c r="P2281" s="11"/>
      <c r="Q2281" s="11"/>
      <c r="R2281" s="11"/>
    </row>
    <row r="2282" spans="1:18">
      <c r="D2282" s="1" t="s">
        <v>1014</v>
      </c>
      <c r="E2282" s="1" t="s">
        <v>1370</v>
      </c>
      <c r="H2282" s="1" t="s">
        <v>63</v>
      </c>
      <c r="I2282" s="1" t="s">
        <v>23</v>
      </c>
      <c r="J2282" s="1">
        <v>0</v>
      </c>
      <c r="K2282" s="1">
        <v>1000</v>
      </c>
      <c r="M2282" s="1">
        <v>0</v>
      </c>
      <c r="N2282" s="1">
        <v>0</v>
      </c>
      <c r="O2282" s="11"/>
      <c r="P2282" s="11"/>
      <c r="Q2282" s="11"/>
      <c r="R2282" s="11"/>
    </row>
    <row r="2283" spans="1:18">
      <c r="D2283" s="1" t="s">
        <v>1014</v>
      </c>
      <c r="E2283" s="1" t="s">
        <v>1371</v>
      </c>
      <c r="H2283" s="1" t="s">
        <v>25</v>
      </c>
      <c r="I2283" s="1" t="s">
        <v>23</v>
      </c>
      <c r="M2283" s="1" t="b">
        <v>0</v>
      </c>
      <c r="N2283" s="1">
        <v>0</v>
      </c>
      <c r="O2283" s="11"/>
      <c r="P2283" s="11"/>
      <c r="Q2283" s="11"/>
      <c r="R2283" s="11"/>
    </row>
    <row r="2284" spans="1:18">
      <c r="D2284" s="1" t="s">
        <v>1014</v>
      </c>
      <c r="E2284" s="1" t="s">
        <v>1372</v>
      </c>
      <c r="F2284" s="1" t="s">
        <v>176</v>
      </c>
      <c r="G2284" s="1" t="s">
        <v>177</v>
      </c>
      <c r="H2284" s="1" t="s">
        <v>22</v>
      </c>
      <c r="I2284" s="1" t="s">
        <v>23</v>
      </c>
      <c r="J2284" s="1">
        <v>3.9370078740157471E-3</v>
      </c>
      <c r="K2284" s="1">
        <v>3.1496062992125973</v>
      </c>
      <c r="L2284" s="1">
        <v>39.370078740157467</v>
      </c>
      <c r="M2284" s="1">
        <v>0.31496062992125973</v>
      </c>
      <c r="N2284" s="1">
        <v>0.31496062992125973</v>
      </c>
      <c r="O2284" s="11"/>
      <c r="P2284" s="11"/>
      <c r="Q2284" s="11"/>
      <c r="R2284" s="11"/>
    </row>
    <row r="2285" spans="1:18">
      <c r="D2285" s="1" t="s">
        <v>1014</v>
      </c>
      <c r="E2285" s="1" t="s">
        <v>1373</v>
      </c>
      <c r="F2285" s="1" t="s">
        <v>879</v>
      </c>
      <c r="G2285" s="1" t="s">
        <v>880</v>
      </c>
      <c r="H2285" s="1" t="s">
        <v>22</v>
      </c>
      <c r="I2285" s="1" t="s">
        <v>23</v>
      </c>
      <c r="L2285" s="1">
        <v>10.76391041670972</v>
      </c>
      <c r="M2285" s="1">
        <v>7.7823072312811284E-2</v>
      </c>
      <c r="N2285" s="1">
        <v>7.7823072312811284E-2</v>
      </c>
      <c r="O2285" s="11"/>
      <c r="P2285" s="11"/>
      <c r="Q2285" s="11"/>
      <c r="R2285" s="11"/>
    </row>
    <row r="2286" spans="1:18">
      <c r="D2286" s="1" t="s">
        <v>1014</v>
      </c>
      <c r="E2286" s="1" t="s">
        <v>1374</v>
      </c>
      <c r="F2286" s="1" t="s">
        <v>879</v>
      </c>
      <c r="G2286" s="1" t="s">
        <v>880</v>
      </c>
      <c r="H2286" s="1" t="s">
        <v>22</v>
      </c>
      <c r="I2286" s="1" t="s">
        <v>23</v>
      </c>
      <c r="L2286" s="1">
        <v>10.76391041670972</v>
      </c>
      <c r="M2286" s="1">
        <v>1.4208361750056831E-3</v>
      </c>
      <c r="N2286" s="1">
        <v>1.4208361750056831E-3</v>
      </c>
      <c r="O2286" s="11"/>
      <c r="P2286" s="11"/>
      <c r="Q2286" s="11"/>
      <c r="R2286" s="11"/>
    </row>
    <row r="2287" spans="1:18">
      <c r="D2287" s="1" t="s">
        <v>1014</v>
      </c>
      <c r="E2287" s="1" t="s">
        <v>1375</v>
      </c>
      <c r="H2287" s="1" t="s">
        <v>22</v>
      </c>
      <c r="I2287" s="1" t="s">
        <v>23</v>
      </c>
      <c r="J2287" s="1">
        <v>0</v>
      </c>
      <c r="L2287" s="1">
        <v>1</v>
      </c>
      <c r="M2287" s="1">
        <v>0.45</v>
      </c>
      <c r="N2287" s="1">
        <v>0.45</v>
      </c>
      <c r="O2287" s="11"/>
      <c r="P2287" s="11"/>
      <c r="Q2287" s="11"/>
      <c r="R2287" s="11"/>
    </row>
    <row r="2288" spans="1:18">
      <c r="D2288" s="1" t="s">
        <v>1014</v>
      </c>
      <c r="E2288" s="1" t="s">
        <v>1376</v>
      </c>
      <c r="F2288" s="1" t="s">
        <v>176</v>
      </c>
      <c r="G2288" s="1" t="s">
        <v>177</v>
      </c>
      <c r="H2288" s="1" t="s">
        <v>22</v>
      </c>
      <c r="I2288" s="1" t="s">
        <v>23</v>
      </c>
      <c r="L2288" s="1">
        <v>39.370078740157467</v>
      </c>
      <c r="M2288" s="1">
        <v>3.251968503937007</v>
      </c>
      <c r="N2288" s="1">
        <v>3.251968503937007</v>
      </c>
      <c r="O2288" s="11"/>
      <c r="P2288" s="11"/>
      <c r="Q2288" s="11"/>
      <c r="R2288" s="11"/>
    </row>
    <row r="2289" spans="4:18">
      <c r="D2289" s="1" t="s">
        <v>1014</v>
      </c>
      <c r="E2289" s="1" t="s">
        <v>1377</v>
      </c>
      <c r="F2289" s="1" t="s">
        <v>176</v>
      </c>
      <c r="G2289" s="1" t="s">
        <v>177</v>
      </c>
      <c r="H2289" s="1" t="s">
        <v>22</v>
      </c>
      <c r="I2289" s="1" t="s">
        <v>23</v>
      </c>
      <c r="L2289" s="1">
        <v>39.370078740157467</v>
      </c>
      <c r="M2289" s="1">
        <v>0.48425196850393687</v>
      </c>
      <c r="N2289" s="1">
        <v>0.48425196850393687</v>
      </c>
      <c r="O2289" s="11"/>
      <c r="P2289" s="11"/>
      <c r="Q2289" s="11"/>
      <c r="R2289" s="11"/>
    </row>
    <row r="2290" spans="4:18">
      <c r="D2290" s="1" t="s">
        <v>1014</v>
      </c>
      <c r="E2290" s="1" t="s">
        <v>1378</v>
      </c>
      <c r="F2290" s="1" t="s">
        <v>176</v>
      </c>
      <c r="G2290" s="1" t="s">
        <v>177</v>
      </c>
      <c r="H2290" s="1" t="s">
        <v>22</v>
      </c>
      <c r="I2290" s="1" t="s">
        <v>23</v>
      </c>
      <c r="L2290" s="1">
        <v>39.370078740157467</v>
      </c>
      <c r="M2290" s="1">
        <v>6.2519685039370057</v>
      </c>
      <c r="N2290" s="1">
        <v>6.2519685039370057</v>
      </c>
      <c r="O2290" s="11"/>
      <c r="P2290" s="11"/>
      <c r="Q2290" s="11"/>
      <c r="R2290" s="11"/>
    </row>
    <row r="2291" spans="4:18">
      <c r="D2291" s="1" t="s">
        <v>1014</v>
      </c>
      <c r="E2291" s="1" t="s">
        <v>1379</v>
      </c>
      <c r="F2291" s="1" t="s">
        <v>176</v>
      </c>
      <c r="G2291" s="1" t="s">
        <v>177</v>
      </c>
      <c r="H2291" s="1" t="s">
        <v>22</v>
      </c>
      <c r="I2291" s="1" t="s">
        <v>23</v>
      </c>
      <c r="L2291" s="1">
        <v>39.370078740157467</v>
      </c>
      <c r="M2291" s="1">
        <v>4.9999999999999982</v>
      </c>
      <c r="N2291" s="1">
        <v>4.9999999999999982</v>
      </c>
      <c r="O2291" s="11"/>
      <c r="P2291" s="11"/>
      <c r="Q2291" s="11"/>
      <c r="R2291" s="11"/>
    </row>
    <row r="2292" spans="4:18">
      <c r="D2292" s="1" t="s">
        <v>1014</v>
      </c>
      <c r="E2292" s="1" t="s">
        <v>1380</v>
      </c>
      <c r="F2292" s="1" t="s">
        <v>1044</v>
      </c>
      <c r="G2292" s="1" t="s">
        <v>1045</v>
      </c>
      <c r="H2292" s="1" t="s">
        <v>22</v>
      </c>
      <c r="I2292" s="1" t="s">
        <v>23</v>
      </c>
      <c r="L2292" s="1">
        <v>57.29577951308238</v>
      </c>
      <c r="M2292" s="1">
        <v>30.000070153049933</v>
      </c>
      <c r="N2292" s="1">
        <v>30.000070153049933</v>
      </c>
      <c r="O2292" s="11"/>
      <c r="P2292" s="11"/>
      <c r="Q2292" s="11"/>
      <c r="R2292" s="11"/>
    </row>
    <row r="2293" spans="4:18">
      <c r="D2293" s="1" t="s">
        <v>1014</v>
      </c>
      <c r="E2293" s="1" t="s">
        <v>1381</v>
      </c>
      <c r="F2293" s="1" t="s">
        <v>176</v>
      </c>
      <c r="G2293" s="1" t="s">
        <v>177</v>
      </c>
      <c r="H2293" s="1" t="s">
        <v>22</v>
      </c>
      <c r="I2293" s="1" t="s">
        <v>23</v>
      </c>
      <c r="L2293" s="1">
        <v>39.370078740157467</v>
      </c>
      <c r="M2293" s="1">
        <v>2.8110236220472435</v>
      </c>
      <c r="N2293" s="1">
        <v>2.8110236220472435</v>
      </c>
      <c r="O2293" s="11"/>
      <c r="P2293" s="11"/>
      <c r="Q2293" s="11"/>
      <c r="R2293" s="11"/>
    </row>
    <row r="2294" spans="4:18">
      <c r="D2294" s="1" t="s">
        <v>1014</v>
      </c>
      <c r="E2294" s="1" t="s">
        <v>1382</v>
      </c>
      <c r="H2294" s="1" t="s">
        <v>22</v>
      </c>
      <c r="I2294" s="1" t="s">
        <v>23</v>
      </c>
      <c r="L2294" s="1">
        <v>1</v>
      </c>
      <c r="M2294" s="1">
        <v>16.425000000000001</v>
      </c>
      <c r="N2294" s="1">
        <v>16.425000000000001</v>
      </c>
      <c r="O2294" s="11"/>
      <c r="P2294" s="11"/>
      <c r="Q2294" s="11"/>
      <c r="R2294" s="11"/>
    </row>
    <row r="2295" spans="4:18">
      <c r="D2295" s="1" t="s">
        <v>1014</v>
      </c>
      <c r="E2295" s="1" t="s">
        <v>1383</v>
      </c>
      <c r="H2295" s="1" t="s">
        <v>22</v>
      </c>
      <c r="I2295" s="1" t="s">
        <v>23</v>
      </c>
      <c r="L2295" s="1">
        <v>1</v>
      </c>
      <c r="M2295" s="1">
        <v>-0.51</v>
      </c>
      <c r="N2295" s="1">
        <v>-0.51</v>
      </c>
      <c r="O2295" s="11"/>
      <c r="P2295" s="11"/>
      <c r="Q2295" s="11"/>
      <c r="R2295" s="11"/>
    </row>
    <row r="2296" spans="4:18">
      <c r="D2296" s="1" t="s">
        <v>1014</v>
      </c>
      <c r="E2296" s="1" t="s">
        <v>1384</v>
      </c>
      <c r="F2296" s="1" t="s">
        <v>176</v>
      </c>
      <c r="G2296" s="1" t="s">
        <v>177</v>
      </c>
      <c r="H2296" s="1" t="s">
        <v>22</v>
      </c>
      <c r="I2296" s="1" t="s">
        <v>23</v>
      </c>
      <c r="L2296" s="1">
        <v>39.370078740157467</v>
      </c>
      <c r="M2296" s="1">
        <v>17.204724409448811</v>
      </c>
      <c r="N2296" s="1">
        <v>17.204724409448811</v>
      </c>
      <c r="O2296" s="11"/>
      <c r="P2296" s="11"/>
      <c r="Q2296" s="11"/>
      <c r="R2296" s="11"/>
    </row>
    <row r="2297" spans="4:18">
      <c r="D2297" s="1" t="s">
        <v>1014</v>
      </c>
      <c r="E2297" s="1" t="s">
        <v>1385</v>
      </c>
      <c r="F2297" s="1" t="s">
        <v>176</v>
      </c>
      <c r="G2297" s="1" t="s">
        <v>177</v>
      </c>
      <c r="H2297" s="1" t="s">
        <v>22</v>
      </c>
      <c r="I2297" s="1" t="s">
        <v>23</v>
      </c>
      <c r="L2297" s="1">
        <v>39.370078740157467</v>
      </c>
      <c r="M2297" s="1">
        <v>13.228346456692909</v>
      </c>
      <c r="N2297" s="1">
        <v>13.228346456692909</v>
      </c>
      <c r="O2297" s="11"/>
      <c r="P2297" s="11"/>
      <c r="Q2297" s="11"/>
      <c r="R2297" s="11"/>
    </row>
    <row r="2298" spans="4:18">
      <c r="D2298" s="1" t="s">
        <v>1014</v>
      </c>
      <c r="E2298" s="1" t="s">
        <v>1386</v>
      </c>
      <c r="F2298" s="1" t="s">
        <v>176</v>
      </c>
      <c r="G2298" s="1" t="s">
        <v>177</v>
      </c>
      <c r="H2298" s="1" t="s">
        <v>22</v>
      </c>
      <c r="I2298" s="1" t="s">
        <v>23</v>
      </c>
      <c r="J2298" s="1">
        <v>3.9370078740157466E-2</v>
      </c>
      <c r="L2298" s="1">
        <v>39.370078740157467</v>
      </c>
      <c r="M2298" s="1">
        <v>25.078740157480308</v>
      </c>
      <c r="N2298" s="1">
        <v>25.078740157480308</v>
      </c>
      <c r="O2298" s="11"/>
      <c r="P2298" s="11"/>
      <c r="Q2298" s="11"/>
      <c r="R2298" s="11"/>
    </row>
    <row r="2299" spans="4:18">
      <c r="D2299" s="1" t="s">
        <v>1014</v>
      </c>
      <c r="E2299" s="1" t="s">
        <v>1387</v>
      </c>
      <c r="F2299" s="1" t="s">
        <v>176</v>
      </c>
      <c r="G2299" s="1" t="s">
        <v>177</v>
      </c>
      <c r="H2299" s="1" t="s">
        <v>22</v>
      </c>
      <c r="I2299" s="1" t="s">
        <v>23</v>
      </c>
      <c r="J2299" s="1">
        <v>0</v>
      </c>
      <c r="L2299" s="1">
        <v>39.370078740157467</v>
      </c>
      <c r="M2299" s="1">
        <v>5.3937007874015732</v>
      </c>
      <c r="N2299" s="1">
        <v>5.3937007874015732</v>
      </c>
      <c r="O2299" s="11"/>
      <c r="P2299" s="11"/>
      <c r="Q2299" s="11"/>
      <c r="R2299" s="11"/>
    </row>
    <row r="2300" spans="4:18">
      <c r="D2300" s="1" t="s">
        <v>1014</v>
      </c>
      <c r="E2300" s="1" t="s">
        <v>1388</v>
      </c>
      <c r="H2300" s="1" t="s">
        <v>25</v>
      </c>
      <c r="I2300" s="1" t="s">
        <v>23</v>
      </c>
      <c r="M2300" s="1" t="b">
        <v>1</v>
      </c>
      <c r="N2300" s="1">
        <v>1</v>
      </c>
      <c r="O2300" s="11"/>
      <c r="P2300" s="11"/>
      <c r="Q2300" s="11"/>
      <c r="R2300" s="11"/>
    </row>
    <row r="2301" spans="4:18">
      <c r="D2301" s="1" t="s">
        <v>1014</v>
      </c>
      <c r="E2301" s="1" t="s">
        <v>1389</v>
      </c>
      <c r="H2301" s="1" t="s">
        <v>25</v>
      </c>
      <c r="I2301" s="1" t="s">
        <v>23</v>
      </c>
      <c r="M2301" s="1" t="b">
        <v>1</v>
      </c>
      <c r="N2301" s="1">
        <v>1</v>
      </c>
      <c r="O2301" s="11"/>
      <c r="P2301" s="11"/>
      <c r="Q2301" s="11"/>
      <c r="R2301" s="11"/>
    </row>
    <row r="2302" spans="4:18">
      <c r="D2302" s="1" t="s">
        <v>1014</v>
      </c>
      <c r="E2302" s="1" t="s">
        <v>1390</v>
      </c>
      <c r="F2302" s="1" t="s">
        <v>176</v>
      </c>
      <c r="G2302" s="1" t="s">
        <v>177</v>
      </c>
      <c r="H2302" s="1" t="s">
        <v>22</v>
      </c>
      <c r="I2302" s="1" t="s">
        <v>23</v>
      </c>
      <c r="L2302" s="1">
        <v>39.370078740157467</v>
      </c>
      <c r="M2302" s="1">
        <v>8.4645669291338557</v>
      </c>
      <c r="N2302" s="1">
        <v>8.4645669291338557</v>
      </c>
      <c r="O2302" s="11"/>
      <c r="P2302" s="11"/>
      <c r="Q2302" s="11"/>
      <c r="R2302" s="11"/>
    </row>
    <row r="2303" spans="4:18">
      <c r="D2303" s="1" t="s">
        <v>1014</v>
      </c>
      <c r="E2303" s="1" t="s">
        <v>1391</v>
      </c>
      <c r="F2303" s="1" t="s">
        <v>176</v>
      </c>
      <c r="G2303" s="1" t="s">
        <v>177</v>
      </c>
      <c r="H2303" s="1" t="s">
        <v>22</v>
      </c>
      <c r="I2303" s="1" t="s">
        <v>23</v>
      </c>
      <c r="L2303" s="1">
        <v>39.370078740157467</v>
      </c>
      <c r="M2303" s="1">
        <v>4.094488188976376</v>
      </c>
      <c r="N2303" s="1">
        <v>4.094488188976376</v>
      </c>
      <c r="O2303" s="11"/>
      <c r="P2303" s="11"/>
      <c r="Q2303" s="11"/>
      <c r="R2303" s="11"/>
    </row>
    <row r="2304" spans="4:18">
      <c r="D2304" s="1" t="s">
        <v>1014</v>
      </c>
      <c r="E2304" s="1" t="s">
        <v>1392</v>
      </c>
      <c r="F2304" s="1" t="s">
        <v>176</v>
      </c>
      <c r="G2304" s="1" t="s">
        <v>177</v>
      </c>
      <c r="H2304" s="1" t="s">
        <v>22</v>
      </c>
      <c r="I2304" s="1" t="s">
        <v>23</v>
      </c>
      <c r="L2304" s="1">
        <v>39.370078740157467</v>
      </c>
      <c r="M2304" s="1">
        <v>2.2499999999999991</v>
      </c>
      <c r="N2304" s="1">
        <v>2.2499999999999991</v>
      </c>
      <c r="O2304" s="11"/>
      <c r="P2304" s="11"/>
      <c r="Q2304" s="11"/>
      <c r="R2304" s="11"/>
    </row>
    <row r="2305" spans="1:18">
      <c r="D2305" s="1" t="s">
        <v>1014</v>
      </c>
      <c r="E2305" s="1" t="s">
        <v>1393</v>
      </c>
      <c r="H2305" s="1" t="s">
        <v>63</v>
      </c>
      <c r="I2305" s="1" t="s">
        <v>23</v>
      </c>
      <c r="M2305" s="1">
        <v>1000</v>
      </c>
      <c r="N2305" s="1">
        <v>1000</v>
      </c>
      <c r="O2305" s="11"/>
      <c r="P2305" s="11"/>
      <c r="Q2305" s="11"/>
      <c r="R2305" s="11"/>
    </row>
    <row r="2306" spans="1:18">
      <c r="D2306" s="1" t="s">
        <v>1014</v>
      </c>
      <c r="E2306" s="1" t="s">
        <v>1394</v>
      </c>
      <c r="H2306" s="1" t="s">
        <v>181</v>
      </c>
      <c r="I2306" s="1" t="s">
        <v>23</v>
      </c>
      <c r="J2306" s="1">
        <v>1</v>
      </c>
      <c r="K2306" s="1">
        <v>2</v>
      </c>
      <c r="M2306" s="1" t="s">
        <v>1395</v>
      </c>
      <c r="N2306" s="1" t="s">
        <v>1823</v>
      </c>
      <c r="O2306" s="11"/>
      <c r="P2306" s="11"/>
      <c r="Q2306" s="11"/>
      <c r="R2306" s="11"/>
    </row>
    <row r="2307" spans="1:18">
      <c r="D2307" s="1" t="s">
        <v>1014</v>
      </c>
      <c r="E2307" s="1" t="s">
        <v>1396</v>
      </c>
      <c r="H2307" s="1" t="s">
        <v>22</v>
      </c>
      <c r="I2307" s="1" t="s">
        <v>23</v>
      </c>
      <c r="J2307" s="1">
        <v>0</v>
      </c>
      <c r="K2307" s="1">
        <v>2</v>
      </c>
      <c r="L2307" s="1">
        <v>1</v>
      </c>
      <c r="M2307" s="1">
        <v>0.7</v>
      </c>
      <c r="N2307" s="1">
        <v>0.7</v>
      </c>
      <c r="O2307" s="11"/>
      <c r="P2307" s="11"/>
      <c r="Q2307" s="11"/>
      <c r="R2307" s="11"/>
    </row>
    <row r="2308" spans="1:18">
      <c r="D2308" s="1" t="s">
        <v>1014</v>
      </c>
      <c r="E2308" s="1" t="s">
        <v>1397</v>
      </c>
      <c r="H2308" s="1" t="s">
        <v>22</v>
      </c>
      <c r="I2308" s="1" t="s">
        <v>23</v>
      </c>
      <c r="J2308" s="1">
        <v>0.5</v>
      </c>
      <c r="K2308" s="1">
        <v>2</v>
      </c>
      <c r="L2308" s="1">
        <v>1</v>
      </c>
      <c r="M2308" s="1">
        <v>1</v>
      </c>
      <c r="N2308" s="1">
        <v>1</v>
      </c>
      <c r="O2308" s="11"/>
      <c r="P2308" s="11"/>
      <c r="Q2308" s="11"/>
      <c r="R2308" s="11"/>
    </row>
    <row r="2309" spans="1:18">
      <c r="D2309" s="1" t="s">
        <v>1398</v>
      </c>
      <c r="H2309" s="1" t="s">
        <v>25</v>
      </c>
      <c r="I2309" s="1" t="s">
        <v>23</v>
      </c>
      <c r="M2309" s="1" t="b">
        <v>0</v>
      </c>
      <c r="N2309" s="1">
        <v>0</v>
      </c>
      <c r="O2309" s="11"/>
      <c r="P2309" s="11"/>
      <c r="Q2309" s="11"/>
      <c r="R2309" s="11"/>
    </row>
    <row r="2310" spans="1:18">
      <c r="D2310" s="1" t="s">
        <v>1399</v>
      </c>
      <c r="H2310" s="1" t="s">
        <v>22</v>
      </c>
      <c r="I2310" s="1" t="s">
        <v>23</v>
      </c>
      <c r="L2310" s="1">
        <v>1</v>
      </c>
      <c r="M2310" s="1">
        <v>1</v>
      </c>
      <c r="N2310" s="1">
        <v>1</v>
      </c>
      <c r="O2310" s="11"/>
      <c r="P2310" s="11"/>
      <c r="Q2310" s="11"/>
      <c r="R2310" s="11"/>
    </row>
    <row r="2311" spans="1:18">
      <c r="D2311" s="1" t="s">
        <v>1400</v>
      </c>
      <c r="E2311" s="1" t="s">
        <v>1401</v>
      </c>
      <c r="H2311" s="1" t="s">
        <v>181</v>
      </c>
      <c r="I2311" s="1" t="s">
        <v>23</v>
      </c>
      <c r="J2311" s="1">
        <v>1</v>
      </c>
      <c r="K2311" s="1">
        <v>2</v>
      </c>
      <c r="M2311" s="1" t="s">
        <v>1402</v>
      </c>
      <c r="N2311" s="1" t="s">
        <v>1824</v>
      </c>
      <c r="O2311" s="11"/>
      <c r="P2311" s="11"/>
      <c r="Q2311" s="11"/>
      <c r="R2311" s="11"/>
    </row>
    <row r="2312" spans="1:18">
      <c r="D2312" s="1" t="s">
        <v>1400</v>
      </c>
      <c r="E2312" s="1" t="s">
        <v>1017</v>
      </c>
      <c r="F2312" s="1" t="s">
        <v>41</v>
      </c>
      <c r="G2312" s="1" t="s">
        <v>42</v>
      </c>
      <c r="H2312" s="1" t="s">
        <v>22</v>
      </c>
      <c r="I2312" s="1" t="s">
        <v>23</v>
      </c>
      <c r="J2312" s="1">
        <v>1.8000000000000002E-2</v>
      </c>
      <c r="K2312" s="1">
        <v>27</v>
      </c>
      <c r="L2312" s="1">
        <v>1.8</v>
      </c>
      <c r="M2312" s="1">
        <v>0.9</v>
      </c>
      <c r="N2312" s="1">
        <v>0.9</v>
      </c>
      <c r="O2312" s="11"/>
      <c r="P2312" s="11"/>
      <c r="Q2312" s="11"/>
      <c r="R2312" s="11"/>
    </row>
    <row r="2313" spans="1:18">
      <c r="D2313" s="1" t="s">
        <v>1400</v>
      </c>
      <c r="E2313" s="1" t="s">
        <v>1018</v>
      </c>
      <c r="H2313" s="1" t="s">
        <v>25</v>
      </c>
      <c r="I2313" s="1" t="s">
        <v>23</v>
      </c>
      <c r="M2313" s="1" t="b">
        <v>0</v>
      </c>
      <c r="N2313" s="1">
        <v>0</v>
      </c>
      <c r="O2313" s="11"/>
      <c r="P2313" s="11"/>
      <c r="Q2313" s="11"/>
      <c r="R2313" s="11"/>
    </row>
    <row r="2314" spans="1:18">
      <c r="D2314" s="1" t="s">
        <v>1400</v>
      </c>
      <c r="E2314" s="1" t="s">
        <v>1019</v>
      </c>
      <c r="F2314" s="1" t="s">
        <v>41</v>
      </c>
      <c r="G2314" s="1" t="s">
        <v>42</v>
      </c>
      <c r="H2314" s="1" t="s">
        <v>22</v>
      </c>
      <c r="I2314" s="1" t="s">
        <v>23</v>
      </c>
      <c r="L2314" s="1">
        <v>1.8</v>
      </c>
      <c r="M2314" s="1">
        <v>0.9</v>
      </c>
      <c r="N2314" s="1">
        <v>0.9</v>
      </c>
      <c r="O2314" s="11"/>
      <c r="P2314" s="11"/>
      <c r="Q2314" s="11"/>
      <c r="R2314" s="11"/>
    </row>
    <row r="2315" spans="1:18">
      <c r="A2315" s="2" t="s">
        <v>1722</v>
      </c>
      <c r="B2315" s="3" t="s">
        <v>1739</v>
      </c>
      <c r="D2315" s="1" t="s">
        <v>1400</v>
      </c>
      <c r="E2315" s="1" t="s">
        <v>1022</v>
      </c>
      <c r="F2315" s="1" t="s">
        <v>143</v>
      </c>
      <c r="G2315" s="1" t="s">
        <v>144</v>
      </c>
      <c r="H2315" s="1" t="s">
        <v>22</v>
      </c>
      <c r="I2315" s="1" t="s">
        <v>23</v>
      </c>
      <c r="J2315" s="1">
        <v>0</v>
      </c>
      <c r="K2315" s="1">
        <v>9.9937434836636016E-3</v>
      </c>
      <c r="L2315" s="1">
        <v>5.6782633429906824</v>
      </c>
      <c r="M2315" s="1">
        <v>9.993743483663602E-5</v>
      </c>
      <c r="N2315" s="1">
        <v>9.993743483663602E-5</v>
      </c>
      <c r="O2315" s="11"/>
      <c r="P2315" s="11"/>
      <c r="Q2315" s="11"/>
      <c r="R2315" s="11"/>
    </row>
    <row r="2316" spans="1:18">
      <c r="D2316" s="1" t="s">
        <v>1400</v>
      </c>
      <c r="E2316" s="1" t="s">
        <v>163</v>
      </c>
      <c r="H2316" s="1" t="s">
        <v>22</v>
      </c>
      <c r="I2316" s="1" t="s">
        <v>23</v>
      </c>
      <c r="J2316" s="1">
        <v>0</v>
      </c>
      <c r="K2316" s="1">
        <v>1</v>
      </c>
      <c r="L2316" s="1">
        <v>0.1</v>
      </c>
      <c r="M2316" s="1">
        <v>0.2</v>
      </c>
      <c r="N2316" s="1">
        <v>0.2</v>
      </c>
      <c r="O2316" s="11"/>
      <c r="P2316" s="11"/>
      <c r="Q2316" s="11"/>
      <c r="R2316" s="11"/>
    </row>
    <row r="2317" spans="1:18">
      <c r="D2317" s="1" t="s">
        <v>1400</v>
      </c>
      <c r="E2317" s="1" t="s">
        <v>1403</v>
      </c>
      <c r="H2317" s="1" t="s">
        <v>22</v>
      </c>
      <c r="I2317" s="1" t="s">
        <v>23</v>
      </c>
      <c r="J2317" s="1">
        <v>0.5</v>
      </c>
      <c r="K2317" s="1">
        <v>2</v>
      </c>
      <c r="L2317" s="1">
        <v>1</v>
      </c>
      <c r="M2317" s="1">
        <v>1</v>
      </c>
      <c r="N2317" s="1">
        <v>1</v>
      </c>
      <c r="O2317" s="11"/>
      <c r="P2317" s="11"/>
      <c r="Q2317" s="11"/>
      <c r="R2317" s="11"/>
    </row>
    <row r="2318" spans="1:18">
      <c r="D2318" s="1" t="s">
        <v>1400</v>
      </c>
      <c r="E2318" s="1" t="s">
        <v>1404</v>
      </c>
      <c r="H2318" s="1" t="s">
        <v>25</v>
      </c>
      <c r="I2318" s="1" t="s">
        <v>23</v>
      </c>
      <c r="M2318" s="1" t="b">
        <v>1</v>
      </c>
      <c r="N2318" s="1">
        <v>1</v>
      </c>
      <c r="O2318" s="11"/>
      <c r="P2318" s="11"/>
      <c r="Q2318" s="11"/>
      <c r="R2318" s="11"/>
    </row>
    <row r="2319" spans="1:18">
      <c r="D2319" s="1" t="s">
        <v>1400</v>
      </c>
      <c r="E2319" s="1" t="s">
        <v>1405</v>
      </c>
      <c r="H2319" s="1" t="s">
        <v>22</v>
      </c>
      <c r="I2319" s="1" t="s">
        <v>23</v>
      </c>
      <c r="J2319" s="1">
        <v>0.5</v>
      </c>
      <c r="K2319" s="1">
        <v>2</v>
      </c>
      <c r="L2319" s="1">
        <v>1</v>
      </c>
      <c r="M2319" s="1">
        <v>1</v>
      </c>
      <c r="N2319" s="1">
        <v>1</v>
      </c>
      <c r="O2319" s="11"/>
      <c r="P2319" s="11"/>
      <c r="Q2319" s="11"/>
      <c r="R2319" s="11"/>
    </row>
    <row r="2320" spans="1:18">
      <c r="D2320" s="1" t="s">
        <v>1400</v>
      </c>
      <c r="E2320" s="1" t="s">
        <v>1406</v>
      </c>
      <c r="H2320" s="1" t="s">
        <v>25</v>
      </c>
      <c r="I2320" s="1" t="s">
        <v>23</v>
      </c>
      <c r="M2320" s="1" t="b">
        <v>1</v>
      </c>
      <c r="N2320" s="1">
        <v>1</v>
      </c>
      <c r="O2320" s="11"/>
      <c r="P2320" s="11"/>
      <c r="Q2320" s="11"/>
      <c r="R2320" s="11"/>
    </row>
    <row r="2321" spans="4:18">
      <c r="D2321" s="1" t="s">
        <v>1400</v>
      </c>
      <c r="E2321" s="1" t="s">
        <v>1030</v>
      </c>
      <c r="H2321" s="1" t="s">
        <v>22</v>
      </c>
      <c r="I2321" s="1" t="s">
        <v>23</v>
      </c>
      <c r="J2321" s="1">
        <v>0.5</v>
      </c>
      <c r="K2321" s="1">
        <v>2</v>
      </c>
      <c r="L2321" s="1">
        <v>1</v>
      </c>
      <c r="M2321" s="1">
        <v>1</v>
      </c>
      <c r="N2321" s="1">
        <v>1</v>
      </c>
      <c r="O2321" s="11"/>
      <c r="P2321" s="11"/>
      <c r="Q2321" s="11"/>
      <c r="R2321" s="11"/>
    </row>
    <row r="2322" spans="4:18">
      <c r="D2322" s="1" t="s">
        <v>1400</v>
      </c>
      <c r="E2322" s="1" t="s">
        <v>1031</v>
      </c>
      <c r="H2322" s="1" t="s">
        <v>25</v>
      </c>
      <c r="I2322" s="1" t="s">
        <v>23</v>
      </c>
      <c r="M2322" s="1" t="b">
        <v>1</v>
      </c>
      <c r="N2322" s="1">
        <v>1</v>
      </c>
      <c r="O2322" s="11"/>
      <c r="P2322" s="11"/>
      <c r="Q2322" s="11"/>
      <c r="R2322" s="11"/>
    </row>
    <row r="2323" spans="4:18">
      <c r="D2323" s="1" t="s">
        <v>1400</v>
      </c>
      <c r="E2323" s="1" t="s">
        <v>1407</v>
      </c>
      <c r="H2323" s="1" t="s">
        <v>22</v>
      </c>
      <c r="I2323" s="1" t="s">
        <v>23</v>
      </c>
      <c r="J2323" s="1">
        <v>0.5</v>
      </c>
      <c r="K2323" s="1">
        <v>2</v>
      </c>
      <c r="L2323" s="1">
        <v>1</v>
      </c>
      <c r="M2323" s="1">
        <v>1</v>
      </c>
      <c r="N2323" s="1">
        <v>1</v>
      </c>
      <c r="O2323" s="11"/>
      <c r="P2323" s="11"/>
      <c r="Q2323" s="11"/>
      <c r="R2323" s="11"/>
    </row>
    <row r="2324" spans="4:18">
      <c r="D2324" s="1" t="s">
        <v>1400</v>
      </c>
      <c r="E2324" s="1" t="s">
        <v>1408</v>
      </c>
      <c r="H2324" s="1" t="s">
        <v>25</v>
      </c>
      <c r="I2324" s="1" t="s">
        <v>23</v>
      </c>
      <c r="M2324" s="1" t="b">
        <v>1</v>
      </c>
      <c r="N2324" s="1">
        <v>1</v>
      </c>
      <c r="O2324" s="11"/>
      <c r="P2324" s="11"/>
      <c r="Q2324" s="11"/>
      <c r="R2324" s="11"/>
    </row>
    <row r="2325" spans="4:18">
      <c r="D2325" s="1" t="s">
        <v>1400</v>
      </c>
      <c r="E2325" s="1" t="s">
        <v>1036</v>
      </c>
      <c r="H2325" s="1" t="s">
        <v>22</v>
      </c>
      <c r="I2325" s="1" t="s">
        <v>23</v>
      </c>
      <c r="J2325" s="1">
        <v>0.5</v>
      </c>
      <c r="K2325" s="1">
        <v>2</v>
      </c>
      <c r="L2325" s="1">
        <v>1</v>
      </c>
      <c r="M2325" s="1">
        <v>1</v>
      </c>
      <c r="N2325" s="1">
        <v>1</v>
      </c>
      <c r="O2325" s="11"/>
      <c r="P2325" s="11"/>
      <c r="Q2325" s="11"/>
      <c r="R2325" s="11"/>
    </row>
    <row r="2326" spans="4:18">
      <c r="D2326" s="1" t="s">
        <v>1400</v>
      </c>
      <c r="E2326" s="1" t="s">
        <v>1037</v>
      </c>
      <c r="H2326" s="1" t="s">
        <v>25</v>
      </c>
      <c r="I2326" s="1" t="s">
        <v>23</v>
      </c>
      <c r="M2326" s="1" t="b">
        <v>1</v>
      </c>
      <c r="N2326" s="1">
        <v>1</v>
      </c>
      <c r="O2326" s="11"/>
      <c r="P2326" s="11"/>
      <c r="Q2326" s="11"/>
      <c r="R2326" s="11"/>
    </row>
    <row r="2327" spans="4:18">
      <c r="D2327" s="1" t="s">
        <v>1400</v>
      </c>
      <c r="E2327" s="1" t="s">
        <v>1409</v>
      </c>
      <c r="H2327" s="1" t="s">
        <v>22</v>
      </c>
      <c r="I2327" s="1" t="s">
        <v>23</v>
      </c>
      <c r="J2327" s="1">
        <v>0.5</v>
      </c>
      <c r="K2327" s="1">
        <v>2</v>
      </c>
      <c r="L2327" s="1">
        <v>1</v>
      </c>
      <c r="M2327" s="1">
        <v>1</v>
      </c>
      <c r="N2327" s="1">
        <v>1</v>
      </c>
      <c r="O2327" s="11"/>
      <c r="P2327" s="11"/>
      <c r="Q2327" s="11"/>
      <c r="R2327" s="11"/>
    </row>
    <row r="2328" spans="4:18">
      <c r="D2328" s="1" t="s">
        <v>1400</v>
      </c>
      <c r="E2328" s="1" t="s">
        <v>1410</v>
      </c>
      <c r="H2328" s="1" t="s">
        <v>25</v>
      </c>
      <c r="I2328" s="1" t="s">
        <v>23</v>
      </c>
      <c r="M2328" s="1" t="b">
        <v>1</v>
      </c>
      <c r="N2328" s="1">
        <v>1</v>
      </c>
      <c r="O2328" s="11"/>
      <c r="P2328" s="11"/>
      <c r="Q2328" s="11"/>
      <c r="R2328" s="11"/>
    </row>
    <row r="2329" spans="4:18">
      <c r="D2329" s="1" t="s">
        <v>1400</v>
      </c>
      <c r="E2329" s="1" t="s">
        <v>1038</v>
      </c>
      <c r="H2329" s="1" t="s">
        <v>22</v>
      </c>
      <c r="I2329" s="1" t="s">
        <v>23</v>
      </c>
      <c r="J2329" s="1">
        <v>0.5</v>
      </c>
      <c r="K2329" s="1">
        <v>2</v>
      </c>
      <c r="L2329" s="1">
        <v>1</v>
      </c>
      <c r="M2329" s="1">
        <v>1</v>
      </c>
      <c r="N2329" s="1">
        <v>1</v>
      </c>
      <c r="O2329" s="11"/>
      <c r="P2329" s="11"/>
      <c r="Q2329" s="11"/>
      <c r="R2329" s="11"/>
    </row>
    <row r="2330" spans="4:18">
      <c r="D2330" s="1" t="s">
        <v>1400</v>
      </c>
      <c r="E2330" s="1" t="s">
        <v>1411</v>
      </c>
      <c r="H2330" s="1" t="s">
        <v>22</v>
      </c>
      <c r="I2330" s="1" t="s">
        <v>23</v>
      </c>
      <c r="J2330" s="1">
        <v>0.5</v>
      </c>
      <c r="K2330" s="1">
        <v>2</v>
      </c>
      <c r="L2330" s="1">
        <v>1</v>
      </c>
      <c r="M2330" s="1">
        <v>1</v>
      </c>
      <c r="N2330" s="1">
        <v>1</v>
      </c>
      <c r="O2330" s="11"/>
      <c r="P2330" s="11"/>
      <c r="Q2330" s="11"/>
      <c r="R2330" s="11"/>
    </row>
    <row r="2331" spans="4:18">
      <c r="D2331" s="1" t="s">
        <v>1400</v>
      </c>
      <c r="E2331" s="1" t="s">
        <v>1412</v>
      </c>
      <c r="H2331" s="1" t="s">
        <v>25</v>
      </c>
      <c r="I2331" s="1" t="s">
        <v>23</v>
      </c>
      <c r="M2331" s="1" t="b">
        <v>1</v>
      </c>
      <c r="N2331" s="1">
        <v>1</v>
      </c>
      <c r="O2331" s="11"/>
      <c r="P2331" s="11"/>
      <c r="Q2331" s="11"/>
      <c r="R2331" s="11"/>
    </row>
    <row r="2332" spans="4:18">
      <c r="D2332" s="1" t="s">
        <v>1400</v>
      </c>
      <c r="E2332" s="1" t="s">
        <v>1413</v>
      </c>
      <c r="H2332" s="1" t="s">
        <v>22</v>
      </c>
      <c r="I2332" s="1" t="s">
        <v>29</v>
      </c>
      <c r="J2332" s="1">
        <v>0.1</v>
      </c>
      <c r="K2332" s="1">
        <v>10</v>
      </c>
      <c r="L2332" s="1">
        <v>5.05</v>
      </c>
      <c r="N2332" s="1">
        <v>1</v>
      </c>
      <c r="O2332" s="11"/>
      <c r="P2332" s="11"/>
      <c r="Q2332" s="11"/>
      <c r="R2332" s="11"/>
    </row>
    <row r="2333" spans="4:18">
      <c r="D2333" s="1" t="s">
        <v>1400</v>
      </c>
      <c r="E2333" s="1" t="s">
        <v>1414</v>
      </c>
      <c r="H2333" s="1" t="s">
        <v>22</v>
      </c>
      <c r="I2333" s="1" t="s">
        <v>29</v>
      </c>
      <c r="J2333" s="1">
        <v>0.1</v>
      </c>
      <c r="K2333" s="1">
        <v>10</v>
      </c>
      <c r="L2333" s="1">
        <v>5.05</v>
      </c>
      <c r="N2333" s="1">
        <v>0.82795309609654921</v>
      </c>
      <c r="O2333" s="11"/>
      <c r="P2333" s="11"/>
      <c r="Q2333" s="11"/>
      <c r="R2333" s="11"/>
    </row>
    <row r="2334" spans="4:18">
      <c r="D2334" s="1" t="s">
        <v>1400</v>
      </c>
      <c r="E2334" s="1" t="s">
        <v>1049</v>
      </c>
      <c r="H2334" s="1" t="s">
        <v>22</v>
      </c>
      <c r="I2334" s="1" t="s">
        <v>29</v>
      </c>
      <c r="J2334" s="1">
        <v>0.1</v>
      </c>
      <c r="K2334" s="1">
        <v>10</v>
      </c>
      <c r="L2334" s="1">
        <v>5.05</v>
      </c>
      <c r="N2334" s="1">
        <v>1</v>
      </c>
      <c r="O2334" s="11"/>
      <c r="P2334" s="11"/>
      <c r="Q2334" s="11"/>
      <c r="R2334" s="11"/>
    </row>
    <row r="2335" spans="4:18">
      <c r="D2335" s="1" t="s">
        <v>1400</v>
      </c>
      <c r="E2335" s="1" t="s">
        <v>1050</v>
      </c>
      <c r="H2335" s="1" t="s">
        <v>22</v>
      </c>
      <c r="I2335" s="1" t="s">
        <v>29</v>
      </c>
      <c r="J2335" s="1">
        <v>0.1</v>
      </c>
      <c r="K2335" s="1">
        <v>10</v>
      </c>
      <c r="L2335" s="1">
        <v>5.05</v>
      </c>
      <c r="N2335" s="1">
        <v>1</v>
      </c>
      <c r="O2335" s="11"/>
      <c r="P2335" s="11"/>
      <c r="Q2335" s="11"/>
      <c r="R2335" s="11"/>
    </row>
    <row r="2336" spans="4:18">
      <c r="D2336" s="1" t="s">
        <v>1400</v>
      </c>
      <c r="E2336" s="1" t="s">
        <v>1052</v>
      </c>
      <c r="H2336" s="1" t="s">
        <v>22</v>
      </c>
      <c r="I2336" s="1" t="s">
        <v>29</v>
      </c>
      <c r="J2336" s="1">
        <v>0.1</v>
      </c>
      <c r="K2336" s="1">
        <v>10</v>
      </c>
      <c r="L2336" s="1">
        <v>5.05</v>
      </c>
      <c r="N2336" s="1">
        <v>1</v>
      </c>
      <c r="O2336" s="11"/>
      <c r="P2336" s="11"/>
      <c r="Q2336" s="11"/>
      <c r="R2336" s="11"/>
    </row>
    <row r="2337" spans="1:18">
      <c r="D2337" s="1" t="s">
        <v>1400</v>
      </c>
      <c r="E2337" s="1" t="s">
        <v>1415</v>
      </c>
      <c r="H2337" s="1" t="s">
        <v>22</v>
      </c>
      <c r="I2337" s="1" t="s">
        <v>29</v>
      </c>
      <c r="J2337" s="1">
        <v>0.1</v>
      </c>
      <c r="K2337" s="1">
        <v>10</v>
      </c>
      <c r="L2337" s="1">
        <v>5.05</v>
      </c>
      <c r="N2337" s="1">
        <v>1</v>
      </c>
      <c r="O2337" s="11"/>
      <c r="P2337" s="11"/>
      <c r="Q2337" s="11"/>
      <c r="R2337" s="11"/>
    </row>
    <row r="2338" spans="1:18">
      <c r="D2338" s="1" t="s">
        <v>1400</v>
      </c>
      <c r="E2338" s="1" t="s">
        <v>1416</v>
      </c>
      <c r="H2338" s="1" t="s">
        <v>22</v>
      </c>
      <c r="I2338" s="1" t="s">
        <v>29</v>
      </c>
      <c r="J2338" s="1">
        <v>0.1</v>
      </c>
      <c r="K2338" s="1">
        <v>10</v>
      </c>
      <c r="L2338" s="1">
        <v>5.05</v>
      </c>
      <c r="N2338" s="1">
        <v>1</v>
      </c>
      <c r="O2338" s="11"/>
      <c r="P2338" s="11"/>
      <c r="Q2338" s="11"/>
      <c r="R2338" s="11"/>
    </row>
    <row r="2339" spans="1:18">
      <c r="A2339" s="2" t="s">
        <v>1722</v>
      </c>
      <c r="B2339" s="3" t="s">
        <v>1740</v>
      </c>
      <c r="D2339" s="1" t="s">
        <v>1400</v>
      </c>
      <c r="E2339" s="1" t="s">
        <v>1054</v>
      </c>
      <c r="F2339" s="1" t="s">
        <v>147</v>
      </c>
      <c r="G2339" s="1" t="s">
        <v>148</v>
      </c>
      <c r="H2339" s="1" t="s">
        <v>22</v>
      </c>
      <c r="I2339" s="1" t="s">
        <v>23</v>
      </c>
      <c r="J2339" s="1">
        <v>0</v>
      </c>
      <c r="K2339" s="1">
        <v>51182124.526996501</v>
      </c>
      <c r="L2339" s="1">
        <v>3.4121416351331</v>
      </c>
      <c r="M2339" s="1">
        <v>12000000.003700001</v>
      </c>
      <c r="N2339" s="1">
        <v>12000000.003700001</v>
      </c>
      <c r="O2339" s="11"/>
      <c r="P2339" s="11"/>
      <c r="Q2339" s="11"/>
      <c r="R2339" s="11"/>
    </row>
    <row r="2340" spans="1:18">
      <c r="D2340" s="1" t="s">
        <v>1400</v>
      </c>
      <c r="E2340" s="1" t="s">
        <v>1055</v>
      </c>
      <c r="H2340" s="1" t="s">
        <v>25</v>
      </c>
      <c r="I2340" s="1" t="s">
        <v>23</v>
      </c>
      <c r="M2340" s="1" t="b">
        <v>1</v>
      </c>
      <c r="N2340" s="1">
        <v>1</v>
      </c>
      <c r="O2340" s="11"/>
      <c r="P2340" s="11"/>
      <c r="Q2340" s="11"/>
      <c r="R2340" s="11"/>
    </row>
    <row r="2341" spans="1:18">
      <c r="D2341" s="1" t="s">
        <v>1400</v>
      </c>
      <c r="E2341" s="1" t="s">
        <v>1417</v>
      </c>
      <c r="H2341" s="1" t="s">
        <v>22</v>
      </c>
      <c r="I2341" s="1" t="s">
        <v>29</v>
      </c>
      <c r="J2341" s="1">
        <v>0</v>
      </c>
      <c r="K2341" s="1">
        <v>1</v>
      </c>
      <c r="L2341" s="1">
        <v>0.1</v>
      </c>
      <c r="N2341" s="1">
        <v>9.9999999886922451E-3</v>
      </c>
      <c r="O2341" s="11"/>
      <c r="P2341" s="11"/>
      <c r="Q2341" s="11"/>
      <c r="R2341" s="11"/>
    </row>
    <row r="2342" spans="1:18">
      <c r="D2342" s="1" t="s">
        <v>1400</v>
      </c>
      <c r="E2342" s="1" t="s">
        <v>1418</v>
      </c>
      <c r="F2342" s="1" t="s">
        <v>41</v>
      </c>
      <c r="G2342" s="1" t="s">
        <v>42</v>
      </c>
      <c r="H2342" s="1" t="s">
        <v>22</v>
      </c>
      <c r="I2342" s="1" t="s">
        <v>29</v>
      </c>
      <c r="J2342" s="1">
        <v>-180</v>
      </c>
      <c r="K2342" s="1">
        <v>180</v>
      </c>
      <c r="L2342" s="1">
        <v>1.8</v>
      </c>
      <c r="N2342" s="1">
        <v>3.4345505753325281</v>
      </c>
      <c r="O2342" s="11"/>
      <c r="P2342" s="11"/>
      <c r="Q2342" s="11"/>
      <c r="R2342" s="11"/>
    </row>
    <row r="2343" spans="1:18">
      <c r="D2343" s="1" t="s">
        <v>1400</v>
      </c>
      <c r="E2343" s="1" t="s">
        <v>1419</v>
      </c>
      <c r="F2343" s="1" t="s">
        <v>35</v>
      </c>
      <c r="G2343" s="1" t="s">
        <v>36</v>
      </c>
      <c r="H2343" s="1" t="s">
        <v>22</v>
      </c>
      <c r="I2343" s="1" t="s">
        <v>29</v>
      </c>
      <c r="J2343" s="1">
        <v>-31.018000000000029</v>
      </c>
      <c r="K2343" s="1">
        <v>256.99999999999994</v>
      </c>
      <c r="L2343" s="1">
        <v>80.329999999999984</v>
      </c>
      <c r="N2343" s="1">
        <v>53.999999999996305</v>
      </c>
      <c r="O2343" s="11"/>
      <c r="P2343" s="11"/>
      <c r="Q2343" s="11"/>
      <c r="R2343" s="11"/>
    </row>
    <row r="2344" spans="1:18">
      <c r="D2344" s="1" t="s">
        <v>1400</v>
      </c>
      <c r="E2344" s="1" t="s">
        <v>1420</v>
      </c>
      <c r="F2344" s="1" t="s">
        <v>35</v>
      </c>
      <c r="G2344" s="1" t="s">
        <v>36</v>
      </c>
      <c r="H2344" s="1" t="s">
        <v>22</v>
      </c>
      <c r="I2344" s="1" t="s">
        <v>29</v>
      </c>
      <c r="J2344" s="1">
        <v>-31.018000000000029</v>
      </c>
      <c r="K2344" s="1">
        <v>256.99999999999994</v>
      </c>
      <c r="L2344" s="1">
        <v>80.329999999999984</v>
      </c>
      <c r="N2344" s="1">
        <v>46.416310731453336</v>
      </c>
      <c r="O2344" s="11"/>
      <c r="P2344" s="11"/>
      <c r="Q2344" s="11"/>
      <c r="R2344" s="11"/>
    </row>
    <row r="2345" spans="1:18">
      <c r="D2345" s="1" t="s">
        <v>1400</v>
      </c>
      <c r="E2345" s="1" t="s">
        <v>1421</v>
      </c>
      <c r="H2345" s="1" t="s">
        <v>22</v>
      </c>
      <c r="I2345" s="1" t="s">
        <v>29</v>
      </c>
      <c r="J2345" s="1">
        <v>0</v>
      </c>
      <c r="K2345" s="1">
        <v>3.66</v>
      </c>
      <c r="L2345" s="1">
        <v>0.5</v>
      </c>
      <c r="N2345" s="1">
        <v>0.79047333317593438</v>
      </c>
      <c r="O2345" s="11"/>
      <c r="P2345" s="11"/>
      <c r="Q2345" s="11"/>
      <c r="R2345" s="11"/>
    </row>
    <row r="2346" spans="1:18">
      <c r="D2346" s="1" t="s">
        <v>1400</v>
      </c>
      <c r="E2346" s="1" t="s">
        <v>1422</v>
      </c>
      <c r="F2346" s="1" t="s">
        <v>41</v>
      </c>
      <c r="G2346" s="1" t="s">
        <v>42</v>
      </c>
      <c r="H2346" s="1" t="s">
        <v>22</v>
      </c>
      <c r="I2346" s="1" t="s">
        <v>29</v>
      </c>
      <c r="J2346" s="1">
        <v>-180</v>
      </c>
      <c r="K2346" s="1">
        <v>180</v>
      </c>
      <c r="L2346" s="1">
        <v>1.8</v>
      </c>
      <c r="N2346" s="1">
        <v>1.1683383958456479</v>
      </c>
      <c r="O2346" s="11"/>
      <c r="P2346" s="11"/>
      <c r="Q2346" s="11"/>
      <c r="R2346" s="11"/>
    </row>
    <row r="2347" spans="1:18">
      <c r="D2347" s="1" t="s">
        <v>1400</v>
      </c>
      <c r="E2347" s="1" t="s">
        <v>1423</v>
      </c>
      <c r="F2347" s="1" t="s">
        <v>35</v>
      </c>
      <c r="G2347" s="1" t="s">
        <v>36</v>
      </c>
      <c r="H2347" s="1" t="s">
        <v>22</v>
      </c>
      <c r="I2347" s="1" t="s">
        <v>29</v>
      </c>
      <c r="J2347" s="1">
        <v>-31.018000000000029</v>
      </c>
      <c r="K2347" s="1">
        <v>256.99999999999994</v>
      </c>
      <c r="L2347" s="1">
        <v>80.329999999999984</v>
      </c>
      <c r="N2347" s="1">
        <v>46.416593683040389</v>
      </c>
      <c r="O2347" s="11"/>
      <c r="P2347" s="11"/>
      <c r="Q2347" s="11"/>
      <c r="R2347" s="11"/>
    </row>
    <row r="2348" spans="1:18">
      <c r="D2348" s="1" t="s">
        <v>1400</v>
      </c>
      <c r="E2348" s="1" t="s">
        <v>1424</v>
      </c>
      <c r="F2348" s="1" t="s">
        <v>35</v>
      </c>
      <c r="G2348" s="1" t="s">
        <v>36</v>
      </c>
      <c r="H2348" s="1" t="s">
        <v>22</v>
      </c>
      <c r="I2348" s="1" t="s">
        <v>29</v>
      </c>
      <c r="J2348" s="1">
        <v>-31.018000000000029</v>
      </c>
      <c r="K2348" s="1">
        <v>256.99999999999994</v>
      </c>
      <c r="L2348" s="1">
        <v>80.329999999999984</v>
      </c>
      <c r="N2348" s="1">
        <v>43.934669626133598</v>
      </c>
      <c r="O2348" s="11"/>
      <c r="P2348" s="11"/>
      <c r="Q2348" s="11"/>
      <c r="R2348" s="11"/>
    </row>
    <row r="2349" spans="1:18">
      <c r="D2349" s="1" t="s">
        <v>1400</v>
      </c>
      <c r="E2349" s="1" t="s">
        <v>1425</v>
      </c>
      <c r="H2349" s="1" t="s">
        <v>22</v>
      </c>
      <c r="I2349" s="1" t="s">
        <v>29</v>
      </c>
      <c r="J2349" s="1">
        <v>0</v>
      </c>
      <c r="K2349" s="1">
        <v>3.66</v>
      </c>
      <c r="L2349" s="1">
        <v>0.5</v>
      </c>
      <c r="N2349" s="1">
        <v>1</v>
      </c>
      <c r="O2349" s="11"/>
      <c r="P2349" s="11"/>
      <c r="Q2349" s="11"/>
      <c r="R2349" s="11"/>
    </row>
    <row r="2350" spans="1:18">
      <c r="D2350" s="1" t="s">
        <v>1400</v>
      </c>
      <c r="E2350" s="1" t="s">
        <v>1426</v>
      </c>
      <c r="F2350" s="1" t="s">
        <v>41</v>
      </c>
      <c r="G2350" s="1" t="s">
        <v>42</v>
      </c>
      <c r="H2350" s="1" t="s">
        <v>22</v>
      </c>
      <c r="I2350" s="1" t="s">
        <v>29</v>
      </c>
      <c r="J2350" s="1">
        <v>-180</v>
      </c>
      <c r="K2350" s="1">
        <v>180</v>
      </c>
      <c r="L2350" s="1">
        <v>1.8</v>
      </c>
      <c r="N2350" s="1">
        <v>1.3024639885079192E-2</v>
      </c>
      <c r="O2350" s="11"/>
      <c r="P2350" s="11"/>
      <c r="Q2350" s="11"/>
      <c r="R2350" s="11"/>
    </row>
    <row r="2351" spans="1:18">
      <c r="D2351" s="1" t="s">
        <v>1400</v>
      </c>
      <c r="E2351" s="1" t="s">
        <v>1427</v>
      </c>
      <c r="F2351" s="1" t="s">
        <v>35</v>
      </c>
      <c r="G2351" s="1" t="s">
        <v>36</v>
      </c>
      <c r="H2351" s="1" t="s">
        <v>22</v>
      </c>
      <c r="I2351" s="1" t="s">
        <v>29</v>
      </c>
      <c r="J2351" s="1">
        <v>-31.018000000000029</v>
      </c>
      <c r="K2351" s="1">
        <v>256.99999999999994</v>
      </c>
      <c r="L2351" s="1">
        <v>80.329999999999984</v>
      </c>
      <c r="N2351" s="1">
        <v>53.999999999996305</v>
      </c>
      <c r="O2351" s="11"/>
      <c r="P2351" s="11"/>
      <c r="Q2351" s="11"/>
      <c r="R2351" s="11"/>
    </row>
    <row r="2352" spans="1:18">
      <c r="D2352" s="1" t="s">
        <v>1400</v>
      </c>
      <c r="E2352" s="1" t="s">
        <v>1428</v>
      </c>
      <c r="F2352" s="1" t="s">
        <v>35</v>
      </c>
      <c r="G2352" s="1" t="s">
        <v>36</v>
      </c>
      <c r="H2352" s="1" t="s">
        <v>22</v>
      </c>
      <c r="I2352" s="1" t="s">
        <v>29</v>
      </c>
      <c r="J2352" s="1">
        <v>-31.018000000000029</v>
      </c>
      <c r="K2352" s="1">
        <v>256.99999999999994</v>
      </c>
      <c r="L2352" s="1">
        <v>80.329999999999984</v>
      </c>
      <c r="N2352" s="1">
        <v>53.970415056169657</v>
      </c>
      <c r="O2352" s="11"/>
      <c r="P2352" s="11"/>
      <c r="Q2352" s="11"/>
      <c r="R2352" s="11"/>
    </row>
    <row r="2353" spans="1:18">
      <c r="D2353" s="1" t="s">
        <v>1400</v>
      </c>
      <c r="E2353" s="1" t="s">
        <v>1429</v>
      </c>
      <c r="H2353" s="1" t="s">
        <v>22</v>
      </c>
      <c r="I2353" s="1" t="s">
        <v>29</v>
      </c>
      <c r="J2353" s="1">
        <v>0</v>
      </c>
      <c r="K2353" s="1">
        <v>3.66</v>
      </c>
      <c r="L2353" s="1">
        <v>0.5</v>
      </c>
      <c r="N2353" s="1">
        <v>1.0000000959884892</v>
      </c>
      <c r="O2353" s="11"/>
      <c r="P2353" s="11"/>
      <c r="Q2353" s="11"/>
      <c r="R2353" s="11"/>
    </row>
    <row r="2354" spans="1:18">
      <c r="D2354" s="1" t="s">
        <v>1400</v>
      </c>
      <c r="E2354" s="1" t="s">
        <v>1430</v>
      </c>
      <c r="F2354" s="1" t="s">
        <v>41</v>
      </c>
      <c r="G2354" s="1" t="s">
        <v>42</v>
      </c>
      <c r="H2354" s="1" t="s">
        <v>22</v>
      </c>
      <c r="I2354" s="1" t="s">
        <v>29</v>
      </c>
      <c r="J2354" s="1">
        <v>-180</v>
      </c>
      <c r="K2354" s="1">
        <v>180</v>
      </c>
      <c r="L2354" s="1">
        <v>1.8</v>
      </c>
      <c r="N2354" s="1">
        <v>4.5516127078703301E-3</v>
      </c>
      <c r="O2354" s="11"/>
      <c r="P2354" s="11"/>
      <c r="Q2354" s="11"/>
      <c r="R2354" s="11"/>
    </row>
    <row r="2355" spans="1:18">
      <c r="D2355" s="1" t="s">
        <v>1400</v>
      </c>
      <c r="E2355" s="1" t="s">
        <v>1431</v>
      </c>
      <c r="F2355" s="1" t="s">
        <v>35</v>
      </c>
      <c r="G2355" s="1" t="s">
        <v>36</v>
      </c>
      <c r="H2355" s="1" t="s">
        <v>22</v>
      </c>
      <c r="I2355" s="1" t="s">
        <v>29</v>
      </c>
      <c r="J2355" s="1">
        <v>-31.018000000000029</v>
      </c>
      <c r="K2355" s="1">
        <v>256.99999999999994</v>
      </c>
      <c r="L2355" s="1">
        <v>80.329999999999984</v>
      </c>
      <c r="N2355" s="1">
        <v>46.416593683040389</v>
      </c>
      <c r="O2355" s="11"/>
      <c r="P2355" s="11"/>
      <c r="Q2355" s="11"/>
      <c r="R2355" s="11"/>
    </row>
    <row r="2356" spans="1:18">
      <c r="D2356" s="1" t="s">
        <v>1400</v>
      </c>
      <c r="E2356" s="1" t="s">
        <v>1432</v>
      </c>
      <c r="F2356" s="1" t="s">
        <v>35</v>
      </c>
      <c r="G2356" s="1" t="s">
        <v>36</v>
      </c>
      <c r="H2356" s="1" t="s">
        <v>22</v>
      </c>
      <c r="I2356" s="1" t="s">
        <v>29</v>
      </c>
      <c r="J2356" s="1">
        <v>-31.018000000000029</v>
      </c>
      <c r="K2356" s="1">
        <v>256.99999999999994</v>
      </c>
      <c r="L2356" s="1">
        <v>80.329999999999984</v>
      </c>
      <c r="N2356" s="1">
        <v>46.406831340389772</v>
      </c>
      <c r="O2356" s="11"/>
      <c r="P2356" s="11"/>
      <c r="Q2356" s="11"/>
      <c r="R2356" s="11"/>
    </row>
    <row r="2357" spans="1:18">
      <c r="D2357" s="1" t="s">
        <v>1400</v>
      </c>
      <c r="E2357" s="1" t="s">
        <v>1433</v>
      </c>
      <c r="H2357" s="1" t="s">
        <v>22</v>
      </c>
      <c r="I2357" s="1" t="s">
        <v>29</v>
      </c>
      <c r="J2357" s="1">
        <v>0</v>
      </c>
      <c r="K2357" s="1">
        <v>3.66</v>
      </c>
      <c r="L2357" s="1">
        <v>0.5</v>
      </c>
      <c r="N2357" s="1">
        <v>1.0000224665636828</v>
      </c>
      <c r="O2357" s="11"/>
      <c r="P2357" s="11"/>
      <c r="Q2357" s="11"/>
      <c r="R2357" s="11"/>
    </row>
    <row r="2358" spans="1:18">
      <c r="D2358" s="1" t="s">
        <v>1400</v>
      </c>
      <c r="E2358" s="1" t="s">
        <v>1434</v>
      </c>
      <c r="H2358" s="1" t="s">
        <v>22</v>
      </c>
      <c r="I2358" s="1" t="s">
        <v>29</v>
      </c>
      <c r="J2358" s="1">
        <v>-5</v>
      </c>
      <c r="K2358" s="1">
        <v>5</v>
      </c>
      <c r="L2358" s="1">
        <v>1</v>
      </c>
      <c r="N2358" s="1">
        <v>0</v>
      </c>
      <c r="O2358" s="11"/>
      <c r="P2358" s="11"/>
      <c r="Q2358" s="11"/>
      <c r="R2358" s="11"/>
    </row>
    <row r="2359" spans="1:18">
      <c r="D2359" s="1" t="s">
        <v>1400</v>
      </c>
      <c r="E2359" s="1" t="s">
        <v>1435</v>
      </c>
      <c r="H2359" s="1" t="s">
        <v>22</v>
      </c>
      <c r="I2359" s="1" t="s">
        <v>29</v>
      </c>
      <c r="L2359" s="1">
        <v>1</v>
      </c>
      <c r="N2359" s="1">
        <v>-0.16291475714186041</v>
      </c>
      <c r="O2359" s="11"/>
      <c r="P2359" s="11"/>
      <c r="Q2359" s="11"/>
      <c r="R2359" s="11"/>
    </row>
    <row r="2360" spans="1:18">
      <c r="A2360" s="2" t="s">
        <v>1722</v>
      </c>
      <c r="B2360" s="3" t="s">
        <v>1741</v>
      </c>
      <c r="D2360" s="1" t="s">
        <v>1400</v>
      </c>
      <c r="E2360" s="1" t="s">
        <v>1436</v>
      </c>
      <c r="H2360" s="1" t="s">
        <v>63</v>
      </c>
      <c r="I2360" s="1" t="s">
        <v>23</v>
      </c>
      <c r="M2360" s="1">
        <v>2</v>
      </c>
      <c r="N2360" s="1">
        <v>2</v>
      </c>
      <c r="O2360" s="11"/>
      <c r="P2360" s="11"/>
      <c r="Q2360" s="11"/>
      <c r="R2360" s="11"/>
    </row>
    <row r="2361" spans="1:18">
      <c r="D2361" s="1" t="s">
        <v>1400</v>
      </c>
      <c r="E2361" s="1" t="s">
        <v>1437</v>
      </c>
      <c r="H2361" s="1" t="s">
        <v>181</v>
      </c>
      <c r="I2361" s="1" t="s">
        <v>23</v>
      </c>
      <c r="J2361" s="1">
        <v>1</v>
      </c>
      <c r="K2361" s="1">
        <v>2</v>
      </c>
      <c r="M2361" s="1" t="s">
        <v>1438</v>
      </c>
      <c r="N2361" s="1" t="s">
        <v>1825</v>
      </c>
      <c r="O2361" s="11"/>
      <c r="P2361" s="11"/>
      <c r="Q2361" s="11"/>
      <c r="R2361" s="11"/>
    </row>
    <row r="2362" spans="1:18">
      <c r="D2362" s="1" t="s">
        <v>1400</v>
      </c>
      <c r="E2362" s="1" t="s">
        <v>1056</v>
      </c>
      <c r="F2362" s="1" t="s">
        <v>56</v>
      </c>
      <c r="G2362" s="1" t="s">
        <v>57</v>
      </c>
      <c r="H2362" s="1" t="s">
        <v>22</v>
      </c>
      <c r="I2362" s="1" t="s">
        <v>23</v>
      </c>
      <c r="L2362" s="1">
        <v>1.4503773773020921E-4</v>
      </c>
      <c r="M2362" s="1">
        <v>0.72518868865104602</v>
      </c>
      <c r="N2362" s="1">
        <v>0.72518868865104602</v>
      </c>
      <c r="O2362" s="11"/>
      <c r="P2362" s="11"/>
      <c r="Q2362" s="11"/>
      <c r="R2362" s="11"/>
    </row>
    <row r="2363" spans="1:18">
      <c r="D2363" s="1" t="s">
        <v>1400</v>
      </c>
      <c r="E2363" s="1" t="s">
        <v>1057</v>
      </c>
      <c r="H2363" s="1" t="s">
        <v>25</v>
      </c>
      <c r="I2363" s="1" t="s">
        <v>23</v>
      </c>
      <c r="M2363" s="1" t="b">
        <v>0</v>
      </c>
      <c r="N2363" s="1">
        <v>0</v>
      </c>
      <c r="O2363" s="11"/>
      <c r="P2363" s="11"/>
      <c r="Q2363" s="11"/>
      <c r="R2363" s="11"/>
    </row>
    <row r="2364" spans="1:18">
      <c r="D2364" s="1" t="s">
        <v>1400</v>
      </c>
      <c r="E2364" s="1" t="s">
        <v>1439</v>
      </c>
      <c r="F2364" s="1" t="s">
        <v>56</v>
      </c>
      <c r="G2364" s="1" t="s">
        <v>57</v>
      </c>
      <c r="H2364" s="1" t="s">
        <v>22</v>
      </c>
      <c r="I2364" s="1" t="s">
        <v>23</v>
      </c>
      <c r="L2364" s="1">
        <v>1.4503773773020921E-4</v>
      </c>
      <c r="M2364" s="1">
        <v>14.503773773020921</v>
      </c>
      <c r="N2364" s="1">
        <v>14.503773773020921</v>
      </c>
      <c r="O2364" s="11"/>
      <c r="P2364" s="11"/>
      <c r="Q2364" s="11"/>
      <c r="R2364" s="11"/>
    </row>
    <row r="2365" spans="1:18">
      <c r="D2365" s="1" t="s">
        <v>1400</v>
      </c>
      <c r="E2365" s="1" t="s">
        <v>1440</v>
      </c>
      <c r="H2365" s="1" t="s">
        <v>25</v>
      </c>
      <c r="I2365" s="1" t="s">
        <v>23</v>
      </c>
      <c r="M2365" s="1" t="b">
        <v>0</v>
      </c>
      <c r="N2365" s="1">
        <v>0</v>
      </c>
      <c r="O2365" s="11"/>
      <c r="P2365" s="11"/>
      <c r="Q2365" s="11"/>
      <c r="R2365" s="11"/>
    </row>
    <row r="2366" spans="1:18">
      <c r="D2366" s="1" t="s">
        <v>1400</v>
      </c>
      <c r="E2366" s="1" t="s">
        <v>1064</v>
      </c>
      <c r="F2366" s="1" t="s">
        <v>176</v>
      </c>
      <c r="G2366" s="1" t="s">
        <v>177</v>
      </c>
      <c r="H2366" s="1" t="s">
        <v>22</v>
      </c>
      <c r="I2366" s="1" t="s">
        <v>23</v>
      </c>
      <c r="L2366" s="1">
        <v>39.370078740157467</v>
      </c>
      <c r="M2366" s="1">
        <v>0</v>
      </c>
      <c r="N2366" s="1">
        <v>0</v>
      </c>
      <c r="O2366" s="11"/>
      <c r="P2366" s="11"/>
      <c r="Q2366" s="11"/>
      <c r="R2366" s="11"/>
    </row>
    <row r="2367" spans="1:18">
      <c r="D2367" s="1" t="s">
        <v>1400</v>
      </c>
      <c r="E2367" s="1" t="s">
        <v>47</v>
      </c>
      <c r="H2367" s="1" t="s">
        <v>25</v>
      </c>
      <c r="I2367" s="1" t="s">
        <v>23</v>
      </c>
      <c r="M2367" s="1" t="b">
        <v>0</v>
      </c>
      <c r="N2367" s="1">
        <v>0</v>
      </c>
      <c r="O2367" s="11"/>
      <c r="P2367" s="11"/>
      <c r="Q2367" s="11"/>
      <c r="R2367" s="11"/>
    </row>
    <row r="2368" spans="1:18">
      <c r="D2368" s="1" t="s">
        <v>1400</v>
      </c>
      <c r="E2368" s="1" t="s">
        <v>1069</v>
      </c>
      <c r="H2368" s="1" t="s">
        <v>25</v>
      </c>
      <c r="I2368" s="1" t="s">
        <v>23</v>
      </c>
      <c r="M2368" s="1" t="b">
        <v>0</v>
      </c>
      <c r="N2368" s="1">
        <v>0</v>
      </c>
      <c r="O2368" s="11"/>
      <c r="P2368" s="11"/>
      <c r="Q2368" s="11"/>
      <c r="R2368" s="11"/>
    </row>
    <row r="2369" spans="1:18">
      <c r="D2369" s="1" t="s">
        <v>1400</v>
      </c>
      <c r="E2369" s="1" t="s">
        <v>920</v>
      </c>
      <c r="H2369" s="1" t="s">
        <v>22</v>
      </c>
      <c r="I2369" s="1" t="s">
        <v>23</v>
      </c>
      <c r="J2369" s="1">
        <v>0</v>
      </c>
      <c r="K2369" s="1">
        <v>1</v>
      </c>
      <c r="L2369" s="1">
        <v>1</v>
      </c>
      <c r="M2369" s="1">
        <v>1</v>
      </c>
      <c r="N2369" s="1">
        <v>1</v>
      </c>
      <c r="O2369" s="11"/>
      <c r="P2369" s="11"/>
      <c r="Q2369" s="11"/>
      <c r="R2369" s="11"/>
    </row>
    <row r="2370" spans="1:18">
      <c r="D2370" s="1" t="s">
        <v>1400</v>
      </c>
      <c r="E2370" s="1" t="s">
        <v>921</v>
      </c>
      <c r="H2370" s="1" t="s">
        <v>22</v>
      </c>
      <c r="I2370" s="1" t="s">
        <v>23</v>
      </c>
      <c r="J2370" s="1">
        <v>0</v>
      </c>
      <c r="K2370" s="1">
        <v>1</v>
      </c>
      <c r="L2370" s="1">
        <v>1</v>
      </c>
      <c r="M2370" s="1">
        <v>0</v>
      </c>
      <c r="N2370" s="1">
        <v>0</v>
      </c>
      <c r="O2370" s="11"/>
      <c r="P2370" s="11"/>
      <c r="Q2370" s="11"/>
      <c r="R2370" s="11"/>
    </row>
    <row r="2371" spans="1:18">
      <c r="D2371" s="1" t="s">
        <v>1400</v>
      </c>
      <c r="E2371" s="1" t="s">
        <v>1070</v>
      </c>
      <c r="F2371" s="1" t="s">
        <v>1071</v>
      </c>
      <c r="G2371" s="1" t="s">
        <v>1072</v>
      </c>
      <c r="H2371" s="1" t="s">
        <v>22</v>
      </c>
      <c r="I2371" s="1" t="s">
        <v>23</v>
      </c>
      <c r="J2371" s="1">
        <v>5.7778931654299819E-4</v>
      </c>
      <c r="K2371" s="1">
        <v>0.57778931654299814</v>
      </c>
      <c r="L2371" s="1">
        <v>0.57778931654299814</v>
      </c>
      <c r="M2371" s="1">
        <v>2.1672877263527863E-2</v>
      </c>
      <c r="N2371" s="1">
        <v>2.1672877263527863E-2</v>
      </c>
      <c r="O2371" s="11"/>
      <c r="P2371" s="11"/>
      <c r="Q2371" s="11"/>
      <c r="R2371" s="11"/>
    </row>
    <row r="2372" spans="1:18">
      <c r="D2372" s="1" t="s">
        <v>1400</v>
      </c>
      <c r="E2372" s="1" t="s">
        <v>1074</v>
      </c>
      <c r="H2372" s="1" t="s">
        <v>25</v>
      </c>
      <c r="I2372" s="1" t="s">
        <v>23</v>
      </c>
      <c r="M2372" s="1" t="b">
        <v>0</v>
      </c>
      <c r="N2372" s="1">
        <v>0</v>
      </c>
      <c r="O2372" s="11"/>
      <c r="P2372" s="11"/>
      <c r="Q2372" s="11"/>
      <c r="R2372" s="11"/>
    </row>
    <row r="2373" spans="1:18">
      <c r="D2373" s="1" t="s">
        <v>1400</v>
      </c>
      <c r="E2373" s="1" t="s">
        <v>1441</v>
      </c>
      <c r="H2373" s="1" t="s">
        <v>25</v>
      </c>
      <c r="I2373" s="1" t="s">
        <v>23</v>
      </c>
      <c r="M2373" s="1" t="b">
        <v>1</v>
      </c>
      <c r="N2373" s="1">
        <v>1</v>
      </c>
      <c r="O2373" s="11"/>
      <c r="P2373" s="11"/>
      <c r="Q2373" s="11"/>
      <c r="R2373" s="11"/>
    </row>
    <row r="2374" spans="1:18">
      <c r="D2374" s="1" t="s">
        <v>1400</v>
      </c>
      <c r="E2374" s="1" t="s">
        <v>1442</v>
      </c>
      <c r="F2374" s="1" t="s">
        <v>118</v>
      </c>
      <c r="G2374" s="1" t="s">
        <v>119</v>
      </c>
      <c r="H2374" s="1" t="s">
        <v>22</v>
      </c>
      <c r="I2374" s="1" t="s">
        <v>29</v>
      </c>
      <c r="J2374" s="1">
        <v>2.2046226218499999E-6</v>
      </c>
      <c r="K2374" s="1">
        <v>22046.2262185</v>
      </c>
      <c r="L2374" s="1">
        <v>220.46226218500001</v>
      </c>
      <c r="N2374" s="1">
        <v>705.99111237892873</v>
      </c>
      <c r="O2374" s="11"/>
      <c r="P2374" s="11"/>
      <c r="Q2374" s="11"/>
      <c r="R2374" s="11"/>
    </row>
    <row r="2375" spans="1:18">
      <c r="D2375" s="1" t="s">
        <v>1400</v>
      </c>
      <c r="E2375" s="1" t="s">
        <v>1076</v>
      </c>
      <c r="F2375" s="1" t="s">
        <v>118</v>
      </c>
      <c r="G2375" s="1" t="s">
        <v>119</v>
      </c>
      <c r="H2375" s="1" t="s">
        <v>22</v>
      </c>
      <c r="I2375" s="1" t="s">
        <v>23</v>
      </c>
      <c r="J2375" s="1">
        <v>0</v>
      </c>
      <c r="K2375" s="1">
        <v>4409.2452437000002</v>
      </c>
      <c r="L2375" s="1">
        <v>2.20462262185</v>
      </c>
      <c r="M2375" s="1">
        <v>440.92452437000003</v>
      </c>
      <c r="N2375" s="1">
        <v>440.92452437000003</v>
      </c>
      <c r="O2375" s="11"/>
      <c r="P2375" s="11"/>
      <c r="Q2375" s="11"/>
      <c r="R2375" s="11"/>
    </row>
    <row r="2376" spans="1:18">
      <c r="D2376" s="1" t="s">
        <v>1400</v>
      </c>
      <c r="E2376" s="1" t="s">
        <v>1077</v>
      </c>
      <c r="H2376" s="1" t="s">
        <v>25</v>
      </c>
      <c r="I2376" s="1" t="s">
        <v>23</v>
      </c>
      <c r="M2376" s="1" t="b">
        <v>0</v>
      </c>
      <c r="N2376" s="1">
        <v>0</v>
      </c>
      <c r="O2376" s="11"/>
      <c r="P2376" s="11"/>
      <c r="Q2376" s="11"/>
      <c r="R2376" s="11"/>
    </row>
    <row r="2377" spans="1:18">
      <c r="D2377" s="1" t="s">
        <v>1400</v>
      </c>
      <c r="E2377" s="1" t="s">
        <v>1079</v>
      </c>
      <c r="H2377" s="1" t="s">
        <v>25</v>
      </c>
      <c r="I2377" s="1" t="s">
        <v>23</v>
      </c>
      <c r="M2377" s="1" t="b">
        <v>0</v>
      </c>
      <c r="N2377" s="1">
        <v>0</v>
      </c>
      <c r="O2377" s="11"/>
      <c r="P2377" s="11"/>
      <c r="Q2377" s="11"/>
      <c r="R2377" s="11"/>
    </row>
    <row r="2378" spans="1:18">
      <c r="D2378" s="1" t="s">
        <v>1400</v>
      </c>
      <c r="E2378" s="1" t="s">
        <v>1080</v>
      </c>
      <c r="H2378" s="1" t="s">
        <v>22</v>
      </c>
      <c r="I2378" s="1" t="s">
        <v>23</v>
      </c>
      <c r="J2378" s="1">
        <v>0</v>
      </c>
      <c r="K2378" s="1">
        <v>1</v>
      </c>
      <c r="L2378" s="1">
        <v>1</v>
      </c>
      <c r="M2378" s="1">
        <v>0.5</v>
      </c>
      <c r="N2378" s="1">
        <v>0.5</v>
      </c>
      <c r="O2378" s="11"/>
      <c r="P2378" s="11"/>
      <c r="Q2378" s="11"/>
      <c r="R2378" s="11"/>
    </row>
    <row r="2379" spans="1:18">
      <c r="D2379" s="1" t="s">
        <v>1400</v>
      </c>
      <c r="E2379" s="1" t="s">
        <v>1082</v>
      </c>
      <c r="H2379" s="1" t="s">
        <v>22</v>
      </c>
      <c r="I2379" s="1" t="s">
        <v>23</v>
      </c>
      <c r="J2379" s="1">
        <v>0</v>
      </c>
      <c r="K2379" s="1">
        <v>2</v>
      </c>
      <c r="L2379" s="1">
        <v>1</v>
      </c>
      <c r="M2379" s="1">
        <v>0.99</v>
      </c>
      <c r="N2379" s="1">
        <v>0.99</v>
      </c>
      <c r="O2379" s="11"/>
      <c r="P2379" s="11"/>
      <c r="Q2379" s="11"/>
      <c r="R2379" s="11"/>
    </row>
    <row r="2380" spans="1:18">
      <c r="A2380" s="2" t="s">
        <v>1722</v>
      </c>
      <c r="B2380" s="3" t="s">
        <v>1742</v>
      </c>
      <c r="D2380" s="1" t="s">
        <v>1400</v>
      </c>
      <c r="E2380" s="1" t="s">
        <v>1083</v>
      </c>
      <c r="H2380" s="1" t="s">
        <v>181</v>
      </c>
      <c r="I2380" s="1" t="s">
        <v>23</v>
      </c>
      <c r="J2380" s="1">
        <v>1</v>
      </c>
      <c r="K2380" s="1">
        <v>314</v>
      </c>
      <c r="M2380" s="1" t="s">
        <v>952</v>
      </c>
      <c r="N2380" s="1" t="s">
        <v>1819</v>
      </c>
      <c r="O2380" s="11"/>
      <c r="P2380" s="11"/>
      <c r="Q2380" s="11"/>
      <c r="R2380" s="11"/>
    </row>
    <row r="2381" spans="1:18">
      <c r="A2381" s="2" t="s">
        <v>1722</v>
      </c>
      <c r="B2381" s="3" t="s">
        <v>1743</v>
      </c>
      <c r="D2381" s="1" t="s">
        <v>1400</v>
      </c>
      <c r="E2381" s="1" t="s">
        <v>1086</v>
      </c>
      <c r="H2381" s="1" t="s">
        <v>181</v>
      </c>
      <c r="I2381" s="1" t="s">
        <v>23</v>
      </c>
      <c r="J2381" s="1">
        <v>1</v>
      </c>
      <c r="K2381" s="1">
        <v>26</v>
      </c>
      <c r="M2381" s="1" t="s">
        <v>1443</v>
      </c>
      <c r="N2381" s="1" t="s">
        <v>1826</v>
      </c>
      <c r="O2381" s="11"/>
      <c r="P2381" s="11"/>
      <c r="Q2381" s="11"/>
      <c r="R2381" s="11"/>
    </row>
    <row r="2382" spans="1:18">
      <c r="D2382" s="1" t="s">
        <v>1400</v>
      </c>
      <c r="E2382" s="1" t="s">
        <v>1089</v>
      </c>
      <c r="F2382" s="1" t="s">
        <v>35</v>
      </c>
      <c r="G2382" s="1" t="s">
        <v>36</v>
      </c>
      <c r="H2382" s="1" t="s">
        <v>22</v>
      </c>
      <c r="I2382" s="1" t="s">
        <v>29</v>
      </c>
      <c r="J2382" s="1">
        <v>-31.018000000000029</v>
      </c>
      <c r="K2382" s="1">
        <v>256.99999999999994</v>
      </c>
      <c r="L2382" s="1">
        <v>80.329999999999984</v>
      </c>
      <c r="N2382" s="1">
        <v>53.999999999996305</v>
      </c>
      <c r="O2382" s="11"/>
      <c r="P2382" s="11"/>
      <c r="Q2382" s="11"/>
      <c r="R2382" s="11"/>
    </row>
    <row r="2383" spans="1:18">
      <c r="D2383" s="1" t="s">
        <v>1400</v>
      </c>
      <c r="E2383" s="1" t="s">
        <v>1091</v>
      </c>
      <c r="F2383" s="1" t="s">
        <v>35</v>
      </c>
      <c r="G2383" s="1" t="s">
        <v>36</v>
      </c>
      <c r="H2383" s="1" t="s">
        <v>22</v>
      </c>
      <c r="I2383" s="1" t="s">
        <v>29</v>
      </c>
      <c r="J2383" s="1">
        <v>-31.018000000000029</v>
      </c>
      <c r="K2383" s="1">
        <v>256.99999999999994</v>
      </c>
      <c r="L2383" s="1">
        <v>80.329999999999984</v>
      </c>
      <c r="N2383" s="1">
        <v>44.000000000006025</v>
      </c>
      <c r="O2383" s="11"/>
      <c r="P2383" s="11"/>
      <c r="Q2383" s="11"/>
      <c r="R2383" s="11"/>
    </row>
    <row r="2384" spans="1:18">
      <c r="A2384" s="2" t="s">
        <v>1759</v>
      </c>
      <c r="B2384" s="3" t="s">
        <v>1797</v>
      </c>
      <c r="D2384" s="1" t="s">
        <v>1400</v>
      </c>
      <c r="E2384" s="1" t="s">
        <v>1296</v>
      </c>
      <c r="F2384" s="1" t="s">
        <v>41</v>
      </c>
      <c r="G2384" s="1" t="s">
        <v>42</v>
      </c>
      <c r="H2384" s="1" t="s">
        <v>22</v>
      </c>
      <c r="I2384" s="1" t="s">
        <v>65</v>
      </c>
      <c r="L2384" s="1">
        <v>1.8</v>
      </c>
      <c r="N2384" s="1">
        <v>1.334046521161065</v>
      </c>
      <c r="O2384" s="11"/>
      <c r="P2384" s="11"/>
      <c r="Q2384" s="11"/>
      <c r="R2384" s="11"/>
    </row>
    <row r="2385" spans="1:18">
      <c r="D2385" s="1" t="s">
        <v>1400</v>
      </c>
      <c r="E2385" s="1" t="s">
        <v>1300</v>
      </c>
      <c r="F2385" s="1" t="s">
        <v>147</v>
      </c>
      <c r="G2385" s="1" t="s">
        <v>148</v>
      </c>
      <c r="H2385" s="1" t="s">
        <v>22</v>
      </c>
      <c r="I2385" s="1" t="s">
        <v>120</v>
      </c>
      <c r="L2385" s="1">
        <v>3.4121416351331</v>
      </c>
      <c r="N2385" s="1">
        <v>0</v>
      </c>
      <c r="O2385" s="11"/>
      <c r="P2385" s="11"/>
      <c r="Q2385" s="11"/>
      <c r="R2385" s="11"/>
    </row>
    <row r="2386" spans="1:18">
      <c r="D2386" s="1" t="s">
        <v>1400</v>
      </c>
      <c r="E2386" s="1" t="s">
        <v>1302</v>
      </c>
      <c r="H2386" s="1" t="s">
        <v>22</v>
      </c>
      <c r="I2386" s="1" t="s">
        <v>65</v>
      </c>
      <c r="L2386" s="1">
        <v>1</v>
      </c>
      <c r="N2386" s="1">
        <v>28852.313375009948</v>
      </c>
      <c r="O2386" s="11"/>
      <c r="P2386" s="11"/>
      <c r="Q2386" s="11"/>
      <c r="R2386" s="11"/>
    </row>
    <row r="2387" spans="1:18">
      <c r="D2387" s="1" t="s">
        <v>1400</v>
      </c>
      <c r="E2387" s="1" t="s">
        <v>1444</v>
      </c>
      <c r="F2387" s="1" t="s">
        <v>35</v>
      </c>
      <c r="G2387" s="1" t="s">
        <v>36</v>
      </c>
      <c r="H2387" s="1" t="s">
        <v>22</v>
      </c>
      <c r="I2387" s="1" t="s">
        <v>120</v>
      </c>
      <c r="J2387" s="1">
        <v>-457.87</v>
      </c>
      <c r="K2387" s="1">
        <v>-447.07</v>
      </c>
      <c r="L2387" s="1">
        <v>80.329999999999984</v>
      </c>
      <c r="N2387" s="1">
        <v>-457.87</v>
      </c>
      <c r="O2387" s="11"/>
      <c r="P2387" s="11"/>
      <c r="Q2387" s="11"/>
      <c r="R2387" s="11"/>
    </row>
    <row r="2388" spans="1:18">
      <c r="D2388" s="1" t="s">
        <v>1400</v>
      </c>
      <c r="E2388" s="1" t="s">
        <v>1445</v>
      </c>
      <c r="H2388" s="1" t="s">
        <v>22</v>
      </c>
      <c r="I2388" s="1" t="s">
        <v>65</v>
      </c>
      <c r="L2388" s="1">
        <v>1</v>
      </c>
      <c r="N2388" s="1">
        <v>0.82795309609654921</v>
      </c>
      <c r="O2388" s="11"/>
      <c r="P2388" s="11"/>
      <c r="Q2388" s="11"/>
      <c r="R2388" s="11"/>
    </row>
    <row r="2389" spans="1:18">
      <c r="D2389" s="1" t="s">
        <v>1400</v>
      </c>
      <c r="E2389" s="1" t="s">
        <v>1306</v>
      </c>
      <c r="H2389" s="1" t="s">
        <v>22</v>
      </c>
      <c r="I2389" s="1" t="s">
        <v>65</v>
      </c>
      <c r="L2389" s="1">
        <v>1</v>
      </c>
      <c r="N2389" s="1">
        <v>1</v>
      </c>
      <c r="O2389" s="11"/>
      <c r="P2389" s="11"/>
      <c r="Q2389" s="11"/>
      <c r="R2389" s="11"/>
    </row>
    <row r="2390" spans="1:18">
      <c r="D2390" s="1" t="s">
        <v>1400</v>
      </c>
      <c r="E2390" s="1" t="s">
        <v>1446</v>
      </c>
      <c r="H2390" s="1" t="s">
        <v>22</v>
      </c>
      <c r="I2390" s="1" t="s">
        <v>65</v>
      </c>
      <c r="L2390" s="1">
        <v>1</v>
      </c>
      <c r="N2390" s="1">
        <v>1</v>
      </c>
      <c r="O2390" s="11"/>
      <c r="P2390" s="11"/>
      <c r="Q2390" s="11"/>
      <c r="R2390" s="11"/>
    </row>
    <row r="2391" spans="1:18">
      <c r="D2391" s="1" t="s">
        <v>1400</v>
      </c>
      <c r="E2391" s="1" t="s">
        <v>1309</v>
      </c>
      <c r="H2391" s="1" t="s">
        <v>22</v>
      </c>
      <c r="I2391" s="1" t="s">
        <v>65</v>
      </c>
      <c r="L2391" s="1">
        <v>1</v>
      </c>
      <c r="N2391" s="1">
        <v>1</v>
      </c>
      <c r="O2391" s="11"/>
      <c r="P2391" s="11"/>
      <c r="Q2391" s="11"/>
      <c r="R2391" s="11"/>
    </row>
    <row r="2392" spans="1:18">
      <c r="D2392" s="1" t="s">
        <v>1400</v>
      </c>
      <c r="E2392" s="1" t="s">
        <v>1447</v>
      </c>
      <c r="H2392" s="1" t="s">
        <v>22</v>
      </c>
      <c r="I2392" s="1" t="s">
        <v>65</v>
      </c>
      <c r="L2392" s="1">
        <v>1</v>
      </c>
      <c r="N2392" s="1">
        <v>1</v>
      </c>
      <c r="O2392" s="11"/>
      <c r="P2392" s="11"/>
      <c r="Q2392" s="11"/>
      <c r="R2392" s="11"/>
    </row>
    <row r="2393" spans="1:18">
      <c r="D2393" s="1" t="s">
        <v>1400</v>
      </c>
      <c r="E2393" s="1" t="s">
        <v>1448</v>
      </c>
      <c r="H2393" s="1" t="s">
        <v>22</v>
      </c>
      <c r="I2393" s="1" t="s">
        <v>65</v>
      </c>
      <c r="L2393" s="1">
        <v>1</v>
      </c>
      <c r="N2393" s="1">
        <v>1</v>
      </c>
      <c r="O2393" s="11"/>
      <c r="P2393" s="11"/>
      <c r="Q2393" s="11"/>
      <c r="R2393" s="11"/>
    </row>
    <row r="2394" spans="1:18">
      <c r="D2394" s="1" t="s">
        <v>1400</v>
      </c>
      <c r="E2394" s="1" t="s">
        <v>1317</v>
      </c>
      <c r="F2394" s="1" t="s">
        <v>879</v>
      </c>
      <c r="G2394" s="1" t="s">
        <v>880</v>
      </c>
      <c r="H2394" s="1" t="s">
        <v>22</v>
      </c>
      <c r="I2394" s="1" t="s">
        <v>65</v>
      </c>
      <c r="L2394" s="1">
        <v>10.76391041670972</v>
      </c>
      <c r="N2394" s="1">
        <v>2524.8556408169234</v>
      </c>
      <c r="O2394" s="11"/>
      <c r="P2394" s="11"/>
      <c r="Q2394" s="11"/>
      <c r="R2394" s="11"/>
    </row>
    <row r="2395" spans="1:18">
      <c r="D2395" s="1" t="s">
        <v>1400</v>
      </c>
      <c r="E2395" s="1" t="s">
        <v>1449</v>
      </c>
      <c r="F2395" s="1" t="s">
        <v>147</v>
      </c>
      <c r="G2395" s="1" t="s">
        <v>148</v>
      </c>
      <c r="H2395" s="1" t="s">
        <v>22</v>
      </c>
      <c r="I2395" s="1" t="s">
        <v>65</v>
      </c>
      <c r="L2395" s="1">
        <v>3.4121416351331</v>
      </c>
      <c r="N2395" s="1">
        <v>12000000.003699869</v>
      </c>
      <c r="O2395" s="11"/>
      <c r="P2395" s="11"/>
      <c r="Q2395" s="11"/>
      <c r="R2395" s="11"/>
    </row>
    <row r="2396" spans="1:18">
      <c r="A2396" s="2" t="s">
        <v>1759</v>
      </c>
      <c r="B2396" s="3" t="s">
        <v>1798</v>
      </c>
      <c r="D2396" s="1" t="s">
        <v>1400</v>
      </c>
      <c r="E2396" s="1" t="s">
        <v>1322</v>
      </c>
      <c r="F2396" s="1" t="s">
        <v>56</v>
      </c>
      <c r="G2396" s="1" t="s">
        <v>57</v>
      </c>
      <c r="H2396" s="1" t="s">
        <v>22</v>
      </c>
      <c r="I2396" s="1" t="s">
        <v>65</v>
      </c>
      <c r="L2396" s="1">
        <v>1.4503773773020921E-4</v>
      </c>
      <c r="N2396" s="1">
        <v>13.327375211877278</v>
      </c>
      <c r="O2396" s="11"/>
      <c r="P2396" s="11"/>
      <c r="Q2396" s="11"/>
      <c r="R2396" s="11"/>
    </row>
    <row r="2397" spans="1:18">
      <c r="D2397" s="1" t="s">
        <v>1400</v>
      </c>
      <c r="E2397" s="1" t="s">
        <v>1323</v>
      </c>
      <c r="F2397" s="1" t="s">
        <v>56</v>
      </c>
      <c r="G2397" s="1" t="s">
        <v>57</v>
      </c>
      <c r="H2397" s="1" t="s">
        <v>22</v>
      </c>
      <c r="I2397" s="1" t="s">
        <v>65</v>
      </c>
      <c r="L2397" s="1">
        <v>1.4503773773020921E-4</v>
      </c>
      <c r="N2397" s="1">
        <v>0</v>
      </c>
      <c r="O2397" s="11"/>
      <c r="P2397" s="11"/>
      <c r="Q2397" s="11"/>
      <c r="R2397" s="11"/>
    </row>
    <row r="2398" spans="1:18">
      <c r="D2398" s="1" t="s">
        <v>1400</v>
      </c>
      <c r="E2398" s="1" t="s">
        <v>1324</v>
      </c>
      <c r="F2398" s="1" t="s">
        <v>56</v>
      </c>
      <c r="G2398" s="1" t="s">
        <v>57</v>
      </c>
      <c r="H2398" s="1" t="s">
        <v>22</v>
      </c>
      <c r="I2398" s="1" t="s">
        <v>65</v>
      </c>
      <c r="L2398" s="1">
        <v>1.4503773773020921E-4</v>
      </c>
      <c r="N2398" s="1">
        <v>1.0103458922518009</v>
      </c>
      <c r="O2398" s="11"/>
      <c r="P2398" s="11"/>
      <c r="Q2398" s="11"/>
      <c r="R2398" s="11"/>
    </row>
    <row r="2399" spans="1:18">
      <c r="D2399" s="1" t="s">
        <v>1400</v>
      </c>
      <c r="E2399" s="1" t="s">
        <v>1325</v>
      </c>
      <c r="F2399" s="1" t="s">
        <v>56</v>
      </c>
      <c r="G2399" s="1" t="s">
        <v>57</v>
      </c>
      <c r="H2399" s="1" t="s">
        <v>22</v>
      </c>
      <c r="I2399" s="1" t="s">
        <v>65</v>
      </c>
      <c r="L2399" s="1">
        <v>1.4503773773020921E-4</v>
      </c>
      <c r="N2399" s="1">
        <v>10.710214689277361</v>
      </c>
      <c r="O2399" s="11"/>
      <c r="P2399" s="11"/>
      <c r="Q2399" s="11"/>
      <c r="R2399" s="11"/>
    </row>
    <row r="2400" spans="1:18">
      <c r="D2400" s="1" t="s">
        <v>1400</v>
      </c>
      <c r="E2400" s="1" t="s">
        <v>1326</v>
      </c>
      <c r="F2400" s="1" t="s">
        <v>56</v>
      </c>
      <c r="G2400" s="1" t="s">
        <v>57</v>
      </c>
      <c r="H2400" s="1" t="s">
        <v>22</v>
      </c>
      <c r="I2400" s="1" t="s">
        <v>65</v>
      </c>
      <c r="L2400" s="1">
        <v>1.4503773773020921E-4</v>
      </c>
      <c r="N2400" s="1">
        <v>1.6068146303481163</v>
      </c>
      <c r="O2400" s="11"/>
      <c r="P2400" s="11"/>
      <c r="Q2400" s="11"/>
      <c r="R2400" s="11"/>
    </row>
    <row r="2401" spans="1:18">
      <c r="D2401" s="1" t="s">
        <v>1400</v>
      </c>
      <c r="E2401" s="1" t="s">
        <v>1331</v>
      </c>
      <c r="F2401" s="1" t="s">
        <v>176</v>
      </c>
      <c r="G2401" s="1" t="s">
        <v>177</v>
      </c>
      <c r="H2401" s="1" t="s">
        <v>22</v>
      </c>
      <c r="I2401" s="1" t="s">
        <v>70</v>
      </c>
      <c r="J2401" s="1">
        <v>0</v>
      </c>
      <c r="L2401" s="1">
        <v>39.370078740157467</v>
      </c>
      <c r="N2401" s="1">
        <v>17.12219814937103</v>
      </c>
      <c r="O2401" s="11"/>
      <c r="P2401" s="11"/>
      <c r="Q2401" s="11"/>
      <c r="R2401" s="11"/>
    </row>
    <row r="2402" spans="1:18">
      <c r="D2402" s="1" t="s">
        <v>1400</v>
      </c>
      <c r="E2402" s="1" t="s">
        <v>69</v>
      </c>
      <c r="H2402" s="1" t="s">
        <v>25</v>
      </c>
      <c r="I2402" s="1" t="s">
        <v>70</v>
      </c>
      <c r="N2402" s="1">
        <v>0</v>
      </c>
      <c r="O2402" s="11"/>
      <c r="P2402" s="11"/>
      <c r="Q2402" s="11"/>
      <c r="R2402" s="11"/>
    </row>
    <row r="2403" spans="1:18">
      <c r="D2403" s="1" t="s">
        <v>1400</v>
      </c>
      <c r="E2403" s="1" t="s">
        <v>1450</v>
      </c>
      <c r="F2403" s="1" t="s">
        <v>176</v>
      </c>
      <c r="G2403" s="1" t="s">
        <v>177</v>
      </c>
      <c r="H2403" s="1" t="s">
        <v>22</v>
      </c>
      <c r="I2403" s="1" t="s">
        <v>65</v>
      </c>
      <c r="L2403" s="1">
        <v>39.370078740157467</v>
      </c>
      <c r="N2403" s="1">
        <v>16.950976167877322</v>
      </c>
      <c r="O2403" s="11"/>
      <c r="P2403" s="11"/>
      <c r="Q2403" s="11"/>
      <c r="R2403" s="11"/>
    </row>
    <row r="2404" spans="1:18">
      <c r="D2404" s="1" t="s">
        <v>1400</v>
      </c>
      <c r="E2404" s="1" t="s">
        <v>991</v>
      </c>
      <c r="F2404" s="1" t="s">
        <v>118</v>
      </c>
      <c r="G2404" s="1" t="s">
        <v>119</v>
      </c>
      <c r="H2404" s="1" t="s">
        <v>22</v>
      </c>
      <c r="I2404" s="1" t="s">
        <v>65</v>
      </c>
      <c r="J2404" s="1">
        <v>0</v>
      </c>
      <c r="L2404" s="1">
        <v>2.20462262185</v>
      </c>
      <c r="N2404" s="1">
        <v>705.99111237893862</v>
      </c>
      <c r="O2404" s="11"/>
      <c r="P2404" s="11"/>
      <c r="Q2404" s="11"/>
      <c r="R2404" s="11"/>
    </row>
    <row r="2405" spans="1:18">
      <c r="D2405" s="1" t="s">
        <v>1400</v>
      </c>
      <c r="E2405" s="1" t="s">
        <v>1451</v>
      </c>
      <c r="H2405" s="1" t="s">
        <v>22</v>
      </c>
      <c r="I2405" s="1" t="s">
        <v>65</v>
      </c>
      <c r="L2405" s="1">
        <v>1</v>
      </c>
      <c r="N2405" s="1">
        <v>635.4881110298677</v>
      </c>
      <c r="O2405" s="11"/>
      <c r="P2405" s="11"/>
      <c r="Q2405" s="11"/>
      <c r="R2405" s="11"/>
    </row>
    <row r="2406" spans="1:18">
      <c r="D2406" s="1" t="s">
        <v>1400</v>
      </c>
      <c r="E2406" s="1" t="s">
        <v>1452</v>
      </c>
      <c r="H2406" s="1" t="s">
        <v>22</v>
      </c>
      <c r="I2406" s="1" t="s">
        <v>65</v>
      </c>
      <c r="L2406" s="1">
        <v>1</v>
      </c>
      <c r="N2406" s="1">
        <v>0.41854262142906978</v>
      </c>
      <c r="O2406" s="11"/>
      <c r="P2406" s="11"/>
      <c r="Q2406" s="11"/>
      <c r="R2406" s="11"/>
    </row>
    <row r="2407" spans="1:18">
      <c r="D2407" s="1" t="s">
        <v>1400</v>
      </c>
      <c r="E2407" s="1" t="s">
        <v>1453</v>
      </c>
      <c r="H2407" s="1" t="s">
        <v>22</v>
      </c>
      <c r="I2407" s="1" t="s">
        <v>65</v>
      </c>
      <c r="L2407" s="1">
        <v>1</v>
      </c>
      <c r="N2407" s="1">
        <v>0.99</v>
      </c>
      <c r="O2407" s="11"/>
      <c r="P2407" s="11"/>
      <c r="Q2407" s="11"/>
      <c r="R2407" s="11"/>
    </row>
    <row r="2408" spans="1:18">
      <c r="D2408" s="1" t="s">
        <v>1400</v>
      </c>
      <c r="E2408" s="1" t="s">
        <v>1343</v>
      </c>
      <c r="F2408" s="1" t="s">
        <v>1344</v>
      </c>
      <c r="G2408" s="1" t="s">
        <v>1345</v>
      </c>
      <c r="H2408" s="1" t="s">
        <v>22</v>
      </c>
      <c r="I2408" s="1" t="s">
        <v>65</v>
      </c>
      <c r="L2408" s="1">
        <v>2.2369362919199998</v>
      </c>
      <c r="N2408" s="1">
        <v>4.7632146853760835</v>
      </c>
      <c r="O2408" s="11"/>
      <c r="P2408" s="11"/>
      <c r="Q2408" s="11"/>
      <c r="R2408" s="11"/>
    </row>
    <row r="2409" spans="1:18">
      <c r="D2409" s="1" t="s">
        <v>1400</v>
      </c>
      <c r="E2409" s="1" t="s">
        <v>1002</v>
      </c>
      <c r="F2409" s="1" t="s">
        <v>124</v>
      </c>
      <c r="G2409" s="1" t="s">
        <v>125</v>
      </c>
      <c r="H2409" s="1" t="s">
        <v>22</v>
      </c>
      <c r="I2409" s="1" t="s">
        <v>70</v>
      </c>
      <c r="L2409" s="1">
        <v>35.314666699999997</v>
      </c>
      <c r="N2409" s="1">
        <v>95.923718005838836</v>
      </c>
      <c r="O2409" s="11"/>
      <c r="P2409" s="11"/>
      <c r="Q2409" s="11"/>
      <c r="R2409" s="11"/>
    </row>
    <row r="2410" spans="1:18">
      <c r="D2410" s="1" t="s">
        <v>1400</v>
      </c>
      <c r="E2410" s="1" t="s">
        <v>1348</v>
      </c>
      <c r="F2410" s="1" t="s">
        <v>176</v>
      </c>
      <c r="G2410" s="1" t="s">
        <v>177</v>
      </c>
      <c r="H2410" s="1" t="s">
        <v>22</v>
      </c>
      <c r="I2410" s="1" t="s">
        <v>23</v>
      </c>
      <c r="J2410" s="1">
        <v>3.9370078740157466E-2</v>
      </c>
      <c r="K2410" s="1">
        <v>3.9370078740157468</v>
      </c>
      <c r="L2410" s="1">
        <v>39.370078740157467</v>
      </c>
      <c r="M2410" s="1">
        <v>0.49999999999999983</v>
      </c>
      <c r="N2410" s="1">
        <v>0.49999999999999983</v>
      </c>
      <c r="O2410" s="11"/>
      <c r="P2410" s="11"/>
      <c r="Q2410" s="11"/>
      <c r="R2410" s="11"/>
    </row>
    <row r="2411" spans="1:18">
      <c r="A2411" s="2" t="s">
        <v>1722</v>
      </c>
      <c r="B2411" s="3" t="s">
        <v>1744</v>
      </c>
      <c r="D2411" s="1" t="s">
        <v>1400</v>
      </c>
      <c r="E2411" s="1" t="s">
        <v>1454</v>
      </c>
      <c r="H2411" s="1" t="s">
        <v>25</v>
      </c>
      <c r="I2411" s="1" t="s">
        <v>23</v>
      </c>
      <c r="M2411" s="1" t="b">
        <v>1</v>
      </c>
      <c r="N2411" s="1">
        <v>1</v>
      </c>
      <c r="O2411" s="11"/>
      <c r="P2411" s="11"/>
      <c r="Q2411" s="11"/>
      <c r="R2411" s="11"/>
    </row>
    <row r="2412" spans="1:18">
      <c r="D2412" s="1" t="s">
        <v>1400</v>
      </c>
      <c r="E2412" s="1" t="s">
        <v>1455</v>
      </c>
      <c r="H2412" s="1" t="s">
        <v>25</v>
      </c>
      <c r="I2412" s="1" t="s">
        <v>23</v>
      </c>
      <c r="M2412" s="1" t="b">
        <v>0</v>
      </c>
      <c r="N2412" s="1">
        <v>0</v>
      </c>
      <c r="O2412" s="11"/>
      <c r="P2412" s="11"/>
      <c r="Q2412" s="11"/>
      <c r="R2412" s="11"/>
    </row>
    <row r="2413" spans="1:18">
      <c r="D2413" s="1" t="s">
        <v>1400</v>
      </c>
      <c r="E2413" s="1" t="s">
        <v>1456</v>
      </c>
      <c r="H2413" s="1" t="s">
        <v>25</v>
      </c>
      <c r="I2413" s="1" t="s">
        <v>23</v>
      </c>
      <c r="M2413" s="1" t="b">
        <v>1</v>
      </c>
      <c r="N2413" s="1">
        <v>1</v>
      </c>
      <c r="O2413" s="11"/>
      <c r="P2413" s="11"/>
      <c r="Q2413" s="11"/>
      <c r="R2413" s="11"/>
    </row>
    <row r="2414" spans="1:18">
      <c r="D2414" s="1" t="s">
        <v>1400</v>
      </c>
      <c r="E2414" s="1" t="s">
        <v>1354</v>
      </c>
      <c r="H2414" s="1" t="s">
        <v>22</v>
      </c>
      <c r="I2414" s="1" t="s">
        <v>23</v>
      </c>
      <c r="J2414" s="1">
        <v>0.5</v>
      </c>
      <c r="K2414" s="1">
        <v>2</v>
      </c>
      <c r="L2414" s="1">
        <v>1</v>
      </c>
      <c r="M2414" s="1">
        <v>1</v>
      </c>
      <c r="N2414" s="1">
        <v>1</v>
      </c>
      <c r="O2414" s="11"/>
      <c r="P2414" s="11"/>
      <c r="Q2414" s="11"/>
      <c r="R2414" s="11"/>
    </row>
    <row r="2415" spans="1:18">
      <c r="A2415" s="2" t="s">
        <v>1722</v>
      </c>
      <c r="B2415" s="3" t="s">
        <v>1745</v>
      </c>
      <c r="D2415" s="1" t="s">
        <v>1400</v>
      </c>
      <c r="E2415" s="1" t="s">
        <v>1457</v>
      </c>
      <c r="F2415" s="1" t="s">
        <v>147</v>
      </c>
      <c r="G2415" s="1" t="s">
        <v>148</v>
      </c>
      <c r="H2415" s="1" t="s">
        <v>22</v>
      </c>
      <c r="I2415" s="1" t="s">
        <v>23</v>
      </c>
      <c r="L2415" s="1">
        <v>3.4121416351331</v>
      </c>
      <c r="M2415" s="1">
        <v>7908000.0046472568</v>
      </c>
      <c r="N2415" s="1">
        <v>7908000.0046472568</v>
      </c>
      <c r="O2415" s="11"/>
      <c r="P2415" s="11"/>
      <c r="Q2415" s="11"/>
      <c r="R2415" s="11"/>
    </row>
    <row r="2416" spans="1:18">
      <c r="A2416" s="2" t="s">
        <v>1722</v>
      </c>
      <c r="B2416" s="3" t="s">
        <v>1746</v>
      </c>
      <c r="D2416" s="1" t="s">
        <v>1400</v>
      </c>
      <c r="E2416" s="1" t="s">
        <v>1458</v>
      </c>
      <c r="F2416" s="1" t="s">
        <v>147</v>
      </c>
      <c r="G2416" s="1" t="s">
        <v>148</v>
      </c>
      <c r="H2416" s="1" t="s">
        <v>22</v>
      </c>
      <c r="I2416" s="1" t="s">
        <v>23</v>
      </c>
      <c r="L2416" s="1">
        <v>3.4121416351331</v>
      </c>
      <c r="M2416" s="1">
        <v>6372000.0037445985</v>
      </c>
      <c r="N2416" s="1">
        <v>6372000.0037445985</v>
      </c>
      <c r="O2416" s="11"/>
      <c r="P2416" s="11"/>
      <c r="Q2416" s="11"/>
      <c r="R2416" s="11"/>
    </row>
    <row r="2417" spans="1:18">
      <c r="D2417" s="1" t="s">
        <v>1400</v>
      </c>
      <c r="E2417" s="1" t="s">
        <v>1356</v>
      </c>
      <c r="H2417" s="1" t="s">
        <v>150</v>
      </c>
      <c r="I2417" s="1" t="s">
        <v>23</v>
      </c>
      <c r="M2417" s="1" t="s">
        <v>1459</v>
      </c>
      <c r="N2417" s="1" t="s">
        <v>1827</v>
      </c>
      <c r="O2417" s="11"/>
      <c r="P2417" s="11"/>
      <c r="Q2417" s="11"/>
      <c r="R2417" s="11"/>
    </row>
    <row r="2418" spans="1:18">
      <c r="A2418" s="2" t="s">
        <v>1722</v>
      </c>
      <c r="B2418" s="3" t="s">
        <v>1747</v>
      </c>
      <c r="D2418" s="1" t="s">
        <v>1400</v>
      </c>
      <c r="E2418" s="1" t="s">
        <v>1358</v>
      </c>
      <c r="F2418" s="1" t="s">
        <v>176</v>
      </c>
      <c r="G2418" s="1" t="s">
        <v>177</v>
      </c>
      <c r="H2418" s="1" t="s">
        <v>22</v>
      </c>
      <c r="I2418" s="1" t="s">
        <v>23</v>
      </c>
      <c r="J2418" s="1">
        <v>0.39370078740157466</v>
      </c>
      <c r="K2418" s="1">
        <v>393.70078740157464</v>
      </c>
      <c r="L2418" s="1">
        <v>39.370078740157467</v>
      </c>
      <c r="M2418" s="1">
        <v>40.499999999999986</v>
      </c>
      <c r="N2418" s="1">
        <v>40.499999999999986</v>
      </c>
      <c r="O2418" s="11"/>
      <c r="P2418" s="11"/>
      <c r="Q2418" s="11"/>
      <c r="R2418" s="11"/>
    </row>
    <row r="2419" spans="1:18">
      <c r="A2419" s="2" t="s">
        <v>1722</v>
      </c>
      <c r="B2419" s="3" t="s">
        <v>1748</v>
      </c>
      <c r="D2419" s="1" t="s">
        <v>1400</v>
      </c>
      <c r="E2419" s="1" t="s">
        <v>1359</v>
      </c>
      <c r="F2419" s="1" t="s">
        <v>176</v>
      </c>
      <c r="G2419" s="1" t="s">
        <v>177</v>
      </c>
      <c r="H2419" s="1" t="s">
        <v>22</v>
      </c>
      <c r="I2419" s="1" t="s">
        <v>23</v>
      </c>
      <c r="J2419" s="1">
        <v>0</v>
      </c>
      <c r="L2419" s="1">
        <v>39.370078740157467</v>
      </c>
      <c r="M2419" s="1">
        <v>9.9999999999999964</v>
      </c>
      <c r="N2419" s="1">
        <v>9.9999999999999964</v>
      </c>
      <c r="O2419" s="11"/>
      <c r="P2419" s="11"/>
      <c r="Q2419" s="11"/>
      <c r="R2419" s="11"/>
    </row>
    <row r="2420" spans="1:18">
      <c r="D2420" s="1" t="s">
        <v>1400</v>
      </c>
      <c r="E2420" s="1" t="s">
        <v>1360</v>
      </c>
      <c r="H2420" s="1" t="s">
        <v>150</v>
      </c>
      <c r="I2420" s="1" t="s">
        <v>23</v>
      </c>
      <c r="M2420" s="1" t="s">
        <v>1460</v>
      </c>
      <c r="N2420" s="1" t="s">
        <v>1828</v>
      </c>
      <c r="O2420" s="11"/>
      <c r="P2420" s="11"/>
      <c r="Q2420" s="11"/>
      <c r="R2420" s="11"/>
    </row>
    <row r="2421" spans="1:18">
      <c r="A2421" s="2" t="s">
        <v>1722</v>
      </c>
      <c r="B2421" s="3" t="s">
        <v>1749</v>
      </c>
      <c r="D2421" s="1" t="s">
        <v>1400</v>
      </c>
      <c r="E2421" s="1" t="s">
        <v>1362</v>
      </c>
      <c r="F2421" s="1" t="s">
        <v>176</v>
      </c>
      <c r="G2421" s="1" t="s">
        <v>177</v>
      </c>
      <c r="H2421" s="1" t="s">
        <v>22</v>
      </c>
      <c r="I2421" s="1" t="s">
        <v>23</v>
      </c>
      <c r="J2421" s="1">
        <v>3.9370078740157468</v>
      </c>
      <c r="K2421" s="1">
        <v>393.70078740157464</v>
      </c>
      <c r="L2421" s="1">
        <v>39.370078740157467</v>
      </c>
      <c r="M2421" s="1">
        <v>164.49999999999994</v>
      </c>
      <c r="N2421" s="1">
        <v>164.49999999999994</v>
      </c>
      <c r="O2421" s="11"/>
      <c r="P2421" s="11"/>
      <c r="Q2421" s="11"/>
      <c r="R2421" s="11"/>
    </row>
    <row r="2422" spans="1:18">
      <c r="D2422" s="1" t="s">
        <v>1400</v>
      </c>
      <c r="E2422" s="1" t="s">
        <v>1363</v>
      </c>
      <c r="H2422" s="1" t="s">
        <v>63</v>
      </c>
      <c r="I2422" s="1" t="s">
        <v>23</v>
      </c>
      <c r="M2422" s="1">
        <v>3</v>
      </c>
      <c r="N2422" s="1">
        <v>3</v>
      </c>
      <c r="O2422" s="11"/>
      <c r="P2422" s="11"/>
      <c r="Q2422" s="11"/>
      <c r="R2422" s="11"/>
    </row>
    <row r="2423" spans="1:18">
      <c r="D2423" s="1" t="s">
        <v>1400</v>
      </c>
      <c r="E2423" s="1" t="s">
        <v>1364</v>
      </c>
      <c r="H2423" s="1" t="s">
        <v>63</v>
      </c>
      <c r="I2423" s="1" t="s">
        <v>23</v>
      </c>
      <c r="M2423" s="1">
        <v>1</v>
      </c>
      <c r="N2423" s="1">
        <v>1</v>
      </c>
      <c r="O2423" s="11"/>
      <c r="P2423" s="11"/>
      <c r="Q2423" s="11"/>
      <c r="R2423" s="11"/>
    </row>
    <row r="2424" spans="1:18">
      <c r="D2424" s="1" t="s">
        <v>1400</v>
      </c>
      <c r="E2424" s="1" t="s">
        <v>1365</v>
      </c>
      <c r="H2424" s="1" t="s">
        <v>63</v>
      </c>
      <c r="I2424" s="1" t="s">
        <v>70</v>
      </c>
      <c r="N2424" s="1">
        <v>2</v>
      </c>
      <c r="O2424" s="11"/>
      <c r="P2424" s="11"/>
      <c r="Q2424" s="11"/>
      <c r="R2424" s="11"/>
    </row>
    <row r="2425" spans="1:18">
      <c r="A2425" s="2" t="s">
        <v>1722</v>
      </c>
      <c r="B2425" s="3" t="s">
        <v>1750</v>
      </c>
      <c r="D2425" s="1" t="s">
        <v>1400</v>
      </c>
      <c r="E2425" s="1" t="s">
        <v>1366</v>
      </c>
      <c r="H2425" s="1" t="s">
        <v>63</v>
      </c>
      <c r="I2425" s="1" t="s">
        <v>23</v>
      </c>
      <c r="M2425" s="1">
        <v>322</v>
      </c>
      <c r="N2425" s="1">
        <v>322</v>
      </c>
      <c r="O2425" s="11"/>
      <c r="P2425" s="11"/>
      <c r="Q2425" s="11"/>
      <c r="R2425" s="11"/>
    </row>
    <row r="2426" spans="1:18">
      <c r="A2426" s="2" t="s">
        <v>1722</v>
      </c>
      <c r="B2426" s="3" t="s">
        <v>1751</v>
      </c>
      <c r="D2426" s="1" t="s">
        <v>1400</v>
      </c>
      <c r="E2426" s="1" t="s">
        <v>1367</v>
      </c>
      <c r="H2426" s="1" t="s">
        <v>63</v>
      </c>
      <c r="I2426" s="1" t="s">
        <v>23</v>
      </c>
      <c r="M2426" s="1">
        <v>322</v>
      </c>
      <c r="N2426" s="1">
        <v>322</v>
      </c>
      <c r="O2426" s="11"/>
      <c r="P2426" s="11"/>
      <c r="Q2426" s="11"/>
      <c r="R2426" s="11"/>
    </row>
    <row r="2427" spans="1:18">
      <c r="D2427" s="1" t="s">
        <v>1400</v>
      </c>
      <c r="E2427" s="1" t="s">
        <v>1368</v>
      </c>
      <c r="H2427" s="1" t="s">
        <v>63</v>
      </c>
      <c r="I2427" s="1" t="s">
        <v>23</v>
      </c>
      <c r="M2427" s="1">
        <v>0</v>
      </c>
      <c r="N2427" s="1">
        <v>0</v>
      </c>
      <c r="O2427" s="11"/>
      <c r="P2427" s="11"/>
      <c r="Q2427" s="11"/>
      <c r="R2427" s="11"/>
    </row>
    <row r="2428" spans="1:18">
      <c r="D2428" s="1" t="s">
        <v>1400</v>
      </c>
      <c r="E2428" s="1" t="s">
        <v>1369</v>
      </c>
      <c r="H2428" s="1" t="s">
        <v>63</v>
      </c>
      <c r="I2428" s="1" t="s">
        <v>23</v>
      </c>
      <c r="M2428" s="1">
        <v>0</v>
      </c>
      <c r="N2428" s="1">
        <v>0</v>
      </c>
      <c r="O2428" s="11"/>
      <c r="P2428" s="11"/>
      <c r="Q2428" s="11"/>
      <c r="R2428" s="11"/>
    </row>
    <row r="2429" spans="1:18">
      <c r="D2429" s="1" t="s">
        <v>1400</v>
      </c>
      <c r="E2429" s="1" t="s">
        <v>1372</v>
      </c>
      <c r="F2429" s="1" t="s">
        <v>176</v>
      </c>
      <c r="G2429" s="1" t="s">
        <v>177</v>
      </c>
      <c r="H2429" s="1" t="s">
        <v>22</v>
      </c>
      <c r="I2429" s="1" t="s">
        <v>23</v>
      </c>
      <c r="J2429" s="1">
        <v>3.9370078740157471E-3</v>
      </c>
      <c r="K2429" s="1">
        <v>3.1496062992125973</v>
      </c>
      <c r="L2429" s="1">
        <v>39.370078740157467</v>
      </c>
      <c r="M2429" s="1">
        <v>0.31496062992125973</v>
      </c>
      <c r="N2429" s="1">
        <v>0.31496062992125973</v>
      </c>
      <c r="O2429" s="11"/>
      <c r="P2429" s="11"/>
      <c r="Q2429" s="11"/>
      <c r="R2429" s="11"/>
    </row>
    <row r="2430" spans="1:18">
      <c r="D2430" s="1" t="s">
        <v>1400</v>
      </c>
      <c r="E2430" s="1" t="s">
        <v>1461</v>
      </c>
      <c r="F2430" s="1" t="s">
        <v>124</v>
      </c>
      <c r="G2430" s="1" t="s">
        <v>125</v>
      </c>
      <c r="H2430" s="1" t="s">
        <v>22</v>
      </c>
      <c r="I2430" s="1" t="s">
        <v>23</v>
      </c>
      <c r="L2430" s="1">
        <v>35.314666699999997</v>
      </c>
      <c r="M2430" s="1">
        <v>0</v>
      </c>
      <c r="N2430" s="1">
        <v>0</v>
      </c>
      <c r="O2430" s="11"/>
      <c r="P2430" s="11"/>
      <c r="Q2430" s="11"/>
      <c r="R2430" s="11"/>
    </row>
    <row r="2431" spans="1:18">
      <c r="D2431" s="1" t="s">
        <v>1400</v>
      </c>
      <c r="E2431" s="1" t="s">
        <v>1393</v>
      </c>
      <c r="H2431" s="1" t="s">
        <v>63</v>
      </c>
      <c r="I2431" s="1" t="s">
        <v>23</v>
      </c>
      <c r="M2431" s="1">
        <v>150</v>
      </c>
      <c r="N2431" s="1">
        <v>150</v>
      </c>
      <c r="O2431" s="11"/>
      <c r="P2431" s="11"/>
      <c r="Q2431" s="11"/>
      <c r="R2431" s="11"/>
    </row>
    <row r="2432" spans="1:18">
      <c r="D2432" s="1" t="s">
        <v>1400</v>
      </c>
      <c r="E2432" s="1" t="s">
        <v>1394</v>
      </c>
      <c r="H2432" s="1" t="s">
        <v>181</v>
      </c>
      <c r="I2432" s="1" t="s">
        <v>23</v>
      </c>
      <c r="J2432" s="1">
        <v>1</v>
      </c>
      <c r="K2432" s="1">
        <v>2</v>
      </c>
      <c r="M2432" s="1" t="s">
        <v>1395</v>
      </c>
      <c r="N2432" s="1" t="s">
        <v>1823</v>
      </c>
      <c r="O2432" s="11"/>
      <c r="P2432" s="11"/>
      <c r="Q2432" s="11"/>
      <c r="R2432" s="11"/>
    </row>
    <row r="2433" spans="1:18">
      <c r="D2433" s="1" t="s">
        <v>1462</v>
      </c>
      <c r="H2433" s="1" t="s">
        <v>25</v>
      </c>
      <c r="I2433" s="1" t="s">
        <v>23</v>
      </c>
      <c r="M2433" s="1" t="b">
        <v>0</v>
      </c>
      <c r="N2433" s="1">
        <v>0</v>
      </c>
      <c r="O2433" s="11"/>
      <c r="P2433" s="11"/>
      <c r="Q2433" s="11"/>
      <c r="R2433" s="11"/>
    </row>
    <row r="2434" spans="1:18">
      <c r="D2434" s="1" t="s">
        <v>1463</v>
      </c>
      <c r="H2434" s="1" t="s">
        <v>22</v>
      </c>
      <c r="I2434" s="1" t="s">
        <v>23</v>
      </c>
      <c r="L2434" s="1">
        <v>1</v>
      </c>
      <c r="M2434" s="1">
        <v>0.92</v>
      </c>
      <c r="N2434" s="1">
        <v>0.92</v>
      </c>
      <c r="O2434" s="11"/>
      <c r="P2434" s="11"/>
      <c r="Q2434" s="11"/>
      <c r="R2434" s="11"/>
    </row>
    <row r="2435" spans="1:18">
      <c r="D2435" s="1" t="s">
        <v>1464</v>
      </c>
      <c r="F2435" s="1" t="s">
        <v>41</v>
      </c>
      <c r="G2435" s="1" t="s">
        <v>42</v>
      </c>
      <c r="H2435" s="1" t="s">
        <v>22</v>
      </c>
      <c r="I2435" s="1" t="s">
        <v>23</v>
      </c>
      <c r="L2435" s="1">
        <v>1.8</v>
      </c>
      <c r="M2435" s="1">
        <v>9</v>
      </c>
      <c r="N2435" s="1">
        <v>9</v>
      </c>
      <c r="O2435" s="11"/>
      <c r="P2435" s="11"/>
      <c r="Q2435" s="11"/>
      <c r="R2435" s="11"/>
    </row>
    <row r="2436" spans="1:18">
      <c r="D2436" s="1" t="s">
        <v>1465</v>
      </c>
      <c r="E2436" s="1" t="s">
        <v>1466</v>
      </c>
      <c r="H2436" s="1" t="s">
        <v>22</v>
      </c>
      <c r="I2436" s="1" t="s">
        <v>23</v>
      </c>
      <c r="L2436" s="1">
        <v>1</v>
      </c>
      <c r="M2436" s="1">
        <v>1.0214000000000001E-5</v>
      </c>
      <c r="N2436" s="1">
        <v>1.0214000000000001E-5</v>
      </c>
      <c r="O2436" s="11"/>
      <c r="P2436" s="11"/>
      <c r="Q2436" s="11"/>
      <c r="R2436" s="11"/>
    </row>
    <row r="2437" spans="1:18">
      <c r="D2437" s="1" t="s">
        <v>1465</v>
      </c>
      <c r="E2437" s="1" t="s">
        <v>108</v>
      </c>
      <c r="F2437" s="1" t="s">
        <v>35</v>
      </c>
      <c r="G2437" s="1" t="s">
        <v>36</v>
      </c>
      <c r="H2437" s="1" t="s">
        <v>22</v>
      </c>
      <c r="I2437" s="1" t="s">
        <v>23</v>
      </c>
      <c r="J2437" s="1">
        <v>-459.67</v>
      </c>
      <c r="L2437" s="1">
        <v>80.329999999999984</v>
      </c>
      <c r="M2437" s="1">
        <v>49.999999999999943</v>
      </c>
      <c r="N2437" s="1">
        <v>49.999999999999943</v>
      </c>
      <c r="O2437" s="11"/>
      <c r="P2437" s="11"/>
      <c r="Q2437" s="11"/>
      <c r="R2437" s="11"/>
    </row>
    <row r="2438" spans="1:18">
      <c r="D2438" s="1" t="s">
        <v>1465</v>
      </c>
      <c r="E2438" s="1" t="s">
        <v>111</v>
      </c>
      <c r="F2438" s="1" t="s">
        <v>56</v>
      </c>
      <c r="G2438" s="1" t="s">
        <v>57</v>
      </c>
      <c r="H2438" s="1" t="s">
        <v>22</v>
      </c>
      <c r="I2438" s="1" t="s">
        <v>23</v>
      </c>
      <c r="L2438" s="1">
        <v>1.4503773773020921E-4</v>
      </c>
      <c r="M2438" s="1">
        <v>7.2518868865104604E-3</v>
      </c>
      <c r="N2438" s="1">
        <v>7.2518868865104604E-3</v>
      </c>
      <c r="O2438" s="11"/>
      <c r="P2438" s="11"/>
      <c r="Q2438" s="11"/>
      <c r="R2438" s="11"/>
    </row>
    <row r="2439" spans="1:18">
      <c r="D2439" s="1" t="s">
        <v>1465</v>
      </c>
      <c r="E2439" s="1" t="s">
        <v>47</v>
      </c>
      <c r="H2439" s="1" t="s">
        <v>25</v>
      </c>
      <c r="I2439" s="1" t="s">
        <v>23</v>
      </c>
      <c r="M2439" s="1" t="b">
        <v>0</v>
      </c>
      <c r="N2439" s="1">
        <v>0</v>
      </c>
      <c r="O2439" s="11"/>
      <c r="P2439" s="11"/>
      <c r="Q2439" s="11"/>
      <c r="R2439" s="11"/>
    </row>
    <row r="2440" spans="1:18">
      <c r="D2440" s="1" t="s">
        <v>1465</v>
      </c>
      <c r="E2440" s="1" t="s">
        <v>1467</v>
      </c>
      <c r="H2440" s="1" t="s">
        <v>22</v>
      </c>
      <c r="I2440" s="1" t="s">
        <v>23</v>
      </c>
      <c r="L2440" s="1">
        <v>1</v>
      </c>
      <c r="M2440" s="1">
        <v>1.9381999999999999</v>
      </c>
      <c r="N2440" s="1">
        <v>1.9381999999999999</v>
      </c>
      <c r="O2440" s="11"/>
      <c r="P2440" s="11"/>
      <c r="Q2440" s="11"/>
      <c r="R2440" s="11"/>
    </row>
    <row r="2441" spans="1:18">
      <c r="D2441" s="1" t="s">
        <v>1465</v>
      </c>
      <c r="E2441" s="1" t="s">
        <v>112</v>
      </c>
      <c r="F2441" s="1" t="s">
        <v>56</v>
      </c>
      <c r="G2441" s="1" t="s">
        <v>57</v>
      </c>
      <c r="H2441" s="1" t="s">
        <v>22</v>
      </c>
      <c r="I2441" s="1" t="s">
        <v>29</v>
      </c>
      <c r="J2441" s="1">
        <v>4.9312830828271128</v>
      </c>
      <c r="K2441" s="1">
        <v>623.66227223989961</v>
      </c>
      <c r="L2441" s="1">
        <v>50.713895374744951</v>
      </c>
      <c r="N2441" s="1">
        <v>52.365935601344113</v>
      </c>
      <c r="O2441" s="11"/>
      <c r="P2441" s="11"/>
      <c r="Q2441" s="11"/>
      <c r="R2441" s="11"/>
    </row>
    <row r="2442" spans="1:18">
      <c r="D2442" s="1" t="s">
        <v>1465</v>
      </c>
      <c r="E2442" s="1" t="s">
        <v>62</v>
      </c>
      <c r="H2442" s="1" t="s">
        <v>63</v>
      </c>
      <c r="I2442" s="1" t="s">
        <v>23</v>
      </c>
      <c r="M2442" s="1">
        <v>1</v>
      </c>
      <c r="N2442" s="1">
        <v>1</v>
      </c>
      <c r="O2442" s="11"/>
      <c r="P2442" s="11"/>
      <c r="Q2442" s="11"/>
      <c r="R2442" s="11"/>
    </row>
    <row r="2443" spans="1:18">
      <c r="D2443" s="1" t="s">
        <v>1468</v>
      </c>
      <c r="E2443" s="1" t="s">
        <v>1469</v>
      </c>
      <c r="F2443" s="1" t="s">
        <v>1041</v>
      </c>
      <c r="G2443" s="1" t="s">
        <v>1042</v>
      </c>
      <c r="H2443" s="1" t="s">
        <v>22</v>
      </c>
      <c r="I2443" s="1" t="s">
        <v>23</v>
      </c>
      <c r="L2443" s="1">
        <v>0.17611018362408509</v>
      </c>
      <c r="M2443" s="1">
        <v>0</v>
      </c>
      <c r="N2443" s="1">
        <v>0</v>
      </c>
      <c r="O2443" s="11"/>
      <c r="P2443" s="11"/>
      <c r="Q2443" s="11"/>
      <c r="R2443" s="11"/>
    </row>
    <row r="2444" spans="1:18">
      <c r="D2444" s="1" t="s">
        <v>1468</v>
      </c>
      <c r="E2444" s="1" t="s">
        <v>1470</v>
      </c>
      <c r="H2444" s="1" t="s">
        <v>22</v>
      </c>
      <c r="I2444" s="1" t="s">
        <v>23</v>
      </c>
      <c r="J2444" s="1">
        <v>0.5</v>
      </c>
      <c r="K2444" s="1">
        <v>2</v>
      </c>
      <c r="L2444" s="1">
        <v>1</v>
      </c>
      <c r="M2444" s="1">
        <v>1</v>
      </c>
      <c r="N2444" s="1">
        <v>1</v>
      </c>
      <c r="O2444" s="11"/>
      <c r="P2444" s="11"/>
      <c r="Q2444" s="11"/>
      <c r="R2444" s="11"/>
    </row>
    <row r="2445" spans="1:18">
      <c r="D2445" s="1" t="s">
        <v>1468</v>
      </c>
      <c r="E2445" s="1" t="s">
        <v>1471</v>
      </c>
      <c r="F2445" s="1" t="s">
        <v>176</v>
      </c>
      <c r="G2445" s="1" t="s">
        <v>177</v>
      </c>
      <c r="H2445" s="1" t="s">
        <v>22</v>
      </c>
      <c r="I2445" s="1" t="s">
        <v>23</v>
      </c>
      <c r="J2445" s="1">
        <v>3.9370078740157466E-2</v>
      </c>
      <c r="K2445" s="1">
        <v>78.740157480314934</v>
      </c>
      <c r="L2445" s="1">
        <v>39.370078740157467</v>
      </c>
      <c r="M2445" s="1">
        <v>19.685039370078734</v>
      </c>
      <c r="N2445" s="1">
        <v>19.685039370078734</v>
      </c>
      <c r="O2445" s="11"/>
      <c r="P2445" s="11"/>
      <c r="Q2445" s="11"/>
      <c r="R2445" s="11"/>
    </row>
    <row r="2446" spans="1:18">
      <c r="D2446" s="1" t="s">
        <v>1468</v>
      </c>
      <c r="E2446" s="1" t="s">
        <v>1472</v>
      </c>
      <c r="H2446" s="1" t="s">
        <v>25</v>
      </c>
      <c r="I2446" s="1" t="s">
        <v>23</v>
      </c>
      <c r="M2446" s="1" t="b">
        <v>0</v>
      </c>
      <c r="N2446" s="1">
        <v>0</v>
      </c>
      <c r="O2446" s="11"/>
      <c r="P2446" s="11"/>
      <c r="Q2446" s="11"/>
      <c r="R2446" s="11"/>
    </row>
    <row r="2447" spans="1:18">
      <c r="D2447" s="1" t="s">
        <v>1468</v>
      </c>
      <c r="E2447" s="1" t="s">
        <v>1473</v>
      </c>
      <c r="F2447" s="1" t="s">
        <v>176</v>
      </c>
      <c r="G2447" s="1" t="s">
        <v>177</v>
      </c>
      <c r="H2447" s="1" t="s">
        <v>22</v>
      </c>
      <c r="I2447" s="1" t="s">
        <v>23</v>
      </c>
      <c r="J2447" s="1">
        <v>3.9370078740157466E-2</v>
      </c>
      <c r="K2447" s="1">
        <v>78.740157480314934</v>
      </c>
      <c r="L2447" s="1">
        <v>39.370078740157467</v>
      </c>
      <c r="M2447" s="1">
        <v>7.8740157480314936</v>
      </c>
      <c r="N2447" s="1">
        <v>7.8740157480314936</v>
      </c>
      <c r="O2447" s="11"/>
      <c r="P2447" s="11"/>
      <c r="Q2447" s="11"/>
      <c r="R2447" s="11"/>
    </row>
    <row r="2448" spans="1:18">
      <c r="A2448" s="2" t="s">
        <v>1722</v>
      </c>
      <c r="B2448" s="3" t="s">
        <v>1848</v>
      </c>
      <c r="D2448" s="1" t="s">
        <v>1468</v>
      </c>
      <c r="E2448" s="1" t="s">
        <v>1474</v>
      </c>
      <c r="H2448" s="1" t="s">
        <v>25</v>
      </c>
      <c r="I2448" s="1" t="s">
        <v>23</v>
      </c>
      <c r="M2448" s="1" t="b">
        <v>0</v>
      </c>
      <c r="N2448" s="1">
        <v>0</v>
      </c>
      <c r="O2448" s="11"/>
      <c r="P2448" s="11"/>
      <c r="Q2448" s="11"/>
      <c r="R2448" s="11"/>
    </row>
    <row r="2449" spans="4:18">
      <c r="D2449" s="1" t="s">
        <v>1468</v>
      </c>
      <c r="E2449" s="1" t="s">
        <v>47</v>
      </c>
      <c r="H2449" s="1" t="s">
        <v>25</v>
      </c>
      <c r="I2449" s="1" t="s">
        <v>23</v>
      </c>
      <c r="M2449" s="1" t="b">
        <v>0</v>
      </c>
      <c r="N2449" s="1">
        <v>0</v>
      </c>
      <c r="O2449" s="11"/>
      <c r="P2449" s="11"/>
      <c r="Q2449" s="11"/>
      <c r="R2449" s="11"/>
    </row>
    <row r="2450" spans="4:18">
      <c r="D2450" s="1" t="s">
        <v>1468</v>
      </c>
      <c r="E2450" s="1" t="s">
        <v>1475</v>
      </c>
      <c r="H2450" s="1" t="s">
        <v>25</v>
      </c>
      <c r="I2450" s="1" t="s">
        <v>23</v>
      </c>
      <c r="M2450" s="1" t="b">
        <v>1</v>
      </c>
      <c r="N2450" s="1">
        <v>1</v>
      </c>
      <c r="O2450" s="11"/>
      <c r="P2450" s="11"/>
      <c r="Q2450" s="11"/>
      <c r="R2450" s="11"/>
    </row>
    <row r="2451" spans="4:18">
      <c r="D2451" s="1" t="s">
        <v>1468</v>
      </c>
      <c r="E2451" s="1" t="s">
        <v>1476</v>
      </c>
      <c r="F2451" s="1" t="s">
        <v>176</v>
      </c>
      <c r="G2451" s="1" t="s">
        <v>177</v>
      </c>
      <c r="H2451" s="1" t="s">
        <v>22</v>
      </c>
      <c r="I2451" s="1" t="s">
        <v>23</v>
      </c>
      <c r="J2451" s="1">
        <v>3.9370078740157466E-2</v>
      </c>
      <c r="L2451" s="1">
        <v>39.370078740157467</v>
      </c>
      <c r="M2451" s="1">
        <v>3.9370078740157468</v>
      </c>
      <c r="N2451" s="1">
        <v>3.9370078740157468</v>
      </c>
      <c r="O2451" s="11"/>
      <c r="P2451" s="11"/>
      <c r="Q2451" s="11"/>
      <c r="R2451" s="11"/>
    </row>
    <row r="2452" spans="4:18">
      <c r="D2452" s="1" t="s">
        <v>1468</v>
      </c>
      <c r="E2452" s="1" t="s">
        <v>1477</v>
      </c>
      <c r="F2452" s="1" t="s">
        <v>45</v>
      </c>
      <c r="G2452" s="1" t="s">
        <v>46</v>
      </c>
      <c r="H2452" s="1" t="s">
        <v>22</v>
      </c>
      <c r="I2452" s="1" t="s">
        <v>29</v>
      </c>
      <c r="J2452" s="1">
        <v>-6.3932502128443591</v>
      </c>
      <c r="K2452" s="1">
        <v>358.61435929656</v>
      </c>
      <c r="L2452" s="1">
        <v>114.79148749423418</v>
      </c>
      <c r="N2452" s="1">
        <v>38.095799891296359</v>
      </c>
      <c r="O2452" s="11"/>
      <c r="P2452" s="11"/>
      <c r="Q2452" s="11"/>
      <c r="R2452" s="11"/>
    </row>
    <row r="2453" spans="4:18">
      <c r="D2453" s="1" t="s">
        <v>1468</v>
      </c>
      <c r="E2453" s="1" t="s">
        <v>1478</v>
      </c>
      <c r="F2453" s="1" t="s">
        <v>56</v>
      </c>
      <c r="G2453" s="1" t="s">
        <v>57</v>
      </c>
      <c r="H2453" s="1" t="s">
        <v>22</v>
      </c>
      <c r="I2453" s="1" t="s">
        <v>29</v>
      </c>
      <c r="J2453" s="1">
        <v>4.9312830828271128</v>
      </c>
      <c r="K2453" s="1">
        <v>623.66227223989961</v>
      </c>
      <c r="L2453" s="1">
        <v>50.713895374744951</v>
      </c>
      <c r="N2453" s="1">
        <v>92.062658125001619</v>
      </c>
      <c r="O2453" s="11"/>
      <c r="P2453" s="11"/>
      <c r="Q2453" s="11"/>
      <c r="R2453" s="11"/>
    </row>
    <row r="2454" spans="4:18">
      <c r="D2454" s="1" t="s">
        <v>1468</v>
      </c>
      <c r="E2454" s="1" t="s">
        <v>1479</v>
      </c>
      <c r="F2454" s="1" t="s">
        <v>52</v>
      </c>
      <c r="G2454" s="1" t="s">
        <v>53</v>
      </c>
      <c r="H2454" s="1" t="s">
        <v>22</v>
      </c>
      <c r="I2454" s="1" t="s">
        <v>29</v>
      </c>
      <c r="J2454" s="1">
        <v>-793664.14386555995</v>
      </c>
      <c r="K2454" s="1">
        <v>-7.9366414386555992E-3</v>
      </c>
      <c r="L2454" s="1">
        <v>7936.6414386555998</v>
      </c>
      <c r="N2454" s="1">
        <v>-166380.48880651718</v>
      </c>
      <c r="O2454" s="11"/>
      <c r="P2454" s="11"/>
      <c r="Q2454" s="11"/>
      <c r="R2454" s="11"/>
    </row>
    <row r="2455" spans="4:18">
      <c r="D2455" s="1" t="s">
        <v>1468</v>
      </c>
      <c r="E2455" s="1" t="s">
        <v>1480</v>
      </c>
      <c r="F2455" s="1" t="s">
        <v>52</v>
      </c>
      <c r="G2455" s="1" t="s">
        <v>53</v>
      </c>
      <c r="H2455" s="1" t="s">
        <v>22</v>
      </c>
      <c r="I2455" s="1" t="s">
        <v>29</v>
      </c>
      <c r="J2455" s="1">
        <v>-793664.14386555995</v>
      </c>
      <c r="K2455" s="1">
        <v>-7.9366414386555992E-3</v>
      </c>
      <c r="L2455" s="1">
        <v>7936.6414386555998</v>
      </c>
      <c r="N2455" s="1">
        <v>-15583.590275430581</v>
      </c>
      <c r="O2455" s="11"/>
      <c r="P2455" s="11"/>
      <c r="Q2455" s="11"/>
      <c r="R2455" s="11"/>
    </row>
    <row r="2456" spans="4:18">
      <c r="D2456" s="1" t="s">
        <v>1468</v>
      </c>
      <c r="E2456" s="1" t="s">
        <v>1481</v>
      </c>
      <c r="F2456" s="1" t="s">
        <v>118</v>
      </c>
      <c r="G2456" s="1" t="s">
        <v>119</v>
      </c>
      <c r="H2456" s="1" t="s">
        <v>22</v>
      </c>
      <c r="I2456" s="1" t="s">
        <v>23</v>
      </c>
      <c r="J2456" s="1">
        <v>0</v>
      </c>
      <c r="L2456" s="1">
        <v>2.20462262185</v>
      </c>
      <c r="M2456" s="1">
        <v>5.5115565546249998</v>
      </c>
      <c r="N2456" s="1">
        <v>5.5115565546249998</v>
      </c>
      <c r="O2456" s="11"/>
      <c r="P2456" s="11"/>
      <c r="Q2456" s="11"/>
      <c r="R2456" s="11"/>
    </row>
    <row r="2457" spans="4:18">
      <c r="D2457" s="1" t="s">
        <v>1468</v>
      </c>
      <c r="E2457" s="1" t="s">
        <v>1482</v>
      </c>
      <c r="H2457" s="1" t="s">
        <v>25</v>
      </c>
      <c r="I2457" s="1" t="s">
        <v>23</v>
      </c>
      <c r="M2457" s="1" t="b">
        <v>0</v>
      </c>
      <c r="N2457" s="1">
        <v>0</v>
      </c>
      <c r="O2457" s="11"/>
      <c r="P2457" s="11"/>
      <c r="Q2457" s="11"/>
      <c r="R2457" s="11"/>
    </row>
    <row r="2458" spans="4:18">
      <c r="D2458" s="1" t="s">
        <v>1468</v>
      </c>
      <c r="E2458" s="1" t="s">
        <v>1081</v>
      </c>
      <c r="H2458" s="1" t="s">
        <v>22</v>
      </c>
      <c r="I2458" s="1" t="s">
        <v>23</v>
      </c>
      <c r="L2458" s="1">
        <v>1</v>
      </c>
      <c r="M2458" s="1">
        <v>0.5</v>
      </c>
      <c r="N2458" s="1">
        <v>0.5</v>
      </c>
      <c r="O2458" s="11"/>
      <c r="P2458" s="11"/>
      <c r="Q2458" s="11"/>
      <c r="R2458" s="11"/>
    </row>
    <row r="2459" spans="4:18">
      <c r="D2459" s="1" t="s">
        <v>1468</v>
      </c>
      <c r="E2459" s="1" t="s">
        <v>1483</v>
      </c>
      <c r="H2459" s="1" t="s">
        <v>22</v>
      </c>
      <c r="I2459" s="1" t="s">
        <v>23</v>
      </c>
      <c r="L2459" s="1">
        <v>1</v>
      </c>
      <c r="M2459" s="1">
        <v>1E-10</v>
      </c>
      <c r="N2459" s="1">
        <v>1E-10</v>
      </c>
      <c r="O2459" s="11"/>
      <c r="P2459" s="11"/>
      <c r="Q2459" s="11"/>
      <c r="R2459" s="11"/>
    </row>
    <row r="2460" spans="4:18">
      <c r="D2460" s="1" t="s">
        <v>1468</v>
      </c>
      <c r="E2460" s="1" t="s">
        <v>1298</v>
      </c>
      <c r="F2460" s="1" t="s">
        <v>147</v>
      </c>
      <c r="G2460" s="1" t="s">
        <v>148</v>
      </c>
      <c r="H2460" s="1" t="s">
        <v>22</v>
      </c>
      <c r="I2460" s="1" t="s">
        <v>65</v>
      </c>
      <c r="L2460" s="1">
        <v>3.4121416351331</v>
      </c>
      <c r="N2460" s="1">
        <v>0</v>
      </c>
      <c r="O2460" s="11"/>
      <c r="P2460" s="11"/>
      <c r="Q2460" s="11"/>
      <c r="R2460" s="11"/>
    </row>
    <row r="2461" spans="4:18">
      <c r="D2461" s="1" t="s">
        <v>1468</v>
      </c>
      <c r="E2461" s="1" t="s">
        <v>1484</v>
      </c>
      <c r="F2461" s="1" t="s">
        <v>35</v>
      </c>
      <c r="G2461" s="1" t="s">
        <v>36</v>
      </c>
      <c r="H2461" s="1" t="s">
        <v>22</v>
      </c>
      <c r="I2461" s="1" t="s">
        <v>65</v>
      </c>
      <c r="J2461" s="1">
        <v>-459.67</v>
      </c>
      <c r="L2461" s="1">
        <v>80.329999999999984</v>
      </c>
      <c r="N2461" s="1">
        <v>74.16847969180327</v>
      </c>
      <c r="O2461" s="11"/>
      <c r="P2461" s="11"/>
      <c r="Q2461" s="11"/>
      <c r="R2461" s="11"/>
    </row>
    <row r="2462" spans="4:18">
      <c r="D2462" s="1" t="s">
        <v>1468</v>
      </c>
      <c r="E2462" s="1" t="s">
        <v>1485</v>
      </c>
      <c r="F2462" s="1" t="s">
        <v>35</v>
      </c>
      <c r="G2462" s="1" t="s">
        <v>36</v>
      </c>
      <c r="H2462" s="1" t="s">
        <v>22</v>
      </c>
      <c r="I2462" s="1" t="s">
        <v>65</v>
      </c>
      <c r="J2462" s="1">
        <v>-459.67</v>
      </c>
      <c r="L2462" s="1">
        <v>80.329999999999984</v>
      </c>
      <c r="N2462" s="1">
        <v>74.16847969180327</v>
      </c>
      <c r="O2462" s="11"/>
      <c r="P2462" s="11"/>
      <c r="Q2462" s="11"/>
      <c r="R2462" s="11"/>
    </row>
    <row r="2463" spans="4:18">
      <c r="D2463" s="1" t="s">
        <v>1468</v>
      </c>
      <c r="E2463" s="1" t="s">
        <v>1486</v>
      </c>
      <c r="F2463" s="1" t="s">
        <v>124</v>
      </c>
      <c r="G2463" s="1" t="s">
        <v>125</v>
      </c>
      <c r="H2463" s="1" t="s">
        <v>22</v>
      </c>
      <c r="I2463" s="1" t="s">
        <v>65</v>
      </c>
      <c r="L2463" s="1">
        <v>35.314666699999997</v>
      </c>
      <c r="N2463" s="1">
        <v>0.69340185917932462</v>
      </c>
      <c r="O2463" s="11"/>
      <c r="P2463" s="11"/>
      <c r="Q2463" s="11"/>
      <c r="R2463" s="11"/>
    </row>
    <row r="2464" spans="4:18">
      <c r="D2464" s="1" t="s">
        <v>1468</v>
      </c>
      <c r="E2464" s="1" t="s">
        <v>1487</v>
      </c>
      <c r="F2464" s="1" t="s">
        <v>124</v>
      </c>
      <c r="G2464" s="1" t="s">
        <v>125</v>
      </c>
      <c r="H2464" s="1" t="s">
        <v>22</v>
      </c>
      <c r="I2464" s="1" t="s">
        <v>65</v>
      </c>
      <c r="L2464" s="1">
        <v>35.314666699999997</v>
      </c>
      <c r="N2464" s="1">
        <v>0.6934018587296843</v>
      </c>
      <c r="O2464" s="11"/>
      <c r="P2464" s="11"/>
      <c r="Q2464" s="11"/>
      <c r="R2464" s="11"/>
    </row>
    <row r="2465" spans="4:18">
      <c r="D2465" s="1" t="s">
        <v>1468</v>
      </c>
      <c r="E2465" s="1" t="s">
        <v>1448</v>
      </c>
      <c r="H2465" s="1" t="s">
        <v>22</v>
      </c>
      <c r="I2465" s="1" t="s">
        <v>120</v>
      </c>
      <c r="L2465" s="1">
        <v>1</v>
      </c>
      <c r="N2465" s="1">
        <v>1</v>
      </c>
      <c r="O2465" s="11"/>
      <c r="P2465" s="11"/>
      <c r="Q2465" s="11"/>
      <c r="R2465" s="11"/>
    </row>
    <row r="2466" spans="4:18">
      <c r="D2466" s="1" t="s">
        <v>1468</v>
      </c>
      <c r="E2466" s="1" t="s">
        <v>68</v>
      </c>
      <c r="F2466" s="1" t="s">
        <v>45</v>
      </c>
      <c r="G2466" s="1" t="s">
        <v>46</v>
      </c>
      <c r="H2466" s="1" t="s">
        <v>22</v>
      </c>
      <c r="I2466" s="1" t="s">
        <v>65</v>
      </c>
      <c r="L2466" s="1">
        <v>4.2992261378713571E-4</v>
      </c>
      <c r="N2466" s="1">
        <v>38.095799891296359</v>
      </c>
      <c r="O2466" s="11"/>
      <c r="P2466" s="11"/>
      <c r="Q2466" s="11"/>
      <c r="R2466" s="11"/>
    </row>
    <row r="2467" spans="4:18">
      <c r="D2467" s="1" t="s">
        <v>1468</v>
      </c>
      <c r="E2467" s="1" t="s">
        <v>69</v>
      </c>
      <c r="H2467" s="1" t="s">
        <v>25</v>
      </c>
      <c r="I2467" s="1" t="s">
        <v>70</v>
      </c>
      <c r="N2467" s="1">
        <v>0</v>
      </c>
      <c r="O2467" s="11"/>
      <c r="P2467" s="11"/>
      <c r="Q2467" s="11"/>
      <c r="R2467" s="11"/>
    </row>
    <row r="2468" spans="4:18">
      <c r="D2468" s="1" t="s">
        <v>1468</v>
      </c>
      <c r="E2468" s="1" t="s">
        <v>1450</v>
      </c>
      <c r="F2468" s="1" t="s">
        <v>176</v>
      </c>
      <c r="G2468" s="1" t="s">
        <v>177</v>
      </c>
      <c r="H2468" s="1" t="s">
        <v>22</v>
      </c>
      <c r="I2468" s="1" t="s">
        <v>65</v>
      </c>
      <c r="J2468" s="1">
        <v>0</v>
      </c>
      <c r="L2468" s="1">
        <v>39.370078740157467</v>
      </c>
      <c r="N2468" s="1">
        <v>3.937007874015741</v>
      </c>
      <c r="O2468" s="11"/>
      <c r="P2468" s="11"/>
      <c r="Q2468" s="11"/>
      <c r="R2468" s="11"/>
    </row>
    <row r="2469" spans="4:18">
      <c r="D2469" s="1" t="s">
        <v>1468</v>
      </c>
      <c r="E2469" s="1" t="s">
        <v>117</v>
      </c>
      <c r="F2469" s="1" t="s">
        <v>118</v>
      </c>
      <c r="G2469" s="1" t="s">
        <v>119</v>
      </c>
      <c r="H2469" s="1" t="s">
        <v>22</v>
      </c>
      <c r="I2469" s="1" t="s">
        <v>65</v>
      </c>
      <c r="J2469" s="1">
        <v>0</v>
      </c>
      <c r="L2469" s="1">
        <v>2.20462262185</v>
      </c>
      <c r="N2469" s="1">
        <v>53.828021600915015</v>
      </c>
      <c r="O2469" s="11"/>
      <c r="P2469" s="11"/>
      <c r="Q2469" s="11"/>
      <c r="R2469" s="11"/>
    </row>
    <row r="2470" spans="4:18">
      <c r="D2470" s="1" t="s">
        <v>1468</v>
      </c>
      <c r="E2470" s="1" t="s">
        <v>1488</v>
      </c>
      <c r="H2470" s="1" t="s">
        <v>22</v>
      </c>
      <c r="I2470" s="1" t="s">
        <v>65</v>
      </c>
      <c r="L2470" s="1">
        <v>1</v>
      </c>
      <c r="N2470" s="1">
        <v>0.49999999999999922</v>
      </c>
      <c r="O2470" s="11"/>
      <c r="P2470" s="11"/>
      <c r="Q2470" s="11"/>
      <c r="R2470" s="11"/>
    </row>
    <row r="2471" spans="4:18">
      <c r="D2471" s="1" t="s">
        <v>1468</v>
      </c>
      <c r="E2471" s="1" t="s">
        <v>123</v>
      </c>
      <c r="F2471" s="1" t="s">
        <v>124</v>
      </c>
      <c r="G2471" s="1" t="s">
        <v>125</v>
      </c>
      <c r="H2471" s="1" t="s">
        <v>22</v>
      </c>
      <c r="I2471" s="1" t="s">
        <v>70</v>
      </c>
      <c r="L2471" s="1">
        <v>35.314666699999997</v>
      </c>
      <c r="N2471" s="1">
        <v>1.3868037183586512</v>
      </c>
      <c r="O2471" s="11"/>
      <c r="P2471" s="11"/>
      <c r="Q2471" s="11"/>
      <c r="R2471" s="11"/>
    </row>
    <row r="2472" spans="4:18">
      <c r="D2472" s="1" t="s">
        <v>1468</v>
      </c>
      <c r="E2472" s="1" t="s">
        <v>77</v>
      </c>
      <c r="H2472" s="1" t="s">
        <v>22</v>
      </c>
      <c r="I2472" s="1" t="s">
        <v>65</v>
      </c>
      <c r="L2472" s="1">
        <v>1</v>
      </c>
      <c r="N2472" s="1">
        <v>2.4808103183521342E-2</v>
      </c>
      <c r="O2472" s="11"/>
      <c r="P2472" s="11"/>
      <c r="Q2472" s="11"/>
      <c r="R2472" s="11"/>
    </row>
    <row r="2473" spans="4:18">
      <c r="D2473" s="1" t="s">
        <v>1489</v>
      </c>
      <c r="E2473" s="1" t="s">
        <v>1490</v>
      </c>
      <c r="F2473" s="1" t="s">
        <v>35</v>
      </c>
      <c r="G2473" s="1" t="s">
        <v>36</v>
      </c>
      <c r="H2473" s="1" t="s">
        <v>22</v>
      </c>
      <c r="I2473" s="1" t="s">
        <v>23</v>
      </c>
      <c r="J2473" s="1">
        <v>-459.67</v>
      </c>
      <c r="L2473" s="1">
        <v>80.329999999999984</v>
      </c>
      <c r="M2473" s="1">
        <v>94.999999999999943</v>
      </c>
      <c r="N2473" s="1">
        <v>94.999999999999943</v>
      </c>
      <c r="O2473" s="11"/>
      <c r="P2473" s="11"/>
      <c r="Q2473" s="11"/>
      <c r="R2473" s="11"/>
    </row>
    <row r="2474" spans="4:18">
      <c r="D2474" s="1" t="s">
        <v>1489</v>
      </c>
      <c r="E2474" s="1" t="s">
        <v>1491</v>
      </c>
      <c r="F2474" s="1" t="s">
        <v>147</v>
      </c>
      <c r="G2474" s="1" t="s">
        <v>148</v>
      </c>
      <c r="H2474" s="1" t="s">
        <v>22</v>
      </c>
      <c r="I2474" s="1" t="s">
        <v>23</v>
      </c>
      <c r="L2474" s="1">
        <v>3.4121416351331</v>
      </c>
      <c r="M2474" s="1">
        <v>5400225.9588434007</v>
      </c>
      <c r="N2474" s="1">
        <v>5400225.9588434007</v>
      </c>
      <c r="O2474" s="11"/>
      <c r="P2474" s="11"/>
      <c r="Q2474" s="11"/>
      <c r="R2474" s="11"/>
    </row>
    <row r="2475" spans="4:18">
      <c r="D2475" s="1" t="s">
        <v>1489</v>
      </c>
      <c r="E2475" s="1" t="s">
        <v>1492</v>
      </c>
      <c r="F2475" s="1" t="s">
        <v>1493</v>
      </c>
      <c r="G2475" s="1" t="s">
        <v>1494</v>
      </c>
      <c r="H2475" s="1" t="s">
        <v>22</v>
      </c>
      <c r="I2475" s="1" t="s">
        <v>23</v>
      </c>
      <c r="L2475" s="1">
        <v>3.280839895013123</v>
      </c>
      <c r="M2475" s="1">
        <v>32.174048556430442</v>
      </c>
      <c r="N2475" s="1">
        <v>32.174048556430442</v>
      </c>
      <c r="O2475" s="11"/>
      <c r="P2475" s="11"/>
      <c r="Q2475" s="11"/>
      <c r="R2475" s="11"/>
    </row>
    <row r="2476" spans="4:18">
      <c r="D2476" s="1" t="s">
        <v>1489</v>
      </c>
      <c r="E2476" s="1" t="s">
        <v>1495</v>
      </c>
      <c r="F2476" s="1" t="s">
        <v>56</v>
      </c>
      <c r="G2476" s="1" t="s">
        <v>57</v>
      </c>
      <c r="H2476" s="1" t="s">
        <v>22</v>
      </c>
      <c r="I2476" s="1" t="s">
        <v>23</v>
      </c>
      <c r="J2476" s="1">
        <v>0</v>
      </c>
      <c r="L2476" s="1">
        <v>14.503773773020921</v>
      </c>
      <c r="M2476" s="1">
        <v>14.695948775513449</v>
      </c>
      <c r="N2476" s="1">
        <v>14.695948775513449</v>
      </c>
      <c r="O2476" s="11"/>
      <c r="P2476" s="11"/>
      <c r="Q2476" s="11"/>
      <c r="R2476" s="11"/>
    </row>
    <row r="2477" spans="4:18">
      <c r="D2477" s="1" t="s">
        <v>1489</v>
      </c>
      <c r="E2477" s="1" t="s">
        <v>1496</v>
      </c>
      <c r="H2477" s="1" t="s">
        <v>181</v>
      </c>
      <c r="I2477" s="1" t="s">
        <v>23</v>
      </c>
      <c r="J2477" s="1">
        <v>1</v>
      </c>
      <c r="K2477" s="1">
        <v>2</v>
      </c>
      <c r="M2477" s="1" t="s">
        <v>1497</v>
      </c>
      <c r="N2477" s="1" t="s">
        <v>1829</v>
      </c>
      <c r="O2477" s="11"/>
      <c r="P2477" s="11"/>
      <c r="Q2477" s="11"/>
      <c r="R2477" s="11"/>
    </row>
    <row r="2478" spans="4:18">
      <c r="D2478" s="1" t="s">
        <v>1489</v>
      </c>
      <c r="E2478" s="1" t="s">
        <v>1498</v>
      </c>
      <c r="H2478" s="1" t="s">
        <v>181</v>
      </c>
      <c r="I2478" s="1" t="s">
        <v>23</v>
      </c>
      <c r="J2478" s="1">
        <v>1</v>
      </c>
      <c r="K2478" s="1">
        <v>2</v>
      </c>
      <c r="M2478" s="1" t="s">
        <v>1499</v>
      </c>
      <c r="N2478" s="1" t="s">
        <v>1830</v>
      </c>
      <c r="O2478" s="11"/>
      <c r="P2478" s="11"/>
      <c r="Q2478" s="11"/>
      <c r="R2478" s="11"/>
    </row>
    <row r="2479" spans="4:18">
      <c r="D2479" s="1" t="s">
        <v>1500</v>
      </c>
      <c r="H2479" s="1" t="s">
        <v>25</v>
      </c>
      <c r="I2479" s="1" t="s">
        <v>23</v>
      </c>
      <c r="M2479" s="1" t="b">
        <v>1</v>
      </c>
      <c r="N2479" s="1">
        <v>1</v>
      </c>
      <c r="O2479" s="11"/>
      <c r="P2479" s="11"/>
      <c r="Q2479" s="11"/>
      <c r="R2479" s="11"/>
    </row>
    <row r="2480" spans="4:18">
      <c r="D2480" s="1" t="s">
        <v>1474</v>
      </c>
      <c r="H2480" s="1" t="s">
        <v>25</v>
      </c>
      <c r="I2480" s="1" t="s">
        <v>23</v>
      </c>
      <c r="M2480" s="1" t="b">
        <v>0</v>
      </c>
      <c r="N2480" s="1">
        <v>0</v>
      </c>
      <c r="O2480" s="11"/>
      <c r="P2480" s="11"/>
      <c r="Q2480" s="11"/>
      <c r="R2480" s="11"/>
    </row>
    <row r="2481" spans="4:18">
      <c r="D2481" s="1" t="s">
        <v>1501</v>
      </c>
      <c r="H2481" s="1" t="s">
        <v>25</v>
      </c>
      <c r="I2481" s="1" t="s">
        <v>23</v>
      </c>
      <c r="M2481" s="1" t="b">
        <v>0</v>
      </c>
      <c r="N2481" s="1">
        <v>0</v>
      </c>
      <c r="O2481" s="11"/>
      <c r="P2481" s="11"/>
      <c r="Q2481" s="11"/>
      <c r="R2481" s="11"/>
    </row>
    <row r="2482" spans="4:18">
      <c r="D2482" s="1" t="s">
        <v>1502</v>
      </c>
      <c r="H2482" s="1" t="s">
        <v>25</v>
      </c>
      <c r="I2482" s="1" t="s">
        <v>23</v>
      </c>
      <c r="M2482" s="1" t="b">
        <v>1</v>
      </c>
      <c r="N2482" s="1">
        <v>1</v>
      </c>
      <c r="O2482" s="11"/>
      <c r="P2482" s="11"/>
      <c r="Q2482" s="11"/>
      <c r="R2482" s="11"/>
    </row>
    <row r="2483" spans="4:18">
      <c r="D2483" s="1" t="s">
        <v>1503</v>
      </c>
      <c r="H2483" s="1" t="s">
        <v>25</v>
      </c>
      <c r="I2483" s="1" t="s">
        <v>23</v>
      </c>
      <c r="M2483" s="1" t="b">
        <v>1</v>
      </c>
      <c r="N2483" s="1">
        <v>1</v>
      </c>
      <c r="O2483" s="11"/>
      <c r="P2483" s="11"/>
      <c r="Q2483" s="11"/>
      <c r="R2483" s="11"/>
    </row>
    <row r="2484" spans="4:18">
      <c r="D2484" s="1" t="s">
        <v>1504</v>
      </c>
      <c r="H2484" s="1" t="s">
        <v>25</v>
      </c>
      <c r="I2484" s="1" t="s">
        <v>23</v>
      </c>
      <c r="M2484" s="1" t="b">
        <v>1</v>
      </c>
      <c r="N2484" s="1">
        <v>1</v>
      </c>
      <c r="O2484" s="11"/>
      <c r="P2484" s="11"/>
      <c r="Q2484" s="11"/>
      <c r="R2484" s="11"/>
    </row>
    <row r="2485" spans="4:18">
      <c r="D2485" s="1" t="s">
        <v>1505</v>
      </c>
      <c r="H2485" s="1" t="s">
        <v>25</v>
      </c>
      <c r="I2485" s="1" t="s">
        <v>23</v>
      </c>
      <c r="M2485" s="1" t="b">
        <v>0</v>
      </c>
      <c r="N2485" s="1">
        <v>0</v>
      </c>
      <c r="O2485" s="11"/>
      <c r="P2485" s="11"/>
      <c r="Q2485" s="11"/>
      <c r="R2485" s="11"/>
    </row>
    <row r="2486" spans="4:18">
      <c r="D2486" s="1" t="s">
        <v>1506</v>
      </c>
      <c r="E2486" s="1" t="s">
        <v>47</v>
      </c>
      <c r="H2486" s="1" t="s">
        <v>25</v>
      </c>
      <c r="I2486" s="1" t="s">
        <v>23</v>
      </c>
      <c r="M2486" s="1" t="b">
        <v>0</v>
      </c>
      <c r="N2486" s="1">
        <v>0</v>
      </c>
      <c r="O2486" s="11"/>
      <c r="P2486" s="11"/>
      <c r="Q2486" s="11"/>
      <c r="R2486" s="11"/>
    </row>
    <row r="2487" spans="4:18">
      <c r="D2487" s="1" t="s">
        <v>1506</v>
      </c>
      <c r="E2487" s="1" t="s">
        <v>1507</v>
      </c>
      <c r="H2487" s="1" t="s">
        <v>25</v>
      </c>
      <c r="I2487" s="1" t="s">
        <v>23</v>
      </c>
      <c r="M2487" s="1" t="b">
        <v>0</v>
      </c>
      <c r="N2487" s="1">
        <v>0</v>
      </c>
      <c r="O2487" s="11"/>
      <c r="P2487" s="11"/>
      <c r="Q2487" s="11"/>
      <c r="R2487" s="11"/>
    </row>
    <row r="2488" spans="4:18">
      <c r="D2488" s="1" t="s">
        <v>1506</v>
      </c>
      <c r="E2488" s="1" t="s">
        <v>1508</v>
      </c>
      <c r="H2488" s="1" t="s">
        <v>25</v>
      </c>
      <c r="I2488" s="1" t="s">
        <v>23</v>
      </c>
      <c r="M2488" s="1" t="b">
        <v>0</v>
      </c>
      <c r="N2488" s="1">
        <v>0</v>
      </c>
      <c r="O2488" s="11"/>
      <c r="P2488" s="11"/>
      <c r="Q2488" s="11"/>
      <c r="R2488" s="11"/>
    </row>
    <row r="2489" spans="4:18">
      <c r="D2489" s="1" t="s">
        <v>1506</v>
      </c>
      <c r="E2489" s="1" t="s">
        <v>62</v>
      </c>
      <c r="H2489" s="1" t="s">
        <v>63</v>
      </c>
      <c r="I2489" s="1" t="s">
        <v>23</v>
      </c>
      <c r="M2489" s="1">
        <v>1</v>
      </c>
      <c r="N2489" s="1">
        <v>1</v>
      </c>
      <c r="O2489" s="11"/>
      <c r="P2489" s="11"/>
      <c r="Q2489" s="11"/>
      <c r="R2489" s="11"/>
    </row>
    <row r="2490" spans="4:18">
      <c r="D2490" s="1" t="s">
        <v>1509</v>
      </c>
      <c r="E2490" s="1" t="s">
        <v>47</v>
      </c>
      <c r="H2490" s="1" t="s">
        <v>25</v>
      </c>
      <c r="I2490" s="1" t="s">
        <v>23</v>
      </c>
      <c r="M2490" s="1" t="b">
        <v>0</v>
      </c>
      <c r="N2490" s="1">
        <v>0</v>
      </c>
      <c r="O2490" s="11"/>
      <c r="P2490" s="11"/>
      <c r="Q2490" s="11"/>
      <c r="R2490" s="11"/>
    </row>
    <row r="2491" spans="4:18">
      <c r="D2491" s="1" t="s">
        <v>1509</v>
      </c>
      <c r="E2491" s="1" t="s">
        <v>1507</v>
      </c>
      <c r="H2491" s="1" t="s">
        <v>25</v>
      </c>
      <c r="I2491" s="1" t="s">
        <v>23</v>
      </c>
      <c r="M2491" s="1" t="b">
        <v>0</v>
      </c>
      <c r="N2491" s="1">
        <v>0</v>
      </c>
      <c r="O2491" s="11"/>
      <c r="P2491" s="11"/>
      <c r="Q2491" s="11"/>
      <c r="R2491" s="11"/>
    </row>
    <row r="2492" spans="4:18">
      <c r="D2492" s="1" t="s">
        <v>1509</v>
      </c>
      <c r="E2492" s="1" t="s">
        <v>1508</v>
      </c>
      <c r="H2492" s="1" t="s">
        <v>25</v>
      </c>
      <c r="I2492" s="1" t="s">
        <v>23</v>
      </c>
      <c r="M2492" s="1" t="b">
        <v>0</v>
      </c>
      <c r="N2492" s="1">
        <v>0</v>
      </c>
      <c r="O2492" s="11"/>
      <c r="P2492" s="11"/>
      <c r="Q2492" s="11"/>
      <c r="R2492" s="11"/>
    </row>
    <row r="2493" spans="4:18">
      <c r="D2493" s="1" t="s">
        <v>1509</v>
      </c>
      <c r="E2493" s="1" t="s">
        <v>62</v>
      </c>
      <c r="H2493" s="1" t="s">
        <v>63</v>
      </c>
      <c r="I2493" s="1" t="s">
        <v>23</v>
      </c>
      <c r="M2493" s="1">
        <v>1</v>
      </c>
      <c r="N2493" s="1">
        <v>1</v>
      </c>
      <c r="O2493" s="11"/>
      <c r="P2493" s="11"/>
      <c r="Q2493" s="11"/>
      <c r="R2493" s="11"/>
    </row>
    <row r="2494" spans="4:18">
      <c r="D2494" s="1" t="s">
        <v>1510</v>
      </c>
      <c r="E2494" s="1" t="s">
        <v>47</v>
      </c>
      <c r="H2494" s="1" t="s">
        <v>25</v>
      </c>
      <c r="I2494" s="1" t="s">
        <v>23</v>
      </c>
      <c r="M2494" s="1" t="b">
        <v>0</v>
      </c>
      <c r="N2494" s="1">
        <v>0</v>
      </c>
      <c r="O2494" s="11"/>
      <c r="P2494" s="11"/>
      <c r="Q2494" s="11"/>
      <c r="R2494" s="11"/>
    </row>
    <row r="2495" spans="4:18">
      <c r="D2495" s="1" t="s">
        <v>1510</v>
      </c>
      <c r="E2495" s="1" t="s">
        <v>1507</v>
      </c>
      <c r="H2495" s="1" t="s">
        <v>25</v>
      </c>
      <c r="I2495" s="1" t="s">
        <v>23</v>
      </c>
      <c r="M2495" s="1" t="b">
        <v>0</v>
      </c>
      <c r="N2495" s="1">
        <v>0</v>
      </c>
      <c r="O2495" s="11"/>
      <c r="P2495" s="11"/>
      <c r="Q2495" s="11"/>
      <c r="R2495" s="11"/>
    </row>
    <row r="2496" spans="4:18">
      <c r="D2496" s="1" t="s">
        <v>1510</v>
      </c>
      <c r="E2496" s="1" t="s">
        <v>1508</v>
      </c>
      <c r="H2496" s="1" t="s">
        <v>25</v>
      </c>
      <c r="I2496" s="1" t="s">
        <v>23</v>
      </c>
      <c r="M2496" s="1" t="b">
        <v>0</v>
      </c>
      <c r="N2496" s="1">
        <v>0</v>
      </c>
      <c r="O2496" s="11"/>
      <c r="P2496" s="11"/>
      <c r="Q2496" s="11"/>
      <c r="R2496" s="11"/>
    </row>
    <row r="2497" spans="1:18">
      <c r="D2497" s="1" t="s">
        <v>1510</v>
      </c>
      <c r="E2497" s="1" t="s">
        <v>62</v>
      </c>
      <c r="H2497" s="1" t="s">
        <v>63</v>
      </c>
      <c r="I2497" s="1" t="s">
        <v>23</v>
      </c>
      <c r="M2497" s="1">
        <v>1</v>
      </c>
      <c r="N2497" s="1">
        <v>1</v>
      </c>
      <c r="O2497" s="11"/>
      <c r="P2497" s="11"/>
      <c r="Q2497" s="11"/>
      <c r="R2497" s="11"/>
    </row>
    <row r="2498" spans="1:18">
      <c r="D2498" s="1" t="s">
        <v>1511</v>
      </c>
      <c r="E2498" s="1" t="s">
        <v>47</v>
      </c>
      <c r="H2498" s="1" t="s">
        <v>25</v>
      </c>
      <c r="I2498" s="1" t="s">
        <v>23</v>
      </c>
      <c r="M2498" s="1" t="b">
        <v>0</v>
      </c>
      <c r="N2498" s="1">
        <v>0</v>
      </c>
      <c r="O2498" s="11"/>
      <c r="P2498" s="11"/>
      <c r="Q2498" s="11"/>
      <c r="R2498" s="11"/>
    </row>
    <row r="2499" spans="1:18">
      <c r="D2499" s="1" t="s">
        <v>1511</v>
      </c>
      <c r="E2499" s="1" t="s">
        <v>1507</v>
      </c>
      <c r="H2499" s="1" t="s">
        <v>25</v>
      </c>
      <c r="I2499" s="1" t="s">
        <v>23</v>
      </c>
      <c r="M2499" s="1" t="b">
        <v>0</v>
      </c>
      <c r="N2499" s="1">
        <v>0</v>
      </c>
      <c r="O2499" s="11"/>
      <c r="P2499" s="11"/>
      <c r="Q2499" s="11"/>
      <c r="R2499" s="11"/>
    </row>
    <row r="2500" spans="1:18">
      <c r="D2500" s="1" t="s">
        <v>1511</v>
      </c>
      <c r="E2500" s="1" t="s">
        <v>1508</v>
      </c>
      <c r="H2500" s="1" t="s">
        <v>25</v>
      </c>
      <c r="I2500" s="1" t="s">
        <v>23</v>
      </c>
      <c r="M2500" s="1" t="b">
        <v>0</v>
      </c>
      <c r="N2500" s="1">
        <v>0</v>
      </c>
      <c r="O2500" s="11"/>
      <c r="P2500" s="11"/>
      <c r="Q2500" s="11"/>
      <c r="R2500" s="11"/>
    </row>
    <row r="2501" spans="1:18">
      <c r="D2501" s="1" t="s">
        <v>1511</v>
      </c>
      <c r="E2501" s="1" t="s">
        <v>62</v>
      </c>
      <c r="H2501" s="1" t="s">
        <v>63</v>
      </c>
      <c r="I2501" s="1" t="s">
        <v>23</v>
      </c>
      <c r="M2501" s="1">
        <v>1</v>
      </c>
      <c r="N2501" s="1">
        <v>1</v>
      </c>
      <c r="O2501" s="11"/>
      <c r="P2501" s="11"/>
      <c r="Q2501" s="11"/>
      <c r="R2501" s="11"/>
    </row>
    <row r="2502" spans="1:18">
      <c r="D2502" s="1" t="s">
        <v>1512</v>
      </c>
      <c r="E2502" s="1" t="s">
        <v>1513</v>
      </c>
      <c r="H2502" s="1" t="s">
        <v>25</v>
      </c>
      <c r="I2502" s="1" t="s">
        <v>23</v>
      </c>
      <c r="M2502" s="1" t="b">
        <v>1</v>
      </c>
      <c r="N2502" s="1">
        <v>1</v>
      </c>
      <c r="O2502" s="11"/>
      <c r="P2502" s="11"/>
      <c r="Q2502" s="11"/>
      <c r="R2502" s="11"/>
    </row>
    <row r="2503" spans="1:18">
      <c r="D2503" s="1" t="s">
        <v>1512</v>
      </c>
      <c r="E2503" s="1" t="s">
        <v>871</v>
      </c>
      <c r="H2503" s="1" t="s">
        <v>25</v>
      </c>
      <c r="I2503" s="1" t="s">
        <v>23</v>
      </c>
      <c r="M2503" s="1" t="b">
        <v>0</v>
      </c>
      <c r="N2503" s="1">
        <v>0</v>
      </c>
      <c r="O2503" s="11"/>
      <c r="P2503" s="11"/>
      <c r="Q2503" s="11"/>
      <c r="R2503" s="11"/>
    </row>
    <row r="2504" spans="1:18">
      <c r="D2504" s="1" t="s">
        <v>1512</v>
      </c>
      <c r="E2504" s="1" t="s">
        <v>872</v>
      </c>
      <c r="F2504" s="1" t="s">
        <v>147</v>
      </c>
      <c r="G2504" s="1" t="s">
        <v>148</v>
      </c>
      <c r="H2504" s="1" t="s">
        <v>22</v>
      </c>
      <c r="I2504" s="1" t="s">
        <v>23</v>
      </c>
      <c r="J2504" s="1">
        <v>0</v>
      </c>
      <c r="K2504" s="1">
        <v>34121416.351331003</v>
      </c>
      <c r="L2504" s="1">
        <v>3.4121416351331</v>
      </c>
      <c r="M2504" s="1">
        <v>1706.07081756655</v>
      </c>
      <c r="N2504" s="1">
        <v>1706.07081756655</v>
      </c>
      <c r="O2504" s="11"/>
      <c r="P2504" s="11"/>
      <c r="Q2504" s="11"/>
      <c r="R2504" s="11"/>
    </row>
    <row r="2505" spans="1:18">
      <c r="D2505" s="1" t="s">
        <v>1512</v>
      </c>
      <c r="E2505" s="1" t="s">
        <v>1514</v>
      </c>
      <c r="H2505" s="1" t="s">
        <v>25</v>
      </c>
      <c r="I2505" s="1" t="s">
        <v>23</v>
      </c>
      <c r="M2505" s="1" t="b">
        <v>1</v>
      </c>
      <c r="N2505" s="1">
        <v>1</v>
      </c>
      <c r="O2505" s="11"/>
      <c r="P2505" s="11"/>
      <c r="Q2505" s="11"/>
      <c r="R2505" s="11"/>
    </row>
    <row r="2506" spans="1:18">
      <c r="D2506" s="1" t="s">
        <v>1512</v>
      </c>
      <c r="E2506" s="1" t="s">
        <v>1515</v>
      </c>
      <c r="F2506" s="1" t="s">
        <v>147</v>
      </c>
      <c r="G2506" s="1" t="s">
        <v>148</v>
      </c>
      <c r="H2506" s="1" t="s">
        <v>22</v>
      </c>
      <c r="I2506" s="1" t="s">
        <v>23</v>
      </c>
      <c r="J2506" s="1">
        <v>0</v>
      </c>
      <c r="K2506" s="1">
        <v>34121416351.331001</v>
      </c>
      <c r="L2506" s="1">
        <v>3.4121416351331</v>
      </c>
      <c r="M2506" s="1">
        <v>0</v>
      </c>
      <c r="N2506" s="1">
        <v>0</v>
      </c>
      <c r="O2506" s="11"/>
      <c r="P2506" s="11"/>
      <c r="Q2506" s="11"/>
      <c r="R2506" s="11"/>
    </row>
    <row r="2507" spans="1:18">
      <c r="D2507" s="1" t="s">
        <v>1512</v>
      </c>
      <c r="E2507" s="1" t="s">
        <v>1516</v>
      </c>
      <c r="F2507" s="1" t="s">
        <v>1517</v>
      </c>
      <c r="G2507" s="1" t="s">
        <v>1517</v>
      </c>
      <c r="H2507" s="1" t="s">
        <v>22</v>
      </c>
      <c r="I2507" s="1" t="s">
        <v>23</v>
      </c>
      <c r="J2507" s="1">
        <v>0</v>
      </c>
      <c r="K2507" s="1">
        <v>1000</v>
      </c>
      <c r="L2507" s="1">
        <v>1</v>
      </c>
      <c r="M2507" s="1">
        <v>460</v>
      </c>
      <c r="N2507" s="1">
        <v>460</v>
      </c>
      <c r="O2507" s="11"/>
      <c r="P2507" s="11"/>
      <c r="Q2507" s="11"/>
      <c r="R2507" s="11"/>
    </row>
    <row r="2508" spans="1:18">
      <c r="D2508" s="1" t="s">
        <v>1512</v>
      </c>
      <c r="E2508" s="1" t="s">
        <v>906</v>
      </c>
      <c r="H2508" s="1" t="s">
        <v>22</v>
      </c>
      <c r="I2508" s="1" t="s">
        <v>23</v>
      </c>
      <c r="J2508" s="1">
        <v>0.5</v>
      </c>
      <c r="K2508" s="1">
        <v>2</v>
      </c>
      <c r="L2508" s="1">
        <v>1</v>
      </c>
      <c r="M2508" s="1">
        <v>1</v>
      </c>
      <c r="N2508" s="1">
        <v>1</v>
      </c>
      <c r="O2508" s="11"/>
      <c r="P2508" s="11"/>
      <c r="Q2508" s="11"/>
      <c r="R2508" s="11"/>
    </row>
    <row r="2509" spans="1:18">
      <c r="D2509" s="1" t="s">
        <v>1512</v>
      </c>
      <c r="E2509" s="1" t="s">
        <v>907</v>
      </c>
      <c r="H2509" s="1" t="s">
        <v>25</v>
      </c>
      <c r="I2509" s="1" t="s">
        <v>23</v>
      </c>
      <c r="M2509" s="1" t="b">
        <v>1</v>
      </c>
      <c r="N2509" s="1">
        <v>1</v>
      </c>
      <c r="O2509" s="11"/>
      <c r="P2509" s="11"/>
      <c r="Q2509" s="11"/>
      <c r="R2509" s="11"/>
    </row>
    <row r="2510" spans="1:18">
      <c r="D2510" s="1" t="s">
        <v>1512</v>
      </c>
      <c r="E2510" s="1" t="s">
        <v>914</v>
      </c>
      <c r="H2510" s="1" t="s">
        <v>22</v>
      </c>
      <c r="I2510" s="1" t="s">
        <v>29</v>
      </c>
      <c r="J2510" s="1">
        <v>0.1</v>
      </c>
      <c r="K2510" s="1">
        <v>10</v>
      </c>
      <c r="L2510" s="1">
        <v>5.05</v>
      </c>
      <c r="N2510" s="1">
        <v>1</v>
      </c>
      <c r="O2510" s="11"/>
      <c r="P2510" s="11"/>
      <c r="Q2510" s="11"/>
      <c r="R2510" s="11"/>
    </row>
    <row r="2511" spans="1:18">
      <c r="D2511" s="1" t="s">
        <v>1512</v>
      </c>
      <c r="E2511" s="1" t="s">
        <v>1518</v>
      </c>
      <c r="H2511" s="1" t="s">
        <v>22</v>
      </c>
      <c r="I2511" s="1" t="s">
        <v>29</v>
      </c>
      <c r="J2511" s="1">
        <v>9.9999999999999995E-7</v>
      </c>
      <c r="K2511" s="1">
        <v>1000000</v>
      </c>
      <c r="L2511" s="1">
        <v>13500</v>
      </c>
      <c r="N2511" s="1">
        <v>11666.084075824707</v>
      </c>
      <c r="O2511" s="11"/>
      <c r="P2511" s="11"/>
      <c r="Q2511" s="11"/>
      <c r="R2511" s="11"/>
    </row>
    <row r="2512" spans="1:18">
      <c r="A2512" s="2" t="s">
        <v>1722</v>
      </c>
      <c r="B2512" s="3" t="s">
        <v>1753</v>
      </c>
      <c r="D2512" s="1" t="s">
        <v>1512</v>
      </c>
      <c r="E2512" s="1" t="s">
        <v>1519</v>
      </c>
      <c r="H2512" s="1" t="s">
        <v>25</v>
      </c>
      <c r="I2512" s="1" t="s">
        <v>23</v>
      </c>
      <c r="M2512" s="1" t="b">
        <v>1</v>
      </c>
      <c r="N2512" s="1">
        <v>1</v>
      </c>
      <c r="O2512" s="11"/>
      <c r="P2512" s="11"/>
      <c r="Q2512" s="11"/>
      <c r="R2512" s="11"/>
    </row>
    <row r="2513" spans="1:18">
      <c r="A2513" s="2" t="s">
        <v>1722</v>
      </c>
      <c r="B2513" s="3" t="s">
        <v>1754</v>
      </c>
      <c r="D2513" s="1" t="s">
        <v>1512</v>
      </c>
      <c r="E2513" s="1" t="s">
        <v>1520</v>
      </c>
      <c r="H2513" s="1" t="s">
        <v>22</v>
      </c>
      <c r="I2513" s="1" t="s">
        <v>23</v>
      </c>
      <c r="J2513" s="1">
        <v>0</v>
      </c>
      <c r="K2513" s="1">
        <v>1</v>
      </c>
      <c r="L2513" s="1">
        <v>1</v>
      </c>
      <c r="M2513" s="1">
        <v>0.95779999999999998</v>
      </c>
      <c r="N2513" s="1">
        <v>0.95779999999999998</v>
      </c>
      <c r="O2513" s="11"/>
      <c r="P2513" s="11"/>
      <c r="Q2513" s="11"/>
      <c r="R2513" s="11"/>
    </row>
    <row r="2514" spans="1:18">
      <c r="D2514" s="1" t="s">
        <v>1512</v>
      </c>
      <c r="E2514" s="1" t="s">
        <v>47</v>
      </c>
      <c r="H2514" s="1" t="s">
        <v>25</v>
      </c>
      <c r="I2514" s="1" t="s">
        <v>23</v>
      </c>
      <c r="M2514" s="1" t="b">
        <v>0</v>
      </c>
      <c r="N2514" s="1">
        <v>0</v>
      </c>
      <c r="O2514" s="11"/>
      <c r="P2514" s="11"/>
      <c r="Q2514" s="11"/>
      <c r="R2514" s="11"/>
    </row>
    <row r="2515" spans="1:18">
      <c r="D2515" s="1" t="s">
        <v>1512</v>
      </c>
      <c r="E2515" s="1" t="s">
        <v>920</v>
      </c>
      <c r="H2515" s="1" t="s">
        <v>22</v>
      </c>
      <c r="I2515" s="1" t="s">
        <v>23</v>
      </c>
      <c r="J2515" s="1">
        <v>-1</v>
      </c>
      <c r="K2515" s="1">
        <v>1</v>
      </c>
      <c r="L2515" s="1">
        <v>1</v>
      </c>
      <c r="M2515" s="1">
        <v>0</v>
      </c>
      <c r="N2515" s="1">
        <v>0</v>
      </c>
      <c r="O2515" s="11"/>
      <c r="P2515" s="11"/>
      <c r="Q2515" s="11"/>
      <c r="R2515" s="11"/>
    </row>
    <row r="2516" spans="1:18">
      <c r="D2516" s="1" t="s">
        <v>1512</v>
      </c>
      <c r="E2516" s="1" t="s">
        <v>921</v>
      </c>
      <c r="H2516" s="1" t="s">
        <v>22</v>
      </c>
      <c r="I2516" s="1" t="s">
        <v>23</v>
      </c>
      <c r="J2516" s="1">
        <v>0</v>
      </c>
      <c r="K2516" s="1">
        <v>1</v>
      </c>
      <c r="L2516" s="1">
        <v>1</v>
      </c>
      <c r="M2516" s="1">
        <v>0</v>
      </c>
      <c r="N2516" s="1">
        <v>0</v>
      </c>
      <c r="O2516" s="11"/>
      <c r="P2516" s="11"/>
      <c r="Q2516" s="11"/>
      <c r="R2516" s="11"/>
    </row>
    <row r="2517" spans="1:18">
      <c r="D2517" s="1" t="s">
        <v>1512</v>
      </c>
      <c r="E2517" s="1" t="s">
        <v>1521</v>
      </c>
      <c r="H2517" s="1" t="s">
        <v>25</v>
      </c>
      <c r="I2517" s="1" t="s">
        <v>23</v>
      </c>
      <c r="M2517" s="1" t="b">
        <v>0</v>
      </c>
      <c r="N2517" s="1">
        <v>0</v>
      </c>
      <c r="O2517" s="11"/>
      <c r="P2517" s="11"/>
      <c r="Q2517" s="11"/>
      <c r="R2517" s="11"/>
    </row>
    <row r="2518" spans="1:18">
      <c r="D2518" s="1" t="s">
        <v>1512</v>
      </c>
      <c r="E2518" s="1" t="s">
        <v>1522</v>
      </c>
      <c r="F2518" s="1" t="s">
        <v>147</v>
      </c>
      <c r="G2518" s="1" t="s">
        <v>148</v>
      </c>
      <c r="H2518" s="1" t="s">
        <v>22</v>
      </c>
      <c r="I2518" s="1" t="s">
        <v>23</v>
      </c>
      <c r="J2518" s="1">
        <v>0</v>
      </c>
      <c r="K2518" s="1">
        <v>34121416351.331001</v>
      </c>
      <c r="L2518" s="1">
        <v>3.4121416351331</v>
      </c>
      <c r="M2518" s="1">
        <v>1706070.8175665501</v>
      </c>
      <c r="N2518" s="1">
        <v>1706070.8175665501</v>
      </c>
      <c r="O2518" s="11"/>
      <c r="P2518" s="11"/>
      <c r="Q2518" s="11"/>
      <c r="R2518" s="11"/>
    </row>
    <row r="2519" spans="1:18">
      <c r="D2519" s="1" t="s">
        <v>1512</v>
      </c>
      <c r="E2519" s="1" t="s">
        <v>1523</v>
      </c>
      <c r="H2519" s="1" t="s">
        <v>22</v>
      </c>
      <c r="I2519" s="1" t="s">
        <v>29</v>
      </c>
      <c r="J2519" s="1">
        <v>0.01</v>
      </c>
      <c r="K2519" s="1">
        <v>100</v>
      </c>
      <c r="L2519" s="1">
        <v>50.005000000000003</v>
      </c>
      <c r="N2519" s="1">
        <v>1</v>
      </c>
      <c r="O2519" s="11"/>
      <c r="P2519" s="11"/>
      <c r="Q2519" s="11"/>
      <c r="R2519" s="11"/>
    </row>
    <row r="2520" spans="1:18">
      <c r="D2520" s="1" t="s">
        <v>1512</v>
      </c>
      <c r="E2520" s="1" t="s">
        <v>1524</v>
      </c>
      <c r="H2520" s="1" t="s">
        <v>22</v>
      </c>
      <c r="I2520" s="1" t="s">
        <v>23</v>
      </c>
      <c r="J2520" s="1">
        <v>0</v>
      </c>
      <c r="K2520" s="1">
        <v>100</v>
      </c>
      <c r="L2520" s="1">
        <v>1</v>
      </c>
      <c r="M2520" s="1">
        <v>1</v>
      </c>
      <c r="N2520" s="1">
        <v>1</v>
      </c>
      <c r="O2520" s="11"/>
      <c r="P2520" s="11"/>
      <c r="Q2520" s="11"/>
      <c r="R2520" s="11"/>
    </row>
    <row r="2521" spans="1:18">
      <c r="D2521" s="1" t="s">
        <v>1512</v>
      </c>
      <c r="E2521" s="1" t="s">
        <v>1525</v>
      </c>
      <c r="H2521" s="1" t="s">
        <v>25</v>
      </c>
      <c r="I2521" s="1" t="s">
        <v>23</v>
      </c>
      <c r="M2521" s="1" t="b">
        <v>1</v>
      </c>
      <c r="N2521" s="1">
        <v>1</v>
      </c>
      <c r="O2521" s="11"/>
      <c r="P2521" s="11"/>
      <c r="Q2521" s="11"/>
      <c r="R2521" s="11"/>
    </row>
    <row r="2522" spans="1:18">
      <c r="D2522" s="1" t="s">
        <v>1512</v>
      </c>
      <c r="E2522" s="1" t="s">
        <v>949</v>
      </c>
      <c r="H2522" s="1" t="s">
        <v>181</v>
      </c>
      <c r="I2522" s="1" t="s">
        <v>23</v>
      </c>
      <c r="J2522" s="1">
        <v>1</v>
      </c>
      <c r="K2522" s="1">
        <v>26</v>
      </c>
      <c r="M2522" s="1" t="s">
        <v>1526</v>
      </c>
      <c r="N2522" s="1" t="s">
        <v>1831</v>
      </c>
      <c r="O2522" s="11"/>
      <c r="P2522" s="11"/>
      <c r="Q2522" s="11"/>
      <c r="R2522" s="11"/>
    </row>
    <row r="2523" spans="1:18">
      <c r="D2523" s="1" t="s">
        <v>1512</v>
      </c>
      <c r="E2523" s="1" t="s">
        <v>951</v>
      </c>
      <c r="H2523" s="1" t="s">
        <v>181</v>
      </c>
      <c r="I2523" s="1" t="s">
        <v>23</v>
      </c>
      <c r="J2523" s="1">
        <v>1</v>
      </c>
      <c r="K2523" s="1">
        <v>14</v>
      </c>
      <c r="M2523" s="1" t="s">
        <v>1527</v>
      </c>
      <c r="N2523" s="1" t="s">
        <v>1832</v>
      </c>
      <c r="O2523" s="11"/>
      <c r="P2523" s="11"/>
      <c r="Q2523" s="11"/>
      <c r="R2523" s="11"/>
    </row>
    <row r="2524" spans="1:18">
      <c r="D2524" s="1" t="s">
        <v>1512</v>
      </c>
      <c r="E2524" s="1" t="s">
        <v>1528</v>
      </c>
      <c r="H2524" s="1" t="s">
        <v>181</v>
      </c>
      <c r="I2524" s="1" t="s">
        <v>23</v>
      </c>
      <c r="J2524" s="1">
        <v>1</v>
      </c>
      <c r="K2524" s="1">
        <v>874</v>
      </c>
      <c r="M2524" s="1" t="s">
        <v>950</v>
      </c>
      <c r="N2524" s="1" t="s">
        <v>1818</v>
      </c>
      <c r="O2524" s="11"/>
      <c r="P2524" s="11"/>
      <c r="Q2524" s="11"/>
      <c r="R2524" s="11"/>
    </row>
    <row r="2525" spans="1:18">
      <c r="D2525" s="1" t="s">
        <v>1512</v>
      </c>
      <c r="E2525" s="1" t="s">
        <v>1529</v>
      </c>
      <c r="H2525" s="1" t="s">
        <v>25</v>
      </c>
      <c r="I2525" s="1" t="s">
        <v>23</v>
      </c>
      <c r="M2525" s="1" t="b">
        <v>0</v>
      </c>
      <c r="N2525" s="1">
        <v>0</v>
      </c>
      <c r="O2525" s="11"/>
      <c r="P2525" s="11"/>
      <c r="Q2525" s="11"/>
      <c r="R2525" s="11"/>
    </row>
    <row r="2526" spans="1:18">
      <c r="D2526" s="1" t="s">
        <v>1512</v>
      </c>
      <c r="E2526" s="1" t="s">
        <v>1530</v>
      </c>
      <c r="F2526" s="1" t="s">
        <v>874</v>
      </c>
      <c r="G2526" s="1" t="s">
        <v>874</v>
      </c>
      <c r="H2526" s="1" t="s">
        <v>22</v>
      </c>
      <c r="I2526" s="1" t="s">
        <v>23</v>
      </c>
      <c r="J2526" s="1">
        <v>0</v>
      </c>
      <c r="K2526" s="1">
        <v>1000000</v>
      </c>
      <c r="L2526" s="1">
        <v>1</v>
      </c>
      <c r="M2526" s="1">
        <v>3000</v>
      </c>
      <c r="N2526" s="1">
        <v>3000</v>
      </c>
      <c r="O2526" s="11"/>
      <c r="P2526" s="11"/>
      <c r="Q2526" s="11"/>
      <c r="R2526" s="11"/>
    </row>
    <row r="2527" spans="1:18">
      <c r="D2527" s="1" t="s">
        <v>1512</v>
      </c>
      <c r="E2527" s="1" t="s">
        <v>1531</v>
      </c>
      <c r="F2527" s="1" t="s">
        <v>874</v>
      </c>
      <c r="G2527" s="1" t="s">
        <v>874</v>
      </c>
      <c r="H2527" s="1" t="s">
        <v>22</v>
      </c>
      <c r="I2527" s="1" t="s">
        <v>23</v>
      </c>
      <c r="J2527" s="1">
        <v>0</v>
      </c>
      <c r="K2527" s="1">
        <v>1000000</v>
      </c>
      <c r="L2527" s="1">
        <v>1</v>
      </c>
      <c r="M2527" s="1">
        <v>3000</v>
      </c>
      <c r="N2527" s="1">
        <v>3000</v>
      </c>
      <c r="O2527" s="11"/>
      <c r="P2527" s="11"/>
      <c r="Q2527" s="11"/>
      <c r="R2527" s="11"/>
    </row>
    <row r="2528" spans="1:18">
      <c r="D2528" s="1" t="s">
        <v>1512</v>
      </c>
      <c r="E2528" s="1" t="s">
        <v>1532</v>
      </c>
      <c r="F2528" s="1" t="s">
        <v>874</v>
      </c>
      <c r="G2528" s="1" t="s">
        <v>874</v>
      </c>
      <c r="H2528" s="1" t="s">
        <v>22</v>
      </c>
      <c r="I2528" s="1" t="s">
        <v>23</v>
      </c>
      <c r="J2528" s="1">
        <v>0</v>
      </c>
      <c r="K2528" s="1">
        <v>1000000</v>
      </c>
      <c r="L2528" s="1">
        <v>1</v>
      </c>
      <c r="M2528" s="1">
        <v>10000</v>
      </c>
      <c r="N2528" s="1">
        <v>10000</v>
      </c>
      <c r="O2528" s="11"/>
      <c r="P2528" s="11"/>
      <c r="Q2528" s="11"/>
      <c r="R2528" s="11"/>
    </row>
    <row r="2529" spans="1:18">
      <c r="D2529" s="1" t="s">
        <v>1512</v>
      </c>
      <c r="E2529" s="1" t="s">
        <v>1533</v>
      </c>
      <c r="F2529" s="1" t="s">
        <v>200</v>
      </c>
      <c r="G2529" s="1" t="s">
        <v>200</v>
      </c>
      <c r="H2529" s="1" t="s">
        <v>22</v>
      </c>
      <c r="I2529" s="1" t="s">
        <v>65</v>
      </c>
      <c r="L2529" s="1">
        <v>1</v>
      </c>
      <c r="N2529" s="1">
        <v>551</v>
      </c>
      <c r="O2529" s="11"/>
      <c r="P2529" s="11"/>
      <c r="Q2529" s="11"/>
      <c r="R2529" s="11"/>
    </row>
    <row r="2530" spans="1:18">
      <c r="D2530" s="1" t="s">
        <v>1512</v>
      </c>
      <c r="E2530" s="1" t="s">
        <v>1534</v>
      </c>
      <c r="F2530" s="1" t="s">
        <v>1535</v>
      </c>
      <c r="G2530" s="1" t="s">
        <v>1535</v>
      </c>
      <c r="H2530" s="1" t="s">
        <v>22</v>
      </c>
      <c r="I2530" s="1" t="s">
        <v>65</v>
      </c>
      <c r="L2530" s="1">
        <v>1</v>
      </c>
      <c r="N2530" s="1">
        <v>388.86946919415692</v>
      </c>
      <c r="O2530" s="11"/>
      <c r="P2530" s="11"/>
      <c r="Q2530" s="11"/>
      <c r="R2530" s="11"/>
    </row>
    <row r="2531" spans="1:18">
      <c r="A2531" s="2" t="s">
        <v>1759</v>
      </c>
      <c r="B2531" s="3" t="s">
        <v>1799</v>
      </c>
      <c r="D2531" s="1" t="s">
        <v>1512</v>
      </c>
      <c r="E2531" s="1" t="s">
        <v>1536</v>
      </c>
      <c r="F2531" s="1" t="s">
        <v>147</v>
      </c>
      <c r="G2531" s="1" t="s">
        <v>148</v>
      </c>
      <c r="H2531" s="1" t="s">
        <v>22</v>
      </c>
      <c r="I2531" s="1" t="s">
        <v>65</v>
      </c>
      <c r="L2531" s="1">
        <v>3.4121416351331</v>
      </c>
      <c r="N2531" s="1">
        <v>88133.858408022963</v>
      </c>
      <c r="O2531" s="11"/>
      <c r="P2531" s="11"/>
      <c r="Q2531" s="11"/>
      <c r="R2531" s="11"/>
    </row>
    <row r="2532" spans="1:18">
      <c r="D2532" s="1" t="s">
        <v>1512</v>
      </c>
      <c r="E2532" s="1" t="s">
        <v>967</v>
      </c>
      <c r="F2532" s="1" t="s">
        <v>147</v>
      </c>
      <c r="G2532" s="1" t="s">
        <v>148</v>
      </c>
      <c r="H2532" s="1" t="s">
        <v>22</v>
      </c>
      <c r="I2532" s="1" t="s">
        <v>120</v>
      </c>
      <c r="L2532" s="1">
        <v>3.4121416351331</v>
      </c>
      <c r="N2532" s="1">
        <v>0</v>
      </c>
      <c r="O2532" s="11"/>
      <c r="P2532" s="11"/>
      <c r="Q2532" s="11"/>
      <c r="R2532" s="11"/>
    </row>
    <row r="2533" spans="1:18">
      <c r="D2533" s="1" t="s">
        <v>1512</v>
      </c>
      <c r="E2533" s="1" t="s">
        <v>1537</v>
      </c>
      <c r="F2533" s="1">
        <v>1</v>
      </c>
      <c r="G2533" s="1">
        <v>1</v>
      </c>
      <c r="H2533" s="1" t="s">
        <v>22</v>
      </c>
      <c r="I2533" s="1" t="s">
        <v>65</v>
      </c>
      <c r="L2533" s="1">
        <v>1</v>
      </c>
      <c r="N2533" s="1">
        <v>0.90040000000031251</v>
      </c>
      <c r="O2533" s="11"/>
      <c r="P2533" s="11"/>
      <c r="Q2533" s="11"/>
      <c r="R2533" s="11"/>
    </row>
    <row r="2534" spans="1:18">
      <c r="D2534" s="1" t="s">
        <v>1512</v>
      </c>
      <c r="E2534" s="1" t="s">
        <v>1538</v>
      </c>
      <c r="F2534" s="1" t="s">
        <v>147</v>
      </c>
      <c r="G2534" s="1" t="s">
        <v>148</v>
      </c>
      <c r="H2534" s="1" t="s">
        <v>22</v>
      </c>
      <c r="I2534" s="1" t="s">
        <v>65</v>
      </c>
      <c r="L2534" s="1">
        <v>3.4121416351331</v>
      </c>
      <c r="N2534" s="1">
        <v>88133.858408022963</v>
      </c>
      <c r="O2534" s="11"/>
      <c r="P2534" s="11"/>
      <c r="Q2534" s="11"/>
      <c r="R2534" s="11"/>
    </row>
    <row r="2535" spans="1:18">
      <c r="D2535" s="1" t="s">
        <v>1512</v>
      </c>
      <c r="E2535" s="1" t="s">
        <v>1539</v>
      </c>
      <c r="H2535" s="1" t="s">
        <v>22</v>
      </c>
      <c r="I2535" s="1" t="s">
        <v>65</v>
      </c>
      <c r="L2535" s="1">
        <v>1</v>
      </c>
      <c r="N2535" s="1">
        <v>1</v>
      </c>
      <c r="O2535" s="11"/>
      <c r="P2535" s="11"/>
      <c r="Q2535" s="11"/>
      <c r="R2535" s="11"/>
    </row>
    <row r="2536" spans="1:18">
      <c r="D2536" s="1" t="s">
        <v>1512</v>
      </c>
      <c r="E2536" s="1" t="s">
        <v>1540</v>
      </c>
      <c r="F2536" s="1" t="s">
        <v>874</v>
      </c>
      <c r="G2536" s="1" t="s">
        <v>874</v>
      </c>
      <c r="H2536" s="1" t="s">
        <v>22</v>
      </c>
      <c r="I2536" s="1" t="s">
        <v>65</v>
      </c>
      <c r="L2536" s="1">
        <v>1</v>
      </c>
      <c r="N2536" s="1">
        <v>11666.084075824707</v>
      </c>
      <c r="O2536" s="11"/>
      <c r="P2536" s="11"/>
      <c r="Q2536" s="11"/>
      <c r="R2536" s="11"/>
    </row>
    <row r="2537" spans="1:18">
      <c r="D2537" s="1" t="s">
        <v>1512</v>
      </c>
      <c r="E2537" s="1" t="s">
        <v>1541</v>
      </c>
      <c r="F2537" s="1" t="s">
        <v>1542</v>
      </c>
      <c r="G2537" s="1" t="s">
        <v>1543</v>
      </c>
      <c r="H2537" s="1" t="s">
        <v>22</v>
      </c>
      <c r="I2537" s="1" t="s">
        <v>65</v>
      </c>
      <c r="L2537" s="1">
        <v>0.73756103316999999</v>
      </c>
      <c r="N2537" s="1">
        <v>353.93406102147918</v>
      </c>
      <c r="O2537" s="11"/>
      <c r="P2537" s="11"/>
      <c r="Q2537" s="11"/>
      <c r="R2537" s="11"/>
    </row>
    <row r="2538" spans="1:18">
      <c r="D2538" s="1" t="s">
        <v>1512</v>
      </c>
      <c r="E2538" s="1" t="s">
        <v>990</v>
      </c>
      <c r="H2538" s="1" t="s">
        <v>22</v>
      </c>
      <c r="I2538" s="1" t="s">
        <v>65</v>
      </c>
      <c r="L2538" s="1">
        <v>1</v>
      </c>
      <c r="N2538" s="1">
        <v>1</v>
      </c>
      <c r="O2538" s="11"/>
      <c r="P2538" s="11"/>
      <c r="Q2538" s="11"/>
      <c r="R2538" s="11"/>
    </row>
    <row r="2539" spans="1:18">
      <c r="D2539" s="1" t="s">
        <v>1512</v>
      </c>
      <c r="E2539" s="1" t="s">
        <v>1544</v>
      </c>
      <c r="F2539" s="1">
        <v>1</v>
      </c>
      <c r="G2539" s="1">
        <v>1</v>
      </c>
      <c r="H2539" s="1" t="s">
        <v>22</v>
      </c>
      <c r="I2539" s="1" t="s">
        <v>65</v>
      </c>
      <c r="J2539" s="1">
        <v>0</v>
      </c>
      <c r="L2539" s="1">
        <v>1</v>
      </c>
      <c r="N2539" s="1">
        <v>0.95779999999999998</v>
      </c>
      <c r="O2539" s="11"/>
      <c r="P2539" s="11"/>
      <c r="Q2539" s="11"/>
      <c r="R2539" s="11"/>
    </row>
    <row r="2540" spans="1:18">
      <c r="D2540" s="1" t="s">
        <v>1512</v>
      </c>
      <c r="E2540" s="1" t="s">
        <v>1545</v>
      </c>
      <c r="H2540" s="1" t="s">
        <v>63</v>
      </c>
      <c r="I2540" s="1" t="s">
        <v>65</v>
      </c>
      <c r="N2540" s="1">
        <v>-1</v>
      </c>
      <c r="O2540" s="11"/>
      <c r="P2540" s="11"/>
      <c r="Q2540" s="11"/>
      <c r="R2540" s="11"/>
    </row>
    <row r="2541" spans="1:18">
      <c r="D2541" s="1" t="s">
        <v>1512</v>
      </c>
      <c r="E2541" s="1" t="s">
        <v>1546</v>
      </c>
      <c r="H2541" s="1" t="s">
        <v>22</v>
      </c>
      <c r="I2541" s="1" t="s">
        <v>65</v>
      </c>
      <c r="L2541" s="1">
        <v>1</v>
      </c>
      <c r="N2541" s="1">
        <v>0</v>
      </c>
      <c r="O2541" s="11"/>
      <c r="P2541" s="11"/>
      <c r="Q2541" s="11"/>
      <c r="R2541" s="11"/>
    </row>
    <row r="2542" spans="1:18">
      <c r="D2542" s="1" t="s">
        <v>1512</v>
      </c>
      <c r="E2542" s="1" t="s">
        <v>69</v>
      </c>
      <c r="H2542" s="1" t="s">
        <v>25</v>
      </c>
      <c r="I2542" s="1" t="s">
        <v>70</v>
      </c>
      <c r="N2542" s="1">
        <v>0</v>
      </c>
      <c r="O2542" s="11"/>
      <c r="P2542" s="11"/>
      <c r="Q2542" s="11"/>
      <c r="R2542" s="11"/>
    </row>
    <row r="2543" spans="1:18">
      <c r="A2543" s="2" t="s">
        <v>1759</v>
      </c>
      <c r="B2543" s="3" t="s">
        <v>1800</v>
      </c>
      <c r="D2543" s="1" t="s">
        <v>1512</v>
      </c>
      <c r="E2543" s="1" t="s">
        <v>1547</v>
      </c>
      <c r="F2543" s="1" t="s">
        <v>147</v>
      </c>
      <c r="G2543" s="1" t="s">
        <v>148</v>
      </c>
      <c r="H2543" s="1" t="s">
        <v>22</v>
      </c>
      <c r="I2543" s="1" t="s">
        <v>65</v>
      </c>
      <c r="L2543" s="1">
        <v>3.4121416351331</v>
      </c>
      <c r="N2543" s="1">
        <v>2088480.0570621588</v>
      </c>
      <c r="O2543" s="11"/>
      <c r="P2543" s="11"/>
      <c r="Q2543" s="11"/>
      <c r="R2543" s="11"/>
    </row>
    <row r="2544" spans="1:18">
      <c r="A2544" s="2" t="s">
        <v>1759</v>
      </c>
      <c r="B2544" s="3" t="s">
        <v>1801</v>
      </c>
      <c r="D2544" s="1" t="s">
        <v>1512</v>
      </c>
      <c r="E2544" s="1" t="s">
        <v>1548</v>
      </c>
      <c r="F2544" s="1" t="s">
        <v>147</v>
      </c>
      <c r="G2544" s="1" t="s">
        <v>148</v>
      </c>
      <c r="H2544" s="1" t="s">
        <v>22</v>
      </c>
      <c r="I2544" s="1" t="s">
        <v>65</v>
      </c>
      <c r="L2544" s="1">
        <v>3.4121416351331</v>
      </c>
      <c r="N2544" s="1">
        <v>2000346.1986541357</v>
      </c>
      <c r="O2544" s="11"/>
      <c r="P2544" s="11"/>
      <c r="Q2544" s="11"/>
      <c r="R2544" s="11"/>
    </row>
    <row r="2545" spans="4:18">
      <c r="D2545" s="1" t="s">
        <v>1549</v>
      </c>
      <c r="E2545" s="1" t="s">
        <v>105</v>
      </c>
      <c r="H2545" s="1" t="s">
        <v>22</v>
      </c>
      <c r="I2545" s="1" t="s">
        <v>29</v>
      </c>
      <c r="J2545" s="1">
        <v>0</v>
      </c>
      <c r="K2545" s="1">
        <v>10000</v>
      </c>
      <c r="L2545" s="1">
        <v>5000</v>
      </c>
      <c r="N2545" s="1">
        <v>20</v>
      </c>
      <c r="O2545" s="11"/>
      <c r="P2545" s="11"/>
      <c r="Q2545" s="11"/>
      <c r="R2545" s="11"/>
    </row>
    <row r="2546" spans="4:18">
      <c r="D2546" s="1" t="s">
        <v>1549</v>
      </c>
      <c r="E2546" s="1" t="s">
        <v>106</v>
      </c>
      <c r="H2546" s="1" t="s">
        <v>25</v>
      </c>
      <c r="I2546" s="1" t="s">
        <v>23</v>
      </c>
      <c r="M2546" s="1" t="b">
        <v>0</v>
      </c>
      <c r="N2546" s="1">
        <v>0</v>
      </c>
      <c r="O2546" s="11"/>
      <c r="P2546" s="11"/>
      <c r="Q2546" s="11"/>
      <c r="R2546" s="11"/>
    </row>
    <row r="2547" spans="4:18">
      <c r="D2547" s="1" t="s">
        <v>1549</v>
      </c>
      <c r="E2547" s="1" t="s">
        <v>107</v>
      </c>
      <c r="H2547" s="1" t="s">
        <v>22</v>
      </c>
      <c r="I2547" s="1" t="s">
        <v>23</v>
      </c>
      <c r="L2547" s="1">
        <v>1</v>
      </c>
      <c r="M2547" s="1">
        <v>20</v>
      </c>
      <c r="N2547" s="1">
        <v>20</v>
      </c>
      <c r="O2547" s="11"/>
      <c r="P2547" s="11"/>
      <c r="Q2547" s="11"/>
      <c r="R2547" s="11"/>
    </row>
    <row r="2548" spans="4:18">
      <c r="D2548" s="1" t="s">
        <v>1549</v>
      </c>
      <c r="E2548" s="1" t="s">
        <v>109</v>
      </c>
      <c r="H2548" s="1" t="s">
        <v>22</v>
      </c>
      <c r="I2548" s="1" t="s">
        <v>23</v>
      </c>
      <c r="L2548" s="1">
        <v>1</v>
      </c>
      <c r="M2548" s="1">
        <v>1</v>
      </c>
      <c r="N2548" s="1">
        <v>1</v>
      </c>
      <c r="O2548" s="11"/>
      <c r="P2548" s="11"/>
      <c r="Q2548" s="11"/>
      <c r="R2548" s="11"/>
    </row>
    <row r="2549" spans="4:18">
      <c r="D2549" s="1" t="s">
        <v>1549</v>
      </c>
      <c r="E2549" s="1" t="s">
        <v>110</v>
      </c>
      <c r="H2549" s="1" t="s">
        <v>25</v>
      </c>
      <c r="I2549" s="1" t="s">
        <v>23</v>
      </c>
      <c r="M2549" s="1" t="b">
        <v>1</v>
      </c>
      <c r="N2549" s="1">
        <v>1</v>
      </c>
      <c r="O2549" s="11"/>
      <c r="P2549" s="11"/>
      <c r="Q2549" s="11"/>
      <c r="R2549" s="11"/>
    </row>
    <row r="2550" spans="4:18">
      <c r="D2550" s="1" t="s">
        <v>1549</v>
      </c>
      <c r="E2550" s="1" t="s">
        <v>111</v>
      </c>
      <c r="F2550" s="1" t="s">
        <v>56</v>
      </c>
      <c r="G2550" s="1" t="s">
        <v>57</v>
      </c>
      <c r="H2550" s="1" t="s">
        <v>22</v>
      </c>
      <c r="I2550" s="1" t="s">
        <v>23</v>
      </c>
      <c r="L2550" s="1">
        <v>1.4503773773020921E-4</v>
      </c>
      <c r="M2550" s="1">
        <v>7.2518868865104604E-3</v>
      </c>
      <c r="N2550" s="1">
        <v>7.2518868865104604E-3</v>
      </c>
      <c r="O2550" s="11"/>
      <c r="P2550" s="11"/>
      <c r="Q2550" s="11"/>
      <c r="R2550" s="11"/>
    </row>
    <row r="2551" spans="4:18">
      <c r="D2551" s="1" t="s">
        <v>1549</v>
      </c>
      <c r="E2551" s="1" t="s">
        <v>47</v>
      </c>
      <c r="H2551" s="1" t="s">
        <v>25</v>
      </c>
      <c r="I2551" s="1" t="s">
        <v>23</v>
      </c>
      <c r="M2551" s="1" t="b">
        <v>0</v>
      </c>
      <c r="N2551" s="1">
        <v>0</v>
      </c>
      <c r="O2551" s="11"/>
      <c r="P2551" s="11"/>
      <c r="Q2551" s="11"/>
      <c r="R2551" s="11"/>
    </row>
    <row r="2552" spans="4:18">
      <c r="D2552" s="1" t="s">
        <v>1549</v>
      </c>
      <c r="E2552" s="1" t="s">
        <v>112</v>
      </c>
      <c r="F2552" s="1" t="s">
        <v>56</v>
      </c>
      <c r="G2552" s="1" t="s">
        <v>57</v>
      </c>
      <c r="H2552" s="1" t="s">
        <v>22</v>
      </c>
      <c r="I2552" s="1" t="s">
        <v>29</v>
      </c>
      <c r="J2552" s="1">
        <v>4.9312830828271128</v>
      </c>
      <c r="K2552" s="1">
        <v>623.66227223989961</v>
      </c>
      <c r="L2552" s="1">
        <v>50.713895374744951</v>
      </c>
      <c r="N2552" s="1">
        <v>92.062658125001619</v>
      </c>
      <c r="O2552" s="11"/>
      <c r="P2552" s="11"/>
      <c r="Q2552" s="11"/>
      <c r="R2552" s="11"/>
    </row>
    <row r="2553" spans="4:18">
      <c r="D2553" s="1" t="s">
        <v>1549</v>
      </c>
      <c r="E2553" s="1" t="s">
        <v>62</v>
      </c>
      <c r="H2553" s="1" t="s">
        <v>63</v>
      </c>
      <c r="I2553" s="1" t="s">
        <v>23</v>
      </c>
      <c r="M2553" s="1">
        <v>1</v>
      </c>
      <c r="N2553" s="1">
        <v>1</v>
      </c>
      <c r="O2553" s="11"/>
      <c r="P2553" s="11"/>
      <c r="Q2553" s="11"/>
      <c r="R2553" s="11"/>
    </row>
    <row r="2554" spans="4:18">
      <c r="D2554" s="1" t="s">
        <v>1549</v>
      </c>
      <c r="E2554" s="1" t="s">
        <v>113</v>
      </c>
      <c r="H2554" s="1" t="s">
        <v>22</v>
      </c>
      <c r="I2554" s="1" t="s">
        <v>65</v>
      </c>
      <c r="L2554" s="1">
        <v>1</v>
      </c>
      <c r="N2554" s="1">
        <v>1.0868465350487813</v>
      </c>
      <c r="O2554" s="11"/>
      <c r="P2554" s="11"/>
      <c r="Q2554" s="11"/>
      <c r="R2554" s="11"/>
    </row>
    <row r="2555" spans="4:18">
      <c r="D2555" s="1" t="s">
        <v>1549</v>
      </c>
      <c r="E2555" s="1" t="s">
        <v>114</v>
      </c>
      <c r="H2555" s="1" t="s">
        <v>22</v>
      </c>
      <c r="I2555" s="1" t="s">
        <v>70</v>
      </c>
      <c r="L2555" s="1">
        <v>1</v>
      </c>
      <c r="N2555" s="1">
        <v>1</v>
      </c>
      <c r="O2555" s="11"/>
      <c r="P2555" s="11"/>
      <c r="Q2555" s="11"/>
      <c r="R2555" s="11"/>
    </row>
    <row r="2556" spans="4:18">
      <c r="D2556" s="1" t="s">
        <v>1549</v>
      </c>
      <c r="E2556" s="1" t="s">
        <v>115</v>
      </c>
      <c r="F2556" s="1" t="s">
        <v>56</v>
      </c>
      <c r="G2556" s="1" t="s">
        <v>57</v>
      </c>
      <c r="H2556" s="1" t="s">
        <v>22</v>
      </c>
      <c r="I2556" s="1" t="s">
        <v>65</v>
      </c>
      <c r="L2556" s="1">
        <v>1.4503773773020921E-4</v>
      </c>
      <c r="N2556" s="1">
        <v>39.696722523657499</v>
      </c>
      <c r="O2556" s="11"/>
      <c r="P2556" s="11"/>
      <c r="Q2556" s="11"/>
      <c r="R2556" s="11"/>
    </row>
    <row r="2557" spans="4:18">
      <c r="D2557" s="1" t="s">
        <v>1549</v>
      </c>
      <c r="E2557" s="1" t="s">
        <v>116</v>
      </c>
      <c r="H2557" s="1" t="s">
        <v>25</v>
      </c>
      <c r="I2557" s="1" t="s">
        <v>65</v>
      </c>
      <c r="N2557" s="1">
        <v>0</v>
      </c>
      <c r="O2557" s="11"/>
      <c r="P2557" s="11"/>
      <c r="Q2557" s="11"/>
      <c r="R2557" s="11"/>
    </row>
    <row r="2558" spans="4:18">
      <c r="D2558" s="1" t="s">
        <v>1549</v>
      </c>
      <c r="E2558" s="1" t="s">
        <v>69</v>
      </c>
      <c r="H2558" s="1" t="s">
        <v>25</v>
      </c>
      <c r="I2558" s="1" t="s">
        <v>70</v>
      </c>
      <c r="N2558" s="1">
        <v>0</v>
      </c>
      <c r="O2558" s="11"/>
      <c r="P2558" s="11"/>
      <c r="Q2558" s="11"/>
      <c r="R2558" s="11"/>
    </row>
    <row r="2559" spans="4:18">
      <c r="D2559" s="1" t="s">
        <v>1549</v>
      </c>
      <c r="E2559" s="1" t="s">
        <v>71</v>
      </c>
      <c r="F2559" s="1" t="s">
        <v>52</v>
      </c>
      <c r="G2559" s="1" t="s">
        <v>53</v>
      </c>
      <c r="H2559" s="1" t="s">
        <v>22</v>
      </c>
      <c r="I2559" s="1" t="s">
        <v>65</v>
      </c>
      <c r="L2559" s="1">
        <v>7936.6414386555998</v>
      </c>
      <c r="N2559" s="1">
        <v>1353.7263048454033</v>
      </c>
      <c r="O2559" s="11"/>
      <c r="P2559" s="11"/>
      <c r="Q2559" s="11"/>
      <c r="R2559" s="11"/>
    </row>
    <row r="2560" spans="4:18">
      <c r="D2560" s="1" t="s">
        <v>1549</v>
      </c>
      <c r="E2560" s="1" t="s">
        <v>117</v>
      </c>
      <c r="F2560" s="1" t="s">
        <v>118</v>
      </c>
      <c r="G2560" s="1" t="s">
        <v>119</v>
      </c>
      <c r="H2560" s="1" t="s">
        <v>22</v>
      </c>
      <c r="I2560" s="1" t="s">
        <v>120</v>
      </c>
      <c r="J2560" s="1">
        <v>0</v>
      </c>
      <c r="L2560" s="1">
        <v>2.20462262185</v>
      </c>
      <c r="N2560" s="1">
        <v>0</v>
      </c>
      <c r="O2560" s="11"/>
      <c r="P2560" s="11"/>
      <c r="Q2560" s="11"/>
      <c r="R2560" s="11"/>
    </row>
    <row r="2561" spans="4:18">
      <c r="D2561" s="1" t="s">
        <v>1549</v>
      </c>
      <c r="E2561" s="1" t="s">
        <v>121</v>
      </c>
      <c r="H2561" s="1" t="s">
        <v>22</v>
      </c>
      <c r="I2561" s="1" t="s">
        <v>120</v>
      </c>
      <c r="L2561" s="1">
        <v>1</v>
      </c>
      <c r="N2561" s="1">
        <v>0</v>
      </c>
      <c r="O2561" s="11"/>
      <c r="P2561" s="11"/>
      <c r="Q2561" s="11"/>
      <c r="R2561" s="11"/>
    </row>
    <row r="2562" spans="4:18">
      <c r="D2562" s="1" t="s">
        <v>1549</v>
      </c>
      <c r="E2562" s="1" t="s">
        <v>122</v>
      </c>
      <c r="F2562" s="1" t="s">
        <v>56</v>
      </c>
      <c r="G2562" s="1" t="s">
        <v>57</v>
      </c>
      <c r="H2562" s="1" t="s">
        <v>22</v>
      </c>
      <c r="I2562" s="1" t="s">
        <v>65</v>
      </c>
      <c r="L2562" s="1">
        <v>1.4503773773020921E-4</v>
      </c>
      <c r="N2562" s="1">
        <v>40.528337394878854</v>
      </c>
      <c r="O2562" s="11"/>
      <c r="P2562" s="11"/>
      <c r="Q2562" s="11"/>
      <c r="R2562" s="11"/>
    </row>
    <row r="2563" spans="4:18">
      <c r="D2563" s="1" t="s">
        <v>1549</v>
      </c>
      <c r="E2563" s="1" t="s">
        <v>123</v>
      </c>
      <c r="F2563" s="1" t="s">
        <v>124</v>
      </c>
      <c r="G2563" s="1" t="s">
        <v>125</v>
      </c>
      <c r="H2563" s="1" t="s">
        <v>22</v>
      </c>
      <c r="I2563" s="1" t="s">
        <v>120</v>
      </c>
      <c r="L2563" s="1">
        <v>35.314666699999997</v>
      </c>
      <c r="N2563" s="1">
        <v>0</v>
      </c>
      <c r="O2563" s="11"/>
      <c r="P2563" s="11"/>
      <c r="Q2563" s="11"/>
      <c r="R2563" s="11"/>
    </row>
    <row r="2564" spans="4:18">
      <c r="D2564" s="1" t="s">
        <v>1549</v>
      </c>
      <c r="E2564" s="1" t="s">
        <v>126</v>
      </c>
      <c r="H2564" s="1" t="s">
        <v>22</v>
      </c>
      <c r="I2564" s="1" t="s">
        <v>65</v>
      </c>
      <c r="L2564" s="1">
        <v>1</v>
      </c>
      <c r="N2564" s="1">
        <v>0.20435812483024593</v>
      </c>
      <c r="O2564" s="11"/>
      <c r="P2564" s="11"/>
      <c r="Q2564" s="11"/>
      <c r="R2564" s="11"/>
    </row>
    <row r="2565" spans="4:18">
      <c r="D2565" s="1" t="s">
        <v>1549</v>
      </c>
      <c r="E2565" s="1" t="s">
        <v>127</v>
      </c>
      <c r="H2565" s="1" t="s">
        <v>25</v>
      </c>
      <c r="I2565" s="1" t="s">
        <v>23</v>
      </c>
      <c r="M2565" s="1" t="b">
        <v>1</v>
      </c>
      <c r="N2565" s="1">
        <v>1</v>
      </c>
      <c r="O2565" s="11"/>
      <c r="P2565" s="11"/>
      <c r="Q2565" s="11"/>
      <c r="R2565" s="11"/>
    </row>
    <row r="2566" spans="4:18">
      <c r="D2566" s="1" t="s">
        <v>1549</v>
      </c>
      <c r="E2566" s="1" t="s">
        <v>128</v>
      </c>
      <c r="H2566" s="1" t="s">
        <v>25</v>
      </c>
      <c r="I2566" s="1" t="s">
        <v>23</v>
      </c>
      <c r="M2566" s="1" t="b">
        <v>0</v>
      </c>
      <c r="N2566" s="1">
        <v>0</v>
      </c>
      <c r="O2566" s="11"/>
      <c r="P2566" s="11"/>
      <c r="Q2566" s="11"/>
      <c r="R2566" s="11"/>
    </row>
    <row r="2567" spans="4:18">
      <c r="D2567" s="1" t="s">
        <v>1550</v>
      </c>
      <c r="E2567" s="1" t="s">
        <v>28</v>
      </c>
      <c r="H2567" s="1" t="s">
        <v>22</v>
      </c>
      <c r="I2567" s="1" t="s">
        <v>29</v>
      </c>
      <c r="J2567" s="1">
        <v>34000</v>
      </c>
      <c r="K2567" s="1">
        <v>4300000</v>
      </c>
      <c r="L2567" s="1">
        <v>349660</v>
      </c>
      <c r="N2567" s="1">
        <v>350000</v>
      </c>
      <c r="O2567" s="11"/>
      <c r="P2567" s="11"/>
      <c r="Q2567" s="11"/>
      <c r="R2567" s="11"/>
    </row>
    <row r="2568" spans="4:18">
      <c r="D2568" s="1" t="s">
        <v>1550</v>
      </c>
      <c r="E2568" s="1" t="s">
        <v>30</v>
      </c>
      <c r="H2568" s="1" t="s">
        <v>22</v>
      </c>
      <c r="I2568" s="1" t="s">
        <v>29</v>
      </c>
      <c r="J2568" s="1">
        <v>-3.94</v>
      </c>
      <c r="K2568" s="1">
        <v>3.66</v>
      </c>
      <c r="L2568" s="1">
        <v>1</v>
      </c>
      <c r="N2568" s="1">
        <v>1.01</v>
      </c>
      <c r="O2568" s="11"/>
      <c r="P2568" s="11"/>
      <c r="Q2568" s="11"/>
      <c r="R2568" s="11"/>
    </row>
    <row r="2569" spans="4:18">
      <c r="D2569" s="1" t="s">
        <v>1550</v>
      </c>
      <c r="E2569" s="1" t="s">
        <v>31</v>
      </c>
      <c r="H2569" s="1" t="s">
        <v>22</v>
      </c>
      <c r="I2569" s="1" t="s">
        <v>29</v>
      </c>
      <c r="J2569" s="1">
        <v>0</v>
      </c>
      <c r="K2569" s="1">
        <v>100</v>
      </c>
      <c r="L2569" s="1">
        <v>1</v>
      </c>
      <c r="N2569" s="1">
        <v>0</v>
      </c>
      <c r="O2569" s="11"/>
      <c r="P2569" s="11"/>
      <c r="Q2569" s="11"/>
      <c r="R2569" s="11"/>
    </row>
    <row r="2570" spans="4:18">
      <c r="D2570" s="1" t="s">
        <v>1550</v>
      </c>
      <c r="E2570" s="1" t="s">
        <v>32</v>
      </c>
      <c r="H2570" s="1" t="s">
        <v>22</v>
      </c>
      <c r="I2570" s="1" t="s">
        <v>29</v>
      </c>
      <c r="J2570" s="1">
        <v>-3.94</v>
      </c>
      <c r="K2570" s="1">
        <v>3.66</v>
      </c>
      <c r="L2570" s="1">
        <v>1</v>
      </c>
      <c r="N2570" s="1">
        <v>1.01</v>
      </c>
      <c r="O2570" s="11"/>
      <c r="P2570" s="11"/>
      <c r="Q2570" s="11"/>
      <c r="R2570" s="11"/>
    </row>
    <row r="2571" spans="4:18">
      <c r="D2571" s="1" t="s">
        <v>1550</v>
      </c>
      <c r="E2571" s="1" t="s">
        <v>33</v>
      </c>
      <c r="H2571" s="1" t="s">
        <v>25</v>
      </c>
      <c r="I2571" s="1" t="s">
        <v>23</v>
      </c>
      <c r="M2571" s="1" t="b">
        <v>0</v>
      </c>
      <c r="N2571" s="1">
        <v>0</v>
      </c>
      <c r="O2571" s="11"/>
      <c r="P2571" s="11"/>
      <c r="Q2571" s="11"/>
      <c r="R2571" s="11"/>
    </row>
    <row r="2572" spans="4:18">
      <c r="D2572" s="1" t="s">
        <v>1550</v>
      </c>
      <c r="E2572" s="1" t="s">
        <v>34</v>
      </c>
      <c r="F2572" s="1" t="s">
        <v>35</v>
      </c>
      <c r="G2572" s="1" t="s">
        <v>36</v>
      </c>
      <c r="H2572" s="1" t="s">
        <v>22</v>
      </c>
      <c r="I2572" s="1" t="s">
        <v>23</v>
      </c>
      <c r="J2572" s="1">
        <v>-459.67</v>
      </c>
      <c r="K2572" s="1">
        <v>980.32999999999993</v>
      </c>
      <c r="L2572" s="1">
        <v>80.329999999999984</v>
      </c>
      <c r="M2572" s="1">
        <v>67.999999999999943</v>
      </c>
      <c r="N2572" s="1">
        <v>67.999999999999943</v>
      </c>
      <c r="O2572" s="11"/>
      <c r="P2572" s="11"/>
      <c r="Q2572" s="11"/>
      <c r="R2572" s="11"/>
    </row>
    <row r="2573" spans="4:18">
      <c r="D2573" s="1" t="s">
        <v>1550</v>
      </c>
      <c r="E2573" s="1" t="s">
        <v>37</v>
      </c>
      <c r="H2573" s="1" t="s">
        <v>25</v>
      </c>
      <c r="I2573" s="1" t="s">
        <v>23</v>
      </c>
      <c r="M2573" s="1" t="b">
        <v>0</v>
      </c>
      <c r="N2573" s="1">
        <v>0</v>
      </c>
      <c r="O2573" s="11"/>
      <c r="P2573" s="11"/>
      <c r="Q2573" s="11"/>
      <c r="R2573" s="11"/>
    </row>
    <row r="2574" spans="4:18">
      <c r="D2574" s="1" t="s">
        <v>1550</v>
      </c>
      <c r="E2574" s="1" t="s">
        <v>38</v>
      </c>
      <c r="F2574" s="1" t="s">
        <v>35</v>
      </c>
      <c r="G2574" s="1" t="s">
        <v>36</v>
      </c>
      <c r="H2574" s="1" t="s">
        <v>22</v>
      </c>
      <c r="I2574" s="1" t="s">
        <v>23</v>
      </c>
      <c r="J2574" s="1">
        <v>-99.670000000000016</v>
      </c>
      <c r="K2574" s="1">
        <v>980.32999999999993</v>
      </c>
      <c r="L2574" s="1">
        <v>80.329999999999984</v>
      </c>
      <c r="M2574" s="1">
        <v>13.999999999999943</v>
      </c>
      <c r="N2574" s="1">
        <v>13.999999999999943</v>
      </c>
      <c r="O2574" s="11"/>
      <c r="P2574" s="11"/>
      <c r="Q2574" s="11"/>
      <c r="R2574" s="11"/>
    </row>
    <row r="2575" spans="4:18">
      <c r="D2575" s="1" t="s">
        <v>1550</v>
      </c>
      <c r="E2575" s="1" t="s">
        <v>39</v>
      </c>
      <c r="H2575" s="1" t="s">
        <v>25</v>
      </c>
      <c r="I2575" s="1" t="s">
        <v>23</v>
      </c>
      <c r="M2575" s="1" t="b">
        <v>0</v>
      </c>
      <c r="N2575" s="1">
        <v>0</v>
      </c>
      <c r="O2575" s="11"/>
      <c r="P2575" s="11"/>
      <c r="Q2575" s="11"/>
      <c r="R2575" s="11"/>
    </row>
    <row r="2576" spans="4:18">
      <c r="D2576" s="1" t="s">
        <v>1550</v>
      </c>
      <c r="E2576" s="1" t="s">
        <v>40</v>
      </c>
      <c r="F2576" s="1" t="s">
        <v>41</v>
      </c>
      <c r="G2576" s="1" t="s">
        <v>42</v>
      </c>
      <c r="H2576" s="1" t="s">
        <v>22</v>
      </c>
      <c r="I2576" s="1" t="s">
        <v>23</v>
      </c>
      <c r="J2576" s="1">
        <v>-900</v>
      </c>
      <c r="K2576" s="1">
        <v>900</v>
      </c>
      <c r="L2576" s="1">
        <v>1.8</v>
      </c>
      <c r="M2576" s="1">
        <v>9</v>
      </c>
      <c r="N2576" s="1">
        <v>9</v>
      </c>
      <c r="O2576" s="11"/>
      <c r="P2576" s="11"/>
      <c r="Q2576" s="11"/>
      <c r="R2576" s="11"/>
    </row>
    <row r="2577" spans="4:18">
      <c r="D2577" s="1" t="s">
        <v>1550</v>
      </c>
      <c r="E2577" s="1" t="s">
        <v>43</v>
      </c>
      <c r="H2577" s="1" t="s">
        <v>25</v>
      </c>
      <c r="I2577" s="1" t="s">
        <v>23</v>
      </c>
      <c r="M2577" s="1" t="b">
        <v>0</v>
      </c>
      <c r="N2577" s="1">
        <v>0</v>
      </c>
      <c r="O2577" s="11"/>
      <c r="P2577" s="11"/>
      <c r="Q2577" s="11"/>
      <c r="R2577" s="11"/>
    </row>
    <row r="2578" spans="4:18">
      <c r="D2578" s="1" t="s">
        <v>1550</v>
      </c>
      <c r="E2578" s="1" t="s">
        <v>44</v>
      </c>
      <c r="F2578" s="1" t="s">
        <v>45</v>
      </c>
      <c r="G2578" s="1" t="s">
        <v>46</v>
      </c>
      <c r="H2578" s="1" t="s">
        <v>22</v>
      </c>
      <c r="I2578" s="1" t="s">
        <v>23</v>
      </c>
      <c r="J2578" s="1">
        <v>-85.984522757427143</v>
      </c>
      <c r="K2578" s="1">
        <v>8598.4522757427148</v>
      </c>
      <c r="L2578" s="1">
        <v>114.79148749423418</v>
      </c>
      <c r="M2578" s="1">
        <v>128.97678413614071</v>
      </c>
      <c r="N2578" s="1">
        <v>128.97678413614071</v>
      </c>
      <c r="O2578" s="11"/>
      <c r="P2578" s="11"/>
      <c r="Q2578" s="11"/>
      <c r="R2578" s="11"/>
    </row>
    <row r="2579" spans="4:18">
      <c r="D2579" s="1" t="s">
        <v>1550</v>
      </c>
      <c r="E2579" s="1" t="s">
        <v>47</v>
      </c>
      <c r="H2579" s="1" t="s">
        <v>25</v>
      </c>
      <c r="I2579" s="1" t="s">
        <v>23</v>
      </c>
      <c r="M2579" s="1" t="b">
        <v>0</v>
      </c>
      <c r="N2579" s="1">
        <v>0</v>
      </c>
      <c r="O2579" s="11"/>
      <c r="P2579" s="11"/>
      <c r="Q2579" s="11"/>
      <c r="R2579" s="11"/>
    </row>
    <row r="2580" spans="4:18">
      <c r="D2580" s="1" t="s">
        <v>1550</v>
      </c>
      <c r="E2580" s="1" t="s">
        <v>48</v>
      </c>
      <c r="H2580" s="1" t="s">
        <v>25</v>
      </c>
      <c r="I2580" s="1" t="s">
        <v>23</v>
      </c>
      <c r="M2580" s="1" t="b">
        <v>0</v>
      </c>
      <c r="N2580" s="1">
        <v>0</v>
      </c>
      <c r="O2580" s="11"/>
      <c r="P2580" s="11"/>
      <c r="Q2580" s="11"/>
      <c r="R2580" s="11"/>
    </row>
    <row r="2581" spans="4:18">
      <c r="D2581" s="1" t="s">
        <v>1550</v>
      </c>
      <c r="E2581" s="1" t="s">
        <v>49</v>
      </c>
      <c r="H2581" s="1" t="s">
        <v>25</v>
      </c>
      <c r="I2581" s="1" t="s">
        <v>23</v>
      </c>
      <c r="M2581" s="1" t="b">
        <v>0</v>
      </c>
      <c r="N2581" s="1">
        <v>0</v>
      </c>
      <c r="O2581" s="11"/>
      <c r="P2581" s="11"/>
      <c r="Q2581" s="11"/>
      <c r="R2581" s="11"/>
    </row>
    <row r="2582" spans="4:18">
      <c r="D2582" s="1" t="s">
        <v>1550</v>
      </c>
      <c r="E2582" s="1" t="s">
        <v>50</v>
      </c>
      <c r="H2582" s="1" t="s">
        <v>25</v>
      </c>
      <c r="I2582" s="1" t="s">
        <v>23</v>
      </c>
      <c r="M2582" s="1" t="b">
        <v>0</v>
      </c>
      <c r="N2582" s="1">
        <v>0</v>
      </c>
      <c r="O2582" s="11"/>
      <c r="P2582" s="11"/>
      <c r="Q2582" s="11"/>
      <c r="R2582" s="11"/>
    </row>
    <row r="2583" spans="4:18">
      <c r="D2583" s="1" t="s">
        <v>1550</v>
      </c>
      <c r="E2583" s="1" t="s">
        <v>51</v>
      </c>
      <c r="F2583" s="1" t="s">
        <v>52</v>
      </c>
      <c r="G2583" s="1" t="s">
        <v>53</v>
      </c>
      <c r="H2583" s="1" t="s">
        <v>22</v>
      </c>
      <c r="I2583" s="1" t="s">
        <v>23</v>
      </c>
      <c r="J2583" s="1">
        <v>0</v>
      </c>
      <c r="K2583" s="1">
        <v>7936641438.6555996</v>
      </c>
      <c r="L2583" s="1">
        <v>7936.6414386555998</v>
      </c>
      <c r="M2583" s="1">
        <v>7936.6414386555998</v>
      </c>
      <c r="N2583" s="1">
        <v>7936.6414386555998</v>
      </c>
      <c r="O2583" s="11"/>
      <c r="P2583" s="11"/>
      <c r="Q2583" s="11"/>
      <c r="R2583" s="11"/>
    </row>
    <row r="2584" spans="4:18">
      <c r="D2584" s="1" t="s">
        <v>1550</v>
      </c>
      <c r="E2584" s="1" t="s">
        <v>54</v>
      </c>
      <c r="H2584" s="1" t="s">
        <v>25</v>
      </c>
      <c r="I2584" s="1" t="s">
        <v>23</v>
      </c>
      <c r="M2584" s="1" t="b">
        <v>0</v>
      </c>
      <c r="N2584" s="1">
        <v>0</v>
      </c>
      <c r="O2584" s="11"/>
      <c r="P2584" s="11"/>
      <c r="Q2584" s="11"/>
      <c r="R2584" s="11"/>
    </row>
    <row r="2585" spans="4:18">
      <c r="D2585" s="1" t="s">
        <v>1550</v>
      </c>
      <c r="E2585" s="1" t="s">
        <v>55</v>
      </c>
      <c r="F2585" s="1" t="s">
        <v>56</v>
      </c>
      <c r="G2585" s="1" t="s">
        <v>57</v>
      </c>
      <c r="H2585" s="1" t="s">
        <v>22</v>
      </c>
      <c r="I2585" s="1" t="s">
        <v>23</v>
      </c>
      <c r="J2585" s="1">
        <v>0</v>
      </c>
      <c r="K2585" s="1">
        <v>9427.4529524635982</v>
      </c>
      <c r="L2585" s="1">
        <v>50.713895374744951</v>
      </c>
      <c r="M2585" s="1">
        <v>50.763208205573221</v>
      </c>
      <c r="N2585" s="1">
        <v>50.763208205573221</v>
      </c>
      <c r="O2585" s="11"/>
      <c r="P2585" s="11"/>
      <c r="Q2585" s="11"/>
      <c r="R2585" s="11"/>
    </row>
    <row r="2586" spans="4:18">
      <c r="D2586" s="1" t="s">
        <v>1550</v>
      </c>
      <c r="E2586" s="1" t="s">
        <v>58</v>
      </c>
      <c r="H2586" s="1" t="s">
        <v>25</v>
      </c>
      <c r="I2586" s="1" t="s">
        <v>23</v>
      </c>
      <c r="M2586" s="1" t="b">
        <v>0</v>
      </c>
      <c r="N2586" s="1">
        <v>0</v>
      </c>
      <c r="O2586" s="11"/>
      <c r="P2586" s="11"/>
      <c r="Q2586" s="11"/>
      <c r="R2586" s="11"/>
    </row>
    <row r="2587" spans="4:18">
      <c r="D2587" s="1" t="s">
        <v>1550</v>
      </c>
      <c r="E2587" s="1" t="s">
        <v>59</v>
      </c>
      <c r="F2587" s="1" t="s">
        <v>60</v>
      </c>
      <c r="G2587" s="1" t="s">
        <v>61</v>
      </c>
      <c r="H2587" s="1" t="s">
        <v>22</v>
      </c>
      <c r="I2587" s="1" t="s">
        <v>23</v>
      </c>
      <c r="J2587" s="1">
        <v>-9.5538358650799999</v>
      </c>
      <c r="K2587" s="1">
        <v>9.5538358650799999</v>
      </c>
      <c r="L2587" s="1">
        <v>0.23884589662700001</v>
      </c>
      <c r="M2587" s="1">
        <v>0.23884589662700001</v>
      </c>
      <c r="N2587" s="1">
        <v>0.23884589662700001</v>
      </c>
      <c r="O2587" s="11"/>
      <c r="P2587" s="11"/>
      <c r="Q2587" s="11"/>
      <c r="R2587" s="11"/>
    </row>
    <row r="2588" spans="4:18">
      <c r="D2588" s="1" t="s">
        <v>1550</v>
      </c>
      <c r="E2588" s="1" t="s">
        <v>62</v>
      </c>
      <c r="H2588" s="1" t="s">
        <v>63</v>
      </c>
      <c r="I2588" s="1" t="s">
        <v>23</v>
      </c>
      <c r="M2588" s="1">
        <v>1</v>
      </c>
      <c r="N2588" s="1">
        <v>1</v>
      </c>
      <c r="O2588" s="11"/>
      <c r="P2588" s="11"/>
      <c r="Q2588" s="11"/>
      <c r="R2588" s="11"/>
    </row>
    <row r="2589" spans="4:18">
      <c r="D2589" s="1" t="s">
        <v>1550</v>
      </c>
      <c r="E2589" s="1" t="s">
        <v>64</v>
      </c>
      <c r="F2589" s="1" t="s">
        <v>35</v>
      </c>
      <c r="G2589" s="1" t="s">
        <v>36</v>
      </c>
      <c r="H2589" s="1" t="s">
        <v>22</v>
      </c>
      <c r="I2589" s="1" t="s">
        <v>65</v>
      </c>
      <c r="J2589" s="1">
        <v>-459.67</v>
      </c>
      <c r="L2589" s="1">
        <v>80.329999999999984</v>
      </c>
      <c r="N2589" s="1">
        <v>74.168479691803384</v>
      </c>
      <c r="O2589" s="11"/>
      <c r="P2589" s="11"/>
      <c r="Q2589" s="11"/>
      <c r="R2589" s="11"/>
    </row>
    <row r="2590" spans="4:18">
      <c r="D2590" s="1" t="s">
        <v>1550</v>
      </c>
      <c r="E2590" s="1" t="s">
        <v>66</v>
      </c>
      <c r="F2590" s="1" t="s">
        <v>35</v>
      </c>
      <c r="G2590" s="1" t="s">
        <v>36</v>
      </c>
      <c r="H2590" s="1" t="s">
        <v>22</v>
      </c>
      <c r="I2590" s="1" t="s">
        <v>65</v>
      </c>
      <c r="J2590" s="1">
        <v>-459.67</v>
      </c>
      <c r="L2590" s="1">
        <v>80.329999999999984</v>
      </c>
      <c r="N2590" s="1">
        <v>74.168479691803384</v>
      </c>
      <c r="O2590" s="11"/>
      <c r="P2590" s="11"/>
      <c r="Q2590" s="11"/>
      <c r="R2590" s="11"/>
    </row>
    <row r="2591" spans="4:18">
      <c r="D2591" s="1" t="s">
        <v>1550</v>
      </c>
      <c r="E2591" s="1" t="s">
        <v>67</v>
      </c>
      <c r="F2591" s="1" t="s">
        <v>41</v>
      </c>
      <c r="G2591" s="1" t="s">
        <v>42</v>
      </c>
      <c r="H2591" s="1" t="s">
        <v>22</v>
      </c>
      <c r="I2591" s="1" t="s">
        <v>65</v>
      </c>
      <c r="L2591" s="1">
        <v>1.8</v>
      </c>
      <c r="N2591" s="1">
        <v>0</v>
      </c>
      <c r="O2591" s="11"/>
      <c r="P2591" s="11"/>
      <c r="Q2591" s="11"/>
      <c r="R2591" s="11"/>
    </row>
    <row r="2592" spans="4:18">
      <c r="D2592" s="1" t="s">
        <v>1550</v>
      </c>
      <c r="E2592" s="1" t="s">
        <v>68</v>
      </c>
      <c r="F2592" s="1" t="s">
        <v>45</v>
      </c>
      <c r="G2592" s="1" t="s">
        <v>46</v>
      </c>
      <c r="H2592" s="1" t="s">
        <v>22</v>
      </c>
      <c r="I2592" s="1" t="s">
        <v>65</v>
      </c>
      <c r="L2592" s="1">
        <v>4.2992261378713571E-4</v>
      </c>
      <c r="N2592" s="1">
        <v>42.783075138634636</v>
      </c>
      <c r="O2592" s="11"/>
      <c r="P2592" s="11"/>
      <c r="Q2592" s="11"/>
      <c r="R2592" s="11"/>
    </row>
    <row r="2593" spans="4:18">
      <c r="D2593" s="1" t="s">
        <v>1550</v>
      </c>
      <c r="E2593" s="1" t="s">
        <v>69</v>
      </c>
      <c r="H2593" s="1" t="s">
        <v>25</v>
      </c>
      <c r="I2593" s="1" t="s">
        <v>70</v>
      </c>
      <c r="N2593" s="1">
        <v>0</v>
      </c>
      <c r="O2593" s="11"/>
      <c r="P2593" s="11"/>
      <c r="Q2593" s="11"/>
      <c r="R2593" s="11"/>
    </row>
    <row r="2594" spans="4:18">
      <c r="D2594" s="1" t="s">
        <v>1550</v>
      </c>
      <c r="E2594" s="1" t="s">
        <v>71</v>
      </c>
      <c r="F2594" s="1" t="s">
        <v>52</v>
      </c>
      <c r="G2594" s="1" t="s">
        <v>53</v>
      </c>
      <c r="H2594" s="1" t="s">
        <v>22</v>
      </c>
      <c r="I2594" s="1" t="s">
        <v>65</v>
      </c>
      <c r="L2594" s="1">
        <v>7936.6414386555998</v>
      </c>
      <c r="N2594" s="1">
        <v>1353.7263048454033</v>
      </c>
      <c r="O2594" s="11"/>
      <c r="P2594" s="11"/>
      <c r="Q2594" s="11"/>
      <c r="R2594" s="11"/>
    </row>
    <row r="2595" spans="4:18">
      <c r="D2595" s="1" t="s">
        <v>1550</v>
      </c>
      <c r="E2595" s="1" t="s">
        <v>72</v>
      </c>
      <c r="F2595" s="1" t="s">
        <v>56</v>
      </c>
      <c r="G2595" s="1" t="s">
        <v>57</v>
      </c>
      <c r="H2595" s="1" t="s">
        <v>22</v>
      </c>
      <c r="I2595" s="1" t="s">
        <v>65</v>
      </c>
      <c r="J2595" s="1">
        <v>0</v>
      </c>
      <c r="L2595" s="1">
        <v>14.503773773020921</v>
      </c>
      <c r="N2595" s="1">
        <v>92.062658125001619</v>
      </c>
      <c r="O2595" s="11"/>
      <c r="P2595" s="11"/>
      <c r="Q2595" s="11"/>
      <c r="R2595" s="11"/>
    </row>
    <row r="2596" spans="4:18">
      <c r="D2596" s="1" t="s">
        <v>1550</v>
      </c>
      <c r="E2596" s="1" t="s">
        <v>73</v>
      </c>
      <c r="F2596" s="1" t="s">
        <v>60</v>
      </c>
      <c r="G2596" s="1" t="s">
        <v>61</v>
      </c>
      <c r="H2596" s="1" t="s">
        <v>22</v>
      </c>
      <c r="I2596" s="1" t="s">
        <v>65</v>
      </c>
      <c r="L2596" s="1">
        <v>2.38845896627E-4</v>
      </c>
      <c r="N2596" s="1">
        <v>8.8044764546123103E-2</v>
      </c>
      <c r="O2596" s="11"/>
      <c r="P2596" s="11"/>
      <c r="Q2596" s="11"/>
      <c r="R2596" s="11"/>
    </row>
    <row r="2597" spans="4:18">
      <c r="D2597" s="1" t="s">
        <v>1550</v>
      </c>
      <c r="E2597" s="1" t="s">
        <v>74</v>
      </c>
      <c r="F2597" s="1" t="s">
        <v>75</v>
      </c>
      <c r="G2597" s="1" t="s">
        <v>76</v>
      </c>
      <c r="H2597" s="1" t="s">
        <v>22</v>
      </c>
      <c r="I2597" s="1" t="s">
        <v>65</v>
      </c>
      <c r="J2597" s="1">
        <v>0</v>
      </c>
      <c r="L2597" s="1">
        <v>16.018463521800001</v>
      </c>
      <c r="N2597" s="1">
        <v>5.654765789848791E-2</v>
      </c>
      <c r="O2597" s="11"/>
      <c r="P2597" s="11"/>
      <c r="Q2597" s="11"/>
      <c r="R2597" s="11"/>
    </row>
    <row r="2598" spans="4:18">
      <c r="D2598" s="1" t="s">
        <v>1550</v>
      </c>
      <c r="E2598" s="1" t="s">
        <v>77</v>
      </c>
      <c r="H2598" s="1" t="s">
        <v>22</v>
      </c>
      <c r="I2598" s="1" t="s">
        <v>65</v>
      </c>
      <c r="L2598" s="1">
        <v>1</v>
      </c>
      <c r="N2598" s="1">
        <v>8.5641024876879371E-2</v>
      </c>
      <c r="O2598" s="11"/>
      <c r="P2598" s="11"/>
      <c r="Q2598" s="11"/>
      <c r="R2598" s="11"/>
    </row>
    <row r="2599" spans="4:18">
      <c r="D2599" s="1" t="s">
        <v>1550</v>
      </c>
      <c r="E2599" s="1" t="s">
        <v>78</v>
      </c>
      <c r="H2599" s="1" t="s">
        <v>25</v>
      </c>
      <c r="I2599" s="1" t="s">
        <v>23</v>
      </c>
      <c r="M2599" s="1" t="b">
        <v>0</v>
      </c>
      <c r="N2599" s="1">
        <v>0</v>
      </c>
      <c r="O2599" s="11"/>
      <c r="P2599" s="11"/>
      <c r="Q2599" s="11"/>
      <c r="R2599" s="11"/>
    </row>
    <row r="2600" spans="4:18">
      <c r="D2600" s="1" t="s">
        <v>1550</v>
      </c>
      <c r="E2600" s="1" t="s">
        <v>79</v>
      </c>
      <c r="F2600" s="1" t="s">
        <v>75</v>
      </c>
      <c r="G2600" s="1" t="s">
        <v>76</v>
      </c>
      <c r="H2600" s="1" t="s">
        <v>22</v>
      </c>
      <c r="I2600" s="1" t="s">
        <v>23</v>
      </c>
      <c r="J2600" s="1">
        <v>0</v>
      </c>
      <c r="K2600" s="1">
        <v>96.110781130800007</v>
      </c>
      <c r="L2600" s="1">
        <v>16.018463521800001</v>
      </c>
      <c r="M2600" s="1">
        <v>1.6018463521800002</v>
      </c>
      <c r="N2600" s="1">
        <v>1.6018463521800002</v>
      </c>
      <c r="O2600" s="11"/>
      <c r="P2600" s="11"/>
      <c r="Q2600" s="11"/>
      <c r="R2600" s="11"/>
    </row>
    <row r="2601" spans="4:18">
      <c r="D2601" s="1" t="s">
        <v>1550</v>
      </c>
      <c r="E2601" s="1" t="s">
        <v>80</v>
      </c>
      <c r="H2601" s="1" t="s">
        <v>25</v>
      </c>
      <c r="I2601" s="1" t="s">
        <v>23</v>
      </c>
      <c r="M2601" s="1" t="b">
        <v>0</v>
      </c>
      <c r="N2601" s="1">
        <v>0</v>
      </c>
      <c r="O2601" s="11"/>
      <c r="P2601" s="11"/>
      <c r="Q2601" s="11"/>
      <c r="R2601" s="11"/>
    </row>
    <row r="2602" spans="4:18">
      <c r="D2602" s="1" t="s">
        <v>1550</v>
      </c>
      <c r="E2602" s="1" t="s">
        <v>81</v>
      </c>
      <c r="H2602" s="1" t="s">
        <v>25</v>
      </c>
      <c r="I2602" s="1" t="s">
        <v>23</v>
      </c>
      <c r="M2602" s="1" t="b">
        <v>0</v>
      </c>
      <c r="N2602" s="1">
        <v>0</v>
      </c>
      <c r="O2602" s="11"/>
      <c r="P2602" s="11"/>
      <c r="Q2602" s="11"/>
      <c r="R2602" s="11"/>
    </row>
    <row r="2603" spans="4:18">
      <c r="D2603" s="1" t="s">
        <v>1550</v>
      </c>
      <c r="E2603" s="1" t="s">
        <v>82</v>
      </c>
      <c r="H2603" s="1" t="s">
        <v>22</v>
      </c>
      <c r="I2603" s="1" t="s">
        <v>23</v>
      </c>
      <c r="J2603" s="1">
        <v>-1</v>
      </c>
      <c r="K2603" s="1">
        <v>3</v>
      </c>
      <c r="L2603" s="1">
        <v>1</v>
      </c>
      <c r="M2603" s="1">
        <v>1.01</v>
      </c>
      <c r="N2603" s="1">
        <v>1.01</v>
      </c>
      <c r="O2603" s="11"/>
      <c r="P2603" s="11"/>
      <c r="Q2603" s="11"/>
      <c r="R2603" s="11"/>
    </row>
    <row r="2604" spans="4:18">
      <c r="D2604" s="1" t="s">
        <v>1551</v>
      </c>
      <c r="E2604" s="1" t="s">
        <v>99</v>
      </c>
      <c r="H2604" s="1" t="s">
        <v>25</v>
      </c>
      <c r="I2604" s="1" t="s">
        <v>23</v>
      </c>
      <c r="M2604" s="1" t="b">
        <v>0</v>
      </c>
      <c r="N2604" s="1">
        <v>0</v>
      </c>
      <c r="O2604" s="11"/>
      <c r="P2604" s="11"/>
      <c r="Q2604" s="11"/>
      <c r="R2604" s="11"/>
    </row>
    <row r="2605" spans="4:18">
      <c r="D2605" s="1" t="s">
        <v>1551</v>
      </c>
      <c r="E2605" s="1" t="s">
        <v>47</v>
      </c>
      <c r="H2605" s="1" t="s">
        <v>25</v>
      </c>
      <c r="I2605" s="1" t="s">
        <v>23</v>
      </c>
      <c r="M2605" s="1" t="b">
        <v>0</v>
      </c>
      <c r="N2605" s="1">
        <v>0</v>
      </c>
      <c r="O2605" s="11"/>
      <c r="P2605" s="11"/>
      <c r="Q2605" s="11"/>
      <c r="R2605" s="11"/>
    </row>
    <row r="2606" spans="4:18">
      <c r="D2606" s="1" t="s">
        <v>1551</v>
      </c>
      <c r="E2606" s="1" t="s">
        <v>100</v>
      </c>
      <c r="H2606" s="1" t="s">
        <v>22</v>
      </c>
      <c r="I2606" s="1" t="s">
        <v>23</v>
      </c>
      <c r="L2606" s="1">
        <v>1</v>
      </c>
      <c r="M2606" s="1">
        <v>10</v>
      </c>
      <c r="N2606" s="1">
        <v>10</v>
      </c>
      <c r="O2606" s="11"/>
      <c r="P2606" s="11"/>
      <c r="Q2606" s="11"/>
      <c r="R2606" s="11"/>
    </row>
    <row r="2607" spans="4:18">
      <c r="D2607" s="1" t="s">
        <v>1551</v>
      </c>
      <c r="E2607" s="1" t="s">
        <v>101</v>
      </c>
      <c r="H2607" s="1" t="s">
        <v>22</v>
      </c>
      <c r="I2607" s="1" t="s">
        <v>23</v>
      </c>
      <c r="L2607" s="1">
        <v>1</v>
      </c>
      <c r="M2607" s="1">
        <v>0</v>
      </c>
      <c r="N2607" s="1">
        <v>0</v>
      </c>
      <c r="O2607" s="11"/>
      <c r="P2607" s="11"/>
      <c r="Q2607" s="11"/>
      <c r="R2607" s="11"/>
    </row>
    <row r="2608" spans="4:18">
      <c r="D2608" s="1" t="s">
        <v>1551</v>
      </c>
      <c r="E2608" s="1" t="s">
        <v>102</v>
      </c>
      <c r="H2608" s="1" t="s">
        <v>22</v>
      </c>
      <c r="I2608" s="1" t="s">
        <v>23</v>
      </c>
      <c r="L2608" s="1">
        <v>1</v>
      </c>
      <c r="M2608" s="1">
        <v>0.1</v>
      </c>
      <c r="N2608" s="1">
        <v>0.1</v>
      </c>
      <c r="O2608" s="11"/>
      <c r="P2608" s="11"/>
      <c r="Q2608" s="11"/>
      <c r="R2608" s="11"/>
    </row>
    <row r="2609" spans="4:18">
      <c r="D2609" s="1" t="s">
        <v>1551</v>
      </c>
      <c r="E2609" s="1" t="s">
        <v>103</v>
      </c>
      <c r="H2609" s="1" t="s">
        <v>22</v>
      </c>
      <c r="I2609" s="1" t="s">
        <v>29</v>
      </c>
      <c r="J2609" s="1">
        <v>0</v>
      </c>
      <c r="K2609" s="1">
        <v>10</v>
      </c>
      <c r="L2609" s="1">
        <v>5</v>
      </c>
      <c r="N2609" s="1">
        <v>1.0868465350487813</v>
      </c>
      <c r="O2609" s="11"/>
      <c r="P2609" s="11"/>
      <c r="Q2609" s="11"/>
      <c r="R2609" s="11"/>
    </row>
    <row r="2610" spans="4:18">
      <c r="D2610" s="1" t="s">
        <v>1552</v>
      </c>
      <c r="H2610" s="1" t="s">
        <v>25</v>
      </c>
      <c r="I2610" s="1" t="s">
        <v>23</v>
      </c>
      <c r="M2610" s="1" t="b">
        <v>1</v>
      </c>
      <c r="N2610" s="1">
        <v>1</v>
      </c>
      <c r="O2610" s="11"/>
      <c r="P2610" s="11"/>
      <c r="Q2610" s="11"/>
      <c r="R2610" s="11"/>
    </row>
    <row r="2611" spans="4:18">
      <c r="D2611" s="1" t="s">
        <v>1553</v>
      </c>
      <c r="E2611" s="1" t="s">
        <v>99</v>
      </c>
      <c r="H2611" s="1" t="s">
        <v>25</v>
      </c>
      <c r="I2611" s="1" t="s">
        <v>23</v>
      </c>
      <c r="M2611" s="1" t="b">
        <v>1</v>
      </c>
      <c r="N2611" s="1">
        <v>1</v>
      </c>
      <c r="O2611" s="11"/>
      <c r="P2611" s="11"/>
      <c r="Q2611" s="11"/>
      <c r="R2611" s="11"/>
    </row>
    <row r="2612" spans="4:18">
      <c r="D2612" s="1" t="s">
        <v>1553</v>
      </c>
      <c r="E2612" s="1" t="s">
        <v>47</v>
      </c>
      <c r="H2612" s="1" t="s">
        <v>25</v>
      </c>
      <c r="I2612" s="1" t="s">
        <v>23</v>
      </c>
      <c r="M2612" s="1" t="b">
        <v>0</v>
      </c>
      <c r="N2612" s="1">
        <v>0</v>
      </c>
      <c r="O2612" s="11"/>
      <c r="P2612" s="11"/>
      <c r="Q2612" s="11"/>
      <c r="R2612" s="11"/>
    </row>
    <row r="2613" spans="4:18">
      <c r="D2613" s="1" t="s">
        <v>1553</v>
      </c>
      <c r="E2613" s="1" t="s">
        <v>102</v>
      </c>
      <c r="H2613" s="1" t="s">
        <v>22</v>
      </c>
      <c r="I2613" s="1" t="s">
        <v>23</v>
      </c>
      <c r="L2613" s="1">
        <v>1</v>
      </c>
      <c r="M2613" s="1">
        <v>0</v>
      </c>
      <c r="N2613" s="1">
        <v>0</v>
      </c>
      <c r="O2613" s="11"/>
      <c r="P2613" s="11"/>
      <c r="Q2613" s="11"/>
      <c r="R2613" s="11"/>
    </row>
    <row r="2614" spans="4:18">
      <c r="D2614" s="1" t="s">
        <v>1554</v>
      </c>
      <c r="E2614" s="1" t="s">
        <v>1555</v>
      </c>
      <c r="F2614" s="1" t="s">
        <v>147</v>
      </c>
      <c r="G2614" s="1" t="s">
        <v>148</v>
      </c>
      <c r="H2614" s="1" t="s">
        <v>22</v>
      </c>
      <c r="I2614" s="1" t="s">
        <v>23</v>
      </c>
      <c r="L2614" s="1">
        <v>3.4121416351331</v>
      </c>
      <c r="M2614" s="1">
        <v>3412.1416351331</v>
      </c>
      <c r="N2614" s="1">
        <v>3412.1416351331</v>
      </c>
      <c r="O2614" s="11"/>
      <c r="P2614" s="11"/>
      <c r="Q2614" s="11"/>
      <c r="R2614" s="11"/>
    </row>
    <row r="2615" spans="4:18">
      <c r="D2615" s="1" t="s">
        <v>1554</v>
      </c>
      <c r="E2615" s="1" t="s">
        <v>1556</v>
      </c>
      <c r="H2615" s="1" t="s">
        <v>25</v>
      </c>
      <c r="I2615" s="1" t="s">
        <v>23</v>
      </c>
      <c r="M2615" s="1" t="b">
        <v>0</v>
      </c>
      <c r="N2615" s="1">
        <v>0</v>
      </c>
      <c r="O2615" s="11"/>
      <c r="P2615" s="11"/>
      <c r="Q2615" s="11"/>
      <c r="R2615" s="11"/>
    </row>
    <row r="2616" spans="4:18">
      <c r="D2616" s="1" t="s">
        <v>1554</v>
      </c>
      <c r="E2616" s="1" t="s">
        <v>1557</v>
      </c>
      <c r="H2616" s="1" t="s">
        <v>22</v>
      </c>
      <c r="I2616" s="1" t="s">
        <v>29</v>
      </c>
      <c r="J2616" s="1">
        <v>-1000000</v>
      </c>
      <c r="K2616" s="1">
        <v>1000000</v>
      </c>
      <c r="L2616" s="1">
        <v>1000</v>
      </c>
      <c r="N2616" s="1">
        <v>1000</v>
      </c>
      <c r="O2616" s="11"/>
      <c r="P2616" s="11"/>
      <c r="Q2616" s="11"/>
      <c r="R2616" s="11"/>
    </row>
    <row r="2617" spans="4:18">
      <c r="D2617" s="1" t="s">
        <v>1554</v>
      </c>
      <c r="E2617" s="1" t="s">
        <v>1558</v>
      </c>
      <c r="F2617" s="1" t="s">
        <v>35</v>
      </c>
      <c r="G2617" s="1" t="s">
        <v>36</v>
      </c>
      <c r="H2617" s="1" t="s">
        <v>22</v>
      </c>
      <c r="I2617" s="1" t="s">
        <v>23</v>
      </c>
      <c r="J2617" s="1">
        <v>-459.67</v>
      </c>
      <c r="L2617" s="1">
        <v>80.329999999999984</v>
      </c>
      <c r="M2617" s="1">
        <v>40.999999999999943</v>
      </c>
      <c r="N2617" s="1">
        <v>40.999999999999943</v>
      </c>
      <c r="O2617" s="11"/>
      <c r="P2617" s="11"/>
      <c r="Q2617" s="11"/>
      <c r="R2617" s="11"/>
    </row>
    <row r="2618" spans="4:18">
      <c r="D2618" s="1" t="s">
        <v>1554</v>
      </c>
      <c r="E2618" s="1" t="s">
        <v>33</v>
      </c>
      <c r="H2618" s="1" t="s">
        <v>25</v>
      </c>
      <c r="I2618" s="1" t="s">
        <v>23</v>
      </c>
      <c r="M2618" s="1" t="b">
        <v>0</v>
      </c>
      <c r="N2618" s="1">
        <v>0</v>
      </c>
      <c r="O2618" s="11"/>
      <c r="P2618" s="11"/>
      <c r="Q2618" s="11"/>
      <c r="R2618" s="11"/>
    </row>
    <row r="2619" spans="4:18">
      <c r="D2619" s="1" t="s">
        <v>1559</v>
      </c>
      <c r="E2619" s="1" t="s">
        <v>1555</v>
      </c>
      <c r="F2619" s="1" t="s">
        <v>147</v>
      </c>
      <c r="G2619" s="1" t="s">
        <v>148</v>
      </c>
      <c r="H2619" s="1" t="s">
        <v>22</v>
      </c>
      <c r="I2619" s="1" t="s">
        <v>23</v>
      </c>
      <c r="L2619" s="1">
        <v>3.4121416351331</v>
      </c>
      <c r="M2619" s="1">
        <v>3412.1416351331</v>
      </c>
      <c r="N2619" s="1">
        <v>3412.1416351331</v>
      </c>
      <c r="O2619" s="11"/>
      <c r="P2619" s="11"/>
      <c r="Q2619" s="11"/>
      <c r="R2619" s="11"/>
    </row>
    <row r="2620" spans="4:18">
      <c r="D2620" s="1" t="s">
        <v>1559</v>
      </c>
      <c r="E2620" s="1" t="s">
        <v>1556</v>
      </c>
      <c r="H2620" s="1" t="s">
        <v>25</v>
      </c>
      <c r="I2620" s="1" t="s">
        <v>23</v>
      </c>
      <c r="M2620" s="1" t="b">
        <v>1</v>
      </c>
      <c r="N2620" s="1">
        <v>1</v>
      </c>
      <c r="O2620" s="11"/>
      <c r="P2620" s="11"/>
      <c r="Q2620" s="11"/>
      <c r="R2620" s="11"/>
    </row>
    <row r="2621" spans="4:18">
      <c r="D2621" s="1" t="s">
        <v>1559</v>
      </c>
      <c r="E2621" s="1" t="s">
        <v>1558</v>
      </c>
      <c r="F2621" s="1" t="s">
        <v>35</v>
      </c>
      <c r="G2621" s="1" t="s">
        <v>36</v>
      </c>
      <c r="H2621" s="1" t="s">
        <v>22</v>
      </c>
      <c r="I2621" s="1" t="s">
        <v>23</v>
      </c>
      <c r="J2621" s="1">
        <v>-459.67</v>
      </c>
      <c r="L2621" s="1">
        <v>80.329999999999984</v>
      </c>
      <c r="M2621" s="1">
        <v>40.999999999999943</v>
      </c>
      <c r="N2621" s="1">
        <v>40.999999999999943</v>
      </c>
      <c r="O2621" s="11"/>
      <c r="P2621" s="11"/>
      <c r="Q2621" s="11"/>
      <c r="R2621" s="11"/>
    </row>
    <row r="2622" spans="4:18">
      <c r="D2622" s="1" t="s">
        <v>1559</v>
      </c>
      <c r="E2622" s="1" t="s">
        <v>33</v>
      </c>
      <c r="H2622" s="1" t="s">
        <v>25</v>
      </c>
      <c r="I2622" s="1" t="s">
        <v>23</v>
      </c>
      <c r="M2622" s="1" t="b">
        <v>0</v>
      </c>
      <c r="N2622" s="1">
        <v>0</v>
      </c>
      <c r="O2622" s="11"/>
      <c r="P2622" s="11"/>
      <c r="Q2622" s="11"/>
      <c r="R2622" s="11"/>
    </row>
    <row r="2623" spans="4:18">
      <c r="D2623" s="1" t="s">
        <v>1559</v>
      </c>
      <c r="E2623" s="1" t="s">
        <v>47</v>
      </c>
      <c r="H2623" s="1" t="s">
        <v>25</v>
      </c>
      <c r="I2623" s="1" t="s">
        <v>23</v>
      </c>
      <c r="M2623" s="1" t="b">
        <v>0</v>
      </c>
      <c r="N2623" s="1">
        <v>0</v>
      </c>
      <c r="O2623" s="11"/>
      <c r="P2623" s="11"/>
      <c r="Q2623" s="11"/>
      <c r="R2623" s="11"/>
    </row>
    <row r="2624" spans="4:18">
      <c r="D2624" s="1" t="s">
        <v>1560</v>
      </c>
      <c r="E2624" s="1" t="s">
        <v>1555</v>
      </c>
      <c r="F2624" s="1" t="s">
        <v>147</v>
      </c>
      <c r="G2624" s="1" t="s">
        <v>148</v>
      </c>
      <c r="H2624" s="1" t="s">
        <v>22</v>
      </c>
      <c r="I2624" s="1" t="s">
        <v>23</v>
      </c>
      <c r="L2624" s="1">
        <v>3.4121416351331</v>
      </c>
      <c r="M2624" s="1">
        <v>3412.1416351331</v>
      </c>
      <c r="N2624" s="1">
        <v>3412.1416351331</v>
      </c>
      <c r="O2624" s="11"/>
      <c r="P2624" s="11"/>
      <c r="Q2624" s="11"/>
      <c r="R2624" s="11"/>
    </row>
    <row r="2625" spans="4:18">
      <c r="D2625" s="1" t="s">
        <v>1560</v>
      </c>
      <c r="E2625" s="1" t="s">
        <v>1556</v>
      </c>
      <c r="H2625" s="1" t="s">
        <v>25</v>
      </c>
      <c r="I2625" s="1" t="s">
        <v>23</v>
      </c>
      <c r="M2625" s="1" t="b">
        <v>1</v>
      </c>
      <c r="N2625" s="1">
        <v>1</v>
      </c>
      <c r="O2625" s="11"/>
      <c r="P2625" s="11"/>
      <c r="Q2625" s="11"/>
      <c r="R2625" s="11"/>
    </row>
    <row r="2626" spans="4:18">
      <c r="D2626" s="1" t="s">
        <v>1560</v>
      </c>
      <c r="E2626" s="1" t="s">
        <v>1558</v>
      </c>
      <c r="F2626" s="1" t="s">
        <v>35</v>
      </c>
      <c r="G2626" s="1" t="s">
        <v>36</v>
      </c>
      <c r="H2626" s="1" t="s">
        <v>22</v>
      </c>
      <c r="I2626" s="1" t="s">
        <v>23</v>
      </c>
      <c r="J2626" s="1">
        <v>-459.67</v>
      </c>
      <c r="L2626" s="1">
        <v>80.329999999999984</v>
      </c>
      <c r="M2626" s="1">
        <v>40.999999999999943</v>
      </c>
      <c r="N2626" s="1">
        <v>40.999999999999943</v>
      </c>
      <c r="O2626" s="11"/>
      <c r="P2626" s="11"/>
      <c r="Q2626" s="11"/>
      <c r="R2626" s="11"/>
    </row>
    <row r="2627" spans="4:18">
      <c r="D2627" s="1" t="s">
        <v>1560</v>
      </c>
      <c r="E2627" s="1" t="s">
        <v>33</v>
      </c>
      <c r="H2627" s="1" t="s">
        <v>25</v>
      </c>
      <c r="I2627" s="1" t="s">
        <v>23</v>
      </c>
      <c r="M2627" s="1" t="b">
        <v>0</v>
      </c>
      <c r="N2627" s="1">
        <v>0</v>
      </c>
      <c r="O2627" s="11"/>
      <c r="P2627" s="11"/>
      <c r="Q2627" s="11"/>
      <c r="R2627" s="11"/>
    </row>
    <row r="2628" spans="4:18">
      <c r="D2628" s="1" t="s">
        <v>1560</v>
      </c>
      <c r="E2628" s="1" t="s">
        <v>47</v>
      </c>
      <c r="H2628" s="1" t="s">
        <v>25</v>
      </c>
      <c r="I2628" s="1" t="s">
        <v>23</v>
      </c>
      <c r="M2628" s="1" t="b">
        <v>0</v>
      </c>
      <c r="N2628" s="1">
        <v>0</v>
      </c>
      <c r="O2628" s="11"/>
      <c r="P2628" s="11"/>
      <c r="Q2628" s="11"/>
      <c r="R2628" s="11"/>
    </row>
    <row r="2629" spans="4:18">
      <c r="D2629" s="1" t="s">
        <v>1561</v>
      </c>
      <c r="E2629" s="1" t="s">
        <v>1562</v>
      </c>
      <c r="H2629" s="1" t="s">
        <v>22</v>
      </c>
      <c r="I2629" s="1" t="s">
        <v>23</v>
      </c>
      <c r="J2629" s="1">
        <v>0</v>
      </c>
      <c r="K2629" s="1">
        <v>1</v>
      </c>
      <c r="L2629" s="1">
        <v>1</v>
      </c>
      <c r="M2629" s="1">
        <v>0.5</v>
      </c>
      <c r="N2629" s="1">
        <v>0.5</v>
      </c>
      <c r="O2629" s="11"/>
      <c r="P2629" s="11"/>
      <c r="Q2629" s="11"/>
      <c r="R2629" s="11"/>
    </row>
    <row r="2630" spans="4:18">
      <c r="D2630" s="1" t="s">
        <v>1561</v>
      </c>
      <c r="E2630" s="1" t="s">
        <v>47</v>
      </c>
      <c r="H2630" s="1" t="s">
        <v>25</v>
      </c>
      <c r="I2630" s="1" t="s">
        <v>23</v>
      </c>
      <c r="M2630" s="1" t="b">
        <v>0</v>
      </c>
      <c r="N2630" s="1">
        <v>0</v>
      </c>
      <c r="O2630" s="11"/>
      <c r="P2630" s="11"/>
      <c r="Q2630" s="11"/>
      <c r="R2630" s="11"/>
    </row>
    <row r="2631" spans="4:18">
      <c r="D2631" s="1" t="s">
        <v>1561</v>
      </c>
      <c r="E2631" s="1" t="s">
        <v>1508</v>
      </c>
      <c r="H2631" s="1" t="s">
        <v>25</v>
      </c>
      <c r="I2631" s="1" t="s">
        <v>23</v>
      </c>
      <c r="M2631" s="1" t="b">
        <v>0</v>
      </c>
      <c r="N2631" s="1">
        <v>0</v>
      </c>
      <c r="O2631" s="11"/>
      <c r="P2631" s="11"/>
      <c r="Q2631" s="11"/>
      <c r="R2631" s="11"/>
    </row>
    <row r="2632" spans="4:18">
      <c r="D2632" s="1" t="s">
        <v>1561</v>
      </c>
      <c r="E2632" s="1" t="s">
        <v>1563</v>
      </c>
      <c r="H2632" s="1" t="s">
        <v>25</v>
      </c>
      <c r="I2632" s="1" t="s">
        <v>23</v>
      </c>
      <c r="M2632" s="1" t="b">
        <v>0</v>
      </c>
      <c r="N2632" s="1">
        <v>0</v>
      </c>
      <c r="O2632" s="11"/>
      <c r="P2632" s="11"/>
      <c r="Q2632" s="11"/>
      <c r="R2632" s="11"/>
    </row>
    <row r="2633" spans="4:18">
      <c r="D2633" s="1" t="s">
        <v>1561</v>
      </c>
      <c r="E2633" s="1" t="s">
        <v>1564</v>
      </c>
      <c r="F2633" s="1" t="s">
        <v>52</v>
      </c>
      <c r="G2633" s="1" t="s">
        <v>53</v>
      </c>
      <c r="H2633" s="1" t="s">
        <v>22</v>
      </c>
      <c r="I2633" s="1" t="s">
        <v>23</v>
      </c>
      <c r="L2633" s="1">
        <v>7936.6414386555998</v>
      </c>
      <c r="M2633" s="1">
        <v>0</v>
      </c>
      <c r="N2633" s="1">
        <v>0</v>
      </c>
      <c r="O2633" s="11"/>
      <c r="P2633" s="11"/>
      <c r="Q2633" s="11"/>
      <c r="R2633" s="11"/>
    </row>
    <row r="2634" spans="4:18">
      <c r="D2634" s="1" t="s">
        <v>1561</v>
      </c>
      <c r="E2634" s="1" t="s">
        <v>1565</v>
      </c>
      <c r="F2634" s="1" t="s">
        <v>52</v>
      </c>
      <c r="G2634" s="1" t="s">
        <v>53</v>
      </c>
      <c r="H2634" s="1" t="s">
        <v>22</v>
      </c>
      <c r="I2634" s="1" t="s">
        <v>23</v>
      </c>
      <c r="L2634" s="1">
        <v>7936.6414386555998</v>
      </c>
      <c r="M2634" s="1">
        <v>0</v>
      </c>
      <c r="N2634" s="1">
        <v>0</v>
      </c>
      <c r="O2634" s="11"/>
      <c r="P2634" s="11"/>
      <c r="Q2634" s="11"/>
      <c r="R2634" s="11"/>
    </row>
    <row r="2635" spans="4:18">
      <c r="D2635" s="1" t="s">
        <v>1561</v>
      </c>
      <c r="E2635" s="1" t="s">
        <v>1566</v>
      </c>
      <c r="F2635" s="1" t="s">
        <v>56</v>
      </c>
      <c r="G2635" s="1" t="s">
        <v>57</v>
      </c>
      <c r="H2635" s="1" t="s">
        <v>22</v>
      </c>
      <c r="I2635" s="1" t="s">
        <v>29</v>
      </c>
      <c r="J2635" s="1">
        <v>4.9312830828271128</v>
      </c>
      <c r="K2635" s="1">
        <v>623.66227223989961</v>
      </c>
      <c r="L2635" s="1">
        <v>50.713895374744951</v>
      </c>
      <c r="N2635" s="1">
        <v>135.32432554524246</v>
      </c>
      <c r="O2635" s="11"/>
      <c r="P2635" s="11"/>
      <c r="Q2635" s="11"/>
      <c r="R2635" s="11"/>
    </row>
    <row r="2636" spans="4:18">
      <c r="D2636" s="1" t="s">
        <v>1561</v>
      </c>
      <c r="E2636" s="1" t="s">
        <v>1567</v>
      </c>
      <c r="F2636" s="1" t="s">
        <v>52</v>
      </c>
      <c r="G2636" s="1" t="s">
        <v>53</v>
      </c>
      <c r="H2636" s="1" t="s">
        <v>22</v>
      </c>
      <c r="I2636" s="1" t="s">
        <v>29</v>
      </c>
      <c r="J2636" s="1">
        <v>-793664.14386555995</v>
      </c>
      <c r="K2636" s="1">
        <v>0</v>
      </c>
      <c r="L2636" s="1">
        <v>7936.6414386555998</v>
      </c>
      <c r="N2636" s="1">
        <v>0</v>
      </c>
      <c r="O2636" s="11"/>
      <c r="P2636" s="11"/>
      <c r="Q2636" s="11"/>
      <c r="R2636" s="11"/>
    </row>
    <row r="2637" spans="4:18">
      <c r="D2637" s="1" t="s">
        <v>1561</v>
      </c>
      <c r="E2637" s="1" t="s">
        <v>1568</v>
      </c>
      <c r="F2637" s="1" t="s">
        <v>52</v>
      </c>
      <c r="G2637" s="1" t="s">
        <v>53</v>
      </c>
      <c r="H2637" s="1" t="s">
        <v>22</v>
      </c>
      <c r="I2637" s="1" t="s">
        <v>29</v>
      </c>
      <c r="J2637" s="1">
        <v>-793664.14386555995</v>
      </c>
      <c r="K2637" s="1">
        <v>0</v>
      </c>
      <c r="L2637" s="1">
        <v>7936.6414386555998</v>
      </c>
      <c r="N2637" s="1">
        <v>-183317.80538679316</v>
      </c>
      <c r="O2637" s="11"/>
      <c r="P2637" s="11"/>
      <c r="Q2637" s="11"/>
      <c r="R2637" s="11"/>
    </row>
    <row r="2638" spans="4:18">
      <c r="D2638" s="1" t="s">
        <v>1561</v>
      </c>
      <c r="E2638" s="1" t="s">
        <v>62</v>
      </c>
      <c r="H2638" s="1" t="s">
        <v>63</v>
      </c>
      <c r="I2638" s="1" t="s">
        <v>23</v>
      </c>
      <c r="M2638" s="1">
        <v>1</v>
      </c>
      <c r="N2638" s="1">
        <v>1</v>
      </c>
      <c r="O2638" s="11"/>
      <c r="P2638" s="11"/>
      <c r="Q2638" s="11"/>
      <c r="R2638" s="11"/>
    </row>
    <row r="2639" spans="4:18">
      <c r="D2639" s="1" t="s">
        <v>1569</v>
      </c>
      <c r="E2639" s="1" t="s">
        <v>1562</v>
      </c>
      <c r="H2639" s="1" t="s">
        <v>22</v>
      </c>
      <c r="I2639" s="1" t="s">
        <v>23</v>
      </c>
      <c r="J2639" s="1">
        <v>0</v>
      </c>
      <c r="K2639" s="1">
        <v>1</v>
      </c>
      <c r="L2639" s="1">
        <v>1</v>
      </c>
      <c r="M2639" s="1">
        <v>0.01</v>
      </c>
      <c r="N2639" s="1">
        <v>0.01</v>
      </c>
      <c r="O2639" s="11"/>
      <c r="P2639" s="11"/>
      <c r="Q2639" s="11"/>
      <c r="R2639" s="11"/>
    </row>
    <row r="2640" spans="4:18">
      <c r="D2640" s="1" t="s">
        <v>1569</v>
      </c>
      <c r="E2640" s="1" t="s">
        <v>47</v>
      </c>
      <c r="H2640" s="1" t="s">
        <v>25</v>
      </c>
      <c r="I2640" s="1" t="s">
        <v>23</v>
      </c>
      <c r="M2640" s="1" t="b">
        <v>0</v>
      </c>
      <c r="N2640" s="1">
        <v>0</v>
      </c>
      <c r="O2640" s="11"/>
      <c r="P2640" s="11"/>
      <c r="Q2640" s="11"/>
      <c r="R2640" s="11"/>
    </row>
    <row r="2641" spans="4:18">
      <c r="D2641" s="1" t="s">
        <v>1569</v>
      </c>
      <c r="E2641" s="1" t="s">
        <v>1508</v>
      </c>
      <c r="H2641" s="1" t="s">
        <v>25</v>
      </c>
      <c r="I2641" s="1" t="s">
        <v>23</v>
      </c>
      <c r="M2641" s="1" t="b">
        <v>1</v>
      </c>
      <c r="N2641" s="1">
        <v>1</v>
      </c>
      <c r="O2641" s="11"/>
      <c r="P2641" s="11"/>
      <c r="Q2641" s="11"/>
      <c r="R2641" s="11"/>
    </row>
    <row r="2642" spans="4:18">
      <c r="D2642" s="1" t="s">
        <v>1569</v>
      </c>
      <c r="E2642" s="1" t="s">
        <v>1563</v>
      </c>
      <c r="H2642" s="1" t="s">
        <v>25</v>
      </c>
      <c r="I2642" s="1" t="s">
        <v>23</v>
      </c>
      <c r="M2642" s="1" t="b">
        <v>0</v>
      </c>
      <c r="N2642" s="1">
        <v>0</v>
      </c>
      <c r="O2642" s="11"/>
      <c r="P2642" s="11"/>
      <c r="Q2642" s="11"/>
      <c r="R2642" s="11"/>
    </row>
    <row r="2643" spans="4:18">
      <c r="D2643" s="1" t="s">
        <v>1569</v>
      </c>
      <c r="E2643" s="1" t="s">
        <v>1564</v>
      </c>
      <c r="F2643" s="1" t="s">
        <v>52</v>
      </c>
      <c r="G2643" s="1" t="s">
        <v>53</v>
      </c>
      <c r="H2643" s="1" t="s">
        <v>22</v>
      </c>
      <c r="I2643" s="1" t="s">
        <v>23</v>
      </c>
      <c r="L2643" s="1">
        <v>7936.6414386555998</v>
      </c>
      <c r="M2643" s="1">
        <v>0</v>
      </c>
      <c r="N2643" s="1">
        <v>0</v>
      </c>
      <c r="O2643" s="11"/>
      <c r="P2643" s="11"/>
      <c r="Q2643" s="11"/>
      <c r="R2643" s="11"/>
    </row>
    <row r="2644" spans="4:18">
      <c r="D2644" s="1" t="s">
        <v>1569</v>
      </c>
      <c r="E2644" s="1" t="s">
        <v>1565</v>
      </c>
      <c r="F2644" s="1" t="s">
        <v>52</v>
      </c>
      <c r="G2644" s="1" t="s">
        <v>53</v>
      </c>
      <c r="H2644" s="1" t="s">
        <v>22</v>
      </c>
      <c r="I2644" s="1" t="s">
        <v>23</v>
      </c>
      <c r="L2644" s="1">
        <v>7936.6414386555998</v>
      </c>
      <c r="M2644" s="1">
        <v>0</v>
      </c>
      <c r="N2644" s="1">
        <v>0</v>
      </c>
      <c r="O2644" s="11"/>
      <c r="P2644" s="11"/>
      <c r="Q2644" s="11"/>
      <c r="R2644" s="11"/>
    </row>
    <row r="2645" spans="4:18">
      <c r="D2645" s="1" t="s">
        <v>1569</v>
      </c>
      <c r="E2645" s="1" t="s">
        <v>1566</v>
      </c>
      <c r="F2645" s="1" t="s">
        <v>56</v>
      </c>
      <c r="G2645" s="1" t="s">
        <v>57</v>
      </c>
      <c r="H2645" s="1" t="s">
        <v>22</v>
      </c>
      <c r="I2645" s="1" t="s">
        <v>29</v>
      </c>
      <c r="J2645" s="1">
        <v>4.9312830828271128</v>
      </c>
      <c r="K2645" s="1">
        <v>623.66227223989961</v>
      </c>
      <c r="L2645" s="1">
        <v>50.713895374744951</v>
      </c>
      <c r="N2645" s="1">
        <v>92.062658125001619</v>
      </c>
      <c r="O2645" s="11"/>
      <c r="P2645" s="11"/>
      <c r="Q2645" s="11"/>
      <c r="R2645" s="11"/>
    </row>
    <row r="2646" spans="4:18">
      <c r="D2646" s="1" t="s">
        <v>1569</v>
      </c>
      <c r="E2646" s="1" t="s">
        <v>1567</v>
      </c>
      <c r="F2646" s="1" t="s">
        <v>52</v>
      </c>
      <c r="G2646" s="1" t="s">
        <v>53</v>
      </c>
      <c r="H2646" s="1" t="s">
        <v>22</v>
      </c>
      <c r="I2646" s="1" t="s">
        <v>29</v>
      </c>
      <c r="J2646" s="1">
        <v>-793664.14386555995</v>
      </c>
      <c r="K2646" s="1">
        <v>0</v>
      </c>
      <c r="L2646" s="1">
        <v>7936.6414386555998</v>
      </c>
      <c r="N2646" s="1">
        <v>0</v>
      </c>
      <c r="O2646" s="11"/>
      <c r="P2646" s="11"/>
      <c r="Q2646" s="11"/>
      <c r="R2646" s="11"/>
    </row>
    <row r="2647" spans="4:18">
      <c r="D2647" s="1" t="s">
        <v>1569</v>
      </c>
      <c r="E2647" s="1" t="s">
        <v>1568</v>
      </c>
      <c r="F2647" s="1" t="s">
        <v>52</v>
      </c>
      <c r="G2647" s="1" t="s">
        <v>53</v>
      </c>
      <c r="H2647" s="1" t="s">
        <v>22</v>
      </c>
      <c r="I2647" s="1" t="s">
        <v>29</v>
      </c>
      <c r="J2647" s="1">
        <v>-793664.14386555995</v>
      </c>
      <c r="K2647" s="1">
        <v>0</v>
      </c>
      <c r="L2647" s="1">
        <v>7936.6414386555998</v>
      </c>
      <c r="N2647" s="1">
        <v>-181964.07908194777</v>
      </c>
      <c r="O2647" s="11"/>
      <c r="P2647" s="11"/>
      <c r="Q2647" s="11"/>
      <c r="R2647" s="11"/>
    </row>
    <row r="2648" spans="4:18">
      <c r="D2648" s="1" t="s">
        <v>1569</v>
      </c>
      <c r="E2648" s="1" t="s">
        <v>62</v>
      </c>
      <c r="H2648" s="1" t="s">
        <v>63</v>
      </c>
      <c r="I2648" s="1" t="s">
        <v>23</v>
      </c>
      <c r="M2648" s="1">
        <v>1</v>
      </c>
      <c r="N2648" s="1">
        <v>1</v>
      </c>
      <c r="O2648" s="11"/>
      <c r="P2648" s="11"/>
      <c r="Q2648" s="11"/>
      <c r="R2648" s="11"/>
    </row>
    <row r="2649" spans="4:18">
      <c r="D2649" s="1" t="s">
        <v>1570</v>
      </c>
      <c r="E2649" s="1" t="s">
        <v>1562</v>
      </c>
      <c r="H2649" s="1" t="s">
        <v>22</v>
      </c>
      <c r="I2649" s="1" t="s">
        <v>23</v>
      </c>
      <c r="J2649" s="1">
        <v>0</v>
      </c>
      <c r="K2649" s="1">
        <v>1</v>
      </c>
      <c r="L2649" s="1">
        <v>1</v>
      </c>
      <c r="M2649" s="1">
        <v>0.01</v>
      </c>
      <c r="N2649" s="1">
        <v>0.01</v>
      </c>
      <c r="O2649" s="11"/>
      <c r="P2649" s="11"/>
      <c r="Q2649" s="11"/>
      <c r="R2649" s="11"/>
    </row>
    <row r="2650" spans="4:18">
      <c r="D2650" s="1" t="s">
        <v>1570</v>
      </c>
      <c r="E2650" s="1" t="s">
        <v>47</v>
      </c>
      <c r="H2650" s="1" t="s">
        <v>25</v>
      </c>
      <c r="I2650" s="1" t="s">
        <v>23</v>
      </c>
      <c r="M2650" s="1" t="b">
        <v>0</v>
      </c>
      <c r="N2650" s="1">
        <v>0</v>
      </c>
      <c r="O2650" s="11"/>
      <c r="P2650" s="11"/>
      <c r="Q2650" s="11"/>
      <c r="R2650" s="11"/>
    </row>
    <row r="2651" spans="4:18">
      <c r="D2651" s="1" t="s">
        <v>1570</v>
      </c>
      <c r="E2651" s="1" t="s">
        <v>1508</v>
      </c>
      <c r="H2651" s="1" t="s">
        <v>25</v>
      </c>
      <c r="I2651" s="1" t="s">
        <v>23</v>
      </c>
      <c r="M2651" s="1" t="b">
        <v>0</v>
      </c>
      <c r="N2651" s="1">
        <v>0</v>
      </c>
      <c r="O2651" s="11"/>
      <c r="P2651" s="11"/>
      <c r="Q2651" s="11"/>
      <c r="R2651" s="11"/>
    </row>
    <row r="2652" spans="4:18">
      <c r="D2652" s="1" t="s">
        <v>1570</v>
      </c>
      <c r="E2652" s="1" t="s">
        <v>1563</v>
      </c>
      <c r="H2652" s="1" t="s">
        <v>25</v>
      </c>
      <c r="I2652" s="1" t="s">
        <v>23</v>
      </c>
      <c r="M2652" s="1" t="b">
        <v>0</v>
      </c>
      <c r="N2652" s="1">
        <v>0</v>
      </c>
      <c r="O2652" s="11"/>
      <c r="P2652" s="11"/>
      <c r="Q2652" s="11"/>
      <c r="R2652" s="11"/>
    </row>
    <row r="2653" spans="4:18">
      <c r="D2653" s="1" t="s">
        <v>1570</v>
      </c>
      <c r="E2653" s="1" t="s">
        <v>1564</v>
      </c>
      <c r="F2653" s="1" t="s">
        <v>52</v>
      </c>
      <c r="G2653" s="1" t="s">
        <v>53</v>
      </c>
      <c r="H2653" s="1" t="s">
        <v>22</v>
      </c>
      <c r="I2653" s="1" t="s">
        <v>23</v>
      </c>
      <c r="L2653" s="1">
        <v>7936.6414386555998</v>
      </c>
      <c r="M2653" s="1">
        <v>0</v>
      </c>
      <c r="N2653" s="1">
        <v>0</v>
      </c>
      <c r="O2653" s="11"/>
      <c r="P2653" s="11"/>
      <c r="Q2653" s="11"/>
      <c r="R2653" s="11"/>
    </row>
    <row r="2654" spans="4:18">
      <c r="D2654" s="1" t="s">
        <v>1570</v>
      </c>
      <c r="E2654" s="1" t="s">
        <v>1565</v>
      </c>
      <c r="F2654" s="1" t="s">
        <v>52</v>
      </c>
      <c r="G2654" s="1" t="s">
        <v>53</v>
      </c>
      <c r="H2654" s="1" t="s">
        <v>22</v>
      </c>
      <c r="I2654" s="1" t="s">
        <v>23</v>
      </c>
      <c r="L2654" s="1">
        <v>7936.6414386555998</v>
      </c>
      <c r="M2654" s="1">
        <v>0</v>
      </c>
      <c r="N2654" s="1">
        <v>0</v>
      </c>
      <c r="O2654" s="11"/>
      <c r="P2654" s="11"/>
      <c r="Q2654" s="11"/>
      <c r="R2654" s="11"/>
    </row>
    <row r="2655" spans="4:18">
      <c r="D2655" s="1" t="s">
        <v>1570</v>
      </c>
      <c r="E2655" s="1" t="s">
        <v>1566</v>
      </c>
      <c r="F2655" s="1" t="s">
        <v>56</v>
      </c>
      <c r="G2655" s="1" t="s">
        <v>57</v>
      </c>
      <c r="H2655" s="1" t="s">
        <v>22</v>
      </c>
      <c r="I2655" s="1" t="s">
        <v>29</v>
      </c>
      <c r="J2655" s="1">
        <v>4.9312830828271128</v>
      </c>
      <c r="K2655" s="1">
        <v>623.66227223989961</v>
      </c>
      <c r="L2655" s="1">
        <v>50.713895374744951</v>
      </c>
      <c r="N2655" s="1">
        <v>92.062658125001619</v>
      </c>
      <c r="O2655" s="11"/>
      <c r="P2655" s="11"/>
      <c r="Q2655" s="11"/>
      <c r="R2655" s="11"/>
    </row>
    <row r="2656" spans="4:18">
      <c r="D2656" s="1" t="s">
        <v>1570</v>
      </c>
      <c r="E2656" s="1" t="s">
        <v>1567</v>
      </c>
      <c r="F2656" s="1" t="s">
        <v>52</v>
      </c>
      <c r="G2656" s="1" t="s">
        <v>53</v>
      </c>
      <c r="H2656" s="1" t="s">
        <v>22</v>
      </c>
      <c r="I2656" s="1" t="s">
        <v>29</v>
      </c>
      <c r="J2656" s="1">
        <v>-793664.14386555995</v>
      </c>
      <c r="K2656" s="1">
        <v>0</v>
      </c>
      <c r="L2656" s="1">
        <v>7936.6414386555998</v>
      </c>
      <c r="N2656" s="1">
        <v>-1353.7263048454033</v>
      </c>
      <c r="O2656" s="11"/>
      <c r="P2656" s="11"/>
      <c r="Q2656" s="11"/>
      <c r="R2656" s="11"/>
    </row>
    <row r="2657" spans="4:18">
      <c r="D2657" s="1" t="s">
        <v>1570</v>
      </c>
      <c r="E2657" s="1" t="s">
        <v>1568</v>
      </c>
      <c r="F2657" s="1" t="s">
        <v>52</v>
      </c>
      <c r="G2657" s="1" t="s">
        <v>53</v>
      </c>
      <c r="H2657" s="1" t="s">
        <v>22</v>
      </c>
      <c r="I2657" s="1" t="s">
        <v>29</v>
      </c>
      <c r="J2657" s="1">
        <v>-793664.14386555995</v>
      </c>
      <c r="K2657" s="1">
        <v>0</v>
      </c>
      <c r="L2657" s="1">
        <v>7936.6414386555998</v>
      </c>
      <c r="N2657" s="1">
        <v>-181964.07908194777</v>
      </c>
      <c r="O2657" s="11"/>
      <c r="P2657" s="11"/>
      <c r="Q2657" s="11"/>
      <c r="R2657" s="11"/>
    </row>
    <row r="2658" spans="4:18">
      <c r="D2658" s="1" t="s">
        <v>1570</v>
      </c>
      <c r="E2658" s="1" t="s">
        <v>62</v>
      </c>
      <c r="H2658" s="1" t="s">
        <v>63</v>
      </c>
      <c r="I2658" s="1" t="s">
        <v>23</v>
      </c>
      <c r="M2658" s="1">
        <v>1</v>
      </c>
      <c r="N2658" s="1">
        <v>1</v>
      </c>
      <c r="O2658" s="11"/>
      <c r="P2658" s="11"/>
      <c r="Q2658" s="11"/>
      <c r="R2658" s="11"/>
    </row>
    <row r="2659" spans="4:18">
      <c r="D2659" s="1" t="s">
        <v>1571</v>
      </c>
      <c r="E2659" s="1" t="s">
        <v>1572</v>
      </c>
      <c r="H2659" s="1" t="s">
        <v>25</v>
      </c>
      <c r="I2659" s="1" t="s">
        <v>23</v>
      </c>
      <c r="M2659" s="1" t="b">
        <v>0</v>
      </c>
      <c r="N2659" s="1">
        <v>0</v>
      </c>
      <c r="O2659" s="11"/>
      <c r="P2659" s="11"/>
      <c r="Q2659" s="11"/>
      <c r="R2659" s="11"/>
    </row>
    <row r="2660" spans="4:18">
      <c r="D2660" s="1" t="s">
        <v>1571</v>
      </c>
      <c r="E2660" s="1" t="s">
        <v>1573</v>
      </c>
      <c r="F2660" s="1" t="s">
        <v>147</v>
      </c>
      <c r="G2660" s="1" t="s">
        <v>148</v>
      </c>
      <c r="H2660" s="1" t="s">
        <v>22</v>
      </c>
      <c r="I2660" s="1" t="s">
        <v>23</v>
      </c>
      <c r="L2660" s="1">
        <v>3.4121416351331</v>
      </c>
      <c r="M2660" s="1">
        <v>12000000.007063219</v>
      </c>
      <c r="N2660" s="1">
        <v>12000000.007063219</v>
      </c>
      <c r="O2660" s="11"/>
      <c r="P2660" s="11"/>
      <c r="Q2660" s="11"/>
      <c r="R2660" s="11"/>
    </row>
    <row r="2661" spans="4:18">
      <c r="D2661" s="1" t="s">
        <v>1571</v>
      </c>
      <c r="E2661" s="1" t="s">
        <v>1574</v>
      </c>
      <c r="H2661" s="1" t="s">
        <v>25</v>
      </c>
      <c r="I2661" s="1" t="s">
        <v>23</v>
      </c>
      <c r="M2661" s="1" t="b">
        <v>0</v>
      </c>
      <c r="N2661" s="1">
        <v>0</v>
      </c>
      <c r="O2661" s="11"/>
      <c r="P2661" s="11"/>
      <c r="Q2661" s="11"/>
      <c r="R2661" s="11"/>
    </row>
    <row r="2662" spans="4:18">
      <c r="D2662" s="1" t="s">
        <v>1571</v>
      </c>
      <c r="E2662" s="1" t="s">
        <v>1575</v>
      </c>
      <c r="F2662" s="1" t="s">
        <v>147</v>
      </c>
      <c r="G2662" s="1" t="s">
        <v>148</v>
      </c>
      <c r="H2662" s="1" t="s">
        <v>22</v>
      </c>
      <c r="I2662" s="1" t="s">
        <v>23</v>
      </c>
      <c r="L2662" s="1">
        <v>3.4121416351331</v>
      </c>
      <c r="M2662" s="1">
        <v>0</v>
      </c>
      <c r="N2662" s="1">
        <v>0</v>
      </c>
      <c r="O2662" s="11"/>
      <c r="P2662" s="11"/>
      <c r="Q2662" s="11"/>
      <c r="R2662" s="11"/>
    </row>
    <row r="2663" spans="4:18">
      <c r="D2663" s="1" t="s">
        <v>1571</v>
      </c>
      <c r="E2663" s="1" t="s">
        <v>1576</v>
      </c>
      <c r="H2663" s="1" t="s">
        <v>25</v>
      </c>
      <c r="I2663" s="1" t="s">
        <v>23</v>
      </c>
      <c r="M2663" s="1" t="b">
        <v>0</v>
      </c>
      <c r="N2663" s="1">
        <v>0</v>
      </c>
      <c r="O2663" s="11"/>
      <c r="P2663" s="11"/>
      <c r="Q2663" s="11"/>
      <c r="R2663" s="11"/>
    </row>
    <row r="2664" spans="4:18">
      <c r="D2664" s="1" t="s">
        <v>1571</v>
      </c>
      <c r="E2664" s="1" t="s">
        <v>1577</v>
      </c>
      <c r="H2664" s="1" t="s">
        <v>25</v>
      </c>
      <c r="I2664" s="1" t="s">
        <v>23</v>
      </c>
      <c r="M2664" s="1" t="b">
        <v>0</v>
      </c>
      <c r="N2664" s="1">
        <v>0</v>
      </c>
      <c r="O2664" s="11"/>
      <c r="P2664" s="11"/>
      <c r="Q2664" s="11"/>
      <c r="R2664" s="11"/>
    </row>
    <row r="2665" spans="4:18">
      <c r="D2665" s="1" t="s">
        <v>1571</v>
      </c>
      <c r="E2665" s="1" t="s">
        <v>1578</v>
      </c>
      <c r="H2665" s="1" t="s">
        <v>22</v>
      </c>
      <c r="I2665" s="1" t="s">
        <v>23</v>
      </c>
      <c r="L2665" s="1">
        <v>1</v>
      </c>
      <c r="M2665" s="1">
        <v>0.88</v>
      </c>
      <c r="N2665" s="1">
        <v>0.88</v>
      </c>
      <c r="O2665" s="11"/>
      <c r="P2665" s="11"/>
      <c r="Q2665" s="11"/>
      <c r="R2665" s="11"/>
    </row>
    <row r="2666" spans="4:18">
      <c r="D2666" s="1" t="s">
        <v>1571</v>
      </c>
      <c r="E2666" s="1" t="s">
        <v>1579</v>
      </c>
      <c r="H2666" s="1" t="s">
        <v>25</v>
      </c>
      <c r="I2666" s="1" t="s">
        <v>23</v>
      </c>
      <c r="M2666" s="1" t="b">
        <v>1</v>
      </c>
      <c r="N2666" s="1">
        <v>1</v>
      </c>
      <c r="O2666" s="11"/>
      <c r="P2666" s="11"/>
      <c r="Q2666" s="11"/>
      <c r="R2666" s="11"/>
    </row>
    <row r="2667" spans="4:18">
      <c r="D2667" s="1" t="s">
        <v>1571</v>
      </c>
      <c r="E2667" s="1" t="s">
        <v>1580</v>
      </c>
      <c r="H2667" s="1" t="s">
        <v>25</v>
      </c>
      <c r="I2667" s="1" t="s">
        <v>23</v>
      </c>
      <c r="M2667" s="1" t="b">
        <v>0</v>
      </c>
      <c r="N2667" s="1">
        <v>0</v>
      </c>
      <c r="O2667" s="11"/>
      <c r="P2667" s="11"/>
      <c r="Q2667" s="11"/>
      <c r="R2667" s="11"/>
    </row>
    <row r="2668" spans="4:18">
      <c r="D2668" s="1" t="s">
        <v>1571</v>
      </c>
      <c r="E2668" s="1" t="s">
        <v>1581</v>
      </c>
      <c r="H2668" s="1" t="s">
        <v>25</v>
      </c>
      <c r="I2668" s="1" t="s">
        <v>23</v>
      </c>
      <c r="M2668" s="1" t="b">
        <v>0</v>
      </c>
      <c r="N2668" s="1">
        <v>0</v>
      </c>
      <c r="O2668" s="11"/>
      <c r="P2668" s="11"/>
      <c r="Q2668" s="11"/>
      <c r="R2668" s="11"/>
    </row>
    <row r="2669" spans="4:18">
      <c r="D2669" s="1" t="s">
        <v>1571</v>
      </c>
      <c r="E2669" s="1" t="s">
        <v>1582</v>
      </c>
      <c r="F2669" s="1" t="s">
        <v>147</v>
      </c>
      <c r="G2669" s="1" t="s">
        <v>148</v>
      </c>
      <c r="H2669" s="1" t="s">
        <v>22</v>
      </c>
      <c r="I2669" s="1" t="s">
        <v>23</v>
      </c>
      <c r="L2669" s="1">
        <v>3.4121416351331</v>
      </c>
      <c r="M2669" s="1">
        <v>0</v>
      </c>
      <c r="N2669" s="1">
        <v>0</v>
      </c>
      <c r="O2669" s="11"/>
      <c r="P2669" s="11"/>
      <c r="Q2669" s="11"/>
      <c r="R2669" s="11"/>
    </row>
    <row r="2670" spans="4:18">
      <c r="D2670" s="1" t="s">
        <v>1571</v>
      </c>
      <c r="E2670" s="1" t="s">
        <v>1583</v>
      </c>
      <c r="H2670" s="1" t="s">
        <v>25</v>
      </c>
      <c r="I2670" s="1" t="s">
        <v>23</v>
      </c>
      <c r="M2670" s="1" t="b">
        <v>0</v>
      </c>
      <c r="N2670" s="1">
        <v>0</v>
      </c>
      <c r="O2670" s="11"/>
      <c r="P2670" s="11"/>
      <c r="Q2670" s="11"/>
      <c r="R2670" s="11"/>
    </row>
    <row r="2671" spans="4:18">
      <c r="D2671" s="1" t="s">
        <v>1571</v>
      </c>
      <c r="E2671" s="1" t="s">
        <v>1584</v>
      </c>
      <c r="F2671" s="1" t="s">
        <v>147</v>
      </c>
      <c r="G2671" s="1" t="s">
        <v>148</v>
      </c>
      <c r="H2671" s="1" t="s">
        <v>22</v>
      </c>
      <c r="I2671" s="1" t="s">
        <v>23</v>
      </c>
      <c r="L2671" s="1">
        <v>3.4121416351331</v>
      </c>
      <c r="M2671" s="1">
        <v>0</v>
      </c>
      <c r="N2671" s="1">
        <v>0</v>
      </c>
      <c r="O2671" s="11"/>
      <c r="P2671" s="11"/>
      <c r="Q2671" s="11"/>
      <c r="R2671" s="11"/>
    </row>
    <row r="2672" spans="4:18">
      <c r="D2672" s="1" t="s">
        <v>1571</v>
      </c>
      <c r="E2672" s="1" t="s">
        <v>1585</v>
      </c>
      <c r="H2672" s="1" t="s">
        <v>25</v>
      </c>
      <c r="I2672" s="1" t="s">
        <v>23</v>
      </c>
      <c r="M2672" s="1" t="b">
        <v>0</v>
      </c>
      <c r="N2672" s="1">
        <v>0</v>
      </c>
      <c r="O2672" s="11"/>
      <c r="P2672" s="11"/>
      <c r="Q2672" s="11"/>
      <c r="R2672" s="11"/>
    </row>
    <row r="2673" spans="1:18">
      <c r="D2673" s="1" t="s">
        <v>1571</v>
      </c>
      <c r="E2673" s="1" t="s">
        <v>1586</v>
      </c>
      <c r="F2673" s="1" t="s">
        <v>147</v>
      </c>
      <c r="G2673" s="1" t="s">
        <v>148</v>
      </c>
      <c r="H2673" s="1" t="s">
        <v>22</v>
      </c>
      <c r="I2673" s="1" t="s">
        <v>23</v>
      </c>
      <c r="L2673" s="1">
        <v>3.4121416351331</v>
      </c>
      <c r="M2673" s="1">
        <v>0</v>
      </c>
      <c r="N2673" s="1">
        <v>0</v>
      </c>
      <c r="O2673" s="11"/>
      <c r="P2673" s="11"/>
      <c r="Q2673" s="11"/>
      <c r="R2673" s="11"/>
    </row>
    <row r="2674" spans="1:18">
      <c r="D2674" s="1" t="s">
        <v>1571</v>
      </c>
      <c r="E2674" s="1" t="s">
        <v>1587</v>
      </c>
      <c r="H2674" s="1" t="s">
        <v>25</v>
      </c>
      <c r="I2674" s="1" t="s">
        <v>23</v>
      </c>
      <c r="M2674" s="1" t="b">
        <v>0</v>
      </c>
      <c r="N2674" s="1">
        <v>0</v>
      </c>
      <c r="O2674" s="11"/>
      <c r="P2674" s="11"/>
      <c r="Q2674" s="11"/>
      <c r="R2674" s="11"/>
    </row>
    <row r="2675" spans="1:18">
      <c r="D2675" s="1" t="s">
        <v>1571</v>
      </c>
      <c r="E2675" s="1" t="s">
        <v>1588</v>
      </c>
      <c r="F2675" s="1" t="s">
        <v>147</v>
      </c>
      <c r="G2675" s="1" t="s">
        <v>148</v>
      </c>
      <c r="H2675" s="1" t="s">
        <v>22</v>
      </c>
      <c r="I2675" s="1" t="s">
        <v>23</v>
      </c>
      <c r="L2675" s="1">
        <v>3.4121416351331</v>
      </c>
      <c r="M2675" s="1">
        <v>0</v>
      </c>
      <c r="N2675" s="1">
        <v>0</v>
      </c>
      <c r="O2675" s="11"/>
      <c r="P2675" s="11"/>
      <c r="Q2675" s="11"/>
      <c r="R2675" s="11"/>
    </row>
    <row r="2676" spans="1:18">
      <c r="A2676" s="2" t="s">
        <v>1759</v>
      </c>
      <c r="B2676" s="3" t="s">
        <v>1802</v>
      </c>
      <c r="D2676" s="1" t="s">
        <v>1571</v>
      </c>
      <c r="E2676" s="1" t="s">
        <v>1589</v>
      </c>
      <c r="H2676" s="1" t="s">
        <v>22</v>
      </c>
      <c r="I2676" s="1" t="s">
        <v>65</v>
      </c>
      <c r="L2676" s="1">
        <v>1</v>
      </c>
      <c r="N2676" s="1">
        <v>5.6133871204431856</v>
      </c>
      <c r="O2676" s="11"/>
      <c r="P2676" s="11"/>
      <c r="Q2676" s="11"/>
      <c r="R2676" s="11"/>
    </row>
    <row r="2677" spans="1:18">
      <c r="D2677" s="1" t="s">
        <v>1571</v>
      </c>
      <c r="E2677" s="1" t="s">
        <v>1590</v>
      </c>
      <c r="H2677" s="1" t="s">
        <v>22</v>
      </c>
      <c r="I2677" s="1" t="s">
        <v>65</v>
      </c>
      <c r="L2677" s="1">
        <v>1</v>
      </c>
      <c r="N2677" s="1">
        <v>6.5812874135608954</v>
      </c>
      <c r="O2677" s="11"/>
      <c r="P2677" s="11"/>
      <c r="Q2677" s="11"/>
      <c r="R2677" s="11"/>
    </row>
    <row r="2678" spans="1:18">
      <c r="D2678" s="1" t="s">
        <v>1571</v>
      </c>
      <c r="E2678" s="1" t="s">
        <v>1591</v>
      </c>
      <c r="F2678" s="1" t="s">
        <v>147</v>
      </c>
      <c r="G2678" s="1" t="s">
        <v>148</v>
      </c>
      <c r="H2678" s="1" t="s">
        <v>22</v>
      </c>
      <c r="I2678" s="1" t="s">
        <v>65</v>
      </c>
      <c r="L2678" s="1">
        <v>3.4121416351331</v>
      </c>
      <c r="N2678" s="1">
        <v>12000000.003699869</v>
      </c>
      <c r="O2678" s="11"/>
      <c r="P2678" s="11"/>
      <c r="Q2678" s="11"/>
      <c r="R2678" s="11"/>
    </row>
    <row r="2679" spans="1:18">
      <c r="D2679" s="1" t="s">
        <v>1571</v>
      </c>
      <c r="E2679" s="1" t="s">
        <v>1592</v>
      </c>
      <c r="F2679" s="1" t="s">
        <v>147</v>
      </c>
      <c r="G2679" s="1" t="s">
        <v>148</v>
      </c>
      <c r="H2679" s="1" t="s">
        <v>22</v>
      </c>
      <c r="I2679" s="1" t="s">
        <v>120</v>
      </c>
      <c r="L2679" s="1">
        <v>3.4121416351331</v>
      </c>
      <c r="N2679" s="1">
        <v>0</v>
      </c>
      <c r="O2679" s="11"/>
      <c r="P2679" s="11"/>
      <c r="Q2679" s="11"/>
      <c r="R2679" s="11"/>
    </row>
    <row r="2680" spans="1:18">
      <c r="B2680" s="3" t="s">
        <v>1706</v>
      </c>
      <c r="D2680" s="1" t="s">
        <v>1571</v>
      </c>
      <c r="E2680" s="1" t="s">
        <v>1593</v>
      </c>
      <c r="F2680" s="1" t="s">
        <v>147</v>
      </c>
      <c r="G2680" s="1" t="s">
        <v>148</v>
      </c>
      <c r="H2680" s="1" t="s">
        <v>22</v>
      </c>
      <c r="I2680" s="1" t="s">
        <v>65</v>
      </c>
      <c r="L2680" s="1">
        <v>3.4121416351331</v>
      </c>
      <c r="N2680" s="1">
        <v>12000000.003699869</v>
      </c>
      <c r="O2680" s="11"/>
      <c r="P2680" s="11"/>
      <c r="Q2680" s="11"/>
      <c r="R2680" s="11"/>
    </row>
    <row r="2681" spans="1:18">
      <c r="A2681" s="2" t="s">
        <v>1759</v>
      </c>
      <c r="B2681" s="3" t="s">
        <v>1803</v>
      </c>
      <c r="D2681" s="1" t="s">
        <v>1571</v>
      </c>
      <c r="E2681" s="1" t="s">
        <v>1594</v>
      </c>
      <c r="H2681" s="1" t="s">
        <v>22</v>
      </c>
      <c r="I2681" s="1" t="s">
        <v>65</v>
      </c>
      <c r="L2681" s="1">
        <v>1</v>
      </c>
      <c r="N2681" s="1">
        <v>999.95815782891646</v>
      </c>
      <c r="O2681" s="11"/>
      <c r="P2681" s="11"/>
      <c r="Q2681" s="11"/>
      <c r="R2681" s="11"/>
    </row>
    <row r="2682" spans="1:18">
      <c r="D2682" s="1" t="s">
        <v>1571</v>
      </c>
      <c r="E2682" s="1" t="s">
        <v>1595</v>
      </c>
      <c r="H2682" s="1" t="s">
        <v>22</v>
      </c>
      <c r="I2682" s="1" t="s">
        <v>65</v>
      </c>
      <c r="L2682" s="1">
        <v>1</v>
      </c>
      <c r="N2682" s="1">
        <v>19.15367189652827</v>
      </c>
      <c r="O2682" s="11"/>
      <c r="P2682" s="11"/>
      <c r="Q2682" s="11"/>
      <c r="R2682" s="11"/>
    </row>
    <row r="2683" spans="1:18">
      <c r="D2683" s="1" t="s">
        <v>1571</v>
      </c>
      <c r="E2683" s="1" t="s">
        <v>1596</v>
      </c>
      <c r="F2683" s="1" t="s">
        <v>147</v>
      </c>
      <c r="G2683" s="1" t="s">
        <v>148</v>
      </c>
      <c r="H2683" s="1" t="s">
        <v>22</v>
      </c>
      <c r="I2683" s="1" t="s">
        <v>65</v>
      </c>
      <c r="L2683" s="1">
        <v>3.4121416351331</v>
      </c>
      <c r="N2683" s="1">
        <v>14069125.697649267</v>
      </c>
      <c r="O2683" s="11"/>
      <c r="P2683" s="11"/>
      <c r="Q2683" s="11"/>
      <c r="R2683" s="11"/>
    </row>
    <row r="2684" spans="1:18">
      <c r="D2684" s="1" t="s">
        <v>1571</v>
      </c>
      <c r="E2684" s="1" t="s">
        <v>1597</v>
      </c>
      <c r="F2684" s="1" t="s">
        <v>147</v>
      </c>
      <c r="G2684" s="1" t="s">
        <v>148</v>
      </c>
      <c r="H2684" s="1" t="s">
        <v>22</v>
      </c>
      <c r="I2684" s="1" t="s">
        <v>120</v>
      </c>
      <c r="L2684" s="1">
        <v>3.4121416351331</v>
      </c>
      <c r="N2684" s="1">
        <v>0</v>
      </c>
      <c r="O2684" s="11"/>
      <c r="P2684" s="11"/>
      <c r="Q2684" s="11"/>
      <c r="R2684" s="11"/>
    </row>
    <row r="2685" spans="1:18">
      <c r="D2685" s="1" t="s">
        <v>1571</v>
      </c>
      <c r="E2685" s="1" t="s">
        <v>1598</v>
      </c>
      <c r="F2685" s="1" t="s">
        <v>147</v>
      </c>
      <c r="G2685" s="1" t="s">
        <v>148</v>
      </c>
      <c r="H2685" s="1" t="s">
        <v>22</v>
      </c>
      <c r="I2685" s="1" t="s">
        <v>65</v>
      </c>
      <c r="L2685" s="1">
        <v>3.4121416351331</v>
      </c>
      <c r="N2685" s="1">
        <v>14069125.697649267</v>
      </c>
      <c r="O2685" s="11"/>
      <c r="P2685" s="11"/>
      <c r="Q2685" s="11"/>
      <c r="R2685" s="11"/>
    </row>
    <row r="2686" spans="1:18">
      <c r="D2686" s="1" t="s">
        <v>1571</v>
      </c>
      <c r="E2686" s="1" t="s">
        <v>1599</v>
      </c>
      <c r="H2686" s="1" t="s">
        <v>25</v>
      </c>
      <c r="I2686" s="1" t="s">
        <v>120</v>
      </c>
      <c r="N2686" s="1">
        <v>0</v>
      </c>
      <c r="O2686" s="11"/>
      <c r="P2686" s="11"/>
      <c r="Q2686" s="11"/>
      <c r="R2686" s="11"/>
    </row>
    <row r="2687" spans="1:18">
      <c r="D2687" s="1" t="s">
        <v>1571</v>
      </c>
      <c r="E2687" s="1" t="s">
        <v>1600</v>
      </c>
      <c r="H2687" s="1" t="s">
        <v>25</v>
      </c>
      <c r="I2687" s="1" t="s">
        <v>120</v>
      </c>
      <c r="N2687" s="1">
        <v>0</v>
      </c>
      <c r="O2687" s="11"/>
      <c r="P2687" s="11"/>
      <c r="Q2687" s="11"/>
      <c r="R2687" s="11"/>
    </row>
    <row r="2688" spans="1:18">
      <c r="A2688" s="2" t="s">
        <v>1759</v>
      </c>
      <c r="B2688" s="3" t="s">
        <v>1804</v>
      </c>
      <c r="D2688" s="1" t="s">
        <v>1571</v>
      </c>
      <c r="E2688" s="1" t="s">
        <v>1601</v>
      </c>
      <c r="H2688" s="1" t="s">
        <v>22</v>
      </c>
      <c r="I2688" s="1" t="s">
        <v>65</v>
      </c>
      <c r="L2688" s="1">
        <v>1</v>
      </c>
      <c r="N2688" s="1">
        <v>0.62653793948961189</v>
      </c>
      <c r="O2688" s="11"/>
      <c r="P2688" s="11"/>
      <c r="Q2688" s="11"/>
      <c r="R2688" s="11"/>
    </row>
    <row r="2689" spans="1:18">
      <c r="D2689" s="1" t="s">
        <v>1571</v>
      </c>
      <c r="E2689" s="1" t="s">
        <v>1602</v>
      </c>
      <c r="F2689" s="1" t="s">
        <v>118</v>
      </c>
      <c r="G2689" s="1" t="s">
        <v>119</v>
      </c>
      <c r="H2689" s="1" t="s">
        <v>22</v>
      </c>
      <c r="I2689" s="1" t="s">
        <v>65</v>
      </c>
      <c r="J2689" s="1">
        <v>0</v>
      </c>
      <c r="L2689" s="1">
        <v>2.20462262185</v>
      </c>
      <c r="N2689" s="1">
        <v>1448.8082459336795</v>
      </c>
      <c r="O2689" s="11"/>
      <c r="P2689" s="11"/>
      <c r="Q2689" s="11"/>
      <c r="R2689" s="11"/>
    </row>
    <row r="2690" spans="1:18">
      <c r="D2690" s="1" t="s">
        <v>1571</v>
      </c>
      <c r="E2690" s="1" t="s">
        <v>1603</v>
      </c>
      <c r="F2690" s="1" t="s">
        <v>118</v>
      </c>
      <c r="G2690" s="1" t="s">
        <v>119</v>
      </c>
      <c r="H2690" s="1" t="s">
        <v>22</v>
      </c>
      <c r="I2690" s="1" t="s">
        <v>120</v>
      </c>
      <c r="J2690" s="1">
        <v>0</v>
      </c>
      <c r="L2690" s="1">
        <v>2.20462262185</v>
      </c>
      <c r="N2690" s="1">
        <v>0</v>
      </c>
      <c r="O2690" s="11"/>
      <c r="P2690" s="11"/>
      <c r="Q2690" s="11"/>
      <c r="R2690" s="11"/>
    </row>
    <row r="2691" spans="1:18">
      <c r="D2691" s="1" t="s">
        <v>1571</v>
      </c>
      <c r="E2691" s="1" t="s">
        <v>1604</v>
      </c>
      <c r="H2691" s="1" t="s">
        <v>150</v>
      </c>
      <c r="I2691" s="1" t="s">
        <v>120</v>
      </c>
      <c r="N2691" s="1" t="s">
        <v>1833</v>
      </c>
      <c r="O2691" s="11"/>
      <c r="P2691" s="11"/>
      <c r="Q2691" s="11"/>
      <c r="R2691" s="11"/>
    </row>
    <row r="2692" spans="1:18">
      <c r="D2692" s="1" t="s">
        <v>1571</v>
      </c>
      <c r="E2692" s="1" t="s">
        <v>1605</v>
      </c>
      <c r="H2692" s="1" t="s">
        <v>63</v>
      </c>
      <c r="I2692" s="1" t="s">
        <v>120</v>
      </c>
      <c r="N2692" s="1">
        <v>2</v>
      </c>
      <c r="O2692" s="11"/>
      <c r="P2692" s="11"/>
      <c r="Q2692" s="11"/>
      <c r="R2692" s="11"/>
    </row>
    <row r="2693" spans="1:18">
      <c r="D2693" s="1" t="s">
        <v>1571</v>
      </c>
      <c r="E2693" s="1" t="s">
        <v>1606</v>
      </c>
      <c r="H2693" s="1" t="s">
        <v>22</v>
      </c>
      <c r="I2693" s="1" t="s">
        <v>120</v>
      </c>
      <c r="L2693" s="1">
        <v>1</v>
      </c>
      <c r="N2693" s="1">
        <v>0</v>
      </c>
      <c r="O2693" s="11"/>
      <c r="P2693" s="11"/>
      <c r="Q2693" s="11"/>
      <c r="R2693" s="11"/>
    </row>
    <row r="2694" spans="1:18">
      <c r="D2694" s="1" t="s">
        <v>1571</v>
      </c>
      <c r="E2694" s="1" t="s">
        <v>1607</v>
      </c>
      <c r="H2694" s="1" t="s">
        <v>22</v>
      </c>
      <c r="I2694" s="1" t="s">
        <v>120</v>
      </c>
      <c r="L2694" s="1">
        <v>1</v>
      </c>
      <c r="N2694" s="1">
        <v>0</v>
      </c>
      <c r="O2694" s="11"/>
      <c r="P2694" s="11"/>
      <c r="Q2694" s="11"/>
      <c r="R2694" s="11"/>
    </row>
    <row r="2695" spans="1:18">
      <c r="D2695" s="1" t="s">
        <v>1571</v>
      </c>
      <c r="E2695" s="1" t="s">
        <v>1608</v>
      </c>
      <c r="F2695" s="1" t="s">
        <v>147</v>
      </c>
      <c r="G2695" s="1" t="s">
        <v>148</v>
      </c>
      <c r="H2695" s="1" t="s">
        <v>22</v>
      </c>
      <c r="I2695" s="1" t="s">
        <v>120</v>
      </c>
      <c r="L2695" s="1">
        <v>3.4121416351331</v>
      </c>
      <c r="N2695" s="1">
        <v>0</v>
      </c>
      <c r="O2695" s="11"/>
      <c r="P2695" s="11"/>
      <c r="Q2695" s="11"/>
      <c r="R2695" s="11"/>
    </row>
    <row r="2696" spans="1:18">
      <c r="D2696" s="1" t="s">
        <v>1571</v>
      </c>
      <c r="E2696" s="1" t="s">
        <v>1609</v>
      </c>
      <c r="F2696" s="1" t="s">
        <v>147</v>
      </c>
      <c r="G2696" s="1" t="s">
        <v>148</v>
      </c>
      <c r="H2696" s="1" t="s">
        <v>22</v>
      </c>
      <c r="I2696" s="1" t="s">
        <v>120</v>
      </c>
      <c r="L2696" s="1">
        <v>3.4121416351331</v>
      </c>
      <c r="N2696" s="1">
        <v>0</v>
      </c>
      <c r="O2696" s="11"/>
      <c r="P2696" s="11"/>
      <c r="Q2696" s="11"/>
      <c r="R2696" s="11"/>
    </row>
    <row r="2697" spans="1:18">
      <c r="D2697" s="1" t="s">
        <v>1571</v>
      </c>
      <c r="E2697" s="1" t="s">
        <v>1610</v>
      </c>
      <c r="F2697" s="1" t="s">
        <v>147</v>
      </c>
      <c r="G2697" s="1" t="s">
        <v>148</v>
      </c>
      <c r="H2697" s="1" t="s">
        <v>22</v>
      </c>
      <c r="I2697" s="1" t="s">
        <v>120</v>
      </c>
      <c r="L2697" s="1">
        <v>3.4121416351331</v>
      </c>
      <c r="N2697" s="1">
        <v>0</v>
      </c>
      <c r="O2697" s="11"/>
      <c r="P2697" s="11"/>
      <c r="Q2697" s="11"/>
      <c r="R2697" s="11"/>
    </row>
    <row r="2698" spans="1:18">
      <c r="D2698" s="1" t="s">
        <v>1571</v>
      </c>
      <c r="E2698" s="1" t="s">
        <v>1611</v>
      </c>
      <c r="F2698" s="1" t="s">
        <v>147</v>
      </c>
      <c r="G2698" s="1" t="s">
        <v>148</v>
      </c>
      <c r="H2698" s="1" t="s">
        <v>22</v>
      </c>
      <c r="I2698" s="1" t="s">
        <v>65</v>
      </c>
      <c r="L2698" s="1">
        <v>3.4121416351331</v>
      </c>
      <c r="N2698" s="1">
        <v>2137746.7376154256</v>
      </c>
      <c r="O2698" s="11"/>
      <c r="P2698" s="11"/>
      <c r="Q2698" s="11"/>
      <c r="R2698" s="11"/>
    </row>
    <row r="2699" spans="1:18">
      <c r="D2699" s="1" t="s">
        <v>1571</v>
      </c>
      <c r="E2699" s="1" t="s">
        <v>1612</v>
      </c>
      <c r="F2699" s="1" t="s">
        <v>147</v>
      </c>
      <c r="G2699" s="1" t="s">
        <v>148</v>
      </c>
      <c r="H2699" s="1" t="s">
        <v>22</v>
      </c>
      <c r="I2699" s="1" t="s">
        <v>120</v>
      </c>
      <c r="L2699" s="1">
        <v>3.4121416351331</v>
      </c>
      <c r="N2699" s="1">
        <v>0</v>
      </c>
      <c r="O2699" s="11"/>
      <c r="P2699" s="11"/>
      <c r="Q2699" s="11"/>
      <c r="R2699" s="11"/>
    </row>
    <row r="2700" spans="1:18">
      <c r="A2700" s="2" t="s">
        <v>1759</v>
      </c>
      <c r="B2700" s="3" t="s">
        <v>1805</v>
      </c>
      <c r="D2700" s="1" t="s">
        <v>1571</v>
      </c>
      <c r="E2700" s="1" t="s">
        <v>1613</v>
      </c>
      <c r="F2700" s="1" t="s">
        <v>147</v>
      </c>
      <c r="G2700" s="1" t="s">
        <v>148</v>
      </c>
      <c r="H2700" s="1" t="s">
        <v>22</v>
      </c>
      <c r="I2700" s="1" t="s">
        <v>65</v>
      </c>
      <c r="L2700" s="1">
        <v>3.4121416351331</v>
      </c>
      <c r="N2700" s="1">
        <v>2137746.7376154256</v>
      </c>
      <c r="O2700" s="11"/>
      <c r="P2700" s="11"/>
      <c r="Q2700" s="11"/>
      <c r="R2700" s="11"/>
    </row>
    <row r="2701" spans="1:18">
      <c r="D2701" s="1" t="s">
        <v>1614</v>
      </c>
      <c r="H2701" s="1" t="s">
        <v>25</v>
      </c>
      <c r="I2701" s="1" t="s">
        <v>23</v>
      </c>
      <c r="M2701" s="1" t="b">
        <v>0</v>
      </c>
      <c r="N2701" s="1">
        <v>0</v>
      </c>
      <c r="O2701" s="11"/>
      <c r="P2701" s="11"/>
      <c r="Q2701" s="11"/>
      <c r="R2701" s="11"/>
    </row>
    <row r="2702" spans="1:18">
      <c r="D2702" s="1" t="s">
        <v>1615</v>
      </c>
      <c r="H2702" s="1" t="s">
        <v>25</v>
      </c>
      <c r="I2702" s="1" t="s">
        <v>23</v>
      </c>
      <c r="M2702" s="1" t="b">
        <v>1</v>
      </c>
      <c r="N2702" s="1">
        <v>1</v>
      </c>
      <c r="O2702" s="11"/>
      <c r="P2702" s="11"/>
      <c r="Q2702" s="11"/>
      <c r="R2702" s="11"/>
    </row>
    <row r="2703" spans="1:18">
      <c r="D2703" s="1" t="s">
        <v>1616</v>
      </c>
      <c r="E2703" s="1" t="s">
        <v>1617</v>
      </c>
      <c r="H2703" s="1" t="s">
        <v>22</v>
      </c>
      <c r="I2703" s="1" t="s">
        <v>23</v>
      </c>
      <c r="L2703" s="1">
        <v>1</v>
      </c>
      <c r="M2703" s="1">
        <v>1</v>
      </c>
      <c r="N2703" s="1">
        <v>1</v>
      </c>
      <c r="O2703" s="11"/>
      <c r="P2703" s="11"/>
      <c r="Q2703" s="11"/>
      <c r="R2703" s="11"/>
    </row>
    <row r="2704" spans="1:18">
      <c r="D2704" s="1" t="s">
        <v>1616</v>
      </c>
      <c r="E2704" s="1" t="s">
        <v>1618</v>
      </c>
      <c r="H2704" s="1" t="s">
        <v>181</v>
      </c>
      <c r="I2704" s="1" t="s">
        <v>23</v>
      </c>
      <c r="J2704" s="1">
        <v>1</v>
      </c>
      <c r="K2704" s="1">
        <v>11</v>
      </c>
      <c r="M2704" s="1" t="s">
        <v>950</v>
      </c>
      <c r="N2704" s="1" t="s">
        <v>1818</v>
      </c>
      <c r="O2704" s="11"/>
      <c r="P2704" s="11"/>
      <c r="Q2704" s="11"/>
      <c r="R2704" s="11"/>
    </row>
    <row r="2705" spans="1:18">
      <c r="D2705" s="1" t="s">
        <v>1616</v>
      </c>
      <c r="E2705" s="1" t="s">
        <v>1619</v>
      </c>
      <c r="F2705" s="1" t="s">
        <v>1535</v>
      </c>
      <c r="G2705" s="1" t="s">
        <v>1535</v>
      </c>
      <c r="H2705" s="1" t="s">
        <v>22</v>
      </c>
      <c r="I2705" s="1" t="s">
        <v>23</v>
      </c>
      <c r="J2705" s="1">
        <v>0</v>
      </c>
      <c r="K2705" s="1">
        <v>1000</v>
      </c>
      <c r="L2705" s="1">
        <v>1</v>
      </c>
      <c r="M2705" s="1">
        <v>50</v>
      </c>
      <c r="N2705" s="1">
        <v>50</v>
      </c>
      <c r="O2705" s="11"/>
      <c r="P2705" s="11"/>
      <c r="Q2705" s="11"/>
      <c r="R2705" s="11"/>
    </row>
    <row r="2706" spans="1:18">
      <c r="D2706" s="1" t="s">
        <v>1616</v>
      </c>
      <c r="E2706" s="1" t="s">
        <v>1620</v>
      </c>
      <c r="H2706" s="1" t="s">
        <v>22</v>
      </c>
      <c r="I2706" s="1" t="s">
        <v>23</v>
      </c>
      <c r="J2706" s="1">
        <v>0</v>
      </c>
      <c r="K2706" s="1">
        <v>1</v>
      </c>
      <c r="L2706" s="1">
        <v>1</v>
      </c>
      <c r="M2706" s="1">
        <v>0.95</v>
      </c>
      <c r="N2706" s="1">
        <v>0.95</v>
      </c>
      <c r="O2706" s="11"/>
      <c r="P2706" s="11"/>
      <c r="Q2706" s="11"/>
      <c r="R2706" s="11"/>
    </row>
    <row r="2707" spans="1:18">
      <c r="D2707" s="1" t="s">
        <v>1616</v>
      </c>
      <c r="E2707" s="1" t="s">
        <v>1621</v>
      </c>
      <c r="F2707" s="1">
        <v>1</v>
      </c>
      <c r="G2707" s="1">
        <v>1</v>
      </c>
      <c r="H2707" s="1" t="s">
        <v>22</v>
      </c>
      <c r="I2707" s="1" t="s">
        <v>29</v>
      </c>
      <c r="J2707" s="1">
        <v>0.01</v>
      </c>
      <c r="K2707" s="1">
        <v>1</v>
      </c>
      <c r="L2707" s="1">
        <v>0.95</v>
      </c>
      <c r="N2707" s="1">
        <v>1</v>
      </c>
      <c r="O2707" s="11"/>
      <c r="P2707" s="11"/>
      <c r="Q2707" s="11"/>
      <c r="R2707" s="11"/>
    </row>
    <row r="2708" spans="1:18">
      <c r="D2708" s="1" t="s">
        <v>1616</v>
      </c>
      <c r="E2708" s="1" t="s">
        <v>1622</v>
      </c>
      <c r="F2708" s="1" t="s">
        <v>147</v>
      </c>
      <c r="G2708" s="1" t="s">
        <v>148</v>
      </c>
      <c r="H2708" s="1" t="s">
        <v>22</v>
      </c>
      <c r="I2708" s="1" t="s">
        <v>23</v>
      </c>
      <c r="J2708" s="1">
        <v>0</v>
      </c>
      <c r="K2708" s="1">
        <v>34121416351.331001</v>
      </c>
      <c r="L2708" s="1">
        <v>3.4121416351331</v>
      </c>
      <c r="M2708" s="1">
        <v>750671.15972928202</v>
      </c>
      <c r="N2708" s="1">
        <v>750671.15972928202</v>
      </c>
      <c r="O2708" s="11"/>
      <c r="P2708" s="11"/>
      <c r="Q2708" s="11"/>
      <c r="R2708" s="11"/>
    </row>
    <row r="2709" spans="1:18">
      <c r="D2709" s="1" t="s">
        <v>1616</v>
      </c>
      <c r="E2709" s="1" t="s">
        <v>1623</v>
      </c>
      <c r="H2709" s="1" t="s">
        <v>181</v>
      </c>
      <c r="I2709" s="1" t="s">
        <v>23</v>
      </c>
      <c r="J2709" s="1">
        <v>1</v>
      </c>
      <c r="K2709" s="1">
        <v>24</v>
      </c>
      <c r="M2709" s="1" t="s">
        <v>1624</v>
      </c>
      <c r="N2709" s="1" t="s">
        <v>1834</v>
      </c>
      <c r="O2709" s="11"/>
      <c r="P2709" s="11"/>
      <c r="Q2709" s="11"/>
      <c r="R2709" s="11"/>
    </row>
    <row r="2710" spans="1:18">
      <c r="D2710" s="1" t="s">
        <v>1616</v>
      </c>
      <c r="E2710" s="1" t="s">
        <v>1625</v>
      </c>
      <c r="H2710" s="1" t="s">
        <v>181</v>
      </c>
      <c r="I2710" s="1" t="s">
        <v>23</v>
      </c>
      <c r="J2710" s="1">
        <v>1</v>
      </c>
      <c r="K2710" s="1">
        <v>4</v>
      </c>
      <c r="M2710" s="1" t="s">
        <v>950</v>
      </c>
      <c r="N2710" s="1" t="s">
        <v>1818</v>
      </c>
      <c r="O2710" s="11"/>
      <c r="P2710" s="11"/>
      <c r="Q2710" s="11"/>
      <c r="R2710" s="11"/>
    </row>
    <row r="2711" spans="1:18">
      <c r="D2711" s="1" t="s">
        <v>1616</v>
      </c>
      <c r="E2711" s="1" t="s">
        <v>1626</v>
      </c>
      <c r="H2711" s="1" t="s">
        <v>181</v>
      </c>
      <c r="I2711" s="1" t="s">
        <v>23</v>
      </c>
      <c r="J2711" s="1">
        <v>1</v>
      </c>
      <c r="K2711" s="1">
        <v>4</v>
      </c>
      <c r="M2711" s="1" t="s">
        <v>1627</v>
      </c>
      <c r="N2711" s="1" t="s">
        <v>1835</v>
      </c>
      <c r="O2711" s="11"/>
      <c r="P2711" s="11"/>
      <c r="Q2711" s="11"/>
      <c r="R2711" s="11"/>
    </row>
    <row r="2712" spans="1:18">
      <c r="D2712" s="1" t="s">
        <v>1616</v>
      </c>
      <c r="E2712" s="1" t="s">
        <v>1628</v>
      </c>
      <c r="H2712" s="1" t="s">
        <v>181</v>
      </c>
      <c r="I2712" s="1" t="s">
        <v>23</v>
      </c>
      <c r="J2712" s="1">
        <v>1</v>
      </c>
      <c r="K2712" s="1">
        <v>25</v>
      </c>
      <c r="M2712" s="1" t="s">
        <v>1629</v>
      </c>
      <c r="N2712" s="1" t="s">
        <v>1836</v>
      </c>
      <c r="O2712" s="11"/>
      <c r="P2712" s="11"/>
      <c r="Q2712" s="11"/>
      <c r="R2712" s="11"/>
    </row>
    <row r="2713" spans="1:18">
      <c r="D2713" s="1" t="s">
        <v>1616</v>
      </c>
      <c r="E2713" s="1" t="s">
        <v>1630</v>
      </c>
      <c r="H2713" s="1" t="s">
        <v>181</v>
      </c>
      <c r="I2713" s="1" t="s">
        <v>23</v>
      </c>
      <c r="J2713" s="1">
        <v>1</v>
      </c>
      <c r="K2713" s="1">
        <v>2</v>
      </c>
      <c r="M2713" s="1" t="s">
        <v>1631</v>
      </c>
      <c r="N2713" s="1" t="s">
        <v>1837</v>
      </c>
      <c r="O2713" s="11"/>
      <c r="P2713" s="11"/>
      <c r="Q2713" s="11"/>
      <c r="R2713" s="11"/>
    </row>
    <row r="2714" spans="1:18">
      <c r="D2714" s="1" t="s">
        <v>1616</v>
      </c>
      <c r="E2714" s="1" t="s">
        <v>1632</v>
      </c>
      <c r="H2714" s="1" t="s">
        <v>181</v>
      </c>
      <c r="I2714" s="1" t="s">
        <v>23</v>
      </c>
      <c r="J2714" s="1">
        <v>1</v>
      </c>
      <c r="K2714" s="1">
        <v>3</v>
      </c>
      <c r="M2714" s="1" t="s">
        <v>1633</v>
      </c>
      <c r="N2714" s="1" t="s">
        <v>1838</v>
      </c>
      <c r="O2714" s="11"/>
      <c r="P2714" s="11"/>
      <c r="Q2714" s="11"/>
      <c r="R2714" s="11"/>
    </row>
    <row r="2715" spans="1:18">
      <c r="D2715" s="1" t="s">
        <v>1616</v>
      </c>
      <c r="E2715" s="1" t="s">
        <v>1634</v>
      </c>
      <c r="H2715" s="1" t="s">
        <v>181</v>
      </c>
      <c r="I2715" s="1" t="s">
        <v>23</v>
      </c>
      <c r="J2715" s="1">
        <v>1</v>
      </c>
      <c r="K2715" s="1">
        <v>11</v>
      </c>
      <c r="M2715" s="1" t="s">
        <v>1635</v>
      </c>
      <c r="N2715" s="1" t="s">
        <v>1839</v>
      </c>
      <c r="O2715" s="11"/>
      <c r="P2715" s="11"/>
      <c r="Q2715" s="11"/>
      <c r="R2715" s="11"/>
    </row>
    <row r="2716" spans="1:18">
      <c r="D2716" s="1" t="s">
        <v>1616</v>
      </c>
      <c r="E2716" s="1" t="s">
        <v>906</v>
      </c>
      <c r="H2716" s="1" t="s">
        <v>22</v>
      </c>
      <c r="I2716" s="1" t="s">
        <v>23</v>
      </c>
      <c r="J2716" s="1">
        <v>0.5</v>
      </c>
      <c r="K2716" s="1">
        <v>2</v>
      </c>
      <c r="L2716" s="1">
        <v>1</v>
      </c>
      <c r="M2716" s="1">
        <v>1</v>
      </c>
      <c r="N2716" s="1">
        <v>1</v>
      </c>
      <c r="O2716" s="11"/>
      <c r="P2716" s="11"/>
      <c r="Q2716" s="11"/>
      <c r="R2716" s="11"/>
    </row>
    <row r="2717" spans="1:18">
      <c r="D2717" s="1" t="s">
        <v>1616</v>
      </c>
      <c r="E2717" s="1" t="s">
        <v>907</v>
      </c>
      <c r="H2717" s="1" t="s">
        <v>25</v>
      </c>
      <c r="I2717" s="1" t="s">
        <v>23</v>
      </c>
      <c r="M2717" s="1" t="b">
        <v>1</v>
      </c>
      <c r="N2717" s="1">
        <v>1</v>
      </c>
      <c r="O2717" s="11"/>
      <c r="P2717" s="11"/>
      <c r="Q2717" s="11"/>
      <c r="R2717" s="11"/>
    </row>
    <row r="2718" spans="1:18">
      <c r="D2718" s="1" t="s">
        <v>1616</v>
      </c>
      <c r="E2718" s="1" t="s">
        <v>1636</v>
      </c>
      <c r="F2718" s="1" t="s">
        <v>176</v>
      </c>
      <c r="G2718" s="1" t="s">
        <v>177</v>
      </c>
      <c r="H2718" s="1" t="s">
        <v>22</v>
      </c>
      <c r="I2718" s="1" t="s">
        <v>23</v>
      </c>
      <c r="J2718" s="1">
        <v>0</v>
      </c>
      <c r="K2718" s="1">
        <v>393700.78740157466</v>
      </c>
      <c r="L2718" s="1">
        <v>39.370078740157467</v>
      </c>
      <c r="M2718" s="1">
        <v>39370.078740157471</v>
      </c>
      <c r="N2718" s="1">
        <v>39370.078740157471</v>
      </c>
      <c r="O2718" s="11"/>
      <c r="P2718" s="11"/>
      <c r="Q2718" s="11"/>
      <c r="R2718" s="11"/>
    </row>
    <row r="2719" spans="1:18">
      <c r="D2719" s="1" t="s">
        <v>1616</v>
      </c>
      <c r="E2719" s="1" t="s">
        <v>914</v>
      </c>
      <c r="H2719" s="1" t="s">
        <v>22</v>
      </c>
      <c r="I2719" s="1" t="s">
        <v>29</v>
      </c>
      <c r="J2719" s="1">
        <v>0.1</v>
      </c>
      <c r="K2719" s="1">
        <v>10</v>
      </c>
      <c r="L2719" s="1">
        <v>5.05</v>
      </c>
      <c r="N2719" s="1">
        <v>1</v>
      </c>
      <c r="O2719" s="11"/>
      <c r="P2719" s="11"/>
      <c r="Q2719" s="11"/>
      <c r="R2719" s="11"/>
    </row>
    <row r="2720" spans="1:18">
      <c r="A2720" s="2" t="s">
        <v>1722</v>
      </c>
      <c r="B2720" s="3" t="s">
        <v>1755</v>
      </c>
      <c r="D2720" s="1" t="s">
        <v>1616</v>
      </c>
      <c r="E2720" s="1" t="s">
        <v>1519</v>
      </c>
      <c r="H2720" s="1" t="s">
        <v>25</v>
      </c>
      <c r="I2720" s="1" t="s">
        <v>23</v>
      </c>
      <c r="M2720" s="1" t="b">
        <v>1</v>
      </c>
      <c r="N2720" s="1">
        <v>1</v>
      </c>
      <c r="O2720" s="11"/>
      <c r="P2720" s="11"/>
      <c r="Q2720" s="11"/>
      <c r="R2720" s="11"/>
    </row>
    <row r="2721" spans="1:18">
      <c r="D2721" s="1" t="s">
        <v>1616</v>
      </c>
      <c r="E2721" s="1" t="s">
        <v>1637</v>
      </c>
      <c r="F2721" s="1" t="s">
        <v>200</v>
      </c>
      <c r="G2721" s="1" t="s">
        <v>200</v>
      </c>
      <c r="H2721" s="1" t="s">
        <v>22</v>
      </c>
      <c r="I2721" s="1" t="s">
        <v>29</v>
      </c>
      <c r="J2721" s="1">
        <v>0.01</v>
      </c>
      <c r="K2721" s="1">
        <v>250000</v>
      </c>
      <c r="L2721" s="1">
        <v>500</v>
      </c>
      <c r="N2721" s="1">
        <v>551</v>
      </c>
      <c r="O2721" s="11"/>
      <c r="P2721" s="11"/>
      <c r="Q2721" s="11"/>
      <c r="R2721" s="11"/>
    </row>
    <row r="2722" spans="1:18">
      <c r="D2722" s="1" t="s">
        <v>1616</v>
      </c>
      <c r="E2722" s="1" t="s">
        <v>1638</v>
      </c>
      <c r="F2722" s="1" t="s">
        <v>200</v>
      </c>
      <c r="G2722" s="1" t="s">
        <v>200</v>
      </c>
      <c r="H2722" s="1" t="s">
        <v>22</v>
      </c>
      <c r="I2722" s="1" t="s">
        <v>23</v>
      </c>
      <c r="J2722" s="1">
        <v>0</v>
      </c>
      <c r="K2722" s="1">
        <v>1000000</v>
      </c>
      <c r="L2722" s="1">
        <v>1</v>
      </c>
      <c r="M2722" s="1">
        <v>500</v>
      </c>
      <c r="N2722" s="1">
        <v>500</v>
      </c>
      <c r="O2722" s="11"/>
      <c r="P2722" s="11"/>
      <c r="Q2722" s="11"/>
      <c r="R2722" s="11"/>
    </row>
    <row r="2723" spans="1:18">
      <c r="A2723" s="2" t="s">
        <v>1722</v>
      </c>
      <c r="B2723" s="3" t="s">
        <v>1756</v>
      </c>
      <c r="D2723" s="1" t="s">
        <v>1616</v>
      </c>
      <c r="E2723" s="1" t="s">
        <v>1520</v>
      </c>
      <c r="H2723" s="1" t="s">
        <v>22</v>
      </c>
      <c r="I2723" s="1" t="s">
        <v>23</v>
      </c>
      <c r="J2723" s="1">
        <v>0</v>
      </c>
      <c r="K2723" s="1">
        <v>1</v>
      </c>
      <c r="L2723" s="1">
        <v>1</v>
      </c>
      <c r="M2723" s="1">
        <v>0.97750000000000004</v>
      </c>
      <c r="N2723" s="1">
        <v>0.97750000000000004</v>
      </c>
      <c r="O2723" s="11"/>
      <c r="P2723" s="11"/>
      <c r="Q2723" s="11"/>
      <c r="R2723" s="11"/>
    </row>
    <row r="2724" spans="1:18">
      <c r="D2724" s="1" t="s">
        <v>1616</v>
      </c>
      <c r="E2724" s="1" t="s">
        <v>1639</v>
      </c>
      <c r="H2724" s="1" t="s">
        <v>22</v>
      </c>
      <c r="I2724" s="1" t="s">
        <v>29</v>
      </c>
      <c r="J2724" s="1">
        <v>0.01</v>
      </c>
      <c r="K2724" s="1">
        <v>1</v>
      </c>
      <c r="L2724" s="1">
        <v>0.95</v>
      </c>
      <c r="N2724" s="1">
        <v>0.97750000000000004</v>
      </c>
      <c r="O2724" s="11"/>
      <c r="P2724" s="11"/>
      <c r="Q2724" s="11"/>
      <c r="R2724" s="11"/>
    </row>
    <row r="2725" spans="1:18">
      <c r="D2725" s="1" t="s">
        <v>1616</v>
      </c>
      <c r="E2725" s="1" t="s">
        <v>1640</v>
      </c>
      <c r="H2725" s="1" t="s">
        <v>22</v>
      </c>
      <c r="I2725" s="1" t="s">
        <v>23</v>
      </c>
      <c r="J2725" s="1">
        <v>0</v>
      </c>
      <c r="K2725" s="1">
        <v>1</v>
      </c>
      <c r="L2725" s="1">
        <v>1</v>
      </c>
      <c r="M2725" s="1">
        <v>0.95</v>
      </c>
      <c r="N2725" s="1">
        <v>0.95</v>
      </c>
      <c r="O2725" s="11"/>
      <c r="P2725" s="11"/>
      <c r="Q2725" s="11"/>
      <c r="R2725" s="11"/>
    </row>
    <row r="2726" spans="1:18">
      <c r="D2726" s="1" t="s">
        <v>1616</v>
      </c>
      <c r="E2726" s="1" t="s">
        <v>47</v>
      </c>
      <c r="H2726" s="1" t="s">
        <v>25</v>
      </c>
      <c r="I2726" s="1" t="s">
        <v>23</v>
      </c>
      <c r="M2726" s="1" t="b">
        <v>0</v>
      </c>
      <c r="N2726" s="1">
        <v>0</v>
      </c>
      <c r="O2726" s="11"/>
      <c r="P2726" s="11"/>
      <c r="Q2726" s="11"/>
      <c r="R2726" s="11"/>
    </row>
    <row r="2727" spans="1:18">
      <c r="D2727" s="1" t="s">
        <v>1616</v>
      </c>
      <c r="E2727" s="1" t="s">
        <v>920</v>
      </c>
      <c r="H2727" s="1" t="s">
        <v>22</v>
      </c>
      <c r="I2727" s="1" t="s">
        <v>23</v>
      </c>
      <c r="J2727" s="1">
        <v>-1</v>
      </c>
      <c r="K2727" s="1">
        <v>1</v>
      </c>
      <c r="L2727" s="1">
        <v>1</v>
      </c>
      <c r="M2727" s="1">
        <v>0</v>
      </c>
      <c r="N2727" s="1">
        <v>0</v>
      </c>
      <c r="O2727" s="11"/>
      <c r="P2727" s="11"/>
      <c r="Q2727" s="11"/>
      <c r="R2727" s="11"/>
    </row>
    <row r="2728" spans="1:18">
      <c r="D2728" s="1" t="s">
        <v>1616</v>
      </c>
      <c r="E2728" s="1" t="s">
        <v>921</v>
      </c>
      <c r="H2728" s="1" t="s">
        <v>22</v>
      </c>
      <c r="I2728" s="1" t="s">
        <v>23</v>
      </c>
      <c r="J2728" s="1">
        <v>0</v>
      </c>
      <c r="K2728" s="1">
        <v>1</v>
      </c>
      <c r="L2728" s="1">
        <v>1</v>
      </c>
      <c r="M2728" s="1">
        <v>0</v>
      </c>
      <c r="N2728" s="1">
        <v>0</v>
      </c>
      <c r="O2728" s="11"/>
      <c r="P2728" s="11"/>
      <c r="Q2728" s="11"/>
      <c r="R2728" s="11"/>
    </row>
    <row r="2729" spans="1:18">
      <c r="D2729" s="1" t="s">
        <v>1616</v>
      </c>
      <c r="E2729" s="1" t="s">
        <v>1641</v>
      </c>
      <c r="H2729" s="1" t="s">
        <v>22</v>
      </c>
      <c r="I2729" s="1" t="s">
        <v>23</v>
      </c>
      <c r="J2729" s="1">
        <v>0</v>
      </c>
      <c r="K2729" s="1">
        <v>1</v>
      </c>
      <c r="L2729" s="1">
        <v>1</v>
      </c>
      <c r="M2729" s="1">
        <v>1</v>
      </c>
      <c r="N2729" s="1">
        <v>1</v>
      </c>
      <c r="O2729" s="11"/>
      <c r="P2729" s="11"/>
      <c r="Q2729" s="11"/>
      <c r="R2729" s="11"/>
    </row>
    <row r="2730" spans="1:18">
      <c r="D2730" s="1" t="s">
        <v>1616</v>
      </c>
      <c r="E2730" s="1" t="s">
        <v>1642</v>
      </c>
      <c r="H2730" s="1" t="s">
        <v>25</v>
      </c>
      <c r="I2730" s="1" t="s">
        <v>23</v>
      </c>
      <c r="M2730" s="1" t="b">
        <v>0</v>
      </c>
      <c r="N2730" s="1">
        <v>0</v>
      </c>
      <c r="O2730" s="11"/>
      <c r="P2730" s="11"/>
      <c r="Q2730" s="11"/>
      <c r="R2730" s="11"/>
    </row>
    <row r="2731" spans="1:18">
      <c r="D2731" s="1" t="s">
        <v>1616</v>
      </c>
      <c r="E2731" s="1" t="s">
        <v>1643</v>
      </c>
      <c r="F2731" s="1" t="s">
        <v>147</v>
      </c>
      <c r="G2731" s="1" t="s">
        <v>148</v>
      </c>
      <c r="H2731" s="1" t="s">
        <v>22</v>
      </c>
      <c r="I2731" s="1" t="s">
        <v>23</v>
      </c>
      <c r="J2731" s="1">
        <v>0</v>
      </c>
      <c r="K2731" s="1">
        <v>34121416351.331001</v>
      </c>
      <c r="L2731" s="1">
        <v>3.4121416351331</v>
      </c>
      <c r="M2731" s="1">
        <v>6824.2832702661999</v>
      </c>
      <c r="N2731" s="1">
        <v>6824.2832702661999</v>
      </c>
      <c r="O2731" s="11"/>
      <c r="P2731" s="11"/>
      <c r="Q2731" s="11"/>
      <c r="R2731" s="11"/>
    </row>
    <row r="2732" spans="1:18">
      <c r="D2732" s="1" t="s">
        <v>1616</v>
      </c>
      <c r="E2732" s="1" t="s">
        <v>1644</v>
      </c>
      <c r="F2732" s="1" t="s">
        <v>1535</v>
      </c>
      <c r="G2732" s="1" t="s">
        <v>1535</v>
      </c>
      <c r="H2732" s="1" t="s">
        <v>22</v>
      </c>
      <c r="I2732" s="1" t="s">
        <v>65</v>
      </c>
      <c r="L2732" s="1">
        <v>1</v>
      </c>
      <c r="N2732" s="1">
        <v>388.86946919415692</v>
      </c>
      <c r="O2732" s="11"/>
      <c r="P2732" s="11"/>
      <c r="Q2732" s="11"/>
      <c r="R2732" s="11"/>
    </row>
    <row r="2733" spans="1:18">
      <c r="A2733" s="2" t="s">
        <v>1759</v>
      </c>
      <c r="B2733" s="3" t="s">
        <v>1806</v>
      </c>
      <c r="D2733" s="1" t="s">
        <v>1616</v>
      </c>
      <c r="E2733" s="1" t="s">
        <v>1645</v>
      </c>
      <c r="F2733" s="1" t="s">
        <v>147</v>
      </c>
      <c r="G2733" s="1" t="s">
        <v>148</v>
      </c>
      <c r="H2733" s="1" t="s">
        <v>22</v>
      </c>
      <c r="I2733" s="1" t="s">
        <v>65</v>
      </c>
      <c r="L2733" s="1">
        <v>3.4121416351331</v>
      </c>
      <c r="N2733" s="1">
        <v>48072.430980970326</v>
      </c>
      <c r="O2733" s="11"/>
      <c r="P2733" s="11"/>
      <c r="Q2733" s="11"/>
      <c r="R2733" s="11"/>
    </row>
    <row r="2734" spans="1:18">
      <c r="D2734" s="1" t="s">
        <v>1616</v>
      </c>
      <c r="E2734" s="1" t="s">
        <v>1646</v>
      </c>
      <c r="F2734" s="1" t="s">
        <v>1517</v>
      </c>
      <c r="G2734" s="1" t="s">
        <v>1517</v>
      </c>
      <c r="H2734" s="1" t="s">
        <v>22</v>
      </c>
      <c r="I2734" s="1" t="s">
        <v>70</v>
      </c>
      <c r="L2734" s="1">
        <v>1</v>
      </c>
      <c r="N2734" s="1">
        <v>460</v>
      </c>
      <c r="O2734" s="11"/>
      <c r="P2734" s="11"/>
      <c r="Q2734" s="11"/>
      <c r="R2734" s="11"/>
    </row>
    <row r="2735" spans="1:18">
      <c r="D2735" s="1" t="s">
        <v>1616</v>
      </c>
      <c r="E2735" s="1" t="s">
        <v>990</v>
      </c>
      <c r="H2735" s="1" t="s">
        <v>22</v>
      </c>
      <c r="I2735" s="1" t="s">
        <v>65</v>
      </c>
      <c r="L2735" s="1">
        <v>1</v>
      </c>
      <c r="N2735" s="1">
        <v>1</v>
      </c>
      <c r="O2735" s="11"/>
      <c r="P2735" s="11"/>
      <c r="Q2735" s="11"/>
      <c r="R2735" s="11"/>
    </row>
    <row r="2736" spans="1:18">
      <c r="D2736" s="1" t="s">
        <v>1616</v>
      </c>
      <c r="E2736" s="1" t="s">
        <v>1647</v>
      </c>
      <c r="F2736" s="1" t="s">
        <v>200</v>
      </c>
      <c r="G2736" s="1" t="s">
        <v>200</v>
      </c>
      <c r="H2736" s="1" t="s">
        <v>22</v>
      </c>
      <c r="I2736" s="1" t="s">
        <v>65</v>
      </c>
      <c r="L2736" s="1">
        <v>1</v>
      </c>
      <c r="N2736" s="1">
        <v>551</v>
      </c>
      <c r="O2736" s="11"/>
      <c r="P2736" s="11"/>
      <c r="Q2736" s="11"/>
      <c r="R2736" s="11"/>
    </row>
    <row r="2737" spans="1:18">
      <c r="D2737" s="1" t="s">
        <v>1616</v>
      </c>
      <c r="E2737" s="1" t="s">
        <v>1648</v>
      </c>
      <c r="F2737" s="1" t="s">
        <v>200</v>
      </c>
      <c r="G2737" s="1" t="s">
        <v>200</v>
      </c>
      <c r="H2737" s="1" t="s">
        <v>22</v>
      </c>
      <c r="I2737" s="1" t="s">
        <v>65</v>
      </c>
      <c r="L2737" s="1">
        <v>1</v>
      </c>
      <c r="N2737" s="1">
        <v>785.90139082989845</v>
      </c>
      <c r="O2737" s="11"/>
      <c r="P2737" s="11"/>
      <c r="Q2737" s="11"/>
      <c r="R2737" s="11"/>
    </row>
    <row r="2738" spans="1:18">
      <c r="D2738" s="1" t="s">
        <v>1616</v>
      </c>
      <c r="E2738" s="1" t="s">
        <v>1649</v>
      </c>
      <c r="F2738" s="1">
        <v>1</v>
      </c>
      <c r="G2738" s="1">
        <v>1</v>
      </c>
      <c r="H2738" s="1" t="s">
        <v>22</v>
      </c>
      <c r="I2738" s="1" t="s">
        <v>65</v>
      </c>
      <c r="J2738" s="1">
        <v>0</v>
      </c>
      <c r="L2738" s="1">
        <v>1</v>
      </c>
      <c r="N2738" s="1">
        <v>0.97750000000000004</v>
      </c>
      <c r="O2738" s="11"/>
      <c r="P2738" s="11"/>
      <c r="Q2738" s="11"/>
      <c r="R2738" s="11"/>
    </row>
    <row r="2739" spans="1:18">
      <c r="D2739" s="1" t="s">
        <v>1616</v>
      </c>
      <c r="E2739" s="1" t="s">
        <v>69</v>
      </c>
      <c r="H2739" s="1" t="s">
        <v>25</v>
      </c>
      <c r="I2739" s="1" t="s">
        <v>70</v>
      </c>
      <c r="N2739" s="1">
        <v>0</v>
      </c>
      <c r="O2739" s="11"/>
      <c r="P2739" s="11"/>
      <c r="Q2739" s="11"/>
      <c r="R2739" s="11"/>
    </row>
    <row r="2740" spans="1:18">
      <c r="D2740" s="1" t="s">
        <v>1616</v>
      </c>
      <c r="E2740" s="1" t="s">
        <v>1650</v>
      </c>
      <c r="F2740" s="1" t="s">
        <v>147</v>
      </c>
      <c r="G2740" s="1" t="s">
        <v>148</v>
      </c>
      <c r="H2740" s="1" t="s">
        <v>22</v>
      </c>
      <c r="I2740" s="1" t="s">
        <v>65</v>
      </c>
      <c r="L2740" s="1">
        <v>3.4121416351331</v>
      </c>
      <c r="N2740" s="1">
        <v>2088480.0570621588</v>
      </c>
      <c r="O2740" s="11"/>
      <c r="P2740" s="11"/>
      <c r="Q2740" s="11"/>
      <c r="R2740" s="11"/>
    </row>
    <row r="2741" spans="1:18">
      <c r="A2741" s="2" t="s">
        <v>1759</v>
      </c>
      <c r="B2741" s="3" t="s">
        <v>1807</v>
      </c>
      <c r="D2741" s="1" t="s">
        <v>1616</v>
      </c>
      <c r="E2741" s="1" t="s">
        <v>1651</v>
      </c>
      <c r="F2741" s="1" t="s">
        <v>147</v>
      </c>
      <c r="G2741" s="1" t="s">
        <v>148</v>
      </c>
      <c r="H2741" s="1" t="s">
        <v>22</v>
      </c>
      <c r="I2741" s="1" t="s">
        <v>65</v>
      </c>
      <c r="L2741" s="1">
        <v>3.4121416351331</v>
      </c>
      <c r="N2741" s="1">
        <v>2136552.488043129</v>
      </c>
      <c r="O2741" s="11"/>
      <c r="P2741" s="11"/>
      <c r="Q2741" s="11"/>
      <c r="R2741" s="11"/>
    </row>
    <row r="2742" spans="1:18">
      <c r="D2742" s="1" t="s">
        <v>1616</v>
      </c>
      <c r="E2742" s="1" t="s">
        <v>1652</v>
      </c>
      <c r="F2742" s="1">
        <v>1</v>
      </c>
      <c r="G2742" s="1">
        <v>1</v>
      </c>
      <c r="H2742" s="1" t="s">
        <v>22</v>
      </c>
      <c r="I2742" s="1" t="s">
        <v>65</v>
      </c>
      <c r="L2742" s="1">
        <v>1</v>
      </c>
      <c r="N2742" s="1">
        <v>1</v>
      </c>
      <c r="O2742" s="11"/>
      <c r="P2742" s="11"/>
      <c r="Q2742" s="11"/>
      <c r="R2742" s="11"/>
    </row>
    <row r="2743" spans="1:18">
      <c r="D2743" s="1" t="s">
        <v>1653</v>
      </c>
      <c r="E2743" s="1" t="s">
        <v>1470</v>
      </c>
      <c r="H2743" s="1" t="s">
        <v>22</v>
      </c>
      <c r="I2743" s="1" t="s">
        <v>23</v>
      </c>
      <c r="J2743" s="1">
        <v>0.5</v>
      </c>
      <c r="K2743" s="1">
        <v>2</v>
      </c>
      <c r="L2743" s="1">
        <v>1</v>
      </c>
      <c r="M2743" s="1">
        <v>1</v>
      </c>
      <c r="N2743" s="1">
        <v>1</v>
      </c>
      <c r="O2743" s="11"/>
      <c r="P2743" s="11"/>
      <c r="Q2743" s="11"/>
      <c r="R2743" s="11"/>
    </row>
    <row r="2744" spans="1:18">
      <c r="D2744" s="1" t="s">
        <v>1653</v>
      </c>
      <c r="E2744" s="1" t="s">
        <v>47</v>
      </c>
      <c r="H2744" s="1" t="s">
        <v>25</v>
      </c>
      <c r="I2744" s="1" t="s">
        <v>23</v>
      </c>
      <c r="M2744" s="1" t="b">
        <v>0</v>
      </c>
      <c r="N2744" s="1">
        <v>0</v>
      </c>
      <c r="O2744" s="11"/>
      <c r="P2744" s="11"/>
      <c r="Q2744" s="11"/>
      <c r="R2744" s="11"/>
    </row>
    <row r="2745" spans="1:18">
      <c r="D2745" s="1" t="s">
        <v>1653</v>
      </c>
      <c r="E2745" s="1" t="s">
        <v>920</v>
      </c>
      <c r="H2745" s="1" t="s">
        <v>22</v>
      </c>
      <c r="I2745" s="1" t="s">
        <v>23</v>
      </c>
      <c r="L2745" s="1">
        <v>1</v>
      </c>
      <c r="M2745" s="1">
        <v>0</v>
      </c>
      <c r="N2745" s="1">
        <v>0</v>
      </c>
      <c r="O2745" s="11"/>
      <c r="P2745" s="11"/>
      <c r="Q2745" s="11"/>
      <c r="R2745" s="11"/>
    </row>
    <row r="2746" spans="1:18">
      <c r="D2746" s="1" t="s">
        <v>1653</v>
      </c>
      <c r="E2746" s="1" t="s">
        <v>921</v>
      </c>
      <c r="H2746" s="1" t="s">
        <v>22</v>
      </c>
      <c r="I2746" s="1" t="s">
        <v>23</v>
      </c>
      <c r="J2746" s="1">
        <v>0</v>
      </c>
      <c r="K2746" s="1">
        <v>1</v>
      </c>
      <c r="L2746" s="1">
        <v>1</v>
      </c>
      <c r="M2746" s="1">
        <v>0</v>
      </c>
      <c r="N2746" s="1">
        <v>0</v>
      </c>
      <c r="O2746" s="11"/>
      <c r="P2746" s="11"/>
      <c r="Q2746" s="11"/>
      <c r="R2746" s="11"/>
    </row>
    <row r="2747" spans="1:18">
      <c r="D2747" s="1" t="s">
        <v>1653</v>
      </c>
      <c r="E2747" s="1" t="s">
        <v>1654</v>
      </c>
      <c r="H2747" s="1" t="s">
        <v>22</v>
      </c>
      <c r="I2747" s="1" t="s">
        <v>23</v>
      </c>
      <c r="J2747" s="1">
        <v>0</v>
      </c>
      <c r="K2747" s="1">
        <v>1</v>
      </c>
      <c r="L2747" s="1">
        <v>1</v>
      </c>
      <c r="M2747" s="1">
        <v>1</v>
      </c>
      <c r="N2747" s="1">
        <v>1</v>
      </c>
      <c r="O2747" s="11"/>
      <c r="P2747" s="11"/>
      <c r="Q2747" s="11"/>
      <c r="R2747" s="11"/>
    </row>
    <row r="2748" spans="1:18">
      <c r="D2748" s="1" t="s">
        <v>1653</v>
      </c>
      <c r="E2748" s="1" t="s">
        <v>1655</v>
      </c>
      <c r="F2748" s="1" t="s">
        <v>45</v>
      </c>
      <c r="G2748" s="1" t="s">
        <v>46</v>
      </c>
      <c r="H2748" s="1" t="s">
        <v>22</v>
      </c>
      <c r="I2748" s="1" t="s">
        <v>29</v>
      </c>
      <c r="J2748" s="1">
        <v>-6.3932502128443591</v>
      </c>
      <c r="K2748" s="1">
        <v>358.61435929656</v>
      </c>
      <c r="L2748" s="1">
        <v>114.79148749423418</v>
      </c>
      <c r="N2748" s="1">
        <v>105.03977788475959</v>
      </c>
      <c r="O2748" s="11"/>
      <c r="P2748" s="11"/>
      <c r="Q2748" s="11"/>
      <c r="R2748" s="11"/>
    </row>
    <row r="2749" spans="1:18">
      <c r="D2749" s="1" t="s">
        <v>1653</v>
      </c>
      <c r="E2749" s="1" t="s">
        <v>1298</v>
      </c>
      <c r="F2749" s="1" t="s">
        <v>147</v>
      </c>
      <c r="G2749" s="1" t="s">
        <v>148</v>
      </c>
      <c r="H2749" s="1" t="s">
        <v>22</v>
      </c>
      <c r="I2749" s="1" t="s">
        <v>65</v>
      </c>
      <c r="L2749" s="1">
        <v>3.4121416351331</v>
      </c>
      <c r="N2749" s="1">
        <v>3412.1416351331</v>
      </c>
      <c r="O2749" s="11"/>
      <c r="P2749" s="11"/>
      <c r="Q2749" s="11"/>
      <c r="R2749" s="11"/>
    </row>
    <row r="2750" spans="1:18">
      <c r="D2750" s="1" t="s">
        <v>1653</v>
      </c>
      <c r="E2750" s="1" t="s">
        <v>69</v>
      </c>
      <c r="H2750" s="1" t="s">
        <v>25</v>
      </c>
      <c r="I2750" s="1" t="s">
        <v>70</v>
      </c>
      <c r="N2750" s="1">
        <v>1</v>
      </c>
      <c r="O2750" s="11"/>
      <c r="P2750" s="11"/>
      <c r="Q2750" s="11"/>
      <c r="R2750" s="11"/>
    </row>
    <row r="2751" spans="1:18">
      <c r="D2751" s="1" t="s">
        <v>1653</v>
      </c>
      <c r="E2751" s="1" t="s">
        <v>117</v>
      </c>
      <c r="F2751" s="1" t="s">
        <v>118</v>
      </c>
      <c r="G2751" s="1" t="s">
        <v>119</v>
      </c>
      <c r="H2751" s="1" t="s">
        <v>22</v>
      </c>
      <c r="I2751" s="1" t="s">
        <v>65</v>
      </c>
      <c r="J2751" s="1">
        <v>0</v>
      </c>
      <c r="L2751" s="1">
        <v>2.20462262185</v>
      </c>
      <c r="N2751" s="1">
        <v>3.940732762099166E-2</v>
      </c>
      <c r="O2751" s="11"/>
      <c r="P2751" s="11"/>
      <c r="Q2751" s="11"/>
      <c r="R2751" s="11"/>
    </row>
    <row r="2752" spans="1:18">
      <c r="D2752" s="1" t="s">
        <v>1653</v>
      </c>
      <c r="E2752" s="1" t="s">
        <v>1656</v>
      </c>
      <c r="H2752" s="1" t="s">
        <v>63</v>
      </c>
      <c r="I2752" s="1" t="s">
        <v>120</v>
      </c>
      <c r="N2752" s="1">
        <v>2</v>
      </c>
      <c r="O2752" s="11"/>
      <c r="P2752" s="11"/>
      <c r="Q2752" s="11"/>
      <c r="R2752" s="11"/>
    </row>
    <row r="2753" spans="4:18">
      <c r="D2753" s="1" t="s">
        <v>1653</v>
      </c>
      <c r="E2753" s="1" t="s">
        <v>1657</v>
      </c>
      <c r="F2753" s="1" t="s">
        <v>35</v>
      </c>
      <c r="G2753" s="1" t="s">
        <v>36</v>
      </c>
      <c r="H2753" s="1" t="s">
        <v>22</v>
      </c>
      <c r="I2753" s="1" t="s">
        <v>65</v>
      </c>
      <c r="J2753" s="1">
        <v>-457.87</v>
      </c>
      <c r="K2753" s="1">
        <v>17540.330000000002</v>
      </c>
      <c r="L2753" s="1">
        <v>80.329999999999984</v>
      </c>
      <c r="N2753" s="1">
        <v>40.791179653592451</v>
      </c>
      <c r="O2753" s="11"/>
      <c r="P2753" s="11"/>
      <c r="Q2753" s="11"/>
      <c r="R2753" s="11"/>
    </row>
    <row r="2754" spans="4:18">
      <c r="D2754" s="1" t="s">
        <v>1653</v>
      </c>
      <c r="E2754" s="1" t="s">
        <v>1658</v>
      </c>
      <c r="F2754" s="1" t="s">
        <v>35</v>
      </c>
      <c r="G2754" s="1" t="s">
        <v>36</v>
      </c>
      <c r="H2754" s="1" t="s">
        <v>22</v>
      </c>
      <c r="I2754" s="1" t="s">
        <v>65</v>
      </c>
      <c r="J2754" s="1">
        <v>-457.87</v>
      </c>
      <c r="K2754" s="1">
        <v>17540.330000000002</v>
      </c>
      <c r="L2754" s="1">
        <v>80.329999999999984</v>
      </c>
      <c r="N2754" s="1">
        <v>40.791179653592451</v>
      </c>
      <c r="O2754" s="11"/>
      <c r="P2754" s="11"/>
      <c r="Q2754" s="11"/>
      <c r="R2754" s="11"/>
    </row>
    <row r="2755" spans="4:18">
      <c r="D2755" s="1" t="s">
        <v>1653</v>
      </c>
      <c r="E2755" s="1" t="s">
        <v>1659</v>
      </c>
      <c r="F2755" s="1" t="s">
        <v>1660</v>
      </c>
      <c r="G2755" s="1" t="s">
        <v>1661</v>
      </c>
      <c r="H2755" s="1" t="s">
        <v>22</v>
      </c>
      <c r="I2755" s="1" t="s">
        <v>65</v>
      </c>
      <c r="J2755" s="1">
        <v>0</v>
      </c>
      <c r="K2755" s="1">
        <v>194.03202999999999</v>
      </c>
      <c r="L2755" s="1">
        <v>1.9403203E-3</v>
      </c>
      <c r="N2755" s="1">
        <v>3.4682959878191921E-2</v>
      </c>
      <c r="O2755" s="11"/>
      <c r="P2755" s="11"/>
      <c r="Q2755" s="11"/>
      <c r="R2755" s="11"/>
    </row>
    <row r="2756" spans="4:18">
      <c r="D2756" s="1" t="s">
        <v>1653</v>
      </c>
      <c r="E2756" s="1" t="s">
        <v>1662</v>
      </c>
      <c r="F2756" s="1" t="s">
        <v>41</v>
      </c>
      <c r="G2756" s="1" t="s">
        <v>42</v>
      </c>
      <c r="H2756" s="1" t="s">
        <v>22</v>
      </c>
      <c r="I2756" s="1" t="s">
        <v>65</v>
      </c>
      <c r="L2756" s="1">
        <v>1.8</v>
      </c>
      <c r="N2756" s="1">
        <v>0</v>
      </c>
      <c r="O2756" s="11"/>
      <c r="P2756" s="11"/>
      <c r="Q2756" s="11"/>
      <c r="R2756" s="11"/>
    </row>
    <row r="2757" spans="4:18">
      <c r="D2757" s="1" t="s">
        <v>1653</v>
      </c>
      <c r="E2757" s="1" t="s">
        <v>1663</v>
      </c>
      <c r="F2757" s="1" t="s">
        <v>45</v>
      </c>
      <c r="G2757" s="1" t="s">
        <v>46</v>
      </c>
      <c r="H2757" s="1" t="s">
        <v>22</v>
      </c>
      <c r="I2757" s="1" t="s">
        <v>65</v>
      </c>
      <c r="J2757" s="1">
        <v>-4299226.1378713567</v>
      </c>
      <c r="K2757" s="1">
        <v>4299226.1378713567</v>
      </c>
      <c r="L2757" s="1">
        <v>429.92261378713573</v>
      </c>
      <c r="N2757" s="1">
        <v>105.03977788475959</v>
      </c>
      <c r="O2757" s="11"/>
      <c r="P2757" s="11"/>
      <c r="Q2757" s="11"/>
      <c r="R2757" s="11"/>
    </row>
    <row r="2758" spans="4:18">
      <c r="D2758" s="1" t="s">
        <v>1653</v>
      </c>
      <c r="E2758" s="1" t="s">
        <v>1664</v>
      </c>
      <c r="F2758" s="1" t="s">
        <v>56</v>
      </c>
      <c r="G2758" s="1" t="s">
        <v>57</v>
      </c>
      <c r="H2758" s="1" t="s">
        <v>22</v>
      </c>
      <c r="I2758" s="1" t="s">
        <v>65</v>
      </c>
      <c r="J2758" s="1">
        <v>0</v>
      </c>
      <c r="K2758" s="1">
        <v>14503.773773020921</v>
      </c>
      <c r="L2758" s="1">
        <v>14.503773773020921</v>
      </c>
      <c r="N2758" s="1">
        <v>50.509497124265998</v>
      </c>
      <c r="O2758" s="11"/>
      <c r="P2758" s="11"/>
      <c r="Q2758" s="11"/>
      <c r="R2758" s="11"/>
    </row>
    <row r="2759" spans="4:18">
      <c r="D2759" s="1" t="s">
        <v>1653</v>
      </c>
      <c r="E2759" s="1" t="s">
        <v>1665</v>
      </c>
      <c r="H2759" s="1" t="s">
        <v>63</v>
      </c>
      <c r="I2759" s="1" t="s">
        <v>120</v>
      </c>
      <c r="N2759" s="1">
        <v>0</v>
      </c>
      <c r="O2759" s="11"/>
      <c r="P2759" s="11"/>
      <c r="Q2759" s="11"/>
      <c r="R2759" s="11"/>
    </row>
    <row r="2760" spans="4:18">
      <c r="D2760" s="1" t="s">
        <v>1653</v>
      </c>
      <c r="E2760" s="1" t="s">
        <v>1666</v>
      </c>
      <c r="H2760" s="1" t="s">
        <v>22</v>
      </c>
      <c r="I2760" s="1" t="s">
        <v>65</v>
      </c>
      <c r="L2760" s="1">
        <v>1</v>
      </c>
      <c r="N2760" s="1">
        <v>0.9540146440790146</v>
      </c>
      <c r="O2760" s="11"/>
      <c r="P2760" s="11"/>
      <c r="Q2760" s="11"/>
      <c r="R2760" s="11"/>
    </row>
    <row r="2761" spans="4:18">
      <c r="D2761" s="1" t="s">
        <v>1653</v>
      </c>
      <c r="E2761" s="1" t="s">
        <v>1667</v>
      </c>
      <c r="F2761" s="1" t="s">
        <v>35</v>
      </c>
      <c r="G2761" s="1" t="s">
        <v>36</v>
      </c>
      <c r="H2761" s="1" t="s">
        <v>22</v>
      </c>
      <c r="I2761" s="1" t="s">
        <v>65</v>
      </c>
      <c r="J2761" s="1">
        <v>-457.87</v>
      </c>
      <c r="K2761" s="1">
        <v>17540.330000000002</v>
      </c>
      <c r="L2761" s="1">
        <v>80.329999999999984</v>
      </c>
      <c r="N2761" s="1">
        <v>40.791179653592451</v>
      </c>
      <c r="O2761" s="11"/>
      <c r="P2761" s="11"/>
      <c r="Q2761" s="11"/>
      <c r="R2761" s="11"/>
    </row>
    <row r="2762" spans="4:18">
      <c r="D2762" s="1" t="s">
        <v>1653</v>
      </c>
      <c r="E2762" s="1" t="s">
        <v>1668</v>
      </c>
      <c r="F2762" s="1" t="s">
        <v>35</v>
      </c>
      <c r="G2762" s="1" t="s">
        <v>36</v>
      </c>
      <c r="H2762" s="1" t="s">
        <v>22</v>
      </c>
      <c r="I2762" s="1" t="s">
        <v>65</v>
      </c>
      <c r="J2762" s="1">
        <v>-457.87</v>
      </c>
      <c r="K2762" s="1">
        <v>17540.330000000002</v>
      </c>
      <c r="L2762" s="1">
        <v>80.329999999999984</v>
      </c>
      <c r="N2762" s="1">
        <v>40.791179653592451</v>
      </c>
      <c r="O2762" s="11"/>
      <c r="P2762" s="11"/>
      <c r="Q2762" s="11"/>
      <c r="R2762" s="11"/>
    </row>
    <row r="2763" spans="4:18">
      <c r="D2763" s="1" t="s">
        <v>1653</v>
      </c>
      <c r="E2763" s="1" t="s">
        <v>1669</v>
      </c>
      <c r="F2763" s="1" t="s">
        <v>1660</v>
      </c>
      <c r="G2763" s="1" t="s">
        <v>1661</v>
      </c>
      <c r="H2763" s="1" t="s">
        <v>22</v>
      </c>
      <c r="I2763" s="1" t="s">
        <v>65</v>
      </c>
      <c r="J2763" s="1">
        <v>0</v>
      </c>
      <c r="K2763" s="1">
        <v>194.03202999999999</v>
      </c>
      <c r="L2763" s="1">
        <v>1.9403203E-3</v>
      </c>
      <c r="N2763" s="1">
        <v>3.4682959878191921E-2</v>
      </c>
      <c r="O2763" s="11"/>
      <c r="P2763" s="11"/>
      <c r="Q2763" s="11"/>
      <c r="R2763" s="11"/>
    </row>
    <row r="2764" spans="4:18">
      <c r="D2764" s="1" t="s">
        <v>1653</v>
      </c>
      <c r="E2764" s="1" t="s">
        <v>1670</v>
      </c>
      <c r="F2764" s="1" t="s">
        <v>41</v>
      </c>
      <c r="G2764" s="1" t="s">
        <v>42</v>
      </c>
      <c r="H2764" s="1" t="s">
        <v>22</v>
      </c>
      <c r="I2764" s="1" t="s">
        <v>65</v>
      </c>
      <c r="L2764" s="1">
        <v>1.8</v>
      </c>
      <c r="N2764" s="1">
        <v>0</v>
      </c>
      <c r="O2764" s="11"/>
      <c r="P2764" s="11"/>
      <c r="Q2764" s="11"/>
      <c r="R2764" s="11"/>
    </row>
    <row r="2765" spans="4:18">
      <c r="D2765" s="1" t="s">
        <v>1653</v>
      </c>
      <c r="E2765" s="1" t="s">
        <v>1671</v>
      </c>
      <c r="F2765" s="1" t="s">
        <v>45</v>
      </c>
      <c r="G2765" s="1" t="s">
        <v>46</v>
      </c>
      <c r="H2765" s="1" t="s">
        <v>22</v>
      </c>
      <c r="I2765" s="1" t="s">
        <v>65</v>
      </c>
      <c r="J2765" s="1">
        <v>-4299226.1378713567</v>
      </c>
      <c r="K2765" s="1">
        <v>4299226.1378713567</v>
      </c>
      <c r="L2765" s="1">
        <v>429.92261378713573</v>
      </c>
      <c r="N2765" s="1">
        <v>105.03977788475959</v>
      </c>
      <c r="O2765" s="11"/>
      <c r="P2765" s="11"/>
      <c r="Q2765" s="11"/>
      <c r="R2765" s="11"/>
    </row>
    <row r="2766" spans="4:18">
      <c r="D2766" s="1" t="s">
        <v>1653</v>
      </c>
      <c r="E2766" s="1" t="s">
        <v>1672</v>
      </c>
      <c r="F2766" s="1" t="s">
        <v>56</v>
      </c>
      <c r="G2766" s="1" t="s">
        <v>57</v>
      </c>
      <c r="H2766" s="1" t="s">
        <v>22</v>
      </c>
      <c r="I2766" s="1" t="s">
        <v>65</v>
      </c>
      <c r="J2766" s="1">
        <v>0</v>
      </c>
      <c r="K2766" s="1">
        <v>14503.773773020921</v>
      </c>
      <c r="L2766" s="1">
        <v>14.503773773020921</v>
      </c>
      <c r="N2766" s="1">
        <v>50.509497124265998</v>
      </c>
      <c r="O2766" s="11"/>
      <c r="P2766" s="11"/>
      <c r="Q2766" s="11"/>
      <c r="R2766" s="11"/>
    </row>
    <row r="2767" spans="4:18">
      <c r="D2767" s="1" t="s">
        <v>1653</v>
      </c>
      <c r="E2767" s="1" t="s">
        <v>1673</v>
      </c>
      <c r="H2767" s="1" t="s">
        <v>63</v>
      </c>
      <c r="I2767" s="1" t="s">
        <v>120</v>
      </c>
      <c r="N2767" s="1">
        <v>0</v>
      </c>
      <c r="O2767" s="11"/>
      <c r="P2767" s="11"/>
      <c r="Q2767" s="11"/>
      <c r="R2767" s="11"/>
    </row>
    <row r="2768" spans="4:18">
      <c r="D2768" s="1" t="s">
        <v>1653</v>
      </c>
      <c r="E2768" s="1" t="s">
        <v>1674</v>
      </c>
      <c r="H2768" s="1" t="s">
        <v>22</v>
      </c>
      <c r="I2768" s="1" t="s">
        <v>65</v>
      </c>
      <c r="L2768" s="1">
        <v>1</v>
      </c>
      <c r="N2768" s="1">
        <v>0.9540146440790146</v>
      </c>
      <c r="O2768" s="11"/>
      <c r="P2768" s="11"/>
      <c r="Q2768" s="11"/>
      <c r="R2768" s="11"/>
    </row>
    <row r="2769" spans="4:18">
      <c r="D2769" s="1" t="s">
        <v>1653</v>
      </c>
      <c r="E2769" s="1" t="s">
        <v>123</v>
      </c>
      <c r="F2769" s="1" t="s">
        <v>124</v>
      </c>
      <c r="G2769" s="1" t="s">
        <v>125</v>
      </c>
      <c r="H2769" s="1" t="s">
        <v>22</v>
      </c>
      <c r="I2769" s="1" t="s">
        <v>70</v>
      </c>
      <c r="L2769" s="1">
        <v>35.314666699999997</v>
      </c>
      <c r="N2769" s="1">
        <v>3.5314666699999997E-2</v>
      </c>
      <c r="O2769" s="11"/>
      <c r="P2769" s="11"/>
      <c r="Q2769" s="11"/>
      <c r="R2769" s="11"/>
    </row>
    <row r="2770" spans="4:18">
      <c r="D2770" s="1" t="s">
        <v>1653</v>
      </c>
      <c r="E2770" s="1" t="s">
        <v>1675</v>
      </c>
      <c r="F2770" s="1" t="s">
        <v>124</v>
      </c>
      <c r="G2770" s="1" t="s">
        <v>125</v>
      </c>
      <c r="H2770" s="1" t="s">
        <v>22</v>
      </c>
      <c r="I2770" s="1" t="s">
        <v>23</v>
      </c>
      <c r="L2770" s="1">
        <v>35.314666699999997</v>
      </c>
      <c r="M2770" s="1">
        <v>3.5314666699999997E-2</v>
      </c>
      <c r="N2770" s="1">
        <v>3.5314666699999997E-2</v>
      </c>
      <c r="O2770" s="11"/>
      <c r="P2770" s="11"/>
      <c r="Q2770" s="11"/>
      <c r="R2770" s="11"/>
    </row>
    <row r="2771" spans="4:18">
      <c r="D2771" s="1" t="s">
        <v>1653</v>
      </c>
      <c r="E2771" s="1" t="s">
        <v>1676</v>
      </c>
      <c r="H2771" s="1" t="s">
        <v>22</v>
      </c>
      <c r="I2771" s="1" t="s">
        <v>23</v>
      </c>
      <c r="L2771" s="1">
        <v>1</v>
      </c>
      <c r="M2771" s="1">
        <v>0.95</v>
      </c>
      <c r="N2771" s="1">
        <v>0.95</v>
      </c>
      <c r="O2771" s="11"/>
      <c r="P2771" s="11"/>
      <c r="Q2771" s="11"/>
      <c r="R2771" s="11"/>
    </row>
    <row r="2772" spans="4:18">
      <c r="D2772" s="1" t="s">
        <v>1677</v>
      </c>
      <c r="E2772" s="1" t="s">
        <v>1470</v>
      </c>
      <c r="H2772" s="1" t="s">
        <v>22</v>
      </c>
      <c r="I2772" s="1" t="s">
        <v>23</v>
      </c>
      <c r="J2772" s="1">
        <v>0.5</v>
      </c>
      <c r="K2772" s="1">
        <v>2</v>
      </c>
      <c r="L2772" s="1">
        <v>1</v>
      </c>
      <c r="M2772" s="1">
        <v>1</v>
      </c>
      <c r="N2772" s="1">
        <v>1</v>
      </c>
      <c r="O2772" s="11"/>
      <c r="P2772" s="11"/>
      <c r="Q2772" s="11"/>
      <c r="R2772" s="11"/>
    </row>
    <row r="2773" spans="4:18">
      <c r="D2773" s="1" t="s">
        <v>1677</v>
      </c>
      <c r="E2773" s="1" t="s">
        <v>47</v>
      </c>
      <c r="H2773" s="1" t="s">
        <v>25</v>
      </c>
      <c r="I2773" s="1" t="s">
        <v>23</v>
      </c>
      <c r="M2773" s="1" t="b">
        <v>0</v>
      </c>
      <c r="N2773" s="1">
        <v>0</v>
      </c>
      <c r="O2773" s="11"/>
      <c r="P2773" s="11"/>
      <c r="Q2773" s="11"/>
      <c r="R2773" s="11"/>
    </row>
    <row r="2774" spans="4:18">
      <c r="D2774" s="1" t="s">
        <v>1677</v>
      </c>
      <c r="E2774" s="1" t="s">
        <v>920</v>
      </c>
      <c r="H2774" s="1" t="s">
        <v>22</v>
      </c>
      <c r="I2774" s="1" t="s">
        <v>23</v>
      </c>
      <c r="L2774" s="1">
        <v>1</v>
      </c>
      <c r="M2774" s="1">
        <v>0</v>
      </c>
      <c r="N2774" s="1">
        <v>0</v>
      </c>
      <c r="O2774" s="11"/>
      <c r="P2774" s="11"/>
      <c r="Q2774" s="11"/>
      <c r="R2774" s="11"/>
    </row>
    <row r="2775" spans="4:18">
      <c r="D2775" s="1" t="s">
        <v>1677</v>
      </c>
      <c r="E2775" s="1" t="s">
        <v>921</v>
      </c>
      <c r="H2775" s="1" t="s">
        <v>22</v>
      </c>
      <c r="I2775" s="1" t="s">
        <v>23</v>
      </c>
      <c r="J2775" s="1">
        <v>0</v>
      </c>
      <c r="K2775" s="1">
        <v>1</v>
      </c>
      <c r="L2775" s="1">
        <v>1</v>
      </c>
      <c r="M2775" s="1">
        <v>0</v>
      </c>
      <c r="N2775" s="1">
        <v>0</v>
      </c>
      <c r="O2775" s="11"/>
      <c r="P2775" s="11"/>
      <c r="Q2775" s="11"/>
      <c r="R2775" s="11"/>
    </row>
    <row r="2776" spans="4:18">
      <c r="D2776" s="1" t="s">
        <v>1677</v>
      </c>
      <c r="E2776" s="1" t="s">
        <v>1654</v>
      </c>
      <c r="H2776" s="1" t="s">
        <v>22</v>
      </c>
      <c r="I2776" s="1" t="s">
        <v>23</v>
      </c>
      <c r="J2776" s="1">
        <v>0</v>
      </c>
      <c r="K2776" s="1">
        <v>1</v>
      </c>
      <c r="L2776" s="1">
        <v>1</v>
      </c>
      <c r="M2776" s="1">
        <v>1</v>
      </c>
      <c r="N2776" s="1">
        <v>1</v>
      </c>
      <c r="O2776" s="11"/>
      <c r="P2776" s="11"/>
      <c r="Q2776" s="11"/>
      <c r="R2776" s="11"/>
    </row>
    <row r="2777" spans="4:18">
      <c r="D2777" s="1" t="s">
        <v>1677</v>
      </c>
      <c r="E2777" s="1" t="s">
        <v>1655</v>
      </c>
      <c r="F2777" s="1" t="s">
        <v>45</v>
      </c>
      <c r="G2777" s="1" t="s">
        <v>46</v>
      </c>
      <c r="H2777" s="1" t="s">
        <v>22</v>
      </c>
      <c r="I2777" s="1" t="s">
        <v>29</v>
      </c>
      <c r="J2777" s="1">
        <v>-6.3932502128443591</v>
      </c>
      <c r="K2777" s="1">
        <v>358.61435929656</v>
      </c>
      <c r="L2777" s="1">
        <v>114.79148749423418</v>
      </c>
      <c r="N2777" s="1">
        <v>108.31491489189476</v>
      </c>
      <c r="O2777" s="11"/>
      <c r="P2777" s="11"/>
      <c r="Q2777" s="11"/>
      <c r="R2777" s="11"/>
    </row>
    <row r="2778" spans="4:18">
      <c r="D2778" s="1" t="s">
        <v>1677</v>
      </c>
      <c r="E2778" s="1" t="s">
        <v>1298</v>
      </c>
      <c r="F2778" s="1" t="s">
        <v>147</v>
      </c>
      <c r="G2778" s="1" t="s">
        <v>148</v>
      </c>
      <c r="H2778" s="1" t="s">
        <v>22</v>
      </c>
      <c r="I2778" s="1" t="s">
        <v>65</v>
      </c>
      <c r="L2778" s="1">
        <v>3.4121416351331</v>
      </c>
      <c r="N2778" s="1">
        <v>0</v>
      </c>
      <c r="O2778" s="11"/>
      <c r="P2778" s="11"/>
      <c r="Q2778" s="11"/>
      <c r="R2778" s="11"/>
    </row>
    <row r="2779" spans="4:18">
      <c r="D2779" s="1" t="s">
        <v>1677</v>
      </c>
      <c r="E2779" s="1" t="s">
        <v>69</v>
      </c>
      <c r="H2779" s="1" t="s">
        <v>25</v>
      </c>
      <c r="I2779" s="1" t="s">
        <v>70</v>
      </c>
      <c r="N2779" s="1">
        <v>0</v>
      </c>
      <c r="O2779" s="11"/>
      <c r="P2779" s="11"/>
      <c r="Q2779" s="11"/>
      <c r="R2779" s="11"/>
    </row>
    <row r="2780" spans="4:18">
      <c r="D2780" s="1" t="s">
        <v>1677</v>
      </c>
      <c r="E2780" s="1" t="s">
        <v>117</v>
      </c>
      <c r="F2780" s="1" t="s">
        <v>118</v>
      </c>
      <c r="G2780" s="1" t="s">
        <v>119</v>
      </c>
      <c r="H2780" s="1" t="s">
        <v>22</v>
      </c>
      <c r="I2780" s="1" t="s">
        <v>65</v>
      </c>
      <c r="J2780" s="1">
        <v>0</v>
      </c>
      <c r="L2780" s="1">
        <v>2.20462262185</v>
      </c>
      <c r="N2780" s="1">
        <v>3.7876656283572167E-2</v>
      </c>
      <c r="O2780" s="11"/>
      <c r="P2780" s="11"/>
      <c r="Q2780" s="11"/>
      <c r="R2780" s="11"/>
    </row>
    <row r="2781" spans="4:18">
      <c r="D2781" s="1" t="s">
        <v>1677</v>
      </c>
      <c r="E2781" s="1" t="s">
        <v>1656</v>
      </c>
      <c r="H2781" s="1" t="s">
        <v>63</v>
      </c>
      <c r="I2781" s="1" t="s">
        <v>120</v>
      </c>
      <c r="N2781" s="1">
        <v>2</v>
      </c>
      <c r="O2781" s="11"/>
      <c r="P2781" s="11"/>
      <c r="Q2781" s="11"/>
      <c r="R2781" s="11"/>
    </row>
    <row r="2782" spans="4:18">
      <c r="D2782" s="1" t="s">
        <v>1677</v>
      </c>
      <c r="E2782" s="1" t="s">
        <v>1657</v>
      </c>
      <c r="F2782" s="1" t="s">
        <v>35</v>
      </c>
      <c r="G2782" s="1" t="s">
        <v>36</v>
      </c>
      <c r="H2782" s="1" t="s">
        <v>22</v>
      </c>
      <c r="I2782" s="1" t="s">
        <v>65</v>
      </c>
      <c r="J2782" s="1">
        <v>-457.87</v>
      </c>
      <c r="K2782" s="1">
        <v>17540.330000000002</v>
      </c>
      <c r="L2782" s="1">
        <v>80.329999999999984</v>
      </c>
      <c r="N2782" s="1">
        <v>40.791179653592451</v>
      </c>
      <c r="O2782" s="11"/>
      <c r="P2782" s="11"/>
      <c r="Q2782" s="11"/>
      <c r="R2782" s="11"/>
    </row>
    <row r="2783" spans="4:18">
      <c r="D2783" s="1" t="s">
        <v>1677</v>
      </c>
      <c r="E2783" s="1" t="s">
        <v>1658</v>
      </c>
      <c r="F2783" s="1" t="s">
        <v>35</v>
      </c>
      <c r="G2783" s="1" t="s">
        <v>36</v>
      </c>
      <c r="H2783" s="1" t="s">
        <v>22</v>
      </c>
      <c r="I2783" s="1" t="s">
        <v>65</v>
      </c>
      <c r="J2783" s="1">
        <v>-457.87</v>
      </c>
      <c r="K2783" s="1">
        <v>17540.330000000002</v>
      </c>
      <c r="L2783" s="1">
        <v>80.329999999999984</v>
      </c>
      <c r="N2783" s="1">
        <v>40.791179653592451</v>
      </c>
      <c r="O2783" s="11"/>
      <c r="P2783" s="11"/>
      <c r="Q2783" s="11"/>
      <c r="R2783" s="11"/>
    </row>
    <row r="2784" spans="4:18">
      <c r="D2784" s="1" t="s">
        <v>1677</v>
      </c>
      <c r="E2784" s="1" t="s">
        <v>1659</v>
      </c>
      <c r="F2784" s="1" t="s">
        <v>1660</v>
      </c>
      <c r="G2784" s="1" t="s">
        <v>1661</v>
      </c>
      <c r="H2784" s="1" t="s">
        <v>22</v>
      </c>
      <c r="I2784" s="1" t="s">
        <v>65</v>
      </c>
      <c r="J2784" s="1">
        <v>0</v>
      </c>
      <c r="K2784" s="1">
        <v>194.03202999999999</v>
      </c>
      <c r="L2784" s="1">
        <v>1.9403203E-3</v>
      </c>
      <c r="N2784" s="1">
        <v>3.3335793147649326E-2</v>
      </c>
      <c r="O2784" s="11"/>
      <c r="P2784" s="11"/>
      <c r="Q2784" s="11"/>
      <c r="R2784" s="11"/>
    </row>
    <row r="2785" spans="4:18">
      <c r="D2785" s="1" t="s">
        <v>1677</v>
      </c>
      <c r="E2785" s="1" t="s">
        <v>1662</v>
      </c>
      <c r="F2785" s="1" t="s">
        <v>41</v>
      </c>
      <c r="G2785" s="1" t="s">
        <v>42</v>
      </c>
      <c r="H2785" s="1" t="s">
        <v>22</v>
      </c>
      <c r="I2785" s="1" t="s">
        <v>65</v>
      </c>
      <c r="L2785" s="1">
        <v>1.8</v>
      </c>
      <c r="N2785" s="1">
        <v>0</v>
      </c>
      <c r="O2785" s="11"/>
      <c r="P2785" s="11"/>
      <c r="Q2785" s="11"/>
      <c r="R2785" s="11"/>
    </row>
    <row r="2786" spans="4:18">
      <c r="D2786" s="1" t="s">
        <v>1677</v>
      </c>
      <c r="E2786" s="1" t="s">
        <v>1663</v>
      </c>
      <c r="F2786" s="1" t="s">
        <v>45</v>
      </c>
      <c r="G2786" s="1" t="s">
        <v>46</v>
      </c>
      <c r="H2786" s="1" t="s">
        <v>22</v>
      </c>
      <c r="I2786" s="1" t="s">
        <v>65</v>
      </c>
      <c r="J2786" s="1">
        <v>-4299226.1378713567</v>
      </c>
      <c r="K2786" s="1">
        <v>4299226.1378713567</v>
      </c>
      <c r="L2786" s="1">
        <v>429.92261378713573</v>
      </c>
      <c r="N2786" s="1">
        <v>108.31491489189476</v>
      </c>
      <c r="O2786" s="11"/>
      <c r="P2786" s="11"/>
      <c r="Q2786" s="11"/>
      <c r="R2786" s="11"/>
    </row>
    <row r="2787" spans="4:18">
      <c r="D2787" s="1" t="s">
        <v>1677</v>
      </c>
      <c r="E2787" s="1" t="s">
        <v>1664</v>
      </c>
      <c r="F2787" s="1" t="s">
        <v>56</v>
      </c>
      <c r="G2787" s="1" t="s">
        <v>57</v>
      </c>
      <c r="H2787" s="1" t="s">
        <v>22</v>
      </c>
      <c r="I2787" s="1" t="s">
        <v>65</v>
      </c>
      <c r="J2787" s="1">
        <v>0</v>
      </c>
      <c r="K2787" s="1">
        <v>14503.773773020921</v>
      </c>
      <c r="L2787" s="1">
        <v>14.503773773020921</v>
      </c>
      <c r="N2787" s="1">
        <v>50.509497124265998</v>
      </c>
      <c r="O2787" s="11"/>
      <c r="P2787" s="11"/>
      <c r="Q2787" s="11"/>
      <c r="R2787" s="11"/>
    </row>
    <row r="2788" spans="4:18">
      <c r="D2788" s="1" t="s">
        <v>1677</v>
      </c>
      <c r="E2788" s="1" t="s">
        <v>1665</v>
      </c>
      <c r="H2788" s="1" t="s">
        <v>63</v>
      </c>
      <c r="I2788" s="1" t="s">
        <v>120</v>
      </c>
      <c r="N2788" s="1">
        <v>0</v>
      </c>
      <c r="O2788" s="11"/>
      <c r="P2788" s="11"/>
      <c r="Q2788" s="11"/>
      <c r="R2788" s="11"/>
    </row>
    <row r="2789" spans="4:18">
      <c r="D2789" s="1" t="s">
        <v>1677</v>
      </c>
      <c r="E2789" s="1" t="s">
        <v>1666</v>
      </c>
      <c r="H2789" s="1" t="s">
        <v>22</v>
      </c>
      <c r="I2789" s="1" t="s">
        <v>65</v>
      </c>
      <c r="L2789" s="1">
        <v>1</v>
      </c>
      <c r="N2789" s="1">
        <v>0.99311498100391249</v>
      </c>
      <c r="O2789" s="11"/>
      <c r="P2789" s="11"/>
      <c r="Q2789" s="11"/>
      <c r="R2789" s="11"/>
    </row>
    <row r="2790" spans="4:18">
      <c r="D2790" s="1" t="s">
        <v>1677</v>
      </c>
      <c r="E2790" s="1" t="s">
        <v>1667</v>
      </c>
      <c r="F2790" s="1" t="s">
        <v>35</v>
      </c>
      <c r="G2790" s="1" t="s">
        <v>36</v>
      </c>
      <c r="H2790" s="1" t="s">
        <v>22</v>
      </c>
      <c r="I2790" s="1" t="s">
        <v>65</v>
      </c>
      <c r="J2790" s="1">
        <v>-457.87</v>
      </c>
      <c r="K2790" s="1">
        <v>17540.330000000002</v>
      </c>
      <c r="L2790" s="1">
        <v>80.329999999999984</v>
      </c>
      <c r="N2790" s="1">
        <v>40.791179653592451</v>
      </c>
      <c r="O2790" s="11"/>
      <c r="P2790" s="11"/>
      <c r="Q2790" s="11"/>
      <c r="R2790" s="11"/>
    </row>
    <row r="2791" spans="4:18">
      <c r="D2791" s="1" t="s">
        <v>1677</v>
      </c>
      <c r="E2791" s="1" t="s">
        <v>1668</v>
      </c>
      <c r="F2791" s="1" t="s">
        <v>35</v>
      </c>
      <c r="G2791" s="1" t="s">
        <v>36</v>
      </c>
      <c r="H2791" s="1" t="s">
        <v>22</v>
      </c>
      <c r="I2791" s="1" t="s">
        <v>65</v>
      </c>
      <c r="J2791" s="1">
        <v>-457.87</v>
      </c>
      <c r="K2791" s="1">
        <v>17540.330000000002</v>
      </c>
      <c r="L2791" s="1">
        <v>80.329999999999984</v>
      </c>
      <c r="N2791" s="1">
        <v>40.791179653592451</v>
      </c>
      <c r="O2791" s="11"/>
      <c r="P2791" s="11"/>
      <c r="Q2791" s="11"/>
      <c r="R2791" s="11"/>
    </row>
    <row r="2792" spans="4:18">
      <c r="D2792" s="1" t="s">
        <v>1677</v>
      </c>
      <c r="E2792" s="1" t="s">
        <v>1669</v>
      </c>
      <c r="F2792" s="1" t="s">
        <v>1660</v>
      </c>
      <c r="G2792" s="1" t="s">
        <v>1661</v>
      </c>
      <c r="H2792" s="1" t="s">
        <v>22</v>
      </c>
      <c r="I2792" s="1" t="s">
        <v>65</v>
      </c>
      <c r="J2792" s="1">
        <v>0</v>
      </c>
      <c r="K2792" s="1">
        <v>194.03202999999999</v>
      </c>
      <c r="L2792" s="1">
        <v>1.9403203E-3</v>
      </c>
      <c r="N2792" s="1">
        <v>3.3335793147649326E-2</v>
      </c>
      <c r="O2792" s="11"/>
      <c r="P2792" s="11"/>
      <c r="Q2792" s="11"/>
      <c r="R2792" s="11"/>
    </row>
    <row r="2793" spans="4:18">
      <c r="D2793" s="1" t="s">
        <v>1677</v>
      </c>
      <c r="E2793" s="1" t="s">
        <v>1670</v>
      </c>
      <c r="F2793" s="1" t="s">
        <v>41</v>
      </c>
      <c r="G2793" s="1" t="s">
        <v>42</v>
      </c>
      <c r="H2793" s="1" t="s">
        <v>22</v>
      </c>
      <c r="I2793" s="1" t="s">
        <v>65</v>
      </c>
      <c r="L2793" s="1">
        <v>1.8</v>
      </c>
      <c r="N2793" s="1">
        <v>0</v>
      </c>
      <c r="O2793" s="11"/>
      <c r="P2793" s="11"/>
      <c r="Q2793" s="11"/>
      <c r="R2793" s="11"/>
    </row>
    <row r="2794" spans="4:18">
      <c r="D2794" s="1" t="s">
        <v>1677</v>
      </c>
      <c r="E2794" s="1" t="s">
        <v>1671</v>
      </c>
      <c r="F2794" s="1" t="s">
        <v>45</v>
      </c>
      <c r="G2794" s="1" t="s">
        <v>46</v>
      </c>
      <c r="H2794" s="1" t="s">
        <v>22</v>
      </c>
      <c r="I2794" s="1" t="s">
        <v>65</v>
      </c>
      <c r="J2794" s="1">
        <v>-4299226.1378713567</v>
      </c>
      <c r="K2794" s="1">
        <v>4299226.1378713567</v>
      </c>
      <c r="L2794" s="1">
        <v>429.92261378713573</v>
      </c>
      <c r="N2794" s="1">
        <v>108.31491489189476</v>
      </c>
      <c r="O2794" s="11"/>
      <c r="P2794" s="11"/>
      <c r="Q2794" s="11"/>
      <c r="R2794" s="11"/>
    </row>
    <row r="2795" spans="4:18">
      <c r="D2795" s="1" t="s">
        <v>1677</v>
      </c>
      <c r="E2795" s="1" t="s">
        <v>1672</v>
      </c>
      <c r="F2795" s="1" t="s">
        <v>56</v>
      </c>
      <c r="G2795" s="1" t="s">
        <v>57</v>
      </c>
      <c r="H2795" s="1" t="s">
        <v>22</v>
      </c>
      <c r="I2795" s="1" t="s">
        <v>65</v>
      </c>
      <c r="J2795" s="1">
        <v>0</v>
      </c>
      <c r="K2795" s="1">
        <v>14503.773773020921</v>
      </c>
      <c r="L2795" s="1">
        <v>14.503773773020921</v>
      </c>
      <c r="N2795" s="1">
        <v>50.509497124265998</v>
      </c>
      <c r="O2795" s="11"/>
      <c r="P2795" s="11"/>
      <c r="Q2795" s="11"/>
      <c r="R2795" s="11"/>
    </row>
    <row r="2796" spans="4:18">
      <c r="D2796" s="1" t="s">
        <v>1677</v>
      </c>
      <c r="E2796" s="1" t="s">
        <v>1673</v>
      </c>
      <c r="H2796" s="1" t="s">
        <v>63</v>
      </c>
      <c r="I2796" s="1" t="s">
        <v>120</v>
      </c>
      <c r="N2796" s="1">
        <v>0</v>
      </c>
      <c r="O2796" s="11"/>
      <c r="P2796" s="11"/>
      <c r="Q2796" s="11"/>
      <c r="R2796" s="11"/>
    </row>
    <row r="2797" spans="4:18">
      <c r="D2797" s="1" t="s">
        <v>1677</v>
      </c>
      <c r="E2797" s="1" t="s">
        <v>1674</v>
      </c>
      <c r="H2797" s="1" t="s">
        <v>22</v>
      </c>
      <c r="I2797" s="1" t="s">
        <v>65</v>
      </c>
      <c r="L2797" s="1">
        <v>1</v>
      </c>
      <c r="N2797" s="1">
        <v>0.99311498100391249</v>
      </c>
      <c r="O2797" s="11"/>
      <c r="P2797" s="11"/>
      <c r="Q2797" s="11"/>
      <c r="R2797" s="11"/>
    </row>
    <row r="2798" spans="4:18">
      <c r="D2798" s="1" t="s">
        <v>1677</v>
      </c>
      <c r="E2798" s="1" t="s">
        <v>123</v>
      </c>
      <c r="F2798" s="1" t="s">
        <v>124</v>
      </c>
      <c r="G2798" s="1" t="s">
        <v>125</v>
      </c>
      <c r="H2798" s="1" t="s">
        <v>22</v>
      </c>
      <c r="I2798" s="1" t="s">
        <v>70</v>
      </c>
      <c r="L2798" s="1">
        <v>35.314666699999997</v>
      </c>
      <c r="N2798" s="1">
        <v>3.5314666699999997E-2</v>
      </c>
      <c r="O2798" s="11"/>
      <c r="P2798" s="11"/>
      <c r="Q2798" s="11"/>
      <c r="R2798" s="11"/>
    </row>
    <row r="2799" spans="4:18">
      <c r="D2799" s="1" t="s">
        <v>1677</v>
      </c>
      <c r="E2799" s="1" t="s">
        <v>1675</v>
      </c>
      <c r="F2799" s="1" t="s">
        <v>124</v>
      </c>
      <c r="G2799" s="1" t="s">
        <v>125</v>
      </c>
      <c r="H2799" s="1" t="s">
        <v>22</v>
      </c>
      <c r="I2799" s="1" t="s">
        <v>23</v>
      </c>
      <c r="L2799" s="1">
        <v>35.314666699999997</v>
      </c>
      <c r="M2799" s="1">
        <v>3.5314666699999997E-2</v>
      </c>
      <c r="N2799" s="1">
        <v>3.5314666699999997E-2</v>
      </c>
      <c r="O2799" s="11"/>
      <c r="P2799" s="11"/>
      <c r="Q2799" s="11"/>
      <c r="R2799" s="11"/>
    </row>
    <row r="2800" spans="4:18">
      <c r="D2800" s="1" t="s">
        <v>1677</v>
      </c>
      <c r="E2800" s="1" t="s">
        <v>1676</v>
      </c>
      <c r="H2800" s="1" t="s">
        <v>22</v>
      </c>
      <c r="I2800" s="1" t="s">
        <v>23</v>
      </c>
      <c r="L2800" s="1">
        <v>1</v>
      </c>
      <c r="M2800" s="1">
        <v>0.95</v>
      </c>
      <c r="N2800" s="1">
        <v>0.95</v>
      </c>
      <c r="O2800" s="11"/>
      <c r="P2800" s="11"/>
      <c r="Q2800" s="11"/>
      <c r="R2800" s="11"/>
    </row>
    <row r="2801" spans="4:18">
      <c r="D2801" s="1" t="s">
        <v>1678</v>
      </c>
      <c r="E2801" s="1" t="s">
        <v>1470</v>
      </c>
      <c r="H2801" s="1" t="s">
        <v>22</v>
      </c>
      <c r="I2801" s="1" t="s">
        <v>23</v>
      </c>
      <c r="J2801" s="1">
        <v>0.5</v>
      </c>
      <c r="K2801" s="1">
        <v>2</v>
      </c>
      <c r="L2801" s="1">
        <v>1</v>
      </c>
      <c r="M2801" s="1">
        <v>1</v>
      </c>
      <c r="N2801" s="1">
        <v>1</v>
      </c>
      <c r="O2801" s="11"/>
      <c r="P2801" s="11"/>
      <c r="Q2801" s="11"/>
      <c r="R2801" s="11"/>
    </row>
    <row r="2802" spans="4:18">
      <c r="D2802" s="1" t="s">
        <v>1678</v>
      </c>
      <c r="E2802" s="1" t="s">
        <v>47</v>
      </c>
      <c r="H2802" s="1" t="s">
        <v>25</v>
      </c>
      <c r="I2802" s="1" t="s">
        <v>23</v>
      </c>
      <c r="M2802" s="1" t="b">
        <v>0</v>
      </c>
      <c r="N2802" s="1">
        <v>0</v>
      </c>
      <c r="O2802" s="11"/>
      <c r="P2802" s="11"/>
      <c r="Q2802" s="11"/>
      <c r="R2802" s="11"/>
    </row>
    <row r="2803" spans="4:18">
      <c r="D2803" s="1" t="s">
        <v>1678</v>
      </c>
      <c r="E2803" s="1" t="s">
        <v>920</v>
      </c>
      <c r="H2803" s="1" t="s">
        <v>22</v>
      </c>
      <c r="I2803" s="1" t="s">
        <v>23</v>
      </c>
      <c r="L2803" s="1">
        <v>1</v>
      </c>
      <c r="M2803" s="1">
        <v>0</v>
      </c>
      <c r="N2803" s="1">
        <v>0</v>
      </c>
      <c r="O2803" s="11"/>
      <c r="P2803" s="11"/>
      <c r="Q2803" s="11"/>
      <c r="R2803" s="11"/>
    </row>
    <row r="2804" spans="4:18">
      <c r="D2804" s="1" t="s">
        <v>1678</v>
      </c>
      <c r="E2804" s="1" t="s">
        <v>921</v>
      </c>
      <c r="H2804" s="1" t="s">
        <v>22</v>
      </c>
      <c r="I2804" s="1" t="s">
        <v>23</v>
      </c>
      <c r="J2804" s="1">
        <v>0</v>
      </c>
      <c r="K2804" s="1">
        <v>1</v>
      </c>
      <c r="L2804" s="1">
        <v>1</v>
      </c>
      <c r="M2804" s="1">
        <v>0</v>
      </c>
      <c r="N2804" s="1">
        <v>0</v>
      </c>
      <c r="O2804" s="11"/>
      <c r="P2804" s="11"/>
      <c r="Q2804" s="11"/>
      <c r="R2804" s="11"/>
    </row>
    <row r="2805" spans="4:18">
      <c r="D2805" s="1" t="s">
        <v>1678</v>
      </c>
      <c r="E2805" s="1" t="s">
        <v>1654</v>
      </c>
      <c r="H2805" s="1" t="s">
        <v>22</v>
      </c>
      <c r="I2805" s="1" t="s">
        <v>23</v>
      </c>
      <c r="J2805" s="1">
        <v>0</v>
      </c>
      <c r="K2805" s="1">
        <v>1</v>
      </c>
      <c r="L2805" s="1">
        <v>1</v>
      </c>
      <c r="M2805" s="1">
        <v>1</v>
      </c>
      <c r="N2805" s="1">
        <v>1</v>
      </c>
      <c r="O2805" s="11"/>
      <c r="P2805" s="11"/>
      <c r="Q2805" s="11"/>
      <c r="R2805" s="11"/>
    </row>
    <row r="2806" spans="4:18">
      <c r="D2806" s="1" t="s">
        <v>1678</v>
      </c>
      <c r="E2806" s="1" t="s">
        <v>1655</v>
      </c>
      <c r="F2806" s="1" t="s">
        <v>45</v>
      </c>
      <c r="G2806" s="1" t="s">
        <v>46</v>
      </c>
      <c r="H2806" s="1" t="s">
        <v>22</v>
      </c>
      <c r="I2806" s="1" t="s">
        <v>29</v>
      </c>
      <c r="J2806" s="1">
        <v>-6.3932502128443591</v>
      </c>
      <c r="K2806" s="1">
        <v>358.61435929656</v>
      </c>
      <c r="L2806" s="1">
        <v>114.79148749423418</v>
      </c>
      <c r="N2806" s="1">
        <v>109.14798865289671</v>
      </c>
      <c r="O2806" s="11"/>
      <c r="P2806" s="11"/>
      <c r="Q2806" s="11"/>
      <c r="R2806" s="11"/>
    </row>
    <row r="2807" spans="4:18">
      <c r="D2807" s="1" t="s">
        <v>1678</v>
      </c>
      <c r="E2807" s="1" t="s">
        <v>1298</v>
      </c>
      <c r="F2807" s="1" t="s">
        <v>147</v>
      </c>
      <c r="G2807" s="1" t="s">
        <v>148</v>
      </c>
      <c r="H2807" s="1" t="s">
        <v>22</v>
      </c>
      <c r="I2807" s="1" t="s">
        <v>65</v>
      </c>
      <c r="L2807" s="1">
        <v>3.4121416351331</v>
      </c>
      <c r="N2807" s="1">
        <v>89839.929225589512</v>
      </c>
      <c r="O2807" s="11"/>
      <c r="P2807" s="11"/>
      <c r="Q2807" s="11"/>
      <c r="R2807" s="11"/>
    </row>
    <row r="2808" spans="4:18">
      <c r="D2808" s="1" t="s">
        <v>1678</v>
      </c>
      <c r="E2808" s="1" t="s">
        <v>69</v>
      </c>
      <c r="H2808" s="1" t="s">
        <v>25</v>
      </c>
      <c r="I2808" s="1" t="s">
        <v>70</v>
      </c>
      <c r="N2808" s="1">
        <v>0</v>
      </c>
      <c r="O2808" s="11"/>
      <c r="P2808" s="11"/>
      <c r="Q2808" s="11"/>
      <c r="R2808" s="11"/>
    </row>
    <row r="2809" spans="4:18">
      <c r="D2809" s="1" t="s">
        <v>1678</v>
      </c>
      <c r="E2809" s="1" t="s">
        <v>117</v>
      </c>
      <c r="F2809" s="1" t="s">
        <v>118</v>
      </c>
      <c r="G2809" s="1" t="s">
        <v>119</v>
      </c>
      <c r="H2809" s="1" t="s">
        <v>22</v>
      </c>
      <c r="I2809" s="1" t="s">
        <v>65</v>
      </c>
      <c r="J2809" s="1">
        <v>0</v>
      </c>
      <c r="L2809" s="1">
        <v>2.20462262185</v>
      </c>
      <c r="N2809" s="1">
        <v>3.8961401299688968E-2</v>
      </c>
      <c r="O2809" s="11"/>
      <c r="P2809" s="11"/>
      <c r="Q2809" s="11"/>
      <c r="R2809" s="11"/>
    </row>
    <row r="2810" spans="4:18">
      <c r="D2810" s="1" t="s">
        <v>1678</v>
      </c>
      <c r="E2810" s="1" t="s">
        <v>1656</v>
      </c>
      <c r="H2810" s="1" t="s">
        <v>63</v>
      </c>
      <c r="I2810" s="1" t="s">
        <v>120</v>
      </c>
      <c r="N2810" s="1">
        <v>2</v>
      </c>
      <c r="O2810" s="11"/>
      <c r="P2810" s="11"/>
      <c r="Q2810" s="11"/>
      <c r="R2810" s="11"/>
    </row>
    <row r="2811" spans="4:18">
      <c r="D2811" s="1" t="s">
        <v>1678</v>
      </c>
      <c r="E2811" s="1" t="s">
        <v>1657</v>
      </c>
      <c r="F2811" s="1" t="s">
        <v>35</v>
      </c>
      <c r="G2811" s="1" t="s">
        <v>36</v>
      </c>
      <c r="H2811" s="1" t="s">
        <v>22</v>
      </c>
      <c r="I2811" s="1" t="s">
        <v>65</v>
      </c>
      <c r="J2811" s="1">
        <v>-457.87</v>
      </c>
      <c r="K2811" s="1">
        <v>17540.330000000002</v>
      </c>
      <c r="L2811" s="1">
        <v>80.329999999999984</v>
      </c>
      <c r="N2811" s="1">
        <v>42.669746741837969</v>
      </c>
      <c r="O2811" s="11"/>
      <c r="P2811" s="11"/>
      <c r="Q2811" s="11"/>
      <c r="R2811" s="11"/>
    </row>
    <row r="2812" spans="4:18">
      <c r="D2812" s="1" t="s">
        <v>1678</v>
      </c>
      <c r="E2812" s="1" t="s">
        <v>1658</v>
      </c>
      <c r="F2812" s="1" t="s">
        <v>35</v>
      </c>
      <c r="G2812" s="1" t="s">
        <v>36</v>
      </c>
      <c r="H2812" s="1" t="s">
        <v>22</v>
      </c>
      <c r="I2812" s="1" t="s">
        <v>65</v>
      </c>
      <c r="J2812" s="1">
        <v>-457.87</v>
      </c>
      <c r="K2812" s="1">
        <v>17540.330000000002</v>
      </c>
      <c r="L2812" s="1">
        <v>80.329999999999984</v>
      </c>
      <c r="N2812" s="1">
        <v>42.665953478844983</v>
      </c>
      <c r="O2812" s="11"/>
      <c r="P2812" s="11"/>
      <c r="Q2812" s="11"/>
      <c r="R2812" s="11"/>
    </row>
    <row r="2813" spans="4:18">
      <c r="D2813" s="1" t="s">
        <v>1678</v>
      </c>
      <c r="E2813" s="1" t="s">
        <v>1659</v>
      </c>
      <c r="F2813" s="1" t="s">
        <v>1660</v>
      </c>
      <c r="G2813" s="1" t="s">
        <v>1661</v>
      </c>
      <c r="H2813" s="1" t="s">
        <v>22</v>
      </c>
      <c r="I2813" s="1" t="s">
        <v>65</v>
      </c>
      <c r="J2813" s="1">
        <v>0</v>
      </c>
      <c r="K2813" s="1">
        <v>194.03202999999999</v>
      </c>
      <c r="L2813" s="1">
        <v>1.9403203E-3</v>
      </c>
      <c r="N2813" s="1">
        <v>3.4290493578803739E-2</v>
      </c>
      <c r="O2813" s="11"/>
      <c r="P2813" s="11"/>
      <c r="Q2813" s="11"/>
      <c r="R2813" s="11"/>
    </row>
    <row r="2814" spans="4:18">
      <c r="D2814" s="1" t="s">
        <v>1678</v>
      </c>
      <c r="E2814" s="1" t="s">
        <v>1662</v>
      </c>
      <c r="F2814" s="1" t="s">
        <v>41</v>
      </c>
      <c r="G2814" s="1" t="s">
        <v>42</v>
      </c>
      <c r="H2814" s="1" t="s">
        <v>22</v>
      </c>
      <c r="I2814" s="1" t="s">
        <v>65</v>
      </c>
      <c r="L2814" s="1">
        <v>1.8</v>
      </c>
      <c r="N2814" s="1">
        <v>3.7932629930310215E-3</v>
      </c>
      <c r="O2814" s="11"/>
      <c r="P2814" s="11"/>
      <c r="Q2814" s="11"/>
      <c r="R2814" s="11"/>
    </row>
    <row r="2815" spans="4:18">
      <c r="D2815" s="1" t="s">
        <v>1678</v>
      </c>
      <c r="E2815" s="1" t="s">
        <v>1663</v>
      </c>
      <c r="F2815" s="1" t="s">
        <v>45</v>
      </c>
      <c r="G2815" s="1" t="s">
        <v>46</v>
      </c>
      <c r="H2815" s="1" t="s">
        <v>22</v>
      </c>
      <c r="I2815" s="1" t="s">
        <v>65</v>
      </c>
      <c r="J2815" s="1">
        <v>-4299226.1378713567</v>
      </c>
      <c r="K2815" s="1">
        <v>4299226.1378713567</v>
      </c>
      <c r="L2815" s="1">
        <v>429.92261378713573</v>
      </c>
      <c r="N2815" s="1">
        <v>109.14798865289671</v>
      </c>
      <c r="O2815" s="11"/>
      <c r="P2815" s="11"/>
      <c r="Q2815" s="11"/>
      <c r="R2815" s="11"/>
    </row>
    <row r="2816" spans="4:18">
      <c r="D2816" s="1" t="s">
        <v>1678</v>
      </c>
      <c r="E2816" s="1" t="s">
        <v>1664</v>
      </c>
      <c r="F2816" s="1" t="s">
        <v>56</v>
      </c>
      <c r="G2816" s="1" t="s">
        <v>57</v>
      </c>
      <c r="H2816" s="1" t="s">
        <v>22</v>
      </c>
      <c r="I2816" s="1" t="s">
        <v>65</v>
      </c>
      <c r="J2816" s="1">
        <v>0</v>
      </c>
      <c r="K2816" s="1">
        <v>14503.773773020921</v>
      </c>
      <c r="L2816" s="1">
        <v>14.503773773020921</v>
      </c>
      <c r="N2816" s="1">
        <v>52.365935601344113</v>
      </c>
      <c r="O2816" s="11"/>
      <c r="P2816" s="11"/>
      <c r="Q2816" s="11"/>
      <c r="R2816" s="11"/>
    </row>
    <row r="2817" spans="4:18">
      <c r="D2817" s="1" t="s">
        <v>1678</v>
      </c>
      <c r="E2817" s="1" t="s">
        <v>1665</v>
      </c>
      <c r="H2817" s="1" t="s">
        <v>63</v>
      </c>
      <c r="I2817" s="1" t="s">
        <v>120</v>
      </c>
      <c r="N2817" s="1">
        <v>0</v>
      </c>
      <c r="O2817" s="11"/>
      <c r="P2817" s="11"/>
      <c r="Q2817" s="11"/>
      <c r="R2817" s="11"/>
    </row>
    <row r="2818" spans="4:18">
      <c r="D2818" s="1" t="s">
        <v>1678</v>
      </c>
      <c r="E2818" s="1" t="s">
        <v>1666</v>
      </c>
      <c r="H2818" s="1" t="s">
        <v>22</v>
      </c>
      <c r="I2818" s="1" t="s">
        <v>65</v>
      </c>
      <c r="L2818" s="1">
        <v>1</v>
      </c>
      <c r="N2818" s="1">
        <v>1.0000100000000003</v>
      </c>
      <c r="O2818" s="11"/>
      <c r="P2818" s="11"/>
      <c r="Q2818" s="11"/>
      <c r="R2818" s="11"/>
    </row>
    <row r="2819" spans="4:18">
      <c r="D2819" s="1" t="s">
        <v>1678</v>
      </c>
      <c r="E2819" s="1" t="s">
        <v>1667</v>
      </c>
      <c r="F2819" s="1" t="s">
        <v>35</v>
      </c>
      <c r="G2819" s="1" t="s">
        <v>36</v>
      </c>
      <c r="H2819" s="1" t="s">
        <v>22</v>
      </c>
      <c r="I2819" s="1" t="s">
        <v>65</v>
      </c>
      <c r="J2819" s="1">
        <v>-457.87</v>
      </c>
      <c r="K2819" s="1">
        <v>17540.330000000002</v>
      </c>
      <c r="L2819" s="1">
        <v>80.329999999999984</v>
      </c>
      <c r="N2819" s="1">
        <v>42.669746741837969</v>
      </c>
      <c r="O2819" s="11"/>
      <c r="P2819" s="11"/>
      <c r="Q2819" s="11"/>
      <c r="R2819" s="11"/>
    </row>
    <row r="2820" spans="4:18">
      <c r="D2820" s="1" t="s">
        <v>1678</v>
      </c>
      <c r="E2820" s="1" t="s">
        <v>1668</v>
      </c>
      <c r="F2820" s="1" t="s">
        <v>35</v>
      </c>
      <c r="G2820" s="1" t="s">
        <v>36</v>
      </c>
      <c r="H2820" s="1" t="s">
        <v>22</v>
      </c>
      <c r="I2820" s="1" t="s">
        <v>65</v>
      </c>
      <c r="J2820" s="1">
        <v>-457.87</v>
      </c>
      <c r="K2820" s="1">
        <v>17540.330000000002</v>
      </c>
      <c r="L2820" s="1">
        <v>80.329999999999984</v>
      </c>
      <c r="N2820" s="1">
        <v>42.665953478844983</v>
      </c>
      <c r="O2820" s="11"/>
      <c r="P2820" s="11"/>
      <c r="Q2820" s="11"/>
      <c r="R2820" s="11"/>
    </row>
    <row r="2821" spans="4:18">
      <c r="D2821" s="1" t="s">
        <v>1678</v>
      </c>
      <c r="E2821" s="1" t="s">
        <v>1669</v>
      </c>
      <c r="F2821" s="1" t="s">
        <v>1660</v>
      </c>
      <c r="G2821" s="1" t="s">
        <v>1661</v>
      </c>
      <c r="H2821" s="1" t="s">
        <v>22</v>
      </c>
      <c r="I2821" s="1" t="s">
        <v>65</v>
      </c>
      <c r="J2821" s="1">
        <v>0</v>
      </c>
      <c r="K2821" s="1">
        <v>194.03202999999999</v>
      </c>
      <c r="L2821" s="1">
        <v>1.9403203E-3</v>
      </c>
      <c r="N2821" s="1">
        <v>3.4290493578803739E-2</v>
      </c>
      <c r="O2821" s="11"/>
      <c r="P2821" s="11"/>
      <c r="Q2821" s="11"/>
      <c r="R2821" s="11"/>
    </row>
    <row r="2822" spans="4:18">
      <c r="D2822" s="1" t="s">
        <v>1678</v>
      </c>
      <c r="E2822" s="1" t="s">
        <v>1670</v>
      </c>
      <c r="F2822" s="1" t="s">
        <v>41</v>
      </c>
      <c r="G2822" s="1" t="s">
        <v>42</v>
      </c>
      <c r="H2822" s="1" t="s">
        <v>22</v>
      </c>
      <c r="I2822" s="1" t="s">
        <v>65</v>
      </c>
      <c r="L2822" s="1">
        <v>1.8</v>
      </c>
      <c r="N2822" s="1">
        <v>3.7932629930310215E-3</v>
      </c>
      <c r="O2822" s="11"/>
      <c r="P2822" s="11"/>
      <c r="Q2822" s="11"/>
      <c r="R2822" s="11"/>
    </row>
    <row r="2823" spans="4:18">
      <c r="D2823" s="1" t="s">
        <v>1678</v>
      </c>
      <c r="E2823" s="1" t="s">
        <v>1671</v>
      </c>
      <c r="F2823" s="1" t="s">
        <v>45</v>
      </c>
      <c r="G2823" s="1" t="s">
        <v>46</v>
      </c>
      <c r="H2823" s="1" t="s">
        <v>22</v>
      </c>
      <c r="I2823" s="1" t="s">
        <v>65</v>
      </c>
      <c r="J2823" s="1">
        <v>-4299226.1378713567</v>
      </c>
      <c r="K2823" s="1">
        <v>4299226.1378713567</v>
      </c>
      <c r="L2823" s="1">
        <v>429.92261378713573</v>
      </c>
      <c r="N2823" s="1">
        <v>109.14798865289671</v>
      </c>
      <c r="O2823" s="11"/>
      <c r="P2823" s="11"/>
      <c r="Q2823" s="11"/>
      <c r="R2823" s="11"/>
    </row>
    <row r="2824" spans="4:18">
      <c r="D2824" s="1" t="s">
        <v>1678</v>
      </c>
      <c r="E2824" s="1" t="s">
        <v>1672</v>
      </c>
      <c r="F2824" s="1" t="s">
        <v>56</v>
      </c>
      <c r="G2824" s="1" t="s">
        <v>57</v>
      </c>
      <c r="H2824" s="1" t="s">
        <v>22</v>
      </c>
      <c r="I2824" s="1" t="s">
        <v>65</v>
      </c>
      <c r="J2824" s="1">
        <v>0</v>
      </c>
      <c r="K2824" s="1">
        <v>14503.773773020921</v>
      </c>
      <c r="L2824" s="1">
        <v>14.503773773020921</v>
      </c>
      <c r="N2824" s="1">
        <v>52.365935601344113</v>
      </c>
      <c r="O2824" s="11"/>
      <c r="P2824" s="11"/>
      <c r="Q2824" s="11"/>
      <c r="R2824" s="11"/>
    </row>
    <row r="2825" spans="4:18">
      <c r="D2825" s="1" t="s">
        <v>1678</v>
      </c>
      <c r="E2825" s="1" t="s">
        <v>1673</v>
      </c>
      <c r="H2825" s="1" t="s">
        <v>63</v>
      </c>
      <c r="I2825" s="1" t="s">
        <v>120</v>
      </c>
      <c r="N2825" s="1">
        <v>0</v>
      </c>
      <c r="O2825" s="11"/>
      <c r="P2825" s="11"/>
      <c r="Q2825" s="11"/>
      <c r="R2825" s="11"/>
    </row>
    <row r="2826" spans="4:18">
      <c r="D2826" s="1" t="s">
        <v>1678</v>
      </c>
      <c r="E2826" s="1" t="s">
        <v>1674</v>
      </c>
      <c r="H2826" s="1" t="s">
        <v>22</v>
      </c>
      <c r="I2826" s="1" t="s">
        <v>65</v>
      </c>
      <c r="L2826" s="1">
        <v>1</v>
      </c>
      <c r="N2826" s="1">
        <v>1.0000100000000003</v>
      </c>
      <c r="O2826" s="11"/>
      <c r="P2826" s="11"/>
      <c r="Q2826" s="11"/>
      <c r="R2826" s="11"/>
    </row>
    <row r="2827" spans="4:18">
      <c r="D2827" s="1" t="s">
        <v>1678</v>
      </c>
      <c r="E2827" s="1" t="s">
        <v>123</v>
      </c>
      <c r="F2827" s="1" t="s">
        <v>124</v>
      </c>
      <c r="G2827" s="1" t="s">
        <v>125</v>
      </c>
      <c r="H2827" s="1" t="s">
        <v>22</v>
      </c>
      <c r="I2827" s="1" t="s">
        <v>70</v>
      </c>
      <c r="L2827" s="1">
        <v>35.314666699999997</v>
      </c>
      <c r="N2827" s="1">
        <v>3.5314666699999997E-2</v>
      </c>
      <c r="O2827" s="11"/>
      <c r="P2827" s="11"/>
      <c r="Q2827" s="11"/>
      <c r="R2827" s="11"/>
    </row>
    <row r="2828" spans="4:18">
      <c r="D2828" s="1" t="s">
        <v>1678</v>
      </c>
      <c r="E2828" s="1" t="s">
        <v>1675</v>
      </c>
      <c r="F2828" s="1" t="s">
        <v>124</v>
      </c>
      <c r="G2828" s="1" t="s">
        <v>125</v>
      </c>
      <c r="H2828" s="1" t="s">
        <v>22</v>
      </c>
      <c r="I2828" s="1" t="s">
        <v>23</v>
      </c>
      <c r="L2828" s="1">
        <v>35.314666699999997</v>
      </c>
      <c r="M2828" s="1">
        <v>3.5314666699999997E-2</v>
      </c>
      <c r="N2828" s="1">
        <v>3.5314666699999997E-2</v>
      </c>
      <c r="O2828" s="11"/>
      <c r="P2828" s="11"/>
      <c r="Q2828" s="11"/>
      <c r="R2828" s="11"/>
    </row>
    <row r="2829" spans="4:18">
      <c r="D2829" s="1" t="s">
        <v>1678</v>
      </c>
      <c r="E2829" s="1" t="s">
        <v>1676</v>
      </c>
      <c r="H2829" s="1" t="s">
        <v>22</v>
      </c>
      <c r="I2829" s="1" t="s">
        <v>23</v>
      </c>
      <c r="L2829" s="1">
        <v>1</v>
      </c>
      <c r="M2829" s="1">
        <v>0.95</v>
      </c>
      <c r="N2829" s="1">
        <v>0.95</v>
      </c>
      <c r="O2829" s="11"/>
      <c r="P2829" s="11"/>
      <c r="Q2829" s="11"/>
      <c r="R2829" s="11"/>
    </row>
    <row r="2830" spans="4:18">
      <c r="D2830" s="1" t="s">
        <v>1679</v>
      </c>
      <c r="E2830" s="1" t="s">
        <v>28</v>
      </c>
      <c r="H2830" s="1" t="s">
        <v>22</v>
      </c>
      <c r="I2830" s="1" t="s">
        <v>29</v>
      </c>
      <c r="J2830" s="1">
        <v>34000</v>
      </c>
      <c r="K2830" s="1">
        <v>4300000</v>
      </c>
      <c r="L2830" s="1">
        <v>349660</v>
      </c>
      <c r="N2830" s="1">
        <v>350000</v>
      </c>
      <c r="O2830" s="11"/>
      <c r="P2830" s="11"/>
      <c r="Q2830" s="11"/>
      <c r="R2830" s="11"/>
    </row>
    <row r="2831" spans="4:18">
      <c r="D2831" s="1" t="s">
        <v>1679</v>
      </c>
      <c r="E2831" s="1" t="s">
        <v>30</v>
      </c>
      <c r="H2831" s="1" t="s">
        <v>22</v>
      </c>
      <c r="I2831" s="1" t="s">
        <v>29</v>
      </c>
      <c r="J2831" s="1">
        <v>-3.94</v>
      </c>
      <c r="K2831" s="1">
        <v>3.66</v>
      </c>
      <c r="L2831" s="1">
        <v>1</v>
      </c>
      <c r="N2831" s="1">
        <v>1.0000100000000001</v>
      </c>
      <c r="O2831" s="11"/>
      <c r="P2831" s="11"/>
      <c r="Q2831" s="11"/>
      <c r="R2831" s="11"/>
    </row>
    <row r="2832" spans="4:18">
      <c r="D2832" s="1" t="s">
        <v>1679</v>
      </c>
      <c r="E2832" s="1" t="s">
        <v>31</v>
      </c>
      <c r="H2832" s="1" t="s">
        <v>22</v>
      </c>
      <c r="I2832" s="1" t="s">
        <v>29</v>
      </c>
      <c r="J2832" s="1">
        <v>0</v>
      </c>
      <c r="K2832" s="1">
        <v>100</v>
      </c>
      <c r="L2832" s="1">
        <v>1</v>
      </c>
      <c r="N2832" s="1">
        <v>0</v>
      </c>
      <c r="O2832" s="11"/>
      <c r="P2832" s="11"/>
      <c r="Q2832" s="11"/>
      <c r="R2832" s="11"/>
    </row>
    <row r="2833" spans="4:18">
      <c r="D2833" s="1" t="s">
        <v>1679</v>
      </c>
      <c r="E2833" s="1" t="s">
        <v>32</v>
      </c>
      <c r="H2833" s="1" t="s">
        <v>22</v>
      </c>
      <c r="I2833" s="1" t="s">
        <v>29</v>
      </c>
      <c r="J2833" s="1">
        <v>-3.94</v>
      </c>
      <c r="K2833" s="1">
        <v>3.66</v>
      </c>
      <c r="L2833" s="1">
        <v>1</v>
      </c>
      <c r="N2833" s="1">
        <v>1.0000100000000001</v>
      </c>
      <c r="O2833" s="11"/>
      <c r="P2833" s="11"/>
      <c r="Q2833" s="11"/>
      <c r="R2833" s="11"/>
    </row>
    <row r="2834" spans="4:18">
      <c r="D2834" s="1" t="s">
        <v>1679</v>
      </c>
      <c r="E2834" s="1" t="s">
        <v>33</v>
      </c>
      <c r="H2834" s="1" t="s">
        <v>25</v>
      </c>
      <c r="I2834" s="1" t="s">
        <v>23</v>
      </c>
      <c r="M2834" s="1" t="b">
        <v>0</v>
      </c>
      <c r="N2834" s="1">
        <v>0</v>
      </c>
      <c r="O2834" s="11"/>
      <c r="P2834" s="11"/>
      <c r="Q2834" s="11"/>
      <c r="R2834" s="11"/>
    </row>
    <row r="2835" spans="4:18">
      <c r="D2835" s="1" t="s">
        <v>1679</v>
      </c>
      <c r="E2835" s="1" t="s">
        <v>34</v>
      </c>
      <c r="F2835" s="1" t="s">
        <v>35</v>
      </c>
      <c r="G2835" s="1" t="s">
        <v>36</v>
      </c>
      <c r="H2835" s="1" t="s">
        <v>22</v>
      </c>
      <c r="I2835" s="1" t="s">
        <v>23</v>
      </c>
      <c r="J2835" s="1">
        <v>-459.67</v>
      </c>
      <c r="K2835" s="1">
        <v>980.32999999999993</v>
      </c>
      <c r="L2835" s="1">
        <v>80.329999999999984</v>
      </c>
      <c r="M2835" s="1">
        <v>67.999999999999943</v>
      </c>
      <c r="N2835" s="1">
        <v>67.999999999999943</v>
      </c>
      <c r="O2835" s="11"/>
      <c r="P2835" s="11"/>
      <c r="Q2835" s="11"/>
      <c r="R2835" s="11"/>
    </row>
    <row r="2836" spans="4:18">
      <c r="D2836" s="1" t="s">
        <v>1679</v>
      </c>
      <c r="E2836" s="1" t="s">
        <v>37</v>
      </c>
      <c r="H2836" s="1" t="s">
        <v>25</v>
      </c>
      <c r="I2836" s="1" t="s">
        <v>23</v>
      </c>
      <c r="M2836" s="1" t="b">
        <v>0</v>
      </c>
      <c r="N2836" s="1">
        <v>0</v>
      </c>
      <c r="O2836" s="11"/>
      <c r="P2836" s="11"/>
      <c r="Q2836" s="11"/>
      <c r="R2836" s="11"/>
    </row>
    <row r="2837" spans="4:18">
      <c r="D2837" s="1" t="s">
        <v>1679</v>
      </c>
      <c r="E2837" s="1" t="s">
        <v>38</v>
      </c>
      <c r="F2837" s="1" t="s">
        <v>35</v>
      </c>
      <c r="G2837" s="1" t="s">
        <v>36</v>
      </c>
      <c r="H2837" s="1" t="s">
        <v>22</v>
      </c>
      <c r="I2837" s="1" t="s">
        <v>23</v>
      </c>
      <c r="J2837" s="1">
        <v>-99.670000000000016</v>
      </c>
      <c r="K2837" s="1">
        <v>980.32999999999993</v>
      </c>
      <c r="L2837" s="1">
        <v>80.329999999999984</v>
      </c>
      <c r="M2837" s="1">
        <v>13.999999999999943</v>
      </c>
      <c r="N2837" s="1">
        <v>13.999999999999943</v>
      </c>
      <c r="O2837" s="11"/>
      <c r="P2837" s="11"/>
      <c r="Q2837" s="11"/>
      <c r="R2837" s="11"/>
    </row>
    <row r="2838" spans="4:18">
      <c r="D2838" s="1" t="s">
        <v>1679</v>
      </c>
      <c r="E2838" s="1" t="s">
        <v>39</v>
      </c>
      <c r="H2838" s="1" t="s">
        <v>25</v>
      </c>
      <c r="I2838" s="1" t="s">
        <v>23</v>
      </c>
      <c r="M2838" s="1" t="b">
        <v>0</v>
      </c>
      <c r="N2838" s="1">
        <v>0</v>
      </c>
      <c r="O2838" s="11"/>
      <c r="P2838" s="11"/>
      <c r="Q2838" s="11"/>
      <c r="R2838" s="11"/>
    </row>
    <row r="2839" spans="4:18">
      <c r="D2839" s="1" t="s">
        <v>1679</v>
      </c>
      <c r="E2839" s="1" t="s">
        <v>40</v>
      </c>
      <c r="F2839" s="1" t="s">
        <v>41</v>
      </c>
      <c r="G2839" s="1" t="s">
        <v>42</v>
      </c>
      <c r="H2839" s="1" t="s">
        <v>22</v>
      </c>
      <c r="I2839" s="1" t="s">
        <v>23</v>
      </c>
      <c r="J2839" s="1">
        <v>-900</v>
      </c>
      <c r="K2839" s="1">
        <v>900</v>
      </c>
      <c r="L2839" s="1">
        <v>1.8</v>
      </c>
      <c r="M2839" s="1">
        <v>9</v>
      </c>
      <c r="N2839" s="1">
        <v>9</v>
      </c>
      <c r="O2839" s="11"/>
      <c r="P2839" s="11"/>
      <c r="Q2839" s="11"/>
      <c r="R2839" s="11"/>
    </row>
    <row r="2840" spans="4:18">
      <c r="D2840" s="1" t="s">
        <v>1679</v>
      </c>
      <c r="E2840" s="1" t="s">
        <v>43</v>
      </c>
      <c r="H2840" s="1" t="s">
        <v>25</v>
      </c>
      <c r="I2840" s="1" t="s">
        <v>23</v>
      </c>
      <c r="M2840" s="1" t="b">
        <v>0</v>
      </c>
      <c r="N2840" s="1">
        <v>0</v>
      </c>
      <c r="O2840" s="11"/>
      <c r="P2840" s="11"/>
      <c r="Q2840" s="11"/>
      <c r="R2840" s="11"/>
    </row>
    <row r="2841" spans="4:18">
      <c r="D2841" s="1" t="s">
        <v>1679</v>
      </c>
      <c r="E2841" s="1" t="s">
        <v>44</v>
      </c>
      <c r="F2841" s="1" t="s">
        <v>45</v>
      </c>
      <c r="G2841" s="1" t="s">
        <v>46</v>
      </c>
      <c r="H2841" s="1" t="s">
        <v>22</v>
      </c>
      <c r="I2841" s="1" t="s">
        <v>23</v>
      </c>
      <c r="J2841" s="1">
        <v>-85.984522757427143</v>
      </c>
      <c r="K2841" s="1">
        <v>8598.4522757427148</v>
      </c>
      <c r="L2841" s="1">
        <v>114.79148749423418</v>
      </c>
      <c r="M2841" s="1">
        <v>128.97678413614071</v>
      </c>
      <c r="N2841" s="1">
        <v>128.97678413614071</v>
      </c>
      <c r="O2841" s="11"/>
      <c r="P2841" s="11"/>
      <c r="Q2841" s="11"/>
      <c r="R2841" s="11"/>
    </row>
    <row r="2842" spans="4:18">
      <c r="D2842" s="1" t="s">
        <v>1679</v>
      </c>
      <c r="E2842" s="1" t="s">
        <v>47</v>
      </c>
      <c r="H2842" s="1" t="s">
        <v>25</v>
      </c>
      <c r="I2842" s="1" t="s">
        <v>23</v>
      </c>
      <c r="M2842" s="1" t="b">
        <v>0</v>
      </c>
      <c r="N2842" s="1">
        <v>0</v>
      </c>
      <c r="O2842" s="11"/>
      <c r="P2842" s="11"/>
      <c r="Q2842" s="11"/>
      <c r="R2842" s="11"/>
    </row>
    <row r="2843" spans="4:18">
      <c r="D2843" s="1" t="s">
        <v>1679</v>
      </c>
      <c r="E2843" s="1" t="s">
        <v>48</v>
      </c>
      <c r="H2843" s="1" t="s">
        <v>25</v>
      </c>
      <c r="I2843" s="1" t="s">
        <v>23</v>
      </c>
      <c r="M2843" s="1" t="b">
        <v>0</v>
      </c>
      <c r="N2843" s="1">
        <v>0</v>
      </c>
      <c r="O2843" s="11"/>
      <c r="P2843" s="11"/>
      <c r="Q2843" s="11"/>
      <c r="R2843" s="11"/>
    </row>
    <row r="2844" spans="4:18">
      <c r="D2844" s="1" t="s">
        <v>1679</v>
      </c>
      <c r="E2844" s="1" t="s">
        <v>49</v>
      </c>
      <c r="H2844" s="1" t="s">
        <v>25</v>
      </c>
      <c r="I2844" s="1" t="s">
        <v>23</v>
      </c>
      <c r="M2844" s="1" t="b">
        <v>0</v>
      </c>
      <c r="N2844" s="1">
        <v>0</v>
      </c>
      <c r="O2844" s="11"/>
      <c r="P2844" s="11"/>
      <c r="Q2844" s="11"/>
      <c r="R2844" s="11"/>
    </row>
    <row r="2845" spans="4:18">
      <c r="D2845" s="1" t="s">
        <v>1679</v>
      </c>
      <c r="E2845" s="1" t="s">
        <v>50</v>
      </c>
      <c r="H2845" s="1" t="s">
        <v>25</v>
      </c>
      <c r="I2845" s="1" t="s">
        <v>23</v>
      </c>
      <c r="M2845" s="1" t="b">
        <v>0</v>
      </c>
      <c r="N2845" s="1">
        <v>0</v>
      </c>
      <c r="O2845" s="11"/>
      <c r="P2845" s="11"/>
      <c r="Q2845" s="11"/>
      <c r="R2845" s="11"/>
    </row>
    <row r="2846" spans="4:18">
      <c r="D2846" s="1" t="s">
        <v>1679</v>
      </c>
      <c r="E2846" s="1" t="s">
        <v>51</v>
      </c>
      <c r="F2846" s="1" t="s">
        <v>52</v>
      </c>
      <c r="G2846" s="1" t="s">
        <v>53</v>
      </c>
      <c r="H2846" s="1" t="s">
        <v>22</v>
      </c>
      <c r="I2846" s="1" t="s">
        <v>23</v>
      </c>
      <c r="J2846" s="1">
        <v>0</v>
      </c>
      <c r="K2846" s="1">
        <v>7936641438.6555996</v>
      </c>
      <c r="L2846" s="1">
        <v>7936.6414386555998</v>
      </c>
      <c r="M2846" s="1">
        <v>7936.6414386555998</v>
      </c>
      <c r="N2846" s="1">
        <v>7936.6414386555998</v>
      </c>
      <c r="O2846" s="11"/>
      <c r="P2846" s="11"/>
      <c r="Q2846" s="11"/>
      <c r="R2846" s="11"/>
    </row>
    <row r="2847" spans="4:18">
      <c r="D2847" s="1" t="s">
        <v>1679</v>
      </c>
      <c r="E2847" s="1" t="s">
        <v>54</v>
      </c>
      <c r="H2847" s="1" t="s">
        <v>25</v>
      </c>
      <c r="I2847" s="1" t="s">
        <v>23</v>
      </c>
      <c r="M2847" s="1" t="b">
        <v>0</v>
      </c>
      <c r="N2847" s="1">
        <v>0</v>
      </c>
      <c r="O2847" s="11"/>
      <c r="P2847" s="11"/>
      <c r="Q2847" s="11"/>
      <c r="R2847" s="11"/>
    </row>
    <row r="2848" spans="4:18">
      <c r="D2848" s="1" t="s">
        <v>1679</v>
      </c>
      <c r="E2848" s="1" t="s">
        <v>55</v>
      </c>
      <c r="F2848" s="1" t="s">
        <v>56</v>
      </c>
      <c r="G2848" s="1" t="s">
        <v>57</v>
      </c>
      <c r="H2848" s="1" t="s">
        <v>22</v>
      </c>
      <c r="I2848" s="1" t="s">
        <v>23</v>
      </c>
      <c r="J2848" s="1">
        <v>0</v>
      </c>
      <c r="K2848" s="1">
        <v>9427.4529524635982</v>
      </c>
      <c r="L2848" s="1">
        <v>50.713895374744951</v>
      </c>
      <c r="M2848" s="1">
        <v>50.763208205573221</v>
      </c>
      <c r="N2848" s="1">
        <v>50.763208205573221</v>
      </c>
      <c r="O2848" s="11"/>
      <c r="P2848" s="11"/>
      <c r="Q2848" s="11"/>
      <c r="R2848" s="11"/>
    </row>
    <row r="2849" spans="4:18">
      <c r="D2849" s="1" t="s">
        <v>1679</v>
      </c>
      <c r="E2849" s="1" t="s">
        <v>58</v>
      </c>
      <c r="H2849" s="1" t="s">
        <v>25</v>
      </c>
      <c r="I2849" s="1" t="s">
        <v>23</v>
      </c>
      <c r="M2849" s="1" t="b">
        <v>0</v>
      </c>
      <c r="N2849" s="1">
        <v>0</v>
      </c>
      <c r="O2849" s="11"/>
      <c r="P2849" s="11"/>
      <c r="Q2849" s="11"/>
      <c r="R2849" s="11"/>
    </row>
    <row r="2850" spans="4:18">
      <c r="D2850" s="1" t="s">
        <v>1679</v>
      </c>
      <c r="E2850" s="1" t="s">
        <v>59</v>
      </c>
      <c r="F2850" s="1" t="s">
        <v>60</v>
      </c>
      <c r="G2850" s="1" t="s">
        <v>61</v>
      </c>
      <c r="H2850" s="1" t="s">
        <v>22</v>
      </c>
      <c r="I2850" s="1" t="s">
        <v>23</v>
      </c>
      <c r="J2850" s="1">
        <v>-9.5538358650799999</v>
      </c>
      <c r="K2850" s="1">
        <v>9.5538358650799999</v>
      </c>
      <c r="L2850" s="1">
        <v>0.23884589662700001</v>
      </c>
      <c r="M2850" s="1">
        <v>0.23884589662700001</v>
      </c>
      <c r="N2850" s="1">
        <v>0.23884589662700001</v>
      </c>
      <c r="O2850" s="11"/>
      <c r="P2850" s="11"/>
      <c r="Q2850" s="11"/>
      <c r="R2850" s="11"/>
    </row>
    <row r="2851" spans="4:18">
      <c r="D2851" s="1" t="s">
        <v>1679</v>
      </c>
      <c r="E2851" s="1" t="s">
        <v>62</v>
      </c>
      <c r="H2851" s="1" t="s">
        <v>63</v>
      </c>
      <c r="I2851" s="1" t="s">
        <v>23</v>
      </c>
      <c r="M2851" s="1">
        <v>1</v>
      </c>
      <c r="N2851" s="1">
        <v>1</v>
      </c>
      <c r="O2851" s="11"/>
      <c r="P2851" s="11"/>
      <c r="Q2851" s="11"/>
      <c r="R2851" s="11"/>
    </row>
    <row r="2852" spans="4:18">
      <c r="D2852" s="1" t="s">
        <v>1679</v>
      </c>
      <c r="E2852" s="1" t="s">
        <v>64</v>
      </c>
      <c r="F2852" s="1" t="s">
        <v>35</v>
      </c>
      <c r="G2852" s="1" t="s">
        <v>36</v>
      </c>
      <c r="H2852" s="1" t="s">
        <v>22</v>
      </c>
      <c r="I2852" s="1" t="s">
        <v>65</v>
      </c>
      <c r="J2852" s="1">
        <v>-459.67</v>
      </c>
      <c r="L2852" s="1">
        <v>80.329999999999984</v>
      </c>
      <c r="N2852" s="1">
        <v>42.669746741837969</v>
      </c>
      <c r="O2852" s="11"/>
      <c r="P2852" s="11"/>
      <c r="Q2852" s="11"/>
      <c r="R2852" s="11"/>
    </row>
    <row r="2853" spans="4:18">
      <c r="D2853" s="1" t="s">
        <v>1679</v>
      </c>
      <c r="E2853" s="1" t="s">
        <v>66</v>
      </c>
      <c r="F2853" s="1" t="s">
        <v>35</v>
      </c>
      <c r="G2853" s="1" t="s">
        <v>36</v>
      </c>
      <c r="H2853" s="1" t="s">
        <v>22</v>
      </c>
      <c r="I2853" s="1" t="s">
        <v>65</v>
      </c>
      <c r="J2853" s="1">
        <v>-459.67</v>
      </c>
      <c r="L2853" s="1">
        <v>80.329999999999984</v>
      </c>
      <c r="N2853" s="1">
        <v>42.665953478844983</v>
      </c>
      <c r="O2853" s="11"/>
      <c r="P2853" s="11"/>
      <c r="Q2853" s="11"/>
      <c r="R2853" s="11"/>
    </row>
    <row r="2854" spans="4:18">
      <c r="D2854" s="1" t="s">
        <v>1679</v>
      </c>
      <c r="E2854" s="1" t="s">
        <v>67</v>
      </c>
      <c r="F2854" s="1" t="s">
        <v>41</v>
      </c>
      <c r="G2854" s="1" t="s">
        <v>42</v>
      </c>
      <c r="H2854" s="1" t="s">
        <v>22</v>
      </c>
      <c r="I2854" s="1" t="s">
        <v>65</v>
      </c>
      <c r="L2854" s="1">
        <v>1.8</v>
      </c>
      <c r="N2854" s="1">
        <v>3.7932629930310215E-3</v>
      </c>
      <c r="O2854" s="11"/>
      <c r="P2854" s="11"/>
      <c r="Q2854" s="11"/>
      <c r="R2854" s="11"/>
    </row>
    <row r="2855" spans="4:18">
      <c r="D2855" s="1" t="s">
        <v>1679</v>
      </c>
      <c r="E2855" s="1" t="s">
        <v>68</v>
      </c>
      <c r="F2855" s="1" t="s">
        <v>45</v>
      </c>
      <c r="G2855" s="1" t="s">
        <v>46</v>
      </c>
      <c r="H2855" s="1" t="s">
        <v>22</v>
      </c>
      <c r="I2855" s="1" t="s">
        <v>65</v>
      </c>
      <c r="L2855" s="1">
        <v>4.2992261378713571E-4</v>
      </c>
      <c r="N2855" s="1">
        <v>109.14798865289671</v>
      </c>
      <c r="O2855" s="11"/>
      <c r="P2855" s="11"/>
      <c r="Q2855" s="11"/>
      <c r="R2855" s="11"/>
    </row>
    <row r="2856" spans="4:18">
      <c r="D2856" s="1" t="s">
        <v>1679</v>
      </c>
      <c r="E2856" s="1" t="s">
        <v>69</v>
      </c>
      <c r="H2856" s="1" t="s">
        <v>25</v>
      </c>
      <c r="I2856" s="1" t="s">
        <v>70</v>
      </c>
      <c r="N2856" s="1">
        <v>0</v>
      </c>
      <c r="O2856" s="11"/>
      <c r="P2856" s="11"/>
      <c r="Q2856" s="11"/>
      <c r="R2856" s="11"/>
    </row>
    <row r="2857" spans="4:18">
      <c r="D2857" s="1" t="s">
        <v>1679</v>
      </c>
      <c r="E2857" s="1" t="s">
        <v>71</v>
      </c>
      <c r="F2857" s="1" t="s">
        <v>52</v>
      </c>
      <c r="G2857" s="1" t="s">
        <v>53</v>
      </c>
      <c r="H2857" s="1" t="s">
        <v>22</v>
      </c>
      <c r="I2857" s="1" t="s">
        <v>65</v>
      </c>
      <c r="L2857" s="1">
        <v>7936.6414386555998</v>
      </c>
      <c r="N2857" s="1">
        <v>1353.7263048454033</v>
      </c>
      <c r="O2857" s="11"/>
      <c r="P2857" s="11"/>
      <c r="Q2857" s="11"/>
      <c r="R2857" s="11"/>
    </row>
    <row r="2858" spans="4:18">
      <c r="D2858" s="1" t="s">
        <v>1679</v>
      </c>
      <c r="E2858" s="1" t="s">
        <v>72</v>
      </c>
      <c r="F2858" s="1" t="s">
        <v>56</v>
      </c>
      <c r="G2858" s="1" t="s">
        <v>57</v>
      </c>
      <c r="H2858" s="1" t="s">
        <v>22</v>
      </c>
      <c r="I2858" s="1" t="s">
        <v>65</v>
      </c>
      <c r="J2858" s="1">
        <v>0</v>
      </c>
      <c r="L2858" s="1">
        <v>14.503773773020921</v>
      </c>
      <c r="N2858" s="1">
        <v>52.365935601344113</v>
      </c>
      <c r="O2858" s="11"/>
      <c r="P2858" s="11"/>
      <c r="Q2858" s="11"/>
      <c r="R2858" s="11"/>
    </row>
    <row r="2859" spans="4:18">
      <c r="D2859" s="1" t="s">
        <v>1679</v>
      </c>
      <c r="E2859" s="1" t="s">
        <v>73</v>
      </c>
      <c r="F2859" s="1" t="s">
        <v>60</v>
      </c>
      <c r="G2859" s="1" t="s">
        <v>61</v>
      </c>
      <c r="H2859" s="1" t="s">
        <v>22</v>
      </c>
      <c r="I2859" s="1" t="s">
        <v>65</v>
      </c>
      <c r="L2859" s="1">
        <v>2.38845896627E-4</v>
      </c>
      <c r="N2859" s="1">
        <v>0.2217454576750999</v>
      </c>
      <c r="O2859" s="11"/>
      <c r="P2859" s="11"/>
      <c r="Q2859" s="11"/>
      <c r="R2859" s="11"/>
    </row>
    <row r="2860" spans="4:18">
      <c r="D2860" s="1" t="s">
        <v>1679</v>
      </c>
      <c r="E2860" s="1" t="s">
        <v>74</v>
      </c>
      <c r="F2860" s="1" t="s">
        <v>75</v>
      </c>
      <c r="G2860" s="1" t="s">
        <v>76</v>
      </c>
      <c r="H2860" s="1" t="s">
        <v>22</v>
      </c>
      <c r="I2860" s="1" t="s">
        <v>65</v>
      </c>
      <c r="J2860" s="1">
        <v>0</v>
      </c>
      <c r="L2860" s="1">
        <v>16.018463521800001</v>
      </c>
      <c r="N2860" s="1">
        <v>0.90640135799533517</v>
      </c>
      <c r="O2860" s="11"/>
      <c r="P2860" s="11"/>
      <c r="Q2860" s="11"/>
      <c r="R2860" s="11"/>
    </row>
    <row r="2861" spans="4:18">
      <c r="D2861" s="1" t="s">
        <v>1679</v>
      </c>
      <c r="E2861" s="1" t="s">
        <v>77</v>
      </c>
      <c r="H2861" s="1" t="s">
        <v>22</v>
      </c>
      <c r="I2861" s="1" t="s">
        <v>65</v>
      </c>
      <c r="L2861" s="1">
        <v>1</v>
      </c>
      <c r="N2861" s="1">
        <v>1.0000100000000003</v>
      </c>
      <c r="O2861" s="11"/>
      <c r="P2861" s="11"/>
      <c r="Q2861" s="11"/>
      <c r="R2861" s="11"/>
    </row>
    <row r="2862" spans="4:18">
      <c r="D2862" s="1" t="s">
        <v>1679</v>
      </c>
      <c r="E2862" s="1" t="s">
        <v>78</v>
      </c>
      <c r="H2862" s="1" t="s">
        <v>25</v>
      </c>
      <c r="I2862" s="1" t="s">
        <v>23</v>
      </c>
      <c r="M2862" s="1" t="b">
        <v>0</v>
      </c>
      <c r="N2862" s="1">
        <v>0</v>
      </c>
      <c r="O2862" s="11"/>
      <c r="P2862" s="11"/>
      <c r="Q2862" s="11"/>
      <c r="R2862" s="11"/>
    </row>
    <row r="2863" spans="4:18">
      <c r="D2863" s="1" t="s">
        <v>1679</v>
      </c>
      <c r="E2863" s="1" t="s">
        <v>79</v>
      </c>
      <c r="F2863" s="1" t="s">
        <v>75</v>
      </c>
      <c r="G2863" s="1" t="s">
        <v>76</v>
      </c>
      <c r="H2863" s="1" t="s">
        <v>22</v>
      </c>
      <c r="I2863" s="1" t="s">
        <v>23</v>
      </c>
      <c r="J2863" s="1">
        <v>0</v>
      </c>
      <c r="K2863" s="1">
        <v>96.110781130800007</v>
      </c>
      <c r="L2863" s="1">
        <v>16.018463521800001</v>
      </c>
      <c r="M2863" s="1">
        <v>1.6018463521800002</v>
      </c>
      <c r="N2863" s="1">
        <v>1.6018463521800002</v>
      </c>
      <c r="O2863" s="11"/>
      <c r="P2863" s="11"/>
      <c r="Q2863" s="11"/>
      <c r="R2863" s="11"/>
    </row>
    <row r="2864" spans="4:18">
      <c r="D2864" s="1" t="s">
        <v>1679</v>
      </c>
      <c r="E2864" s="1" t="s">
        <v>80</v>
      </c>
      <c r="H2864" s="1" t="s">
        <v>25</v>
      </c>
      <c r="I2864" s="1" t="s">
        <v>23</v>
      </c>
      <c r="M2864" s="1" t="b">
        <v>0</v>
      </c>
      <c r="N2864" s="1">
        <v>0</v>
      </c>
      <c r="O2864" s="11"/>
      <c r="P2864" s="11"/>
      <c r="Q2864" s="11"/>
      <c r="R2864" s="11"/>
    </row>
    <row r="2865" spans="4:18">
      <c r="D2865" s="1" t="s">
        <v>1679</v>
      </c>
      <c r="E2865" s="1" t="s">
        <v>81</v>
      </c>
      <c r="H2865" s="1" t="s">
        <v>25</v>
      </c>
      <c r="I2865" s="1" t="s">
        <v>23</v>
      </c>
      <c r="M2865" s="1" t="b">
        <v>1</v>
      </c>
      <c r="N2865" s="1">
        <v>1</v>
      </c>
      <c r="O2865" s="11"/>
      <c r="P2865" s="11"/>
      <c r="Q2865" s="11"/>
      <c r="R2865" s="11"/>
    </row>
    <row r="2866" spans="4:18">
      <c r="D2866" s="1" t="s">
        <v>1679</v>
      </c>
      <c r="E2866" s="1" t="s">
        <v>82</v>
      </c>
      <c r="H2866" s="1" t="s">
        <v>22</v>
      </c>
      <c r="I2866" s="1" t="s">
        <v>23</v>
      </c>
      <c r="J2866" s="1">
        <v>-1</v>
      </c>
      <c r="K2866" s="1">
        <v>3</v>
      </c>
      <c r="L2866" s="1">
        <v>1</v>
      </c>
      <c r="M2866" s="1">
        <v>1.0000100000000001</v>
      </c>
      <c r="N2866" s="1">
        <v>1.0000100000000001</v>
      </c>
    </row>
    <row r="2870" spans="4:18">
      <c r="D2870" s="1" t="s">
        <v>1680</v>
      </c>
    </row>
    <row r="2871" spans="4:18">
      <c r="D2871" s="1" t="s">
        <v>1681</v>
      </c>
      <c r="N2871" s="1" t="s">
        <v>1840</v>
      </c>
    </row>
    <row r="2872" spans="4:18">
      <c r="D2872" s="1" t="s">
        <v>1682</v>
      </c>
      <c r="N2872" s="1" t="s">
        <v>1841</v>
      </c>
    </row>
    <row r="2873" spans="4:18">
      <c r="D2873" s="1" t="s">
        <v>1683</v>
      </c>
      <c r="N2873" s="1">
        <v>9</v>
      </c>
    </row>
    <row r="2874" spans="4:18">
      <c r="D2874" s="1" t="s">
        <v>1684</v>
      </c>
      <c r="N2874" s="1">
        <v>894</v>
      </c>
    </row>
    <row r="2875" spans="4:18">
      <c r="D2875" s="1" t="s">
        <v>1685</v>
      </c>
      <c r="N2875" s="1">
        <v>9</v>
      </c>
    </row>
    <row r="2877" spans="4:18">
      <c r="D2877" s="1" t="s">
        <v>1686</v>
      </c>
    </row>
    <row r="2878" spans="4:18">
      <c r="D2878" s="1" t="s">
        <v>1687</v>
      </c>
      <c r="N2878" s="1" t="s">
        <v>1842</v>
      </c>
    </row>
    <row r="2879" spans="4:18">
      <c r="D2879" s="1" t="s">
        <v>1688</v>
      </c>
    </row>
    <row r="2881" spans="4:14">
      <c r="D2881" s="1" t="s">
        <v>1689</v>
      </c>
    </row>
    <row r="2882" spans="4:14">
      <c r="D2882" s="1" t="s">
        <v>1690</v>
      </c>
    </row>
    <row r="2883" spans="4:14">
      <c r="D2883" s="1" t="s">
        <v>1691</v>
      </c>
      <c r="N2883" s="1">
        <v>0.55036169999999984</v>
      </c>
    </row>
    <row r="2885" spans="4:14">
      <c r="D2885" s="1" t="s">
        <v>1692</v>
      </c>
      <c r="N2885" s="1" t="s">
        <v>1843</v>
      </c>
    </row>
    <row r="2886" spans="4:14">
      <c r="D2886" s="1" t="s">
        <v>1693</v>
      </c>
      <c r="N2886" s="1" t="s">
        <v>1844</v>
      </c>
    </row>
    <row r="2887" spans="4:14">
      <c r="D2887" s="1" t="s">
        <v>1694</v>
      </c>
    </row>
    <row r="2888" spans="4:14">
      <c r="N2888" s="1" t="s">
        <v>1845</v>
      </c>
    </row>
    <row r="2891" spans="4:14">
      <c r="D2891" s="1" t="s">
        <v>1695</v>
      </c>
    </row>
    <row r="2892" spans="4:14">
      <c r="D2892" s="1" t="s">
        <v>1712</v>
      </c>
    </row>
  </sheetData>
  <autoFilter ref="A4:M2866" xr:uid="{00000000-0001-0000-0000-000000000000}"/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B_BoltUIToolbox">
              <controlPr defaultSize="0" autoFill="0" autoLine="0" autoPict="0">
                <anchor moveWithCells="1">
                  <from>
                    <xdr:col>3</xdr:col>
                    <xdr:colOff>184150</xdr:colOff>
                    <xdr:row>1</xdr:row>
                    <xdr:rowOff>209550</xdr:rowOff>
                  </from>
                  <to>
                    <xdr:col>4</xdr:col>
                    <xdr:colOff>298450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D_BoltUIToolbox">
              <controlPr defaultSize="0" autoLine="0" autoPict="0">
                <anchor moveWithCells="1">
                  <from>
                    <xdr:col>4</xdr:col>
                    <xdr:colOff>69850</xdr:colOff>
                    <xdr:row>2</xdr:row>
                    <xdr:rowOff>12700</xdr:rowOff>
                  </from>
                  <to>
                    <xdr:col>4</xdr:col>
                    <xdr:colOff>1231900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T_BoltUIToolbox">
              <controlPr defaultSize="0" print="0" disabled="1" autoFill="0" autoPict="0" macro="[0]!Basic_Click">
                <anchor moveWithCells="1" sizeWithCells="1">
                  <from>
                    <xdr:col>4</xdr:col>
                    <xdr:colOff>1498600</xdr:colOff>
                    <xdr:row>2</xdr:row>
                    <xdr:rowOff>19050</xdr:rowOff>
                  </from>
                  <to>
                    <xdr:col>4</xdr:col>
                    <xdr:colOff>2171700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2891"/>
  <sheetViews>
    <sheetView workbookViewId="0">
      <pane xSplit="13" topLeftCell="N1" activePane="topRight" state="frozen"/>
      <selection pane="topRight" activeCell="A4" sqref="A4:M2866"/>
    </sheetView>
  </sheetViews>
  <sheetFormatPr defaultColWidth="8.90625" defaultRowHeight="14.5"/>
  <cols>
    <col min="1" max="1" width="3.36328125" style="2" customWidth="1"/>
    <col min="2" max="2" width="4.26953125" style="3" customWidth="1"/>
    <col min="3" max="3" width="3.36328125" style="2" customWidth="1"/>
    <col min="4" max="4" width="16.08984375" style="1" customWidth="1"/>
    <col min="5" max="5" width="33.6328125" style="1" customWidth="1"/>
    <col min="6" max="6" width="12.6328125" style="1" hidden="1" customWidth="1"/>
    <col min="7" max="7" width="16.08984375" style="1" customWidth="1"/>
    <col min="8" max="8" width="11.7265625" style="1" hidden="1" customWidth="1"/>
    <col min="9" max="9" width="18.7265625" style="1" customWidth="1"/>
    <col min="10" max="10" width="11.6328125" style="1" hidden="1" customWidth="1"/>
    <col min="11" max="11" width="12.26953125" style="1" hidden="1" customWidth="1"/>
    <col min="12" max="12" width="10.26953125" style="1" hidden="1" customWidth="1"/>
    <col min="13" max="13" width="14.6328125" style="1" customWidth="1"/>
    <col min="14" max="16384" width="8.90625" style="1"/>
  </cols>
  <sheetData>
    <row r="1" spans="1:14" s="2" customFormat="1" ht="18" customHeight="1">
      <c r="A1" s="6" t="s">
        <v>19</v>
      </c>
      <c r="B1" s="2" t="s">
        <v>15</v>
      </c>
      <c r="D1" s="9">
        <v>44663</v>
      </c>
      <c r="E1" s="2" t="s">
        <v>16</v>
      </c>
      <c r="F1" s="2" t="s">
        <v>18</v>
      </c>
      <c r="I1" s="2" t="s">
        <v>11</v>
      </c>
      <c r="M1" s="2">
        <f>COUNTIF(status_columns,"Solved")</f>
        <v>0</v>
      </c>
    </row>
    <row r="2" spans="1:14" s="3" customFormat="1" ht="18" customHeight="1">
      <c r="A2" s="2"/>
      <c r="B2" s="5" t="s">
        <v>14</v>
      </c>
      <c r="C2" s="8" t="s">
        <v>20</v>
      </c>
      <c r="E2" s="3" t="s">
        <v>17</v>
      </c>
      <c r="I2" s="3" t="s">
        <v>12</v>
      </c>
      <c r="M2" s="3">
        <f>COUNTIF(status_columns,"Not converged")</f>
        <v>0</v>
      </c>
    </row>
    <row r="3" spans="1:14" s="2" customFormat="1" ht="18" customHeight="1">
      <c r="B3" s="3"/>
      <c r="C3" s="7" t="s">
        <v>1696</v>
      </c>
      <c r="I3" s="2" t="s">
        <v>13</v>
      </c>
      <c r="M3" s="2">
        <f>COLUMNS(status_columns)-M2-M1</f>
        <v>1</v>
      </c>
    </row>
    <row r="4" spans="1:14" s="4" customFormat="1">
      <c r="A4" s="2"/>
      <c r="B4" s="3"/>
      <c r="C4" s="2"/>
      <c r="D4" s="4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8</v>
      </c>
      <c r="M4" s="4" t="s">
        <v>9</v>
      </c>
      <c r="N4" s="4" t="s">
        <v>10</v>
      </c>
    </row>
    <row r="5" spans="1:14">
      <c r="D5" s="1" t="s">
        <v>21</v>
      </c>
      <c r="H5" s="1" t="s">
        <v>22</v>
      </c>
      <c r="I5" s="1" t="s">
        <v>23</v>
      </c>
      <c r="L5" s="1">
        <v>1</v>
      </c>
      <c r="M5" s="1">
        <v>0.5</v>
      </c>
    </row>
    <row r="6" spans="1:14">
      <c r="D6" s="1" t="s">
        <v>24</v>
      </c>
      <c r="H6" s="1" t="s">
        <v>25</v>
      </c>
      <c r="I6" s="1" t="s">
        <v>23</v>
      </c>
      <c r="M6" s="1" t="b">
        <v>0</v>
      </c>
    </row>
    <row r="7" spans="1:14">
      <c r="D7" s="1" t="s">
        <v>26</v>
      </c>
      <c r="H7" s="1" t="s">
        <v>22</v>
      </c>
      <c r="I7" s="1" t="s">
        <v>23</v>
      </c>
      <c r="L7" s="1">
        <v>1</v>
      </c>
      <c r="M7" s="1">
        <v>0.97</v>
      </c>
    </row>
    <row r="8" spans="1:14">
      <c r="D8" s="1" t="s">
        <v>27</v>
      </c>
      <c r="E8" s="1" t="s">
        <v>28</v>
      </c>
      <c r="H8" s="1" t="s">
        <v>22</v>
      </c>
      <c r="I8" s="1" t="s">
        <v>29</v>
      </c>
      <c r="J8" s="1">
        <v>34000</v>
      </c>
      <c r="K8" s="1">
        <v>4300000</v>
      </c>
      <c r="L8" s="1">
        <v>349660</v>
      </c>
    </row>
    <row r="9" spans="1:14">
      <c r="D9" s="1" t="s">
        <v>27</v>
      </c>
      <c r="E9" s="1" t="s">
        <v>30</v>
      </c>
      <c r="H9" s="1" t="s">
        <v>22</v>
      </c>
      <c r="I9" s="1" t="s">
        <v>29</v>
      </c>
      <c r="J9" s="1">
        <v>-3.94</v>
      </c>
      <c r="K9" s="1">
        <v>3.66</v>
      </c>
      <c r="L9" s="1">
        <v>1</v>
      </c>
    </row>
    <row r="10" spans="1:14">
      <c r="D10" s="1" t="s">
        <v>27</v>
      </c>
      <c r="E10" s="1" t="s">
        <v>31</v>
      </c>
      <c r="H10" s="1" t="s">
        <v>22</v>
      </c>
      <c r="I10" s="1" t="s">
        <v>29</v>
      </c>
      <c r="J10" s="1">
        <v>0</v>
      </c>
      <c r="K10" s="1">
        <v>100</v>
      </c>
      <c r="L10" s="1">
        <v>1</v>
      </c>
    </row>
    <row r="11" spans="1:14">
      <c r="D11" s="1" t="s">
        <v>27</v>
      </c>
      <c r="E11" s="1" t="s">
        <v>32</v>
      </c>
      <c r="H11" s="1" t="s">
        <v>22</v>
      </c>
      <c r="I11" s="1" t="s">
        <v>29</v>
      </c>
      <c r="J11" s="1">
        <v>-3.94</v>
      </c>
      <c r="K11" s="1">
        <v>3.66</v>
      </c>
      <c r="L11" s="1">
        <v>1</v>
      </c>
    </row>
    <row r="12" spans="1:14">
      <c r="D12" s="1" t="s">
        <v>27</v>
      </c>
      <c r="E12" s="1" t="s">
        <v>33</v>
      </c>
      <c r="H12" s="1" t="s">
        <v>25</v>
      </c>
      <c r="I12" s="1" t="s">
        <v>23</v>
      </c>
      <c r="M12" s="1" t="b">
        <v>0</v>
      </c>
    </row>
    <row r="13" spans="1:14">
      <c r="D13" s="1" t="s">
        <v>27</v>
      </c>
      <c r="E13" s="1" t="s">
        <v>34</v>
      </c>
      <c r="F13" s="1" t="s">
        <v>35</v>
      </c>
      <c r="G13" s="1" t="s">
        <v>36</v>
      </c>
      <c r="H13" s="1" t="s">
        <v>22</v>
      </c>
      <c r="I13" s="1" t="s">
        <v>23</v>
      </c>
      <c r="J13" s="1">
        <v>-459.67</v>
      </c>
      <c r="K13" s="1">
        <v>980.32999999999993</v>
      </c>
      <c r="L13" s="1">
        <v>80.329999999999984</v>
      </c>
      <c r="M13" s="1">
        <v>67.999999999999943</v>
      </c>
    </row>
    <row r="14" spans="1:14">
      <c r="D14" s="1" t="s">
        <v>27</v>
      </c>
      <c r="E14" s="1" t="s">
        <v>37</v>
      </c>
      <c r="H14" s="1" t="s">
        <v>25</v>
      </c>
      <c r="I14" s="1" t="s">
        <v>23</v>
      </c>
      <c r="M14" s="1" t="b">
        <v>0</v>
      </c>
    </row>
    <row r="15" spans="1:14">
      <c r="D15" s="1" t="s">
        <v>27</v>
      </c>
      <c r="E15" s="1" t="s">
        <v>38</v>
      </c>
      <c r="F15" s="1" t="s">
        <v>35</v>
      </c>
      <c r="G15" s="1" t="s">
        <v>36</v>
      </c>
      <c r="H15" s="1" t="s">
        <v>22</v>
      </c>
      <c r="I15" s="1" t="s">
        <v>23</v>
      </c>
      <c r="J15" s="1">
        <v>-99.670000000000016</v>
      </c>
      <c r="K15" s="1">
        <v>980.32999999999993</v>
      </c>
      <c r="L15" s="1">
        <v>80.329999999999984</v>
      </c>
      <c r="M15" s="1">
        <v>13.999999999999943</v>
      </c>
    </row>
    <row r="16" spans="1:14">
      <c r="D16" s="1" t="s">
        <v>27</v>
      </c>
      <c r="E16" s="1" t="s">
        <v>39</v>
      </c>
      <c r="H16" s="1" t="s">
        <v>25</v>
      </c>
      <c r="I16" s="1" t="s">
        <v>23</v>
      </c>
      <c r="M16" s="1" t="b">
        <v>0</v>
      </c>
    </row>
    <row r="17" spans="4:13">
      <c r="D17" s="1" t="s">
        <v>27</v>
      </c>
      <c r="E17" s="1" t="s">
        <v>40</v>
      </c>
      <c r="F17" s="1" t="s">
        <v>41</v>
      </c>
      <c r="G17" s="1" t="s">
        <v>42</v>
      </c>
      <c r="H17" s="1" t="s">
        <v>22</v>
      </c>
      <c r="I17" s="1" t="s">
        <v>23</v>
      </c>
      <c r="J17" s="1">
        <v>-900</v>
      </c>
      <c r="K17" s="1">
        <v>900</v>
      </c>
      <c r="L17" s="1">
        <v>1.8</v>
      </c>
      <c r="M17" s="1">
        <v>9</v>
      </c>
    </row>
    <row r="18" spans="4:13">
      <c r="D18" s="1" t="s">
        <v>27</v>
      </c>
      <c r="E18" s="1" t="s">
        <v>43</v>
      </c>
      <c r="H18" s="1" t="s">
        <v>25</v>
      </c>
      <c r="I18" s="1" t="s">
        <v>23</v>
      </c>
      <c r="M18" s="1" t="b">
        <v>0</v>
      </c>
    </row>
    <row r="19" spans="4:13">
      <c r="D19" s="1" t="s">
        <v>27</v>
      </c>
      <c r="E19" s="1" t="s">
        <v>44</v>
      </c>
      <c r="F19" s="1" t="s">
        <v>45</v>
      </c>
      <c r="G19" s="1" t="s">
        <v>46</v>
      </c>
      <c r="H19" s="1" t="s">
        <v>22</v>
      </c>
      <c r="I19" s="1" t="s">
        <v>23</v>
      </c>
      <c r="J19" s="1">
        <v>-85.984522757427143</v>
      </c>
      <c r="K19" s="1">
        <v>8598.4522757427148</v>
      </c>
      <c r="L19" s="1">
        <v>114.79148749423418</v>
      </c>
      <c r="M19" s="1">
        <v>128.97678413614071</v>
      </c>
    </row>
    <row r="20" spans="4:13">
      <c r="D20" s="1" t="s">
        <v>27</v>
      </c>
      <c r="E20" s="1" t="s">
        <v>47</v>
      </c>
      <c r="H20" s="1" t="s">
        <v>25</v>
      </c>
      <c r="I20" s="1" t="s">
        <v>23</v>
      </c>
      <c r="M20" s="1" t="b">
        <v>0</v>
      </c>
    </row>
    <row r="21" spans="4:13">
      <c r="D21" s="1" t="s">
        <v>27</v>
      </c>
      <c r="E21" s="1" t="s">
        <v>48</v>
      </c>
      <c r="H21" s="1" t="s">
        <v>25</v>
      </c>
      <c r="I21" s="1" t="s">
        <v>23</v>
      </c>
      <c r="M21" s="1" t="b">
        <v>0</v>
      </c>
    </row>
    <row r="22" spans="4:13">
      <c r="D22" s="1" t="s">
        <v>27</v>
      </c>
      <c r="E22" s="1" t="s">
        <v>49</v>
      </c>
      <c r="H22" s="1" t="s">
        <v>25</v>
      </c>
      <c r="I22" s="1" t="s">
        <v>23</v>
      </c>
      <c r="M22" s="1" t="b">
        <v>0</v>
      </c>
    </row>
    <row r="23" spans="4:13">
      <c r="D23" s="1" t="s">
        <v>27</v>
      </c>
      <c r="E23" s="1" t="s">
        <v>50</v>
      </c>
      <c r="H23" s="1" t="s">
        <v>25</v>
      </c>
      <c r="I23" s="1" t="s">
        <v>23</v>
      </c>
      <c r="M23" s="1" t="b">
        <v>0</v>
      </c>
    </row>
    <row r="24" spans="4:13">
      <c r="D24" s="1" t="s">
        <v>27</v>
      </c>
      <c r="E24" s="1" t="s">
        <v>51</v>
      </c>
      <c r="F24" s="1" t="s">
        <v>52</v>
      </c>
      <c r="G24" s="1" t="s">
        <v>53</v>
      </c>
      <c r="H24" s="1" t="s">
        <v>22</v>
      </c>
      <c r="I24" s="1" t="s">
        <v>23</v>
      </c>
      <c r="J24" s="1">
        <v>0</v>
      </c>
      <c r="K24" s="1">
        <v>7936641438.6555996</v>
      </c>
      <c r="L24" s="1">
        <v>7936.6414386555998</v>
      </c>
      <c r="M24" s="1">
        <v>7936.6414386555998</v>
      </c>
    </row>
    <row r="25" spans="4:13">
      <c r="D25" s="1" t="s">
        <v>27</v>
      </c>
      <c r="E25" s="1" t="s">
        <v>54</v>
      </c>
      <c r="H25" s="1" t="s">
        <v>25</v>
      </c>
      <c r="I25" s="1" t="s">
        <v>23</v>
      </c>
      <c r="M25" s="1" t="b">
        <v>0</v>
      </c>
    </row>
    <row r="26" spans="4:13">
      <c r="D26" s="1" t="s">
        <v>27</v>
      </c>
      <c r="E26" s="1" t="s">
        <v>55</v>
      </c>
      <c r="F26" s="1" t="s">
        <v>56</v>
      </c>
      <c r="G26" s="1" t="s">
        <v>57</v>
      </c>
      <c r="H26" s="1" t="s">
        <v>22</v>
      </c>
      <c r="I26" s="1" t="s">
        <v>23</v>
      </c>
      <c r="J26" s="1">
        <v>0</v>
      </c>
      <c r="K26" s="1">
        <v>9427.4529524635982</v>
      </c>
      <c r="L26" s="1">
        <v>50.713895374744951</v>
      </c>
      <c r="M26" s="1">
        <v>50.763208205573221</v>
      </c>
    </row>
    <row r="27" spans="4:13">
      <c r="D27" s="1" t="s">
        <v>27</v>
      </c>
      <c r="E27" s="1" t="s">
        <v>58</v>
      </c>
      <c r="H27" s="1" t="s">
        <v>25</v>
      </c>
      <c r="I27" s="1" t="s">
        <v>23</v>
      </c>
      <c r="M27" s="1" t="b">
        <v>0</v>
      </c>
    </row>
    <row r="28" spans="4:13">
      <c r="D28" s="1" t="s">
        <v>27</v>
      </c>
      <c r="E28" s="1" t="s">
        <v>59</v>
      </c>
      <c r="F28" s="1" t="s">
        <v>60</v>
      </c>
      <c r="G28" s="1" t="s">
        <v>61</v>
      </c>
      <c r="H28" s="1" t="s">
        <v>22</v>
      </c>
      <c r="I28" s="1" t="s">
        <v>23</v>
      </c>
      <c r="J28" s="1">
        <v>-9.5538358650799999</v>
      </c>
      <c r="K28" s="1">
        <v>9.5538358650799999</v>
      </c>
      <c r="L28" s="1">
        <v>0.23884589662700001</v>
      </c>
      <c r="M28" s="1">
        <v>0.23884589662700001</v>
      </c>
    </row>
    <row r="29" spans="4:13">
      <c r="D29" s="1" t="s">
        <v>27</v>
      </c>
      <c r="E29" s="1" t="s">
        <v>62</v>
      </c>
      <c r="H29" s="1" t="s">
        <v>63</v>
      </c>
      <c r="I29" s="1" t="s">
        <v>23</v>
      </c>
      <c r="M29" s="1">
        <v>1</v>
      </c>
    </row>
    <row r="30" spans="4:13">
      <c r="D30" s="1" t="s">
        <v>27</v>
      </c>
      <c r="E30" s="1" t="s">
        <v>64</v>
      </c>
      <c r="F30" s="1" t="s">
        <v>35</v>
      </c>
      <c r="G30" s="1" t="s">
        <v>36</v>
      </c>
      <c r="H30" s="1" t="s">
        <v>22</v>
      </c>
      <c r="I30" s="1" t="s">
        <v>65</v>
      </c>
      <c r="J30" s="1">
        <v>-459.67</v>
      </c>
      <c r="L30" s="1">
        <v>80.329999999999984</v>
      </c>
    </row>
    <row r="31" spans="4:13">
      <c r="D31" s="1" t="s">
        <v>27</v>
      </c>
      <c r="E31" s="1" t="s">
        <v>66</v>
      </c>
      <c r="F31" s="1" t="s">
        <v>35</v>
      </c>
      <c r="G31" s="1" t="s">
        <v>36</v>
      </c>
      <c r="H31" s="1" t="s">
        <v>22</v>
      </c>
      <c r="I31" s="1" t="s">
        <v>65</v>
      </c>
      <c r="J31" s="1">
        <v>-459.67</v>
      </c>
      <c r="L31" s="1">
        <v>80.329999999999984</v>
      </c>
    </row>
    <row r="32" spans="4:13">
      <c r="D32" s="1" t="s">
        <v>27</v>
      </c>
      <c r="E32" s="1" t="s">
        <v>67</v>
      </c>
      <c r="F32" s="1" t="s">
        <v>41</v>
      </c>
      <c r="G32" s="1" t="s">
        <v>42</v>
      </c>
      <c r="H32" s="1" t="s">
        <v>22</v>
      </c>
      <c r="I32" s="1" t="s">
        <v>65</v>
      </c>
      <c r="L32" s="1">
        <v>1.8</v>
      </c>
    </row>
    <row r="33" spans="4:13">
      <c r="D33" s="1" t="s">
        <v>27</v>
      </c>
      <c r="E33" s="1" t="s">
        <v>68</v>
      </c>
      <c r="F33" s="1" t="s">
        <v>45</v>
      </c>
      <c r="G33" s="1" t="s">
        <v>46</v>
      </c>
      <c r="H33" s="1" t="s">
        <v>22</v>
      </c>
      <c r="I33" s="1" t="s">
        <v>65</v>
      </c>
      <c r="L33" s="1">
        <v>4.2992261378713571E-4</v>
      </c>
    </row>
    <row r="34" spans="4:13">
      <c r="D34" s="1" t="s">
        <v>27</v>
      </c>
      <c r="E34" s="1" t="s">
        <v>69</v>
      </c>
      <c r="H34" s="1" t="s">
        <v>25</v>
      </c>
      <c r="I34" s="1" t="s">
        <v>70</v>
      </c>
    </row>
    <row r="35" spans="4:13">
      <c r="D35" s="1" t="s">
        <v>27</v>
      </c>
      <c r="E35" s="1" t="s">
        <v>71</v>
      </c>
      <c r="F35" s="1" t="s">
        <v>52</v>
      </c>
      <c r="G35" s="1" t="s">
        <v>53</v>
      </c>
      <c r="H35" s="1" t="s">
        <v>22</v>
      </c>
      <c r="I35" s="1" t="s">
        <v>65</v>
      </c>
      <c r="L35" s="1">
        <v>7936.6414386555998</v>
      </c>
    </row>
    <row r="36" spans="4:13">
      <c r="D36" s="1" t="s">
        <v>27</v>
      </c>
      <c r="E36" s="1" t="s">
        <v>72</v>
      </c>
      <c r="F36" s="1" t="s">
        <v>56</v>
      </c>
      <c r="G36" s="1" t="s">
        <v>57</v>
      </c>
      <c r="H36" s="1" t="s">
        <v>22</v>
      </c>
      <c r="I36" s="1" t="s">
        <v>65</v>
      </c>
      <c r="J36" s="1">
        <v>0</v>
      </c>
      <c r="L36" s="1">
        <v>14.503773773020921</v>
      </c>
    </row>
    <row r="37" spans="4:13">
      <c r="D37" s="1" t="s">
        <v>27</v>
      </c>
      <c r="E37" s="1" t="s">
        <v>73</v>
      </c>
      <c r="F37" s="1" t="s">
        <v>60</v>
      </c>
      <c r="G37" s="1" t="s">
        <v>61</v>
      </c>
      <c r="H37" s="1" t="s">
        <v>22</v>
      </c>
      <c r="I37" s="1" t="s">
        <v>65</v>
      </c>
      <c r="L37" s="1">
        <v>2.38845896627E-4</v>
      </c>
    </row>
    <row r="38" spans="4:13">
      <c r="D38" s="1" t="s">
        <v>27</v>
      </c>
      <c r="E38" s="1" t="s">
        <v>74</v>
      </c>
      <c r="F38" s="1" t="s">
        <v>75</v>
      </c>
      <c r="G38" s="1" t="s">
        <v>76</v>
      </c>
      <c r="H38" s="1" t="s">
        <v>22</v>
      </c>
      <c r="I38" s="1" t="s">
        <v>65</v>
      </c>
      <c r="J38" s="1">
        <v>0</v>
      </c>
      <c r="L38" s="1">
        <v>16.018463521800001</v>
      </c>
    </row>
    <row r="39" spans="4:13">
      <c r="D39" s="1" t="s">
        <v>27</v>
      </c>
      <c r="E39" s="1" t="s">
        <v>77</v>
      </c>
      <c r="H39" s="1" t="s">
        <v>22</v>
      </c>
      <c r="I39" s="1" t="s">
        <v>65</v>
      </c>
      <c r="L39" s="1">
        <v>1</v>
      </c>
    </row>
    <row r="40" spans="4:13">
      <c r="D40" s="1" t="s">
        <v>27</v>
      </c>
      <c r="E40" s="1" t="s">
        <v>78</v>
      </c>
      <c r="H40" s="1" t="s">
        <v>25</v>
      </c>
      <c r="I40" s="1" t="s">
        <v>23</v>
      </c>
      <c r="M40" s="1" t="b">
        <v>0</v>
      </c>
    </row>
    <row r="41" spans="4:13">
      <c r="D41" s="1" t="s">
        <v>27</v>
      </c>
      <c r="E41" s="1" t="s">
        <v>79</v>
      </c>
      <c r="F41" s="1" t="s">
        <v>75</v>
      </c>
      <c r="G41" s="1" t="s">
        <v>76</v>
      </c>
      <c r="H41" s="1" t="s">
        <v>22</v>
      </c>
      <c r="I41" s="1" t="s">
        <v>23</v>
      </c>
      <c r="J41" s="1">
        <v>0</v>
      </c>
      <c r="K41" s="1">
        <v>96.110781130800007</v>
      </c>
      <c r="L41" s="1">
        <v>16.018463521800001</v>
      </c>
      <c r="M41" s="1">
        <v>1.6018463521800002</v>
      </c>
    </row>
    <row r="42" spans="4:13">
      <c r="D42" s="1" t="s">
        <v>27</v>
      </c>
      <c r="E42" s="1" t="s">
        <v>80</v>
      </c>
      <c r="H42" s="1" t="s">
        <v>25</v>
      </c>
      <c r="I42" s="1" t="s">
        <v>23</v>
      </c>
      <c r="M42" s="1" t="b">
        <v>0</v>
      </c>
    </row>
    <row r="43" spans="4:13">
      <c r="D43" s="1" t="s">
        <v>27</v>
      </c>
      <c r="E43" s="1" t="s">
        <v>81</v>
      </c>
      <c r="H43" s="1" t="s">
        <v>25</v>
      </c>
      <c r="I43" s="1" t="s">
        <v>23</v>
      </c>
      <c r="M43" s="1" t="b">
        <v>0</v>
      </c>
    </row>
    <row r="44" spans="4:13">
      <c r="D44" s="1" t="s">
        <v>27</v>
      </c>
      <c r="E44" s="1" t="s">
        <v>82</v>
      </c>
      <c r="H44" s="1" t="s">
        <v>22</v>
      </c>
      <c r="I44" s="1" t="s">
        <v>23</v>
      </c>
      <c r="J44" s="1">
        <v>-1</v>
      </c>
      <c r="K44" s="1">
        <v>3</v>
      </c>
      <c r="L44" s="1">
        <v>1</v>
      </c>
      <c r="M44" s="1">
        <v>1.01</v>
      </c>
    </row>
    <row r="45" spans="4:13">
      <c r="D45" s="1" t="s">
        <v>83</v>
      </c>
      <c r="E45" s="1" t="s">
        <v>28</v>
      </c>
      <c r="H45" s="1" t="s">
        <v>22</v>
      </c>
      <c r="I45" s="1" t="s">
        <v>29</v>
      </c>
      <c r="J45" s="1">
        <v>34000</v>
      </c>
      <c r="K45" s="1">
        <v>4300000</v>
      </c>
      <c r="L45" s="1">
        <v>349660</v>
      </c>
    </row>
    <row r="46" spans="4:13">
      <c r="D46" s="1" t="s">
        <v>83</v>
      </c>
      <c r="E46" s="1" t="s">
        <v>30</v>
      </c>
      <c r="H46" s="1" t="s">
        <v>22</v>
      </c>
      <c r="I46" s="1" t="s">
        <v>29</v>
      </c>
      <c r="J46" s="1">
        <v>-3.94</v>
      </c>
      <c r="K46" s="1">
        <v>3.66</v>
      </c>
      <c r="L46" s="1">
        <v>1</v>
      </c>
    </row>
    <row r="47" spans="4:13">
      <c r="D47" s="1" t="s">
        <v>83</v>
      </c>
      <c r="E47" s="1" t="s">
        <v>31</v>
      </c>
      <c r="H47" s="1" t="s">
        <v>22</v>
      </c>
      <c r="I47" s="1" t="s">
        <v>29</v>
      </c>
      <c r="J47" s="1">
        <v>0</v>
      </c>
      <c r="K47" s="1">
        <v>100</v>
      </c>
      <c r="L47" s="1">
        <v>1</v>
      </c>
    </row>
    <row r="48" spans="4:13">
      <c r="D48" s="1" t="s">
        <v>83</v>
      </c>
      <c r="E48" s="1" t="s">
        <v>32</v>
      </c>
      <c r="H48" s="1" t="s">
        <v>22</v>
      </c>
      <c r="I48" s="1" t="s">
        <v>29</v>
      </c>
      <c r="J48" s="1">
        <v>-3.94</v>
      </c>
      <c r="K48" s="1">
        <v>3.66</v>
      </c>
      <c r="L48" s="1">
        <v>1</v>
      </c>
    </row>
    <row r="49" spans="4:13">
      <c r="D49" s="1" t="s">
        <v>83</v>
      </c>
      <c r="E49" s="1" t="s">
        <v>33</v>
      </c>
      <c r="H49" s="1" t="s">
        <v>25</v>
      </c>
      <c r="I49" s="1" t="s">
        <v>23</v>
      </c>
      <c r="M49" s="1" t="b">
        <v>0</v>
      </c>
    </row>
    <row r="50" spans="4:13">
      <c r="D50" s="1" t="s">
        <v>83</v>
      </c>
      <c r="E50" s="1" t="s">
        <v>34</v>
      </c>
      <c r="F50" s="1" t="s">
        <v>35</v>
      </c>
      <c r="G50" s="1" t="s">
        <v>36</v>
      </c>
      <c r="H50" s="1" t="s">
        <v>22</v>
      </c>
      <c r="I50" s="1" t="s">
        <v>23</v>
      </c>
      <c r="J50" s="1">
        <v>-459.67</v>
      </c>
      <c r="K50" s="1">
        <v>980.32999999999993</v>
      </c>
      <c r="L50" s="1">
        <v>80.329999999999984</v>
      </c>
      <c r="M50" s="1">
        <v>67.999999999999943</v>
      </c>
    </row>
    <row r="51" spans="4:13">
      <c r="D51" s="1" t="s">
        <v>83</v>
      </c>
      <c r="E51" s="1" t="s">
        <v>37</v>
      </c>
      <c r="H51" s="1" t="s">
        <v>25</v>
      </c>
      <c r="I51" s="1" t="s">
        <v>23</v>
      </c>
      <c r="M51" s="1" t="b">
        <v>0</v>
      </c>
    </row>
    <row r="52" spans="4:13">
      <c r="D52" s="1" t="s">
        <v>83</v>
      </c>
      <c r="E52" s="1" t="s">
        <v>38</v>
      </c>
      <c r="F52" s="1" t="s">
        <v>35</v>
      </c>
      <c r="G52" s="1" t="s">
        <v>36</v>
      </c>
      <c r="H52" s="1" t="s">
        <v>22</v>
      </c>
      <c r="I52" s="1" t="s">
        <v>23</v>
      </c>
      <c r="J52" s="1">
        <v>-99.670000000000016</v>
      </c>
      <c r="K52" s="1">
        <v>980.32999999999993</v>
      </c>
      <c r="L52" s="1">
        <v>80.329999999999984</v>
      </c>
      <c r="M52" s="1">
        <v>13.999999999999943</v>
      </c>
    </row>
    <row r="53" spans="4:13">
      <c r="D53" s="1" t="s">
        <v>83</v>
      </c>
      <c r="E53" s="1" t="s">
        <v>39</v>
      </c>
      <c r="H53" s="1" t="s">
        <v>25</v>
      </c>
      <c r="I53" s="1" t="s">
        <v>23</v>
      </c>
      <c r="M53" s="1" t="b">
        <v>0</v>
      </c>
    </row>
    <row r="54" spans="4:13">
      <c r="D54" s="1" t="s">
        <v>83</v>
      </c>
      <c r="E54" s="1" t="s">
        <v>40</v>
      </c>
      <c r="F54" s="1" t="s">
        <v>41</v>
      </c>
      <c r="G54" s="1" t="s">
        <v>42</v>
      </c>
      <c r="H54" s="1" t="s">
        <v>22</v>
      </c>
      <c r="I54" s="1" t="s">
        <v>23</v>
      </c>
      <c r="J54" s="1">
        <v>-900</v>
      </c>
      <c r="K54" s="1">
        <v>900</v>
      </c>
      <c r="L54" s="1">
        <v>1.8</v>
      </c>
      <c r="M54" s="1">
        <v>9</v>
      </c>
    </row>
    <row r="55" spans="4:13">
      <c r="D55" s="1" t="s">
        <v>83</v>
      </c>
      <c r="E55" s="1" t="s">
        <v>43</v>
      </c>
      <c r="H55" s="1" t="s">
        <v>25</v>
      </c>
      <c r="I55" s="1" t="s">
        <v>23</v>
      </c>
      <c r="M55" s="1" t="b">
        <v>0</v>
      </c>
    </row>
    <row r="56" spans="4:13">
      <c r="D56" s="1" t="s">
        <v>83</v>
      </c>
      <c r="E56" s="1" t="s">
        <v>44</v>
      </c>
      <c r="F56" s="1" t="s">
        <v>45</v>
      </c>
      <c r="G56" s="1" t="s">
        <v>46</v>
      </c>
      <c r="H56" s="1" t="s">
        <v>22</v>
      </c>
      <c r="I56" s="1" t="s">
        <v>23</v>
      </c>
      <c r="J56" s="1">
        <v>-85.984522757427143</v>
      </c>
      <c r="K56" s="1">
        <v>8598.4522757427148</v>
      </c>
      <c r="L56" s="1">
        <v>114.79148749423418</v>
      </c>
      <c r="M56" s="1">
        <v>128.97678413614071</v>
      </c>
    </row>
    <row r="57" spans="4:13">
      <c r="D57" s="1" t="s">
        <v>83</v>
      </c>
      <c r="E57" s="1" t="s">
        <v>47</v>
      </c>
      <c r="H57" s="1" t="s">
        <v>25</v>
      </c>
      <c r="I57" s="1" t="s">
        <v>23</v>
      </c>
      <c r="M57" s="1" t="b">
        <v>0</v>
      </c>
    </row>
    <row r="58" spans="4:13">
      <c r="D58" s="1" t="s">
        <v>83</v>
      </c>
      <c r="E58" s="1" t="s">
        <v>48</v>
      </c>
      <c r="H58" s="1" t="s">
        <v>25</v>
      </c>
      <c r="I58" s="1" t="s">
        <v>23</v>
      </c>
      <c r="M58" s="1" t="b">
        <v>0</v>
      </c>
    </row>
    <row r="59" spans="4:13">
      <c r="D59" s="1" t="s">
        <v>83</v>
      </c>
      <c r="E59" s="1" t="s">
        <v>49</v>
      </c>
      <c r="H59" s="1" t="s">
        <v>25</v>
      </c>
      <c r="I59" s="1" t="s">
        <v>23</v>
      </c>
      <c r="M59" s="1" t="b">
        <v>0</v>
      </c>
    </row>
    <row r="60" spans="4:13">
      <c r="D60" s="1" t="s">
        <v>83</v>
      </c>
      <c r="E60" s="1" t="s">
        <v>50</v>
      </c>
      <c r="H60" s="1" t="s">
        <v>25</v>
      </c>
      <c r="I60" s="1" t="s">
        <v>23</v>
      </c>
      <c r="M60" s="1" t="b">
        <v>0</v>
      </c>
    </row>
    <row r="61" spans="4:13">
      <c r="D61" s="1" t="s">
        <v>83</v>
      </c>
      <c r="E61" s="1" t="s">
        <v>51</v>
      </c>
      <c r="F61" s="1" t="s">
        <v>52</v>
      </c>
      <c r="G61" s="1" t="s">
        <v>53</v>
      </c>
      <c r="H61" s="1" t="s">
        <v>22</v>
      </c>
      <c r="I61" s="1" t="s">
        <v>23</v>
      </c>
      <c r="J61" s="1">
        <v>0</v>
      </c>
      <c r="K61" s="1">
        <v>7936641438.6555996</v>
      </c>
      <c r="L61" s="1">
        <v>7936.6414386555998</v>
      </c>
      <c r="M61" s="1">
        <v>7936.6414386555998</v>
      </c>
    </row>
    <row r="62" spans="4:13">
      <c r="D62" s="1" t="s">
        <v>83</v>
      </c>
      <c r="E62" s="1" t="s">
        <v>54</v>
      </c>
      <c r="H62" s="1" t="s">
        <v>25</v>
      </c>
      <c r="I62" s="1" t="s">
        <v>23</v>
      </c>
      <c r="M62" s="1" t="b">
        <v>0</v>
      </c>
    </row>
    <row r="63" spans="4:13">
      <c r="D63" s="1" t="s">
        <v>83</v>
      </c>
      <c r="E63" s="1" t="s">
        <v>55</v>
      </c>
      <c r="F63" s="1" t="s">
        <v>56</v>
      </c>
      <c r="G63" s="1" t="s">
        <v>57</v>
      </c>
      <c r="H63" s="1" t="s">
        <v>22</v>
      </c>
      <c r="I63" s="1" t="s">
        <v>23</v>
      </c>
      <c r="J63" s="1">
        <v>0</v>
      </c>
      <c r="K63" s="1">
        <v>9427.4529524635982</v>
      </c>
      <c r="L63" s="1">
        <v>50.713895374744951</v>
      </c>
      <c r="M63" s="1">
        <v>50.763208205573221</v>
      </c>
    </row>
    <row r="64" spans="4:13">
      <c r="D64" s="1" t="s">
        <v>83</v>
      </c>
      <c r="E64" s="1" t="s">
        <v>58</v>
      </c>
      <c r="H64" s="1" t="s">
        <v>25</v>
      </c>
      <c r="I64" s="1" t="s">
        <v>23</v>
      </c>
      <c r="M64" s="1" t="b">
        <v>0</v>
      </c>
    </row>
    <row r="65" spans="4:13">
      <c r="D65" s="1" t="s">
        <v>83</v>
      </c>
      <c r="E65" s="1" t="s">
        <v>59</v>
      </c>
      <c r="F65" s="1" t="s">
        <v>60</v>
      </c>
      <c r="G65" s="1" t="s">
        <v>61</v>
      </c>
      <c r="H65" s="1" t="s">
        <v>22</v>
      </c>
      <c r="I65" s="1" t="s">
        <v>23</v>
      </c>
      <c r="J65" s="1">
        <v>-9.5538358650799999</v>
      </c>
      <c r="K65" s="1">
        <v>9.5538358650799999</v>
      </c>
      <c r="L65" s="1">
        <v>0.23884589662700001</v>
      </c>
      <c r="M65" s="1">
        <v>0.23884589662700001</v>
      </c>
    </row>
    <row r="66" spans="4:13">
      <c r="D66" s="1" t="s">
        <v>83</v>
      </c>
      <c r="E66" s="1" t="s">
        <v>62</v>
      </c>
      <c r="H66" s="1" t="s">
        <v>63</v>
      </c>
      <c r="I66" s="1" t="s">
        <v>23</v>
      </c>
      <c r="M66" s="1">
        <v>1</v>
      </c>
    </row>
    <row r="67" spans="4:13">
      <c r="D67" s="1" t="s">
        <v>83</v>
      </c>
      <c r="E67" s="1" t="s">
        <v>64</v>
      </c>
      <c r="F67" s="1" t="s">
        <v>35</v>
      </c>
      <c r="G67" s="1" t="s">
        <v>36</v>
      </c>
      <c r="H67" s="1" t="s">
        <v>22</v>
      </c>
      <c r="I67" s="1" t="s">
        <v>65</v>
      </c>
      <c r="J67" s="1">
        <v>-459.67</v>
      </c>
      <c r="L67" s="1">
        <v>80.329999999999984</v>
      </c>
    </row>
    <row r="68" spans="4:13">
      <c r="D68" s="1" t="s">
        <v>83</v>
      </c>
      <c r="E68" s="1" t="s">
        <v>66</v>
      </c>
      <c r="F68" s="1" t="s">
        <v>35</v>
      </c>
      <c r="G68" s="1" t="s">
        <v>36</v>
      </c>
      <c r="H68" s="1" t="s">
        <v>22</v>
      </c>
      <c r="I68" s="1" t="s">
        <v>65</v>
      </c>
      <c r="J68" s="1">
        <v>-459.67</v>
      </c>
      <c r="L68" s="1">
        <v>80.329999999999984</v>
      </c>
    </row>
    <row r="69" spans="4:13">
      <c r="D69" s="1" t="s">
        <v>83</v>
      </c>
      <c r="E69" s="1" t="s">
        <v>67</v>
      </c>
      <c r="F69" s="1" t="s">
        <v>41</v>
      </c>
      <c r="G69" s="1" t="s">
        <v>42</v>
      </c>
      <c r="H69" s="1" t="s">
        <v>22</v>
      </c>
      <c r="I69" s="1" t="s">
        <v>65</v>
      </c>
      <c r="L69" s="1">
        <v>1.8</v>
      </c>
    </row>
    <row r="70" spans="4:13">
      <c r="D70" s="1" t="s">
        <v>83</v>
      </c>
      <c r="E70" s="1" t="s">
        <v>68</v>
      </c>
      <c r="F70" s="1" t="s">
        <v>45</v>
      </c>
      <c r="G70" s="1" t="s">
        <v>46</v>
      </c>
      <c r="H70" s="1" t="s">
        <v>22</v>
      </c>
      <c r="I70" s="1" t="s">
        <v>65</v>
      </c>
      <c r="L70" s="1">
        <v>4.2992261378713571E-4</v>
      </c>
    </row>
    <row r="71" spans="4:13">
      <c r="D71" s="1" t="s">
        <v>83</v>
      </c>
      <c r="E71" s="1" t="s">
        <v>69</v>
      </c>
      <c r="H71" s="1" t="s">
        <v>25</v>
      </c>
      <c r="I71" s="1" t="s">
        <v>70</v>
      </c>
    </row>
    <row r="72" spans="4:13">
      <c r="D72" s="1" t="s">
        <v>83</v>
      </c>
      <c r="E72" s="1" t="s">
        <v>71</v>
      </c>
      <c r="F72" s="1" t="s">
        <v>52</v>
      </c>
      <c r="G72" s="1" t="s">
        <v>53</v>
      </c>
      <c r="H72" s="1" t="s">
        <v>22</v>
      </c>
      <c r="I72" s="1" t="s">
        <v>65</v>
      </c>
      <c r="L72" s="1">
        <v>7936.6414386555998</v>
      </c>
    </row>
    <row r="73" spans="4:13">
      <c r="D73" s="1" t="s">
        <v>83</v>
      </c>
      <c r="E73" s="1" t="s">
        <v>72</v>
      </c>
      <c r="F73" s="1" t="s">
        <v>56</v>
      </c>
      <c r="G73" s="1" t="s">
        <v>57</v>
      </c>
      <c r="H73" s="1" t="s">
        <v>22</v>
      </c>
      <c r="I73" s="1" t="s">
        <v>65</v>
      </c>
      <c r="J73" s="1">
        <v>0</v>
      </c>
      <c r="L73" s="1">
        <v>14.503773773020921</v>
      </c>
    </row>
    <row r="74" spans="4:13">
      <c r="D74" s="1" t="s">
        <v>83</v>
      </c>
      <c r="E74" s="1" t="s">
        <v>73</v>
      </c>
      <c r="F74" s="1" t="s">
        <v>60</v>
      </c>
      <c r="G74" s="1" t="s">
        <v>61</v>
      </c>
      <c r="H74" s="1" t="s">
        <v>22</v>
      </c>
      <c r="I74" s="1" t="s">
        <v>65</v>
      </c>
      <c r="L74" s="1">
        <v>2.38845896627E-4</v>
      </c>
    </row>
    <row r="75" spans="4:13">
      <c r="D75" s="1" t="s">
        <v>83</v>
      </c>
      <c r="E75" s="1" t="s">
        <v>74</v>
      </c>
      <c r="F75" s="1" t="s">
        <v>75</v>
      </c>
      <c r="G75" s="1" t="s">
        <v>76</v>
      </c>
      <c r="H75" s="1" t="s">
        <v>22</v>
      </c>
      <c r="I75" s="1" t="s">
        <v>65</v>
      </c>
      <c r="J75" s="1">
        <v>0</v>
      </c>
      <c r="L75" s="1">
        <v>16.018463521800001</v>
      </c>
    </row>
    <row r="76" spans="4:13">
      <c r="D76" s="1" t="s">
        <v>83</v>
      </c>
      <c r="E76" s="1" t="s">
        <v>77</v>
      </c>
      <c r="H76" s="1" t="s">
        <v>22</v>
      </c>
      <c r="I76" s="1" t="s">
        <v>65</v>
      </c>
      <c r="L76" s="1">
        <v>1</v>
      </c>
    </row>
    <row r="77" spans="4:13">
      <c r="D77" s="1" t="s">
        <v>83</v>
      </c>
      <c r="E77" s="1" t="s">
        <v>78</v>
      </c>
      <c r="H77" s="1" t="s">
        <v>25</v>
      </c>
      <c r="I77" s="1" t="s">
        <v>23</v>
      </c>
      <c r="M77" s="1" t="b">
        <v>0</v>
      </c>
    </row>
    <row r="78" spans="4:13">
      <c r="D78" s="1" t="s">
        <v>83</v>
      </c>
      <c r="E78" s="1" t="s">
        <v>79</v>
      </c>
      <c r="F78" s="1" t="s">
        <v>75</v>
      </c>
      <c r="G78" s="1" t="s">
        <v>76</v>
      </c>
      <c r="H78" s="1" t="s">
        <v>22</v>
      </c>
      <c r="I78" s="1" t="s">
        <v>23</v>
      </c>
      <c r="J78" s="1">
        <v>0</v>
      </c>
      <c r="K78" s="1">
        <v>96.110781130800007</v>
      </c>
      <c r="L78" s="1">
        <v>16.018463521800001</v>
      </c>
      <c r="M78" s="1">
        <v>1.6018463521800002</v>
      </c>
    </row>
    <row r="79" spans="4:13">
      <c r="D79" s="1" t="s">
        <v>83</v>
      </c>
      <c r="E79" s="1" t="s">
        <v>80</v>
      </c>
      <c r="H79" s="1" t="s">
        <v>25</v>
      </c>
      <c r="I79" s="1" t="s">
        <v>23</v>
      </c>
      <c r="M79" s="1" t="b">
        <v>0</v>
      </c>
    </row>
    <row r="80" spans="4:13">
      <c r="D80" s="1" t="s">
        <v>83</v>
      </c>
      <c r="E80" s="1" t="s">
        <v>81</v>
      </c>
      <c r="H80" s="1" t="s">
        <v>25</v>
      </c>
      <c r="I80" s="1" t="s">
        <v>23</v>
      </c>
      <c r="M80" s="1" t="b">
        <v>0</v>
      </c>
    </row>
    <row r="81" spans="4:13">
      <c r="D81" s="1" t="s">
        <v>83</v>
      </c>
      <c r="E81" s="1" t="s">
        <v>82</v>
      </c>
      <c r="H81" s="1" t="s">
        <v>22</v>
      </c>
      <c r="I81" s="1" t="s">
        <v>23</v>
      </c>
      <c r="J81" s="1">
        <v>-1</v>
      </c>
      <c r="K81" s="1">
        <v>3</v>
      </c>
      <c r="L81" s="1">
        <v>1</v>
      </c>
      <c r="M81" s="1">
        <v>1.01</v>
      </c>
    </row>
    <row r="82" spans="4:13">
      <c r="D82" s="1" t="s">
        <v>84</v>
      </c>
      <c r="E82" s="1" t="s">
        <v>28</v>
      </c>
      <c r="H82" s="1" t="s">
        <v>22</v>
      </c>
      <c r="I82" s="1" t="s">
        <v>29</v>
      </c>
      <c r="J82" s="1">
        <v>34000</v>
      </c>
      <c r="K82" s="1">
        <v>4300000</v>
      </c>
      <c r="L82" s="1">
        <v>349660</v>
      </c>
    </row>
    <row r="83" spans="4:13">
      <c r="D83" s="1" t="s">
        <v>84</v>
      </c>
      <c r="E83" s="1" t="s">
        <v>30</v>
      </c>
      <c r="H83" s="1" t="s">
        <v>22</v>
      </c>
      <c r="I83" s="1" t="s">
        <v>29</v>
      </c>
      <c r="J83" s="1">
        <v>-3.94</v>
      </c>
      <c r="K83" s="1">
        <v>3.66</v>
      </c>
      <c r="L83" s="1">
        <v>1</v>
      </c>
    </row>
    <row r="84" spans="4:13">
      <c r="D84" s="1" t="s">
        <v>84</v>
      </c>
      <c r="E84" s="1" t="s">
        <v>31</v>
      </c>
      <c r="H84" s="1" t="s">
        <v>22</v>
      </c>
      <c r="I84" s="1" t="s">
        <v>29</v>
      </c>
      <c r="J84" s="1">
        <v>0</v>
      </c>
      <c r="K84" s="1">
        <v>100</v>
      </c>
      <c r="L84" s="1">
        <v>1</v>
      </c>
    </row>
    <row r="85" spans="4:13">
      <c r="D85" s="1" t="s">
        <v>84</v>
      </c>
      <c r="E85" s="1" t="s">
        <v>32</v>
      </c>
      <c r="H85" s="1" t="s">
        <v>22</v>
      </c>
      <c r="I85" s="1" t="s">
        <v>29</v>
      </c>
      <c r="J85" s="1">
        <v>-3.94</v>
      </c>
      <c r="K85" s="1">
        <v>3.66</v>
      </c>
      <c r="L85" s="1">
        <v>1</v>
      </c>
    </row>
    <row r="86" spans="4:13">
      <c r="D86" s="1" t="s">
        <v>84</v>
      </c>
      <c r="E86" s="1" t="s">
        <v>33</v>
      </c>
      <c r="H86" s="1" t="s">
        <v>25</v>
      </c>
      <c r="I86" s="1" t="s">
        <v>23</v>
      </c>
      <c r="M86" s="1" t="b">
        <v>0</v>
      </c>
    </row>
    <row r="87" spans="4:13">
      <c r="D87" s="1" t="s">
        <v>84</v>
      </c>
      <c r="E87" s="1" t="s">
        <v>34</v>
      </c>
      <c r="F87" s="1" t="s">
        <v>35</v>
      </c>
      <c r="G87" s="1" t="s">
        <v>36</v>
      </c>
      <c r="H87" s="1" t="s">
        <v>22</v>
      </c>
      <c r="I87" s="1" t="s">
        <v>23</v>
      </c>
      <c r="J87" s="1">
        <v>-459.67</v>
      </c>
      <c r="K87" s="1">
        <v>980.32999999999993</v>
      </c>
      <c r="L87" s="1">
        <v>80.329999999999984</v>
      </c>
      <c r="M87" s="1">
        <v>67.999999999999943</v>
      </c>
    </row>
    <row r="88" spans="4:13">
      <c r="D88" s="1" t="s">
        <v>84</v>
      </c>
      <c r="E88" s="1" t="s">
        <v>37</v>
      </c>
      <c r="H88" s="1" t="s">
        <v>25</v>
      </c>
      <c r="I88" s="1" t="s">
        <v>23</v>
      </c>
      <c r="M88" s="1" t="b">
        <v>0</v>
      </c>
    </row>
    <row r="89" spans="4:13">
      <c r="D89" s="1" t="s">
        <v>84</v>
      </c>
      <c r="E89" s="1" t="s">
        <v>38</v>
      </c>
      <c r="F89" s="1" t="s">
        <v>35</v>
      </c>
      <c r="G89" s="1" t="s">
        <v>36</v>
      </c>
      <c r="H89" s="1" t="s">
        <v>22</v>
      </c>
      <c r="I89" s="1" t="s">
        <v>23</v>
      </c>
      <c r="J89" s="1">
        <v>-99.670000000000016</v>
      </c>
      <c r="K89" s="1">
        <v>980.32999999999993</v>
      </c>
      <c r="L89" s="1">
        <v>80.329999999999984</v>
      </c>
      <c r="M89" s="1">
        <v>13.999999999999943</v>
      </c>
    </row>
    <row r="90" spans="4:13">
      <c r="D90" s="1" t="s">
        <v>84</v>
      </c>
      <c r="E90" s="1" t="s">
        <v>39</v>
      </c>
      <c r="H90" s="1" t="s">
        <v>25</v>
      </c>
      <c r="I90" s="1" t="s">
        <v>23</v>
      </c>
      <c r="M90" s="1" t="b">
        <v>0</v>
      </c>
    </row>
    <row r="91" spans="4:13">
      <c r="D91" s="1" t="s">
        <v>84</v>
      </c>
      <c r="E91" s="1" t="s">
        <v>40</v>
      </c>
      <c r="F91" s="1" t="s">
        <v>41</v>
      </c>
      <c r="G91" s="1" t="s">
        <v>42</v>
      </c>
      <c r="H91" s="1" t="s">
        <v>22</v>
      </c>
      <c r="I91" s="1" t="s">
        <v>23</v>
      </c>
      <c r="J91" s="1">
        <v>-900</v>
      </c>
      <c r="K91" s="1">
        <v>900</v>
      </c>
      <c r="L91" s="1">
        <v>1.8</v>
      </c>
      <c r="M91" s="1">
        <v>9</v>
      </c>
    </row>
    <row r="92" spans="4:13">
      <c r="D92" s="1" t="s">
        <v>84</v>
      </c>
      <c r="E92" s="1" t="s">
        <v>43</v>
      </c>
      <c r="H92" s="1" t="s">
        <v>25</v>
      </c>
      <c r="I92" s="1" t="s">
        <v>23</v>
      </c>
      <c r="M92" s="1" t="b">
        <v>0</v>
      </c>
    </row>
    <row r="93" spans="4:13">
      <c r="D93" s="1" t="s">
        <v>84</v>
      </c>
      <c r="E93" s="1" t="s">
        <v>44</v>
      </c>
      <c r="F93" s="1" t="s">
        <v>45</v>
      </c>
      <c r="G93" s="1" t="s">
        <v>46</v>
      </c>
      <c r="H93" s="1" t="s">
        <v>22</v>
      </c>
      <c r="I93" s="1" t="s">
        <v>23</v>
      </c>
      <c r="J93" s="1">
        <v>-85.984522757427143</v>
      </c>
      <c r="K93" s="1">
        <v>8598.4522757427148</v>
      </c>
      <c r="L93" s="1">
        <v>114.79148749423418</v>
      </c>
      <c r="M93" s="1">
        <v>128.97678413614071</v>
      </c>
    </row>
    <row r="94" spans="4:13">
      <c r="D94" s="1" t="s">
        <v>84</v>
      </c>
      <c r="E94" s="1" t="s">
        <v>47</v>
      </c>
      <c r="H94" s="1" t="s">
        <v>25</v>
      </c>
      <c r="I94" s="1" t="s">
        <v>23</v>
      </c>
      <c r="M94" s="1" t="b">
        <v>0</v>
      </c>
    </row>
    <row r="95" spans="4:13">
      <c r="D95" s="1" t="s">
        <v>84</v>
      </c>
      <c r="E95" s="1" t="s">
        <v>48</v>
      </c>
      <c r="H95" s="1" t="s">
        <v>25</v>
      </c>
      <c r="I95" s="1" t="s">
        <v>23</v>
      </c>
      <c r="M95" s="1" t="b">
        <v>0</v>
      </c>
    </row>
    <row r="96" spans="4:13">
      <c r="D96" s="1" t="s">
        <v>84</v>
      </c>
      <c r="E96" s="1" t="s">
        <v>49</v>
      </c>
      <c r="H96" s="1" t="s">
        <v>25</v>
      </c>
      <c r="I96" s="1" t="s">
        <v>23</v>
      </c>
      <c r="M96" s="1" t="b">
        <v>0</v>
      </c>
    </row>
    <row r="97" spans="4:13">
      <c r="D97" s="1" t="s">
        <v>84</v>
      </c>
      <c r="E97" s="1" t="s">
        <v>50</v>
      </c>
      <c r="H97" s="1" t="s">
        <v>25</v>
      </c>
      <c r="I97" s="1" t="s">
        <v>23</v>
      </c>
      <c r="M97" s="1" t="b">
        <v>0</v>
      </c>
    </row>
    <row r="98" spans="4:13">
      <c r="D98" s="1" t="s">
        <v>84</v>
      </c>
      <c r="E98" s="1" t="s">
        <v>51</v>
      </c>
      <c r="F98" s="1" t="s">
        <v>52</v>
      </c>
      <c r="G98" s="1" t="s">
        <v>53</v>
      </c>
      <c r="H98" s="1" t="s">
        <v>22</v>
      </c>
      <c r="I98" s="1" t="s">
        <v>23</v>
      </c>
      <c r="J98" s="1">
        <v>0</v>
      </c>
      <c r="K98" s="1">
        <v>7936641438.6555996</v>
      </c>
      <c r="L98" s="1">
        <v>7936.6414386555998</v>
      </c>
      <c r="M98" s="1">
        <v>7936.6414386555998</v>
      </c>
    </row>
    <row r="99" spans="4:13">
      <c r="D99" s="1" t="s">
        <v>84</v>
      </c>
      <c r="E99" s="1" t="s">
        <v>54</v>
      </c>
      <c r="H99" s="1" t="s">
        <v>25</v>
      </c>
      <c r="I99" s="1" t="s">
        <v>23</v>
      </c>
      <c r="M99" s="1" t="b">
        <v>0</v>
      </c>
    </row>
    <row r="100" spans="4:13">
      <c r="D100" s="1" t="s">
        <v>84</v>
      </c>
      <c r="E100" s="1" t="s">
        <v>55</v>
      </c>
      <c r="F100" s="1" t="s">
        <v>56</v>
      </c>
      <c r="G100" s="1" t="s">
        <v>57</v>
      </c>
      <c r="H100" s="1" t="s">
        <v>22</v>
      </c>
      <c r="I100" s="1" t="s">
        <v>23</v>
      </c>
      <c r="J100" s="1">
        <v>0</v>
      </c>
      <c r="K100" s="1">
        <v>9427.4529524635982</v>
      </c>
      <c r="L100" s="1">
        <v>50.713895374744951</v>
      </c>
      <c r="M100" s="1">
        <v>50.763208205573221</v>
      </c>
    </row>
    <row r="101" spans="4:13">
      <c r="D101" s="1" t="s">
        <v>84</v>
      </c>
      <c r="E101" s="1" t="s">
        <v>58</v>
      </c>
      <c r="H101" s="1" t="s">
        <v>25</v>
      </c>
      <c r="I101" s="1" t="s">
        <v>23</v>
      </c>
      <c r="M101" s="1" t="b">
        <v>0</v>
      </c>
    </row>
    <row r="102" spans="4:13">
      <c r="D102" s="1" t="s">
        <v>84</v>
      </c>
      <c r="E102" s="1" t="s">
        <v>59</v>
      </c>
      <c r="F102" s="1" t="s">
        <v>60</v>
      </c>
      <c r="G102" s="1" t="s">
        <v>61</v>
      </c>
      <c r="H102" s="1" t="s">
        <v>22</v>
      </c>
      <c r="I102" s="1" t="s">
        <v>23</v>
      </c>
      <c r="J102" s="1">
        <v>-9.5538358650799999</v>
      </c>
      <c r="K102" s="1">
        <v>9.5538358650799999</v>
      </c>
      <c r="L102" s="1">
        <v>0.23884589662700001</v>
      </c>
      <c r="M102" s="1">
        <v>0.23884589662700001</v>
      </c>
    </row>
    <row r="103" spans="4:13">
      <c r="D103" s="1" t="s">
        <v>84</v>
      </c>
      <c r="E103" s="1" t="s">
        <v>62</v>
      </c>
      <c r="H103" s="1" t="s">
        <v>63</v>
      </c>
      <c r="I103" s="1" t="s">
        <v>23</v>
      </c>
      <c r="M103" s="1">
        <v>1</v>
      </c>
    </row>
    <row r="104" spans="4:13">
      <c r="D104" s="1" t="s">
        <v>84</v>
      </c>
      <c r="E104" s="1" t="s">
        <v>64</v>
      </c>
      <c r="F104" s="1" t="s">
        <v>35</v>
      </c>
      <c r="G104" s="1" t="s">
        <v>36</v>
      </c>
      <c r="H104" s="1" t="s">
        <v>22</v>
      </c>
      <c r="I104" s="1" t="s">
        <v>65</v>
      </c>
      <c r="J104" s="1">
        <v>-459.67</v>
      </c>
      <c r="L104" s="1">
        <v>80.329999999999984</v>
      </c>
    </row>
    <row r="105" spans="4:13">
      <c r="D105" s="1" t="s">
        <v>84</v>
      </c>
      <c r="E105" s="1" t="s">
        <v>66</v>
      </c>
      <c r="F105" s="1" t="s">
        <v>35</v>
      </c>
      <c r="G105" s="1" t="s">
        <v>36</v>
      </c>
      <c r="H105" s="1" t="s">
        <v>22</v>
      </c>
      <c r="I105" s="1" t="s">
        <v>65</v>
      </c>
      <c r="J105" s="1">
        <v>-459.67</v>
      </c>
      <c r="L105" s="1">
        <v>80.329999999999984</v>
      </c>
    </row>
    <row r="106" spans="4:13">
      <c r="D106" s="1" t="s">
        <v>84</v>
      </c>
      <c r="E106" s="1" t="s">
        <v>67</v>
      </c>
      <c r="F106" s="1" t="s">
        <v>41</v>
      </c>
      <c r="G106" s="1" t="s">
        <v>42</v>
      </c>
      <c r="H106" s="1" t="s">
        <v>22</v>
      </c>
      <c r="I106" s="1" t="s">
        <v>65</v>
      </c>
      <c r="L106" s="1">
        <v>1.8</v>
      </c>
    </row>
    <row r="107" spans="4:13">
      <c r="D107" s="1" t="s">
        <v>84</v>
      </c>
      <c r="E107" s="1" t="s">
        <v>68</v>
      </c>
      <c r="F107" s="1" t="s">
        <v>45</v>
      </c>
      <c r="G107" s="1" t="s">
        <v>46</v>
      </c>
      <c r="H107" s="1" t="s">
        <v>22</v>
      </c>
      <c r="I107" s="1" t="s">
        <v>65</v>
      </c>
      <c r="L107" s="1">
        <v>4.2992261378713571E-4</v>
      </c>
    </row>
    <row r="108" spans="4:13">
      <c r="D108" s="1" t="s">
        <v>84</v>
      </c>
      <c r="E108" s="1" t="s">
        <v>69</v>
      </c>
      <c r="H108" s="1" t="s">
        <v>25</v>
      </c>
      <c r="I108" s="1" t="s">
        <v>70</v>
      </c>
    </row>
    <row r="109" spans="4:13">
      <c r="D109" s="1" t="s">
        <v>84</v>
      </c>
      <c r="E109" s="1" t="s">
        <v>71</v>
      </c>
      <c r="F109" s="1" t="s">
        <v>52</v>
      </c>
      <c r="G109" s="1" t="s">
        <v>53</v>
      </c>
      <c r="H109" s="1" t="s">
        <v>22</v>
      </c>
      <c r="I109" s="1" t="s">
        <v>65</v>
      </c>
      <c r="L109" s="1">
        <v>7936.6414386555998</v>
      </c>
    </row>
    <row r="110" spans="4:13">
      <c r="D110" s="1" t="s">
        <v>84</v>
      </c>
      <c r="E110" s="1" t="s">
        <v>72</v>
      </c>
      <c r="F110" s="1" t="s">
        <v>56</v>
      </c>
      <c r="G110" s="1" t="s">
        <v>57</v>
      </c>
      <c r="H110" s="1" t="s">
        <v>22</v>
      </c>
      <c r="I110" s="1" t="s">
        <v>65</v>
      </c>
      <c r="J110" s="1">
        <v>0</v>
      </c>
      <c r="L110" s="1">
        <v>14.503773773020921</v>
      </c>
    </row>
    <row r="111" spans="4:13">
      <c r="D111" s="1" t="s">
        <v>84</v>
      </c>
      <c r="E111" s="1" t="s">
        <v>73</v>
      </c>
      <c r="F111" s="1" t="s">
        <v>60</v>
      </c>
      <c r="G111" s="1" t="s">
        <v>61</v>
      </c>
      <c r="H111" s="1" t="s">
        <v>22</v>
      </c>
      <c r="I111" s="1" t="s">
        <v>65</v>
      </c>
      <c r="L111" s="1">
        <v>2.38845896627E-4</v>
      </c>
    </row>
    <row r="112" spans="4:13">
      <c r="D112" s="1" t="s">
        <v>84</v>
      </c>
      <c r="E112" s="1" t="s">
        <v>74</v>
      </c>
      <c r="F112" s="1" t="s">
        <v>75</v>
      </c>
      <c r="G112" s="1" t="s">
        <v>76</v>
      </c>
      <c r="H112" s="1" t="s">
        <v>22</v>
      </c>
      <c r="I112" s="1" t="s">
        <v>65</v>
      </c>
      <c r="J112" s="1">
        <v>0</v>
      </c>
      <c r="L112" s="1">
        <v>16.018463521800001</v>
      </c>
    </row>
    <row r="113" spans="4:13">
      <c r="D113" s="1" t="s">
        <v>84</v>
      </c>
      <c r="E113" s="1" t="s">
        <v>77</v>
      </c>
      <c r="H113" s="1" t="s">
        <v>22</v>
      </c>
      <c r="I113" s="1" t="s">
        <v>65</v>
      </c>
      <c r="L113" s="1">
        <v>1</v>
      </c>
    </row>
    <row r="114" spans="4:13">
      <c r="D114" s="1" t="s">
        <v>84</v>
      </c>
      <c r="E114" s="1" t="s">
        <v>78</v>
      </c>
      <c r="H114" s="1" t="s">
        <v>25</v>
      </c>
      <c r="I114" s="1" t="s">
        <v>23</v>
      </c>
      <c r="M114" s="1" t="b">
        <v>0</v>
      </c>
    </row>
    <row r="115" spans="4:13">
      <c r="D115" s="1" t="s">
        <v>84</v>
      </c>
      <c r="E115" s="1" t="s">
        <v>79</v>
      </c>
      <c r="F115" s="1" t="s">
        <v>75</v>
      </c>
      <c r="G115" s="1" t="s">
        <v>76</v>
      </c>
      <c r="H115" s="1" t="s">
        <v>22</v>
      </c>
      <c r="I115" s="1" t="s">
        <v>23</v>
      </c>
      <c r="J115" s="1">
        <v>0</v>
      </c>
      <c r="K115" s="1">
        <v>96.110781130800007</v>
      </c>
      <c r="L115" s="1">
        <v>16.018463521800001</v>
      </c>
      <c r="M115" s="1">
        <v>1.6018463521800002</v>
      </c>
    </row>
    <row r="116" spans="4:13">
      <c r="D116" s="1" t="s">
        <v>84</v>
      </c>
      <c r="E116" s="1" t="s">
        <v>80</v>
      </c>
      <c r="H116" s="1" t="s">
        <v>25</v>
      </c>
      <c r="I116" s="1" t="s">
        <v>23</v>
      </c>
      <c r="M116" s="1" t="b">
        <v>0</v>
      </c>
    </row>
    <row r="117" spans="4:13">
      <c r="D117" s="1" t="s">
        <v>84</v>
      </c>
      <c r="E117" s="1" t="s">
        <v>81</v>
      </c>
      <c r="H117" s="1" t="s">
        <v>25</v>
      </c>
      <c r="I117" s="1" t="s">
        <v>23</v>
      </c>
      <c r="M117" s="1" t="b">
        <v>0</v>
      </c>
    </row>
    <row r="118" spans="4:13">
      <c r="D118" s="1" t="s">
        <v>84</v>
      </c>
      <c r="E118" s="1" t="s">
        <v>82</v>
      </c>
      <c r="H118" s="1" t="s">
        <v>22</v>
      </c>
      <c r="I118" s="1" t="s">
        <v>23</v>
      </c>
      <c r="J118" s="1">
        <v>-1</v>
      </c>
      <c r="K118" s="1">
        <v>3</v>
      </c>
      <c r="L118" s="1">
        <v>1</v>
      </c>
      <c r="M118" s="1">
        <v>1.01</v>
      </c>
    </row>
    <row r="119" spans="4:13">
      <c r="D119" s="1" t="s">
        <v>85</v>
      </c>
      <c r="E119" s="1" t="s">
        <v>28</v>
      </c>
      <c r="H119" s="1" t="s">
        <v>22</v>
      </c>
      <c r="I119" s="1" t="s">
        <v>29</v>
      </c>
      <c r="J119" s="1">
        <v>34000</v>
      </c>
      <c r="K119" s="1">
        <v>4300000</v>
      </c>
      <c r="L119" s="1">
        <v>349660</v>
      </c>
    </row>
    <row r="120" spans="4:13">
      <c r="D120" s="1" t="s">
        <v>85</v>
      </c>
      <c r="E120" s="1" t="s">
        <v>30</v>
      </c>
      <c r="H120" s="1" t="s">
        <v>22</v>
      </c>
      <c r="I120" s="1" t="s">
        <v>29</v>
      </c>
      <c r="J120" s="1">
        <v>-3.94</v>
      </c>
      <c r="K120" s="1">
        <v>3.66</v>
      </c>
      <c r="L120" s="1">
        <v>1</v>
      </c>
    </row>
    <row r="121" spans="4:13">
      <c r="D121" s="1" t="s">
        <v>85</v>
      </c>
      <c r="E121" s="1" t="s">
        <v>31</v>
      </c>
      <c r="H121" s="1" t="s">
        <v>22</v>
      </c>
      <c r="I121" s="1" t="s">
        <v>29</v>
      </c>
      <c r="J121" s="1">
        <v>0</v>
      </c>
      <c r="K121" s="1">
        <v>100</v>
      </c>
      <c r="L121" s="1">
        <v>1</v>
      </c>
    </row>
    <row r="122" spans="4:13">
      <c r="D122" s="1" t="s">
        <v>85</v>
      </c>
      <c r="E122" s="1" t="s">
        <v>32</v>
      </c>
      <c r="H122" s="1" t="s">
        <v>22</v>
      </c>
      <c r="I122" s="1" t="s">
        <v>29</v>
      </c>
      <c r="J122" s="1">
        <v>-3.94</v>
      </c>
      <c r="K122" s="1">
        <v>3.66</v>
      </c>
      <c r="L122" s="1">
        <v>1</v>
      </c>
    </row>
    <row r="123" spans="4:13">
      <c r="D123" s="1" t="s">
        <v>85</v>
      </c>
      <c r="E123" s="1" t="s">
        <v>33</v>
      </c>
      <c r="H123" s="1" t="s">
        <v>25</v>
      </c>
      <c r="I123" s="1" t="s">
        <v>23</v>
      </c>
      <c r="M123" s="1" t="b">
        <v>0</v>
      </c>
    </row>
    <row r="124" spans="4:13">
      <c r="D124" s="1" t="s">
        <v>85</v>
      </c>
      <c r="E124" s="1" t="s">
        <v>34</v>
      </c>
      <c r="F124" s="1" t="s">
        <v>35</v>
      </c>
      <c r="G124" s="1" t="s">
        <v>36</v>
      </c>
      <c r="H124" s="1" t="s">
        <v>22</v>
      </c>
      <c r="I124" s="1" t="s">
        <v>23</v>
      </c>
      <c r="J124" s="1">
        <v>-459.67</v>
      </c>
      <c r="K124" s="1">
        <v>980.32999999999993</v>
      </c>
      <c r="L124" s="1">
        <v>80.329999999999984</v>
      </c>
      <c r="M124" s="1">
        <v>67.999999999999943</v>
      </c>
    </row>
    <row r="125" spans="4:13">
      <c r="D125" s="1" t="s">
        <v>85</v>
      </c>
      <c r="E125" s="1" t="s">
        <v>37</v>
      </c>
      <c r="H125" s="1" t="s">
        <v>25</v>
      </c>
      <c r="I125" s="1" t="s">
        <v>23</v>
      </c>
      <c r="M125" s="1" t="b">
        <v>0</v>
      </c>
    </row>
    <row r="126" spans="4:13">
      <c r="D126" s="1" t="s">
        <v>85</v>
      </c>
      <c r="E126" s="1" t="s">
        <v>38</v>
      </c>
      <c r="F126" s="1" t="s">
        <v>35</v>
      </c>
      <c r="G126" s="1" t="s">
        <v>36</v>
      </c>
      <c r="H126" s="1" t="s">
        <v>22</v>
      </c>
      <c r="I126" s="1" t="s">
        <v>23</v>
      </c>
      <c r="J126" s="1">
        <v>-99.670000000000016</v>
      </c>
      <c r="K126" s="1">
        <v>980.32999999999993</v>
      </c>
      <c r="L126" s="1">
        <v>80.329999999999984</v>
      </c>
      <c r="M126" s="1">
        <v>13.999999999999943</v>
      </c>
    </row>
    <row r="127" spans="4:13">
      <c r="D127" s="1" t="s">
        <v>85</v>
      </c>
      <c r="E127" s="1" t="s">
        <v>39</v>
      </c>
      <c r="H127" s="1" t="s">
        <v>25</v>
      </c>
      <c r="I127" s="1" t="s">
        <v>23</v>
      </c>
      <c r="M127" s="1" t="b">
        <v>0</v>
      </c>
    </row>
    <row r="128" spans="4:13">
      <c r="D128" s="1" t="s">
        <v>85</v>
      </c>
      <c r="E128" s="1" t="s">
        <v>40</v>
      </c>
      <c r="F128" s="1" t="s">
        <v>41</v>
      </c>
      <c r="G128" s="1" t="s">
        <v>42</v>
      </c>
      <c r="H128" s="1" t="s">
        <v>22</v>
      </c>
      <c r="I128" s="1" t="s">
        <v>23</v>
      </c>
      <c r="J128" s="1">
        <v>-900</v>
      </c>
      <c r="K128" s="1">
        <v>900</v>
      </c>
      <c r="L128" s="1">
        <v>1.8</v>
      </c>
      <c r="M128" s="1">
        <v>9</v>
      </c>
    </row>
    <row r="129" spans="4:13">
      <c r="D129" s="1" t="s">
        <v>85</v>
      </c>
      <c r="E129" s="1" t="s">
        <v>43</v>
      </c>
      <c r="H129" s="1" t="s">
        <v>25</v>
      </c>
      <c r="I129" s="1" t="s">
        <v>23</v>
      </c>
      <c r="M129" s="1" t="b">
        <v>0</v>
      </c>
    </row>
    <row r="130" spans="4:13">
      <c r="D130" s="1" t="s">
        <v>85</v>
      </c>
      <c r="E130" s="1" t="s">
        <v>44</v>
      </c>
      <c r="F130" s="1" t="s">
        <v>45</v>
      </c>
      <c r="G130" s="1" t="s">
        <v>46</v>
      </c>
      <c r="H130" s="1" t="s">
        <v>22</v>
      </c>
      <c r="I130" s="1" t="s">
        <v>23</v>
      </c>
      <c r="J130" s="1">
        <v>-85.984522757427143</v>
      </c>
      <c r="K130" s="1">
        <v>8598.4522757427148</v>
      </c>
      <c r="L130" s="1">
        <v>114.79148749423418</v>
      </c>
      <c r="M130" s="1">
        <v>128.97678413614071</v>
      </c>
    </row>
    <row r="131" spans="4:13">
      <c r="D131" s="1" t="s">
        <v>85</v>
      </c>
      <c r="E131" s="1" t="s">
        <v>47</v>
      </c>
      <c r="H131" s="1" t="s">
        <v>25</v>
      </c>
      <c r="I131" s="1" t="s">
        <v>23</v>
      </c>
      <c r="M131" s="1" t="b">
        <v>0</v>
      </c>
    </row>
    <row r="132" spans="4:13">
      <c r="D132" s="1" t="s">
        <v>85</v>
      </c>
      <c r="E132" s="1" t="s">
        <v>48</v>
      </c>
      <c r="H132" s="1" t="s">
        <v>25</v>
      </c>
      <c r="I132" s="1" t="s">
        <v>23</v>
      </c>
      <c r="M132" s="1" t="b">
        <v>0</v>
      </c>
    </row>
    <row r="133" spans="4:13">
      <c r="D133" s="1" t="s">
        <v>85</v>
      </c>
      <c r="E133" s="1" t="s">
        <v>49</v>
      </c>
      <c r="H133" s="1" t="s">
        <v>25</v>
      </c>
      <c r="I133" s="1" t="s">
        <v>23</v>
      </c>
      <c r="M133" s="1" t="b">
        <v>0</v>
      </c>
    </row>
    <row r="134" spans="4:13">
      <c r="D134" s="1" t="s">
        <v>85</v>
      </c>
      <c r="E134" s="1" t="s">
        <v>50</v>
      </c>
      <c r="H134" s="1" t="s">
        <v>25</v>
      </c>
      <c r="I134" s="1" t="s">
        <v>23</v>
      </c>
      <c r="M134" s="1" t="b">
        <v>0</v>
      </c>
    </row>
    <row r="135" spans="4:13">
      <c r="D135" s="1" t="s">
        <v>85</v>
      </c>
      <c r="E135" s="1" t="s">
        <v>51</v>
      </c>
      <c r="F135" s="1" t="s">
        <v>52</v>
      </c>
      <c r="G135" s="1" t="s">
        <v>53</v>
      </c>
      <c r="H135" s="1" t="s">
        <v>22</v>
      </c>
      <c r="I135" s="1" t="s">
        <v>23</v>
      </c>
      <c r="J135" s="1">
        <v>0</v>
      </c>
      <c r="K135" s="1">
        <v>7936641438.6555996</v>
      </c>
      <c r="L135" s="1">
        <v>7936.6414386555998</v>
      </c>
      <c r="M135" s="1">
        <v>7936.6414386555998</v>
      </c>
    </row>
    <row r="136" spans="4:13">
      <c r="D136" s="1" t="s">
        <v>85</v>
      </c>
      <c r="E136" s="1" t="s">
        <v>54</v>
      </c>
      <c r="H136" s="1" t="s">
        <v>25</v>
      </c>
      <c r="I136" s="1" t="s">
        <v>23</v>
      </c>
      <c r="M136" s="1" t="b">
        <v>0</v>
      </c>
    </row>
    <row r="137" spans="4:13">
      <c r="D137" s="1" t="s">
        <v>85</v>
      </c>
      <c r="E137" s="1" t="s">
        <v>55</v>
      </c>
      <c r="F137" s="1" t="s">
        <v>56</v>
      </c>
      <c r="G137" s="1" t="s">
        <v>57</v>
      </c>
      <c r="H137" s="1" t="s">
        <v>22</v>
      </c>
      <c r="I137" s="1" t="s">
        <v>23</v>
      </c>
      <c r="J137" s="1">
        <v>0</v>
      </c>
      <c r="K137" s="1">
        <v>9427.4529524635982</v>
      </c>
      <c r="L137" s="1">
        <v>50.713895374744951</v>
      </c>
      <c r="M137" s="1">
        <v>50.763208205573221</v>
      </c>
    </row>
    <row r="138" spans="4:13">
      <c r="D138" s="1" t="s">
        <v>85</v>
      </c>
      <c r="E138" s="1" t="s">
        <v>58</v>
      </c>
      <c r="H138" s="1" t="s">
        <v>25</v>
      </c>
      <c r="I138" s="1" t="s">
        <v>23</v>
      </c>
      <c r="M138" s="1" t="b">
        <v>0</v>
      </c>
    </row>
    <row r="139" spans="4:13">
      <c r="D139" s="1" t="s">
        <v>85</v>
      </c>
      <c r="E139" s="1" t="s">
        <v>59</v>
      </c>
      <c r="F139" s="1" t="s">
        <v>60</v>
      </c>
      <c r="G139" s="1" t="s">
        <v>61</v>
      </c>
      <c r="H139" s="1" t="s">
        <v>22</v>
      </c>
      <c r="I139" s="1" t="s">
        <v>23</v>
      </c>
      <c r="J139" s="1">
        <v>-9.5538358650799999</v>
      </c>
      <c r="K139" s="1">
        <v>9.5538358650799999</v>
      </c>
      <c r="L139" s="1">
        <v>0.23884589662700001</v>
      </c>
      <c r="M139" s="1">
        <v>0.23884589662700001</v>
      </c>
    </row>
    <row r="140" spans="4:13">
      <c r="D140" s="1" t="s">
        <v>85</v>
      </c>
      <c r="E140" s="1" t="s">
        <v>62</v>
      </c>
      <c r="H140" s="1" t="s">
        <v>63</v>
      </c>
      <c r="I140" s="1" t="s">
        <v>23</v>
      </c>
      <c r="M140" s="1">
        <v>1</v>
      </c>
    </row>
    <row r="141" spans="4:13">
      <c r="D141" s="1" t="s">
        <v>85</v>
      </c>
      <c r="E141" s="1" t="s">
        <v>64</v>
      </c>
      <c r="F141" s="1" t="s">
        <v>35</v>
      </c>
      <c r="G141" s="1" t="s">
        <v>36</v>
      </c>
      <c r="H141" s="1" t="s">
        <v>22</v>
      </c>
      <c r="I141" s="1" t="s">
        <v>65</v>
      </c>
      <c r="J141" s="1">
        <v>-459.67</v>
      </c>
      <c r="L141" s="1">
        <v>80.329999999999984</v>
      </c>
    </row>
    <row r="142" spans="4:13">
      <c r="D142" s="1" t="s">
        <v>85</v>
      </c>
      <c r="E142" s="1" t="s">
        <v>66</v>
      </c>
      <c r="F142" s="1" t="s">
        <v>35</v>
      </c>
      <c r="G142" s="1" t="s">
        <v>36</v>
      </c>
      <c r="H142" s="1" t="s">
        <v>22</v>
      </c>
      <c r="I142" s="1" t="s">
        <v>65</v>
      </c>
      <c r="J142" s="1">
        <v>-459.67</v>
      </c>
      <c r="L142" s="1">
        <v>80.329999999999984</v>
      </c>
    </row>
    <row r="143" spans="4:13">
      <c r="D143" s="1" t="s">
        <v>85</v>
      </c>
      <c r="E143" s="1" t="s">
        <v>67</v>
      </c>
      <c r="F143" s="1" t="s">
        <v>41</v>
      </c>
      <c r="G143" s="1" t="s">
        <v>42</v>
      </c>
      <c r="H143" s="1" t="s">
        <v>22</v>
      </c>
      <c r="I143" s="1" t="s">
        <v>65</v>
      </c>
      <c r="L143" s="1">
        <v>1.8</v>
      </c>
    </row>
    <row r="144" spans="4:13">
      <c r="D144" s="1" t="s">
        <v>85</v>
      </c>
      <c r="E144" s="1" t="s">
        <v>68</v>
      </c>
      <c r="F144" s="1" t="s">
        <v>45</v>
      </c>
      <c r="G144" s="1" t="s">
        <v>46</v>
      </c>
      <c r="H144" s="1" t="s">
        <v>22</v>
      </c>
      <c r="I144" s="1" t="s">
        <v>65</v>
      </c>
      <c r="L144" s="1">
        <v>4.2992261378713571E-4</v>
      </c>
    </row>
    <row r="145" spans="4:13">
      <c r="D145" s="1" t="s">
        <v>85</v>
      </c>
      <c r="E145" s="1" t="s">
        <v>69</v>
      </c>
      <c r="H145" s="1" t="s">
        <v>25</v>
      </c>
      <c r="I145" s="1" t="s">
        <v>70</v>
      </c>
    </row>
    <row r="146" spans="4:13">
      <c r="D146" s="1" t="s">
        <v>85</v>
      </c>
      <c r="E146" s="1" t="s">
        <v>71</v>
      </c>
      <c r="F146" s="1" t="s">
        <v>52</v>
      </c>
      <c r="G146" s="1" t="s">
        <v>53</v>
      </c>
      <c r="H146" s="1" t="s">
        <v>22</v>
      </c>
      <c r="I146" s="1" t="s">
        <v>65</v>
      </c>
      <c r="L146" s="1">
        <v>7936.6414386555998</v>
      </c>
    </row>
    <row r="147" spans="4:13">
      <c r="D147" s="1" t="s">
        <v>85</v>
      </c>
      <c r="E147" s="1" t="s">
        <v>72</v>
      </c>
      <c r="F147" s="1" t="s">
        <v>56</v>
      </c>
      <c r="G147" s="1" t="s">
        <v>57</v>
      </c>
      <c r="H147" s="1" t="s">
        <v>22</v>
      </c>
      <c r="I147" s="1" t="s">
        <v>65</v>
      </c>
      <c r="J147" s="1">
        <v>0</v>
      </c>
      <c r="L147" s="1">
        <v>14.503773773020921</v>
      </c>
    </row>
    <row r="148" spans="4:13">
      <c r="D148" s="1" t="s">
        <v>85</v>
      </c>
      <c r="E148" s="1" t="s">
        <v>73</v>
      </c>
      <c r="F148" s="1" t="s">
        <v>60</v>
      </c>
      <c r="G148" s="1" t="s">
        <v>61</v>
      </c>
      <c r="H148" s="1" t="s">
        <v>22</v>
      </c>
      <c r="I148" s="1" t="s">
        <v>65</v>
      </c>
      <c r="L148" s="1">
        <v>2.38845896627E-4</v>
      </c>
    </row>
    <row r="149" spans="4:13">
      <c r="D149" s="1" t="s">
        <v>85</v>
      </c>
      <c r="E149" s="1" t="s">
        <v>74</v>
      </c>
      <c r="F149" s="1" t="s">
        <v>75</v>
      </c>
      <c r="G149" s="1" t="s">
        <v>76</v>
      </c>
      <c r="H149" s="1" t="s">
        <v>22</v>
      </c>
      <c r="I149" s="1" t="s">
        <v>65</v>
      </c>
      <c r="J149" s="1">
        <v>0</v>
      </c>
      <c r="L149" s="1">
        <v>16.018463521800001</v>
      </c>
    </row>
    <row r="150" spans="4:13">
      <c r="D150" s="1" t="s">
        <v>85</v>
      </c>
      <c r="E150" s="1" t="s">
        <v>77</v>
      </c>
      <c r="H150" s="1" t="s">
        <v>22</v>
      </c>
      <c r="I150" s="1" t="s">
        <v>65</v>
      </c>
      <c r="L150" s="1">
        <v>1</v>
      </c>
    </row>
    <row r="151" spans="4:13">
      <c r="D151" s="1" t="s">
        <v>85</v>
      </c>
      <c r="E151" s="1" t="s">
        <v>78</v>
      </c>
      <c r="H151" s="1" t="s">
        <v>25</v>
      </c>
      <c r="I151" s="1" t="s">
        <v>23</v>
      </c>
      <c r="M151" s="1" t="b">
        <v>0</v>
      </c>
    </row>
    <row r="152" spans="4:13">
      <c r="D152" s="1" t="s">
        <v>85</v>
      </c>
      <c r="E152" s="1" t="s">
        <v>79</v>
      </c>
      <c r="F152" s="1" t="s">
        <v>75</v>
      </c>
      <c r="G152" s="1" t="s">
        <v>76</v>
      </c>
      <c r="H152" s="1" t="s">
        <v>22</v>
      </c>
      <c r="I152" s="1" t="s">
        <v>23</v>
      </c>
      <c r="J152" s="1">
        <v>0</v>
      </c>
      <c r="K152" s="1">
        <v>96.110781130800007</v>
      </c>
      <c r="L152" s="1">
        <v>16.018463521800001</v>
      </c>
      <c r="M152" s="1">
        <v>1.6018463521800002</v>
      </c>
    </row>
    <row r="153" spans="4:13">
      <c r="D153" s="1" t="s">
        <v>85</v>
      </c>
      <c r="E153" s="1" t="s">
        <v>80</v>
      </c>
      <c r="H153" s="1" t="s">
        <v>25</v>
      </c>
      <c r="I153" s="1" t="s">
        <v>23</v>
      </c>
      <c r="M153" s="1" t="b">
        <v>0</v>
      </c>
    </row>
    <row r="154" spans="4:13">
      <c r="D154" s="1" t="s">
        <v>85</v>
      </c>
      <c r="E154" s="1" t="s">
        <v>81</v>
      </c>
      <c r="H154" s="1" t="s">
        <v>25</v>
      </c>
      <c r="I154" s="1" t="s">
        <v>23</v>
      </c>
      <c r="M154" s="1" t="b">
        <v>0</v>
      </c>
    </row>
    <row r="155" spans="4:13">
      <c r="D155" s="1" t="s">
        <v>85</v>
      </c>
      <c r="E155" s="1" t="s">
        <v>82</v>
      </c>
      <c r="H155" s="1" t="s">
        <v>22</v>
      </c>
      <c r="I155" s="1" t="s">
        <v>23</v>
      </c>
      <c r="J155" s="1">
        <v>-1</v>
      </c>
      <c r="K155" s="1">
        <v>3</v>
      </c>
      <c r="L155" s="1">
        <v>1</v>
      </c>
      <c r="M155" s="1">
        <v>1.01</v>
      </c>
    </row>
    <row r="156" spans="4:13">
      <c r="D156" s="1" t="s">
        <v>86</v>
      </c>
      <c r="E156" s="1" t="s">
        <v>28</v>
      </c>
      <c r="H156" s="1" t="s">
        <v>22</v>
      </c>
      <c r="I156" s="1" t="s">
        <v>29</v>
      </c>
      <c r="J156" s="1">
        <v>34000</v>
      </c>
      <c r="K156" s="1">
        <v>4300000</v>
      </c>
      <c r="L156" s="1">
        <v>349660</v>
      </c>
    </row>
    <row r="157" spans="4:13">
      <c r="D157" s="1" t="s">
        <v>86</v>
      </c>
      <c r="E157" s="1" t="s">
        <v>30</v>
      </c>
      <c r="H157" s="1" t="s">
        <v>22</v>
      </c>
      <c r="I157" s="1" t="s">
        <v>29</v>
      </c>
      <c r="J157" s="1">
        <v>-3.94</v>
      </c>
      <c r="K157" s="1">
        <v>3.66</v>
      </c>
      <c r="L157" s="1">
        <v>1</v>
      </c>
    </row>
    <row r="158" spans="4:13">
      <c r="D158" s="1" t="s">
        <v>86</v>
      </c>
      <c r="E158" s="1" t="s">
        <v>31</v>
      </c>
      <c r="H158" s="1" t="s">
        <v>22</v>
      </c>
      <c r="I158" s="1" t="s">
        <v>29</v>
      </c>
      <c r="J158" s="1">
        <v>0</v>
      </c>
      <c r="K158" s="1">
        <v>100</v>
      </c>
      <c r="L158" s="1">
        <v>1</v>
      </c>
    </row>
    <row r="159" spans="4:13">
      <c r="D159" s="1" t="s">
        <v>86</v>
      </c>
      <c r="E159" s="1" t="s">
        <v>32</v>
      </c>
      <c r="H159" s="1" t="s">
        <v>22</v>
      </c>
      <c r="I159" s="1" t="s">
        <v>29</v>
      </c>
      <c r="J159" s="1">
        <v>-3.94</v>
      </c>
      <c r="K159" s="1">
        <v>3.66</v>
      </c>
      <c r="L159" s="1">
        <v>1</v>
      </c>
    </row>
    <row r="160" spans="4:13">
      <c r="D160" s="1" t="s">
        <v>86</v>
      </c>
      <c r="E160" s="1" t="s">
        <v>33</v>
      </c>
      <c r="H160" s="1" t="s">
        <v>25</v>
      </c>
      <c r="I160" s="1" t="s">
        <v>23</v>
      </c>
      <c r="M160" s="1" t="b">
        <v>0</v>
      </c>
    </row>
    <row r="161" spans="4:13">
      <c r="D161" s="1" t="s">
        <v>86</v>
      </c>
      <c r="E161" s="1" t="s">
        <v>34</v>
      </c>
      <c r="F161" s="1" t="s">
        <v>35</v>
      </c>
      <c r="G161" s="1" t="s">
        <v>36</v>
      </c>
      <c r="H161" s="1" t="s">
        <v>22</v>
      </c>
      <c r="I161" s="1" t="s">
        <v>23</v>
      </c>
      <c r="J161" s="1">
        <v>-459.67</v>
      </c>
      <c r="K161" s="1">
        <v>980.32999999999993</v>
      </c>
      <c r="L161" s="1">
        <v>80.329999999999984</v>
      </c>
      <c r="M161" s="1">
        <v>67.999999999999943</v>
      </c>
    </row>
    <row r="162" spans="4:13">
      <c r="D162" s="1" t="s">
        <v>86</v>
      </c>
      <c r="E162" s="1" t="s">
        <v>37</v>
      </c>
      <c r="H162" s="1" t="s">
        <v>25</v>
      </c>
      <c r="I162" s="1" t="s">
        <v>23</v>
      </c>
      <c r="M162" s="1" t="b">
        <v>0</v>
      </c>
    </row>
    <row r="163" spans="4:13">
      <c r="D163" s="1" t="s">
        <v>86</v>
      </c>
      <c r="E163" s="1" t="s">
        <v>38</v>
      </c>
      <c r="F163" s="1" t="s">
        <v>35</v>
      </c>
      <c r="G163" s="1" t="s">
        <v>36</v>
      </c>
      <c r="H163" s="1" t="s">
        <v>22</v>
      </c>
      <c r="I163" s="1" t="s">
        <v>23</v>
      </c>
      <c r="J163" s="1">
        <v>-99.670000000000016</v>
      </c>
      <c r="K163" s="1">
        <v>980.32999999999993</v>
      </c>
      <c r="L163" s="1">
        <v>80.329999999999984</v>
      </c>
      <c r="M163" s="1">
        <v>13.999999999999943</v>
      </c>
    </row>
    <row r="164" spans="4:13">
      <c r="D164" s="1" t="s">
        <v>86</v>
      </c>
      <c r="E164" s="1" t="s">
        <v>39</v>
      </c>
      <c r="H164" s="1" t="s">
        <v>25</v>
      </c>
      <c r="I164" s="1" t="s">
        <v>23</v>
      </c>
      <c r="M164" s="1" t="b">
        <v>0</v>
      </c>
    </row>
    <row r="165" spans="4:13">
      <c r="D165" s="1" t="s">
        <v>86</v>
      </c>
      <c r="E165" s="1" t="s">
        <v>40</v>
      </c>
      <c r="F165" s="1" t="s">
        <v>41</v>
      </c>
      <c r="G165" s="1" t="s">
        <v>42</v>
      </c>
      <c r="H165" s="1" t="s">
        <v>22</v>
      </c>
      <c r="I165" s="1" t="s">
        <v>23</v>
      </c>
      <c r="J165" s="1">
        <v>-900</v>
      </c>
      <c r="K165" s="1">
        <v>900</v>
      </c>
      <c r="L165" s="1">
        <v>1.8</v>
      </c>
      <c r="M165" s="1">
        <v>9</v>
      </c>
    </row>
    <row r="166" spans="4:13">
      <c r="D166" s="1" t="s">
        <v>86</v>
      </c>
      <c r="E166" s="1" t="s">
        <v>43</v>
      </c>
      <c r="H166" s="1" t="s">
        <v>25</v>
      </c>
      <c r="I166" s="1" t="s">
        <v>23</v>
      </c>
      <c r="M166" s="1" t="b">
        <v>0</v>
      </c>
    </row>
    <row r="167" spans="4:13">
      <c r="D167" s="1" t="s">
        <v>86</v>
      </c>
      <c r="E167" s="1" t="s">
        <v>44</v>
      </c>
      <c r="F167" s="1" t="s">
        <v>45</v>
      </c>
      <c r="G167" s="1" t="s">
        <v>46</v>
      </c>
      <c r="H167" s="1" t="s">
        <v>22</v>
      </c>
      <c r="I167" s="1" t="s">
        <v>23</v>
      </c>
      <c r="J167" s="1">
        <v>-85.984522757427143</v>
      </c>
      <c r="K167" s="1">
        <v>8598.4522757427148</v>
      </c>
      <c r="L167" s="1">
        <v>114.79148749423418</v>
      </c>
      <c r="M167" s="1">
        <v>128.97678413614071</v>
      </c>
    </row>
    <row r="168" spans="4:13">
      <c r="D168" s="1" t="s">
        <v>86</v>
      </c>
      <c r="E168" s="1" t="s">
        <v>47</v>
      </c>
      <c r="H168" s="1" t="s">
        <v>25</v>
      </c>
      <c r="I168" s="1" t="s">
        <v>23</v>
      </c>
      <c r="M168" s="1" t="b">
        <v>0</v>
      </c>
    </row>
    <row r="169" spans="4:13">
      <c r="D169" s="1" t="s">
        <v>86</v>
      </c>
      <c r="E169" s="1" t="s">
        <v>48</v>
      </c>
      <c r="H169" s="1" t="s">
        <v>25</v>
      </c>
      <c r="I169" s="1" t="s">
        <v>23</v>
      </c>
      <c r="M169" s="1" t="b">
        <v>0</v>
      </c>
    </row>
    <row r="170" spans="4:13">
      <c r="D170" s="1" t="s">
        <v>86</v>
      </c>
      <c r="E170" s="1" t="s">
        <v>49</v>
      </c>
      <c r="H170" s="1" t="s">
        <v>25</v>
      </c>
      <c r="I170" s="1" t="s">
        <v>23</v>
      </c>
      <c r="M170" s="1" t="b">
        <v>0</v>
      </c>
    </row>
    <row r="171" spans="4:13">
      <c r="D171" s="1" t="s">
        <v>86</v>
      </c>
      <c r="E171" s="1" t="s">
        <v>50</v>
      </c>
      <c r="H171" s="1" t="s">
        <v>25</v>
      </c>
      <c r="I171" s="1" t="s">
        <v>23</v>
      </c>
      <c r="M171" s="1" t="b">
        <v>0</v>
      </c>
    </row>
    <row r="172" spans="4:13">
      <c r="D172" s="1" t="s">
        <v>86</v>
      </c>
      <c r="E172" s="1" t="s">
        <v>51</v>
      </c>
      <c r="F172" s="1" t="s">
        <v>52</v>
      </c>
      <c r="G172" s="1" t="s">
        <v>53</v>
      </c>
      <c r="H172" s="1" t="s">
        <v>22</v>
      </c>
      <c r="I172" s="1" t="s">
        <v>23</v>
      </c>
      <c r="J172" s="1">
        <v>0</v>
      </c>
      <c r="K172" s="1">
        <v>7936641438.6555996</v>
      </c>
      <c r="L172" s="1">
        <v>7936.6414386555998</v>
      </c>
      <c r="M172" s="1">
        <v>7936.6414386555998</v>
      </c>
    </row>
    <row r="173" spans="4:13">
      <c r="D173" s="1" t="s">
        <v>86</v>
      </c>
      <c r="E173" s="1" t="s">
        <v>54</v>
      </c>
      <c r="H173" s="1" t="s">
        <v>25</v>
      </c>
      <c r="I173" s="1" t="s">
        <v>23</v>
      </c>
      <c r="M173" s="1" t="b">
        <v>0</v>
      </c>
    </row>
    <row r="174" spans="4:13">
      <c r="D174" s="1" t="s">
        <v>86</v>
      </c>
      <c r="E174" s="1" t="s">
        <v>55</v>
      </c>
      <c r="F174" s="1" t="s">
        <v>56</v>
      </c>
      <c r="G174" s="1" t="s">
        <v>57</v>
      </c>
      <c r="H174" s="1" t="s">
        <v>22</v>
      </c>
      <c r="I174" s="1" t="s">
        <v>23</v>
      </c>
      <c r="J174" s="1">
        <v>0</v>
      </c>
      <c r="K174" s="1">
        <v>9427.4529524635982</v>
      </c>
      <c r="L174" s="1">
        <v>50.713895374744951</v>
      </c>
      <c r="M174" s="1">
        <v>50.763208205573221</v>
      </c>
    </row>
    <row r="175" spans="4:13">
      <c r="D175" s="1" t="s">
        <v>86</v>
      </c>
      <c r="E175" s="1" t="s">
        <v>58</v>
      </c>
      <c r="H175" s="1" t="s">
        <v>25</v>
      </c>
      <c r="I175" s="1" t="s">
        <v>23</v>
      </c>
      <c r="M175" s="1" t="b">
        <v>0</v>
      </c>
    </row>
    <row r="176" spans="4:13">
      <c r="D176" s="1" t="s">
        <v>86</v>
      </c>
      <c r="E176" s="1" t="s">
        <v>59</v>
      </c>
      <c r="F176" s="1" t="s">
        <v>60</v>
      </c>
      <c r="G176" s="1" t="s">
        <v>61</v>
      </c>
      <c r="H176" s="1" t="s">
        <v>22</v>
      </c>
      <c r="I176" s="1" t="s">
        <v>23</v>
      </c>
      <c r="J176" s="1">
        <v>-9.5538358650799999</v>
      </c>
      <c r="K176" s="1">
        <v>9.5538358650799999</v>
      </c>
      <c r="L176" s="1">
        <v>0.23884589662700001</v>
      </c>
      <c r="M176" s="1">
        <v>0.23884589662700001</v>
      </c>
    </row>
    <row r="177" spans="4:13">
      <c r="D177" s="1" t="s">
        <v>86</v>
      </c>
      <c r="E177" s="1" t="s">
        <v>62</v>
      </c>
      <c r="H177" s="1" t="s">
        <v>63</v>
      </c>
      <c r="I177" s="1" t="s">
        <v>23</v>
      </c>
      <c r="M177" s="1">
        <v>1</v>
      </c>
    </row>
    <row r="178" spans="4:13">
      <c r="D178" s="1" t="s">
        <v>86</v>
      </c>
      <c r="E178" s="1" t="s">
        <v>64</v>
      </c>
      <c r="F178" s="1" t="s">
        <v>35</v>
      </c>
      <c r="G178" s="1" t="s">
        <v>36</v>
      </c>
      <c r="H178" s="1" t="s">
        <v>22</v>
      </c>
      <c r="I178" s="1" t="s">
        <v>65</v>
      </c>
      <c r="J178" s="1">
        <v>-459.67</v>
      </c>
      <c r="L178" s="1">
        <v>80.329999999999984</v>
      </c>
    </row>
    <row r="179" spans="4:13">
      <c r="D179" s="1" t="s">
        <v>86</v>
      </c>
      <c r="E179" s="1" t="s">
        <v>66</v>
      </c>
      <c r="F179" s="1" t="s">
        <v>35</v>
      </c>
      <c r="G179" s="1" t="s">
        <v>36</v>
      </c>
      <c r="H179" s="1" t="s">
        <v>22</v>
      </c>
      <c r="I179" s="1" t="s">
        <v>65</v>
      </c>
      <c r="J179" s="1">
        <v>-459.67</v>
      </c>
      <c r="L179" s="1">
        <v>80.329999999999984</v>
      </c>
    </row>
    <row r="180" spans="4:13">
      <c r="D180" s="1" t="s">
        <v>86</v>
      </c>
      <c r="E180" s="1" t="s">
        <v>67</v>
      </c>
      <c r="F180" s="1" t="s">
        <v>41</v>
      </c>
      <c r="G180" s="1" t="s">
        <v>42</v>
      </c>
      <c r="H180" s="1" t="s">
        <v>22</v>
      </c>
      <c r="I180" s="1" t="s">
        <v>65</v>
      </c>
      <c r="L180" s="1">
        <v>1.8</v>
      </c>
    </row>
    <row r="181" spans="4:13">
      <c r="D181" s="1" t="s">
        <v>86</v>
      </c>
      <c r="E181" s="1" t="s">
        <v>68</v>
      </c>
      <c r="F181" s="1" t="s">
        <v>45</v>
      </c>
      <c r="G181" s="1" t="s">
        <v>46</v>
      </c>
      <c r="H181" s="1" t="s">
        <v>22</v>
      </c>
      <c r="I181" s="1" t="s">
        <v>65</v>
      </c>
      <c r="L181" s="1">
        <v>4.2992261378713571E-4</v>
      </c>
    </row>
    <row r="182" spans="4:13">
      <c r="D182" s="1" t="s">
        <v>86</v>
      </c>
      <c r="E182" s="1" t="s">
        <v>69</v>
      </c>
      <c r="H182" s="1" t="s">
        <v>25</v>
      </c>
      <c r="I182" s="1" t="s">
        <v>70</v>
      </c>
    </row>
    <row r="183" spans="4:13">
      <c r="D183" s="1" t="s">
        <v>86</v>
      </c>
      <c r="E183" s="1" t="s">
        <v>71</v>
      </c>
      <c r="F183" s="1" t="s">
        <v>52</v>
      </c>
      <c r="G183" s="1" t="s">
        <v>53</v>
      </c>
      <c r="H183" s="1" t="s">
        <v>22</v>
      </c>
      <c r="I183" s="1" t="s">
        <v>65</v>
      </c>
      <c r="L183" s="1">
        <v>7936.6414386555998</v>
      </c>
    </row>
    <row r="184" spans="4:13">
      <c r="D184" s="1" t="s">
        <v>86</v>
      </c>
      <c r="E184" s="1" t="s">
        <v>72</v>
      </c>
      <c r="F184" s="1" t="s">
        <v>56</v>
      </c>
      <c r="G184" s="1" t="s">
        <v>57</v>
      </c>
      <c r="H184" s="1" t="s">
        <v>22</v>
      </c>
      <c r="I184" s="1" t="s">
        <v>65</v>
      </c>
      <c r="J184" s="1">
        <v>0</v>
      </c>
      <c r="L184" s="1">
        <v>14.503773773020921</v>
      </c>
    </row>
    <row r="185" spans="4:13">
      <c r="D185" s="1" t="s">
        <v>86</v>
      </c>
      <c r="E185" s="1" t="s">
        <v>73</v>
      </c>
      <c r="F185" s="1" t="s">
        <v>60</v>
      </c>
      <c r="G185" s="1" t="s">
        <v>61</v>
      </c>
      <c r="H185" s="1" t="s">
        <v>22</v>
      </c>
      <c r="I185" s="1" t="s">
        <v>65</v>
      </c>
      <c r="L185" s="1">
        <v>2.38845896627E-4</v>
      </c>
    </row>
    <row r="186" spans="4:13">
      <c r="D186" s="1" t="s">
        <v>86</v>
      </c>
      <c r="E186" s="1" t="s">
        <v>74</v>
      </c>
      <c r="F186" s="1" t="s">
        <v>75</v>
      </c>
      <c r="G186" s="1" t="s">
        <v>76</v>
      </c>
      <c r="H186" s="1" t="s">
        <v>22</v>
      </c>
      <c r="I186" s="1" t="s">
        <v>65</v>
      </c>
      <c r="J186" s="1">
        <v>0</v>
      </c>
      <c r="L186" s="1">
        <v>16.018463521800001</v>
      </c>
    </row>
    <row r="187" spans="4:13">
      <c r="D187" s="1" t="s">
        <v>86</v>
      </c>
      <c r="E187" s="1" t="s">
        <v>77</v>
      </c>
      <c r="H187" s="1" t="s">
        <v>22</v>
      </c>
      <c r="I187" s="1" t="s">
        <v>65</v>
      </c>
      <c r="L187" s="1">
        <v>1</v>
      </c>
    </row>
    <row r="188" spans="4:13">
      <c r="D188" s="1" t="s">
        <v>86</v>
      </c>
      <c r="E188" s="1" t="s">
        <v>78</v>
      </c>
      <c r="H188" s="1" t="s">
        <v>25</v>
      </c>
      <c r="I188" s="1" t="s">
        <v>23</v>
      </c>
      <c r="M188" s="1" t="b">
        <v>0</v>
      </c>
    </row>
    <row r="189" spans="4:13">
      <c r="D189" s="1" t="s">
        <v>86</v>
      </c>
      <c r="E189" s="1" t="s">
        <v>79</v>
      </c>
      <c r="F189" s="1" t="s">
        <v>75</v>
      </c>
      <c r="G189" s="1" t="s">
        <v>76</v>
      </c>
      <c r="H189" s="1" t="s">
        <v>22</v>
      </c>
      <c r="I189" s="1" t="s">
        <v>23</v>
      </c>
      <c r="J189" s="1">
        <v>0</v>
      </c>
      <c r="K189" s="1">
        <v>96.110781130800007</v>
      </c>
      <c r="L189" s="1">
        <v>16.018463521800001</v>
      </c>
      <c r="M189" s="1">
        <v>1.6018463521800002</v>
      </c>
    </row>
    <row r="190" spans="4:13">
      <c r="D190" s="1" t="s">
        <v>86</v>
      </c>
      <c r="E190" s="1" t="s">
        <v>80</v>
      </c>
      <c r="H190" s="1" t="s">
        <v>25</v>
      </c>
      <c r="I190" s="1" t="s">
        <v>23</v>
      </c>
      <c r="M190" s="1" t="b">
        <v>0</v>
      </c>
    </row>
    <row r="191" spans="4:13">
      <c r="D191" s="1" t="s">
        <v>86</v>
      </c>
      <c r="E191" s="1" t="s">
        <v>81</v>
      </c>
      <c r="H191" s="1" t="s">
        <v>25</v>
      </c>
      <c r="I191" s="1" t="s">
        <v>23</v>
      </c>
      <c r="M191" s="1" t="b">
        <v>0</v>
      </c>
    </row>
    <row r="192" spans="4:13">
      <c r="D192" s="1" t="s">
        <v>86</v>
      </c>
      <c r="E192" s="1" t="s">
        <v>82</v>
      </c>
      <c r="H192" s="1" t="s">
        <v>22</v>
      </c>
      <c r="I192" s="1" t="s">
        <v>23</v>
      </c>
      <c r="J192" s="1">
        <v>-1</v>
      </c>
      <c r="K192" s="1">
        <v>3</v>
      </c>
      <c r="L192" s="1">
        <v>1</v>
      </c>
      <c r="M192" s="1">
        <v>1.01</v>
      </c>
    </row>
    <row r="193" spans="4:13">
      <c r="D193" s="1" t="s">
        <v>87</v>
      </c>
      <c r="E193" s="1" t="s">
        <v>28</v>
      </c>
      <c r="H193" s="1" t="s">
        <v>22</v>
      </c>
      <c r="I193" s="1" t="s">
        <v>29</v>
      </c>
      <c r="J193" s="1">
        <v>34000</v>
      </c>
      <c r="K193" s="1">
        <v>4300000</v>
      </c>
      <c r="L193" s="1">
        <v>349660</v>
      </c>
    </row>
    <row r="194" spans="4:13">
      <c r="D194" s="1" t="s">
        <v>87</v>
      </c>
      <c r="E194" s="1" t="s">
        <v>30</v>
      </c>
      <c r="H194" s="1" t="s">
        <v>22</v>
      </c>
      <c r="I194" s="1" t="s">
        <v>29</v>
      </c>
      <c r="J194" s="1">
        <v>-3.94</v>
      </c>
      <c r="K194" s="1">
        <v>3.66</v>
      </c>
      <c r="L194" s="1">
        <v>1</v>
      </c>
    </row>
    <row r="195" spans="4:13">
      <c r="D195" s="1" t="s">
        <v>87</v>
      </c>
      <c r="E195" s="1" t="s">
        <v>31</v>
      </c>
      <c r="H195" s="1" t="s">
        <v>22</v>
      </c>
      <c r="I195" s="1" t="s">
        <v>29</v>
      </c>
      <c r="J195" s="1">
        <v>0</v>
      </c>
      <c r="K195" s="1">
        <v>100</v>
      </c>
      <c r="L195" s="1">
        <v>1</v>
      </c>
    </row>
    <row r="196" spans="4:13">
      <c r="D196" s="1" t="s">
        <v>87</v>
      </c>
      <c r="E196" s="1" t="s">
        <v>32</v>
      </c>
      <c r="H196" s="1" t="s">
        <v>22</v>
      </c>
      <c r="I196" s="1" t="s">
        <v>29</v>
      </c>
      <c r="J196" s="1">
        <v>-3.94</v>
      </c>
      <c r="K196" s="1">
        <v>3.66</v>
      </c>
      <c r="L196" s="1">
        <v>1</v>
      </c>
    </row>
    <row r="197" spans="4:13">
      <c r="D197" s="1" t="s">
        <v>87</v>
      </c>
      <c r="E197" s="1" t="s">
        <v>33</v>
      </c>
      <c r="H197" s="1" t="s">
        <v>25</v>
      </c>
      <c r="I197" s="1" t="s">
        <v>23</v>
      </c>
      <c r="M197" s="1" t="b">
        <v>0</v>
      </c>
    </row>
    <row r="198" spans="4:13">
      <c r="D198" s="1" t="s">
        <v>87</v>
      </c>
      <c r="E198" s="1" t="s">
        <v>34</v>
      </c>
      <c r="F198" s="1" t="s">
        <v>35</v>
      </c>
      <c r="G198" s="1" t="s">
        <v>36</v>
      </c>
      <c r="H198" s="1" t="s">
        <v>22</v>
      </c>
      <c r="I198" s="1" t="s">
        <v>23</v>
      </c>
      <c r="J198" s="1">
        <v>-459.67</v>
      </c>
      <c r="K198" s="1">
        <v>980.32999999999993</v>
      </c>
      <c r="L198" s="1">
        <v>80.329999999999984</v>
      </c>
      <c r="M198" s="1">
        <v>67.999999999999943</v>
      </c>
    </row>
    <row r="199" spans="4:13">
      <c r="D199" s="1" t="s">
        <v>87</v>
      </c>
      <c r="E199" s="1" t="s">
        <v>37</v>
      </c>
      <c r="H199" s="1" t="s">
        <v>25</v>
      </c>
      <c r="I199" s="1" t="s">
        <v>23</v>
      </c>
      <c r="M199" s="1" t="b">
        <v>0</v>
      </c>
    </row>
    <row r="200" spans="4:13">
      <c r="D200" s="1" t="s">
        <v>87</v>
      </c>
      <c r="E200" s="1" t="s">
        <v>38</v>
      </c>
      <c r="F200" s="1" t="s">
        <v>35</v>
      </c>
      <c r="G200" s="1" t="s">
        <v>36</v>
      </c>
      <c r="H200" s="1" t="s">
        <v>22</v>
      </c>
      <c r="I200" s="1" t="s">
        <v>23</v>
      </c>
      <c r="J200" s="1">
        <v>-99.670000000000016</v>
      </c>
      <c r="K200" s="1">
        <v>980.32999999999993</v>
      </c>
      <c r="L200" s="1">
        <v>80.329999999999984</v>
      </c>
      <c r="M200" s="1">
        <v>13.999999999999943</v>
      </c>
    </row>
    <row r="201" spans="4:13">
      <c r="D201" s="1" t="s">
        <v>87</v>
      </c>
      <c r="E201" s="1" t="s">
        <v>39</v>
      </c>
      <c r="H201" s="1" t="s">
        <v>25</v>
      </c>
      <c r="I201" s="1" t="s">
        <v>23</v>
      </c>
      <c r="M201" s="1" t="b">
        <v>0</v>
      </c>
    </row>
    <row r="202" spans="4:13">
      <c r="D202" s="1" t="s">
        <v>87</v>
      </c>
      <c r="E202" s="1" t="s">
        <v>40</v>
      </c>
      <c r="F202" s="1" t="s">
        <v>41</v>
      </c>
      <c r="G202" s="1" t="s">
        <v>42</v>
      </c>
      <c r="H202" s="1" t="s">
        <v>22</v>
      </c>
      <c r="I202" s="1" t="s">
        <v>23</v>
      </c>
      <c r="J202" s="1">
        <v>-900</v>
      </c>
      <c r="K202" s="1">
        <v>900</v>
      </c>
      <c r="L202" s="1">
        <v>1.8</v>
      </c>
      <c r="M202" s="1">
        <v>9</v>
      </c>
    </row>
    <row r="203" spans="4:13">
      <c r="D203" s="1" t="s">
        <v>87</v>
      </c>
      <c r="E203" s="1" t="s">
        <v>43</v>
      </c>
      <c r="H203" s="1" t="s">
        <v>25</v>
      </c>
      <c r="I203" s="1" t="s">
        <v>23</v>
      </c>
      <c r="M203" s="1" t="b">
        <v>0</v>
      </c>
    </row>
    <row r="204" spans="4:13">
      <c r="D204" s="1" t="s">
        <v>87</v>
      </c>
      <c r="E204" s="1" t="s">
        <v>44</v>
      </c>
      <c r="F204" s="1" t="s">
        <v>45</v>
      </c>
      <c r="G204" s="1" t="s">
        <v>46</v>
      </c>
      <c r="H204" s="1" t="s">
        <v>22</v>
      </c>
      <c r="I204" s="1" t="s">
        <v>23</v>
      </c>
      <c r="J204" s="1">
        <v>-85.984522757427143</v>
      </c>
      <c r="K204" s="1">
        <v>8598.4522757427148</v>
      </c>
      <c r="L204" s="1">
        <v>114.79148749423418</v>
      </c>
      <c r="M204" s="1">
        <v>128.97678413614071</v>
      </c>
    </row>
    <row r="205" spans="4:13">
      <c r="D205" s="1" t="s">
        <v>87</v>
      </c>
      <c r="E205" s="1" t="s">
        <v>47</v>
      </c>
      <c r="H205" s="1" t="s">
        <v>25</v>
      </c>
      <c r="I205" s="1" t="s">
        <v>23</v>
      </c>
      <c r="M205" s="1" t="b">
        <v>0</v>
      </c>
    </row>
    <row r="206" spans="4:13">
      <c r="D206" s="1" t="s">
        <v>87</v>
      </c>
      <c r="E206" s="1" t="s">
        <v>48</v>
      </c>
      <c r="H206" s="1" t="s">
        <v>25</v>
      </c>
      <c r="I206" s="1" t="s">
        <v>23</v>
      </c>
      <c r="M206" s="1" t="b">
        <v>0</v>
      </c>
    </row>
    <row r="207" spans="4:13">
      <c r="D207" s="1" t="s">
        <v>87</v>
      </c>
      <c r="E207" s="1" t="s">
        <v>49</v>
      </c>
      <c r="H207" s="1" t="s">
        <v>25</v>
      </c>
      <c r="I207" s="1" t="s">
        <v>23</v>
      </c>
      <c r="M207" s="1" t="b">
        <v>0</v>
      </c>
    </row>
    <row r="208" spans="4:13">
      <c r="D208" s="1" t="s">
        <v>87</v>
      </c>
      <c r="E208" s="1" t="s">
        <v>50</v>
      </c>
      <c r="H208" s="1" t="s">
        <v>25</v>
      </c>
      <c r="I208" s="1" t="s">
        <v>23</v>
      </c>
      <c r="M208" s="1" t="b">
        <v>0</v>
      </c>
    </row>
    <row r="209" spans="4:13">
      <c r="D209" s="1" t="s">
        <v>87</v>
      </c>
      <c r="E209" s="1" t="s">
        <v>51</v>
      </c>
      <c r="F209" s="1" t="s">
        <v>52</v>
      </c>
      <c r="G209" s="1" t="s">
        <v>53</v>
      </c>
      <c r="H209" s="1" t="s">
        <v>22</v>
      </c>
      <c r="I209" s="1" t="s">
        <v>23</v>
      </c>
      <c r="J209" s="1">
        <v>0</v>
      </c>
      <c r="K209" s="1">
        <v>7936641438.6555996</v>
      </c>
      <c r="L209" s="1">
        <v>7936.6414386555998</v>
      </c>
      <c r="M209" s="1">
        <v>7936.6414386555998</v>
      </c>
    </row>
    <row r="210" spans="4:13">
      <c r="D210" s="1" t="s">
        <v>87</v>
      </c>
      <c r="E210" s="1" t="s">
        <v>54</v>
      </c>
      <c r="H210" s="1" t="s">
        <v>25</v>
      </c>
      <c r="I210" s="1" t="s">
        <v>23</v>
      </c>
      <c r="M210" s="1" t="b">
        <v>0</v>
      </c>
    </row>
    <row r="211" spans="4:13">
      <c r="D211" s="1" t="s">
        <v>87</v>
      </c>
      <c r="E211" s="1" t="s">
        <v>55</v>
      </c>
      <c r="F211" s="1" t="s">
        <v>56</v>
      </c>
      <c r="G211" s="1" t="s">
        <v>57</v>
      </c>
      <c r="H211" s="1" t="s">
        <v>22</v>
      </c>
      <c r="I211" s="1" t="s">
        <v>23</v>
      </c>
      <c r="J211" s="1">
        <v>0</v>
      </c>
      <c r="K211" s="1">
        <v>9427.4529524635982</v>
      </c>
      <c r="L211" s="1">
        <v>50.713895374744951</v>
      </c>
      <c r="M211" s="1">
        <v>50.763208205573221</v>
      </c>
    </row>
    <row r="212" spans="4:13">
      <c r="D212" s="1" t="s">
        <v>87</v>
      </c>
      <c r="E212" s="1" t="s">
        <v>58</v>
      </c>
      <c r="H212" s="1" t="s">
        <v>25</v>
      </c>
      <c r="I212" s="1" t="s">
        <v>23</v>
      </c>
      <c r="M212" s="1" t="b">
        <v>0</v>
      </c>
    </row>
    <row r="213" spans="4:13">
      <c r="D213" s="1" t="s">
        <v>87</v>
      </c>
      <c r="E213" s="1" t="s">
        <v>59</v>
      </c>
      <c r="F213" s="1" t="s">
        <v>60</v>
      </c>
      <c r="G213" s="1" t="s">
        <v>61</v>
      </c>
      <c r="H213" s="1" t="s">
        <v>22</v>
      </c>
      <c r="I213" s="1" t="s">
        <v>23</v>
      </c>
      <c r="J213" s="1">
        <v>-9.5538358650799999</v>
      </c>
      <c r="K213" s="1">
        <v>9.5538358650799999</v>
      </c>
      <c r="L213" s="1">
        <v>0.23884589662700001</v>
      </c>
      <c r="M213" s="1">
        <v>0.23884589662700001</v>
      </c>
    </row>
    <row r="214" spans="4:13">
      <c r="D214" s="1" t="s">
        <v>87</v>
      </c>
      <c r="E214" s="1" t="s">
        <v>62</v>
      </c>
      <c r="H214" s="1" t="s">
        <v>63</v>
      </c>
      <c r="I214" s="1" t="s">
        <v>23</v>
      </c>
      <c r="M214" s="1">
        <v>1</v>
      </c>
    </row>
    <row r="215" spans="4:13">
      <c r="D215" s="1" t="s">
        <v>87</v>
      </c>
      <c r="E215" s="1" t="s">
        <v>64</v>
      </c>
      <c r="F215" s="1" t="s">
        <v>35</v>
      </c>
      <c r="G215" s="1" t="s">
        <v>36</v>
      </c>
      <c r="H215" s="1" t="s">
        <v>22</v>
      </c>
      <c r="I215" s="1" t="s">
        <v>65</v>
      </c>
      <c r="J215" s="1">
        <v>-459.67</v>
      </c>
      <c r="L215" s="1">
        <v>80.329999999999984</v>
      </c>
    </row>
    <row r="216" spans="4:13">
      <c r="D216" s="1" t="s">
        <v>87</v>
      </c>
      <c r="E216" s="1" t="s">
        <v>66</v>
      </c>
      <c r="F216" s="1" t="s">
        <v>35</v>
      </c>
      <c r="G216" s="1" t="s">
        <v>36</v>
      </c>
      <c r="H216" s="1" t="s">
        <v>22</v>
      </c>
      <c r="I216" s="1" t="s">
        <v>65</v>
      </c>
      <c r="J216" s="1">
        <v>-459.67</v>
      </c>
      <c r="L216" s="1">
        <v>80.329999999999984</v>
      </c>
    </row>
    <row r="217" spans="4:13">
      <c r="D217" s="1" t="s">
        <v>87</v>
      </c>
      <c r="E217" s="1" t="s">
        <v>67</v>
      </c>
      <c r="F217" s="1" t="s">
        <v>41</v>
      </c>
      <c r="G217" s="1" t="s">
        <v>42</v>
      </c>
      <c r="H217" s="1" t="s">
        <v>22</v>
      </c>
      <c r="I217" s="1" t="s">
        <v>65</v>
      </c>
      <c r="L217" s="1">
        <v>1.8</v>
      </c>
    </row>
    <row r="218" spans="4:13">
      <c r="D218" s="1" t="s">
        <v>87</v>
      </c>
      <c r="E218" s="1" t="s">
        <v>68</v>
      </c>
      <c r="F218" s="1" t="s">
        <v>45</v>
      </c>
      <c r="G218" s="1" t="s">
        <v>46</v>
      </c>
      <c r="H218" s="1" t="s">
        <v>22</v>
      </c>
      <c r="I218" s="1" t="s">
        <v>65</v>
      </c>
      <c r="L218" s="1">
        <v>4.2992261378713571E-4</v>
      </c>
    </row>
    <row r="219" spans="4:13">
      <c r="D219" s="1" t="s">
        <v>87</v>
      </c>
      <c r="E219" s="1" t="s">
        <v>69</v>
      </c>
      <c r="H219" s="1" t="s">
        <v>25</v>
      </c>
      <c r="I219" s="1" t="s">
        <v>70</v>
      </c>
    </row>
    <row r="220" spans="4:13">
      <c r="D220" s="1" t="s">
        <v>87</v>
      </c>
      <c r="E220" s="1" t="s">
        <v>71</v>
      </c>
      <c r="F220" s="1" t="s">
        <v>52</v>
      </c>
      <c r="G220" s="1" t="s">
        <v>53</v>
      </c>
      <c r="H220" s="1" t="s">
        <v>22</v>
      </c>
      <c r="I220" s="1" t="s">
        <v>65</v>
      </c>
      <c r="L220" s="1">
        <v>7936.6414386555998</v>
      </c>
    </row>
    <row r="221" spans="4:13">
      <c r="D221" s="1" t="s">
        <v>87</v>
      </c>
      <c r="E221" s="1" t="s">
        <v>72</v>
      </c>
      <c r="F221" s="1" t="s">
        <v>56</v>
      </c>
      <c r="G221" s="1" t="s">
        <v>57</v>
      </c>
      <c r="H221" s="1" t="s">
        <v>22</v>
      </c>
      <c r="I221" s="1" t="s">
        <v>65</v>
      </c>
      <c r="J221" s="1">
        <v>0</v>
      </c>
      <c r="L221" s="1">
        <v>14.503773773020921</v>
      </c>
    </row>
    <row r="222" spans="4:13">
      <c r="D222" s="1" t="s">
        <v>87</v>
      </c>
      <c r="E222" s="1" t="s">
        <v>73</v>
      </c>
      <c r="F222" s="1" t="s">
        <v>60</v>
      </c>
      <c r="G222" s="1" t="s">
        <v>61</v>
      </c>
      <c r="H222" s="1" t="s">
        <v>22</v>
      </c>
      <c r="I222" s="1" t="s">
        <v>65</v>
      </c>
      <c r="L222" s="1">
        <v>2.38845896627E-4</v>
      </c>
    </row>
    <row r="223" spans="4:13">
      <c r="D223" s="1" t="s">
        <v>87</v>
      </c>
      <c r="E223" s="1" t="s">
        <v>74</v>
      </c>
      <c r="F223" s="1" t="s">
        <v>75</v>
      </c>
      <c r="G223" s="1" t="s">
        <v>76</v>
      </c>
      <c r="H223" s="1" t="s">
        <v>22</v>
      </c>
      <c r="I223" s="1" t="s">
        <v>65</v>
      </c>
      <c r="J223" s="1">
        <v>0</v>
      </c>
      <c r="L223" s="1">
        <v>16.018463521800001</v>
      </c>
    </row>
    <row r="224" spans="4:13">
      <c r="D224" s="1" t="s">
        <v>87</v>
      </c>
      <c r="E224" s="1" t="s">
        <v>77</v>
      </c>
      <c r="H224" s="1" t="s">
        <v>22</v>
      </c>
      <c r="I224" s="1" t="s">
        <v>65</v>
      </c>
      <c r="L224" s="1">
        <v>1</v>
      </c>
    </row>
    <row r="225" spans="4:13">
      <c r="D225" s="1" t="s">
        <v>87</v>
      </c>
      <c r="E225" s="1" t="s">
        <v>78</v>
      </c>
      <c r="H225" s="1" t="s">
        <v>25</v>
      </c>
      <c r="I225" s="1" t="s">
        <v>23</v>
      </c>
      <c r="M225" s="1" t="b">
        <v>0</v>
      </c>
    </row>
    <row r="226" spans="4:13">
      <c r="D226" s="1" t="s">
        <v>87</v>
      </c>
      <c r="E226" s="1" t="s">
        <v>79</v>
      </c>
      <c r="F226" s="1" t="s">
        <v>75</v>
      </c>
      <c r="G226" s="1" t="s">
        <v>76</v>
      </c>
      <c r="H226" s="1" t="s">
        <v>22</v>
      </c>
      <c r="I226" s="1" t="s">
        <v>23</v>
      </c>
      <c r="J226" s="1">
        <v>0</v>
      </c>
      <c r="K226" s="1">
        <v>96.110781130800007</v>
      </c>
      <c r="L226" s="1">
        <v>16.018463521800001</v>
      </c>
      <c r="M226" s="1">
        <v>1.6018463521800002</v>
      </c>
    </row>
    <row r="227" spans="4:13">
      <c r="D227" s="1" t="s">
        <v>87</v>
      </c>
      <c r="E227" s="1" t="s">
        <v>80</v>
      </c>
      <c r="H227" s="1" t="s">
        <v>25</v>
      </c>
      <c r="I227" s="1" t="s">
        <v>23</v>
      </c>
      <c r="M227" s="1" t="b">
        <v>0</v>
      </c>
    </row>
    <row r="228" spans="4:13">
      <c r="D228" s="1" t="s">
        <v>87</v>
      </c>
      <c r="E228" s="1" t="s">
        <v>81</v>
      </c>
      <c r="H228" s="1" t="s">
        <v>25</v>
      </c>
      <c r="I228" s="1" t="s">
        <v>23</v>
      </c>
      <c r="M228" s="1" t="b">
        <v>0</v>
      </c>
    </row>
    <row r="229" spans="4:13">
      <c r="D229" s="1" t="s">
        <v>87</v>
      </c>
      <c r="E229" s="1" t="s">
        <v>82</v>
      </c>
      <c r="H229" s="1" t="s">
        <v>22</v>
      </c>
      <c r="I229" s="1" t="s">
        <v>23</v>
      </c>
      <c r="J229" s="1">
        <v>-1</v>
      </c>
      <c r="K229" s="1">
        <v>3</v>
      </c>
      <c r="L229" s="1">
        <v>1</v>
      </c>
      <c r="M229" s="1">
        <v>1.01</v>
      </c>
    </row>
    <row r="230" spans="4:13">
      <c r="D230" s="1" t="s">
        <v>88</v>
      </c>
      <c r="E230" s="1" t="s">
        <v>28</v>
      </c>
      <c r="H230" s="1" t="s">
        <v>22</v>
      </c>
      <c r="I230" s="1" t="s">
        <v>29</v>
      </c>
      <c r="J230" s="1">
        <v>34000</v>
      </c>
      <c r="K230" s="1">
        <v>4300000</v>
      </c>
      <c r="L230" s="1">
        <v>349660</v>
      </c>
    </row>
    <row r="231" spans="4:13">
      <c r="D231" s="1" t="s">
        <v>88</v>
      </c>
      <c r="E231" s="1" t="s">
        <v>30</v>
      </c>
      <c r="H231" s="1" t="s">
        <v>22</v>
      </c>
      <c r="I231" s="1" t="s">
        <v>29</v>
      </c>
      <c r="J231" s="1">
        <v>-3.94</v>
      </c>
      <c r="K231" s="1">
        <v>3.66</v>
      </c>
      <c r="L231" s="1">
        <v>1</v>
      </c>
    </row>
    <row r="232" spans="4:13">
      <c r="D232" s="1" t="s">
        <v>88</v>
      </c>
      <c r="E232" s="1" t="s">
        <v>31</v>
      </c>
      <c r="H232" s="1" t="s">
        <v>22</v>
      </c>
      <c r="I232" s="1" t="s">
        <v>29</v>
      </c>
      <c r="J232" s="1">
        <v>0</v>
      </c>
      <c r="K232" s="1">
        <v>100</v>
      </c>
      <c r="L232" s="1">
        <v>1</v>
      </c>
    </row>
    <row r="233" spans="4:13">
      <c r="D233" s="1" t="s">
        <v>88</v>
      </c>
      <c r="E233" s="1" t="s">
        <v>32</v>
      </c>
      <c r="H233" s="1" t="s">
        <v>22</v>
      </c>
      <c r="I233" s="1" t="s">
        <v>29</v>
      </c>
      <c r="J233" s="1">
        <v>-3.94</v>
      </c>
      <c r="K233" s="1">
        <v>3.66</v>
      </c>
      <c r="L233" s="1">
        <v>1</v>
      </c>
    </row>
    <row r="234" spans="4:13">
      <c r="D234" s="1" t="s">
        <v>88</v>
      </c>
      <c r="E234" s="1" t="s">
        <v>33</v>
      </c>
      <c r="H234" s="1" t="s">
        <v>25</v>
      </c>
      <c r="I234" s="1" t="s">
        <v>23</v>
      </c>
      <c r="M234" s="1" t="b">
        <v>0</v>
      </c>
    </row>
    <row r="235" spans="4:13">
      <c r="D235" s="1" t="s">
        <v>88</v>
      </c>
      <c r="E235" s="1" t="s">
        <v>34</v>
      </c>
      <c r="F235" s="1" t="s">
        <v>35</v>
      </c>
      <c r="G235" s="1" t="s">
        <v>36</v>
      </c>
      <c r="H235" s="1" t="s">
        <v>22</v>
      </c>
      <c r="I235" s="1" t="s">
        <v>23</v>
      </c>
      <c r="J235" s="1">
        <v>-459.67</v>
      </c>
      <c r="K235" s="1">
        <v>980.32999999999993</v>
      </c>
      <c r="L235" s="1">
        <v>80.329999999999984</v>
      </c>
      <c r="M235" s="1">
        <v>67.999999999999943</v>
      </c>
    </row>
    <row r="236" spans="4:13">
      <c r="D236" s="1" t="s">
        <v>88</v>
      </c>
      <c r="E236" s="1" t="s">
        <v>37</v>
      </c>
      <c r="H236" s="1" t="s">
        <v>25</v>
      </c>
      <c r="I236" s="1" t="s">
        <v>23</v>
      </c>
      <c r="M236" s="1" t="b">
        <v>0</v>
      </c>
    </row>
    <row r="237" spans="4:13">
      <c r="D237" s="1" t="s">
        <v>88</v>
      </c>
      <c r="E237" s="1" t="s">
        <v>38</v>
      </c>
      <c r="F237" s="1" t="s">
        <v>35</v>
      </c>
      <c r="G237" s="1" t="s">
        <v>36</v>
      </c>
      <c r="H237" s="1" t="s">
        <v>22</v>
      </c>
      <c r="I237" s="1" t="s">
        <v>23</v>
      </c>
      <c r="J237" s="1">
        <v>-99.670000000000016</v>
      </c>
      <c r="K237" s="1">
        <v>980.32999999999993</v>
      </c>
      <c r="L237" s="1">
        <v>80.329999999999984</v>
      </c>
      <c r="M237" s="1">
        <v>13.999999999999943</v>
      </c>
    </row>
    <row r="238" spans="4:13">
      <c r="D238" s="1" t="s">
        <v>88</v>
      </c>
      <c r="E238" s="1" t="s">
        <v>39</v>
      </c>
      <c r="H238" s="1" t="s">
        <v>25</v>
      </c>
      <c r="I238" s="1" t="s">
        <v>23</v>
      </c>
      <c r="M238" s="1" t="b">
        <v>0</v>
      </c>
    </row>
    <row r="239" spans="4:13">
      <c r="D239" s="1" t="s">
        <v>88</v>
      </c>
      <c r="E239" s="1" t="s">
        <v>40</v>
      </c>
      <c r="F239" s="1" t="s">
        <v>41</v>
      </c>
      <c r="G239" s="1" t="s">
        <v>42</v>
      </c>
      <c r="H239" s="1" t="s">
        <v>22</v>
      </c>
      <c r="I239" s="1" t="s">
        <v>23</v>
      </c>
      <c r="J239" s="1">
        <v>-900</v>
      </c>
      <c r="K239" s="1">
        <v>900</v>
      </c>
      <c r="L239" s="1">
        <v>1.8</v>
      </c>
      <c r="M239" s="1">
        <v>9</v>
      </c>
    </row>
    <row r="240" spans="4:13">
      <c r="D240" s="1" t="s">
        <v>88</v>
      </c>
      <c r="E240" s="1" t="s">
        <v>43</v>
      </c>
      <c r="H240" s="1" t="s">
        <v>25</v>
      </c>
      <c r="I240" s="1" t="s">
        <v>23</v>
      </c>
      <c r="M240" s="1" t="b">
        <v>0</v>
      </c>
    </row>
    <row r="241" spans="4:13">
      <c r="D241" s="1" t="s">
        <v>88</v>
      </c>
      <c r="E241" s="1" t="s">
        <v>44</v>
      </c>
      <c r="F241" s="1" t="s">
        <v>45</v>
      </c>
      <c r="G241" s="1" t="s">
        <v>46</v>
      </c>
      <c r="H241" s="1" t="s">
        <v>22</v>
      </c>
      <c r="I241" s="1" t="s">
        <v>23</v>
      </c>
      <c r="J241" s="1">
        <v>-85.984522757427143</v>
      </c>
      <c r="K241" s="1">
        <v>8598.4522757427148</v>
      </c>
      <c r="L241" s="1">
        <v>114.79148749423418</v>
      </c>
      <c r="M241" s="1">
        <v>128.97678413614071</v>
      </c>
    </row>
    <row r="242" spans="4:13">
      <c r="D242" s="1" t="s">
        <v>88</v>
      </c>
      <c r="E242" s="1" t="s">
        <v>47</v>
      </c>
      <c r="H242" s="1" t="s">
        <v>25</v>
      </c>
      <c r="I242" s="1" t="s">
        <v>23</v>
      </c>
      <c r="M242" s="1" t="b">
        <v>0</v>
      </c>
    </row>
    <row r="243" spans="4:13">
      <c r="D243" s="1" t="s">
        <v>88</v>
      </c>
      <c r="E243" s="1" t="s">
        <v>48</v>
      </c>
      <c r="H243" s="1" t="s">
        <v>25</v>
      </c>
      <c r="I243" s="1" t="s">
        <v>23</v>
      </c>
      <c r="M243" s="1" t="b">
        <v>0</v>
      </c>
    </row>
    <row r="244" spans="4:13">
      <c r="D244" s="1" t="s">
        <v>88</v>
      </c>
      <c r="E244" s="1" t="s">
        <v>49</v>
      </c>
      <c r="H244" s="1" t="s">
        <v>25</v>
      </c>
      <c r="I244" s="1" t="s">
        <v>23</v>
      </c>
      <c r="M244" s="1" t="b">
        <v>0</v>
      </c>
    </row>
    <row r="245" spans="4:13">
      <c r="D245" s="1" t="s">
        <v>88</v>
      </c>
      <c r="E245" s="1" t="s">
        <v>50</v>
      </c>
      <c r="H245" s="1" t="s">
        <v>25</v>
      </c>
      <c r="I245" s="1" t="s">
        <v>23</v>
      </c>
      <c r="M245" s="1" t="b">
        <v>0</v>
      </c>
    </row>
    <row r="246" spans="4:13">
      <c r="D246" s="1" t="s">
        <v>88</v>
      </c>
      <c r="E246" s="1" t="s">
        <v>51</v>
      </c>
      <c r="F246" s="1" t="s">
        <v>52</v>
      </c>
      <c r="G246" s="1" t="s">
        <v>53</v>
      </c>
      <c r="H246" s="1" t="s">
        <v>22</v>
      </c>
      <c r="I246" s="1" t="s">
        <v>23</v>
      </c>
      <c r="J246" s="1">
        <v>0</v>
      </c>
      <c r="K246" s="1">
        <v>7936641438.6555996</v>
      </c>
      <c r="L246" s="1">
        <v>7936.6414386555998</v>
      </c>
      <c r="M246" s="1">
        <v>7936.6414386555998</v>
      </c>
    </row>
    <row r="247" spans="4:13">
      <c r="D247" s="1" t="s">
        <v>88</v>
      </c>
      <c r="E247" s="1" t="s">
        <v>54</v>
      </c>
      <c r="H247" s="1" t="s">
        <v>25</v>
      </c>
      <c r="I247" s="1" t="s">
        <v>23</v>
      </c>
      <c r="M247" s="1" t="b">
        <v>0</v>
      </c>
    </row>
    <row r="248" spans="4:13">
      <c r="D248" s="1" t="s">
        <v>88</v>
      </c>
      <c r="E248" s="1" t="s">
        <v>55</v>
      </c>
      <c r="F248" s="1" t="s">
        <v>56</v>
      </c>
      <c r="G248" s="1" t="s">
        <v>57</v>
      </c>
      <c r="H248" s="1" t="s">
        <v>22</v>
      </c>
      <c r="I248" s="1" t="s">
        <v>23</v>
      </c>
      <c r="J248" s="1">
        <v>0</v>
      </c>
      <c r="K248" s="1">
        <v>9427.4529524635982</v>
      </c>
      <c r="L248" s="1">
        <v>50.713895374744951</v>
      </c>
      <c r="M248" s="1">
        <v>50.763208205573221</v>
      </c>
    </row>
    <row r="249" spans="4:13">
      <c r="D249" s="1" t="s">
        <v>88</v>
      </c>
      <c r="E249" s="1" t="s">
        <v>58</v>
      </c>
      <c r="H249" s="1" t="s">
        <v>25</v>
      </c>
      <c r="I249" s="1" t="s">
        <v>23</v>
      </c>
      <c r="M249" s="1" t="b">
        <v>0</v>
      </c>
    </row>
    <row r="250" spans="4:13">
      <c r="D250" s="1" t="s">
        <v>88</v>
      </c>
      <c r="E250" s="1" t="s">
        <v>59</v>
      </c>
      <c r="F250" s="1" t="s">
        <v>60</v>
      </c>
      <c r="G250" s="1" t="s">
        <v>61</v>
      </c>
      <c r="H250" s="1" t="s">
        <v>22</v>
      </c>
      <c r="I250" s="1" t="s">
        <v>23</v>
      </c>
      <c r="J250" s="1">
        <v>-9.5538358650799999</v>
      </c>
      <c r="K250" s="1">
        <v>9.5538358650799999</v>
      </c>
      <c r="L250" s="1">
        <v>0.23884589662700001</v>
      </c>
      <c r="M250" s="1">
        <v>0.23884589662700001</v>
      </c>
    </row>
    <row r="251" spans="4:13">
      <c r="D251" s="1" t="s">
        <v>88</v>
      </c>
      <c r="E251" s="1" t="s">
        <v>62</v>
      </c>
      <c r="H251" s="1" t="s">
        <v>63</v>
      </c>
      <c r="I251" s="1" t="s">
        <v>23</v>
      </c>
      <c r="M251" s="1">
        <v>1</v>
      </c>
    </row>
    <row r="252" spans="4:13">
      <c r="D252" s="1" t="s">
        <v>88</v>
      </c>
      <c r="E252" s="1" t="s">
        <v>64</v>
      </c>
      <c r="F252" s="1" t="s">
        <v>35</v>
      </c>
      <c r="G252" s="1" t="s">
        <v>36</v>
      </c>
      <c r="H252" s="1" t="s">
        <v>22</v>
      </c>
      <c r="I252" s="1" t="s">
        <v>65</v>
      </c>
      <c r="J252" s="1">
        <v>-459.67</v>
      </c>
      <c r="L252" s="1">
        <v>80.329999999999984</v>
      </c>
    </row>
    <row r="253" spans="4:13">
      <c r="D253" s="1" t="s">
        <v>88</v>
      </c>
      <c r="E253" s="1" t="s">
        <v>66</v>
      </c>
      <c r="F253" s="1" t="s">
        <v>35</v>
      </c>
      <c r="G253" s="1" t="s">
        <v>36</v>
      </c>
      <c r="H253" s="1" t="s">
        <v>22</v>
      </c>
      <c r="I253" s="1" t="s">
        <v>65</v>
      </c>
      <c r="J253" s="1">
        <v>-459.67</v>
      </c>
      <c r="L253" s="1">
        <v>80.329999999999984</v>
      </c>
    </row>
    <row r="254" spans="4:13">
      <c r="D254" s="1" t="s">
        <v>88</v>
      </c>
      <c r="E254" s="1" t="s">
        <v>67</v>
      </c>
      <c r="F254" s="1" t="s">
        <v>41</v>
      </c>
      <c r="G254" s="1" t="s">
        <v>42</v>
      </c>
      <c r="H254" s="1" t="s">
        <v>22</v>
      </c>
      <c r="I254" s="1" t="s">
        <v>65</v>
      </c>
      <c r="L254" s="1">
        <v>1.8</v>
      </c>
    </row>
    <row r="255" spans="4:13">
      <c r="D255" s="1" t="s">
        <v>88</v>
      </c>
      <c r="E255" s="1" t="s">
        <v>68</v>
      </c>
      <c r="F255" s="1" t="s">
        <v>45</v>
      </c>
      <c r="G255" s="1" t="s">
        <v>46</v>
      </c>
      <c r="H255" s="1" t="s">
        <v>22</v>
      </c>
      <c r="I255" s="1" t="s">
        <v>65</v>
      </c>
      <c r="L255" s="1">
        <v>4.2992261378713571E-4</v>
      </c>
    </row>
    <row r="256" spans="4:13">
      <c r="D256" s="1" t="s">
        <v>88</v>
      </c>
      <c r="E256" s="1" t="s">
        <v>69</v>
      </c>
      <c r="H256" s="1" t="s">
        <v>25</v>
      </c>
      <c r="I256" s="1" t="s">
        <v>70</v>
      </c>
    </row>
    <row r="257" spans="4:13">
      <c r="D257" s="1" t="s">
        <v>88</v>
      </c>
      <c r="E257" s="1" t="s">
        <v>71</v>
      </c>
      <c r="F257" s="1" t="s">
        <v>52</v>
      </c>
      <c r="G257" s="1" t="s">
        <v>53</v>
      </c>
      <c r="H257" s="1" t="s">
        <v>22</v>
      </c>
      <c r="I257" s="1" t="s">
        <v>65</v>
      </c>
      <c r="L257" s="1">
        <v>7936.6414386555998</v>
      </c>
    </row>
    <row r="258" spans="4:13">
      <c r="D258" s="1" t="s">
        <v>88</v>
      </c>
      <c r="E258" s="1" t="s">
        <v>72</v>
      </c>
      <c r="F258" s="1" t="s">
        <v>56</v>
      </c>
      <c r="G258" s="1" t="s">
        <v>57</v>
      </c>
      <c r="H258" s="1" t="s">
        <v>22</v>
      </c>
      <c r="I258" s="1" t="s">
        <v>65</v>
      </c>
      <c r="J258" s="1">
        <v>0</v>
      </c>
      <c r="L258" s="1">
        <v>14.503773773020921</v>
      </c>
    </row>
    <row r="259" spans="4:13">
      <c r="D259" s="1" t="s">
        <v>88</v>
      </c>
      <c r="E259" s="1" t="s">
        <v>73</v>
      </c>
      <c r="F259" s="1" t="s">
        <v>60</v>
      </c>
      <c r="G259" s="1" t="s">
        <v>61</v>
      </c>
      <c r="H259" s="1" t="s">
        <v>22</v>
      </c>
      <c r="I259" s="1" t="s">
        <v>65</v>
      </c>
      <c r="L259" s="1">
        <v>2.38845896627E-4</v>
      </c>
    </row>
    <row r="260" spans="4:13">
      <c r="D260" s="1" t="s">
        <v>88</v>
      </c>
      <c r="E260" s="1" t="s">
        <v>74</v>
      </c>
      <c r="F260" s="1" t="s">
        <v>75</v>
      </c>
      <c r="G260" s="1" t="s">
        <v>76</v>
      </c>
      <c r="H260" s="1" t="s">
        <v>22</v>
      </c>
      <c r="I260" s="1" t="s">
        <v>65</v>
      </c>
      <c r="J260" s="1">
        <v>0</v>
      </c>
      <c r="L260" s="1">
        <v>16.018463521800001</v>
      </c>
    </row>
    <row r="261" spans="4:13">
      <c r="D261" s="1" t="s">
        <v>88</v>
      </c>
      <c r="E261" s="1" t="s">
        <v>77</v>
      </c>
      <c r="H261" s="1" t="s">
        <v>22</v>
      </c>
      <c r="I261" s="1" t="s">
        <v>65</v>
      </c>
      <c r="L261" s="1">
        <v>1</v>
      </c>
    </row>
    <row r="262" spans="4:13">
      <c r="D262" s="1" t="s">
        <v>88</v>
      </c>
      <c r="E262" s="1" t="s">
        <v>78</v>
      </c>
      <c r="H262" s="1" t="s">
        <v>25</v>
      </c>
      <c r="I262" s="1" t="s">
        <v>23</v>
      </c>
      <c r="M262" s="1" t="b">
        <v>0</v>
      </c>
    </row>
    <row r="263" spans="4:13">
      <c r="D263" s="1" t="s">
        <v>88</v>
      </c>
      <c r="E263" s="1" t="s">
        <v>79</v>
      </c>
      <c r="F263" s="1" t="s">
        <v>75</v>
      </c>
      <c r="G263" s="1" t="s">
        <v>76</v>
      </c>
      <c r="H263" s="1" t="s">
        <v>22</v>
      </c>
      <c r="I263" s="1" t="s">
        <v>23</v>
      </c>
      <c r="J263" s="1">
        <v>0</v>
      </c>
      <c r="K263" s="1">
        <v>96.110781130800007</v>
      </c>
      <c r="L263" s="1">
        <v>16.018463521800001</v>
      </c>
      <c r="M263" s="1">
        <v>1.6018463521800002</v>
      </c>
    </row>
    <row r="264" spans="4:13">
      <c r="D264" s="1" t="s">
        <v>88</v>
      </c>
      <c r="E264" s="1" t="s">
        <v>80</v>
      </c>
      <c r="H264" s="1" t="s">
        <v>25</v>
      </c>
      <c r="I264" s="1" t="s">
        <v>23</v>
      </c>
      <c r="M264" s="1" t="b">
        <v>0</v>
      </c>
    </row>
    <row r="265" spans="4:13">
      <c r="D265" s="1" t="s">
        <v>88</v>
      </c>
      <c r="E265" s="1" t="s">
        <v>81</v>
      </c>
      <c r="H265" s="1" t="s">
        <v>25</v>
      </c>
      <c r="I265" s="1" t="s">
        <v>23</v>
      </c>
      <c r="M265" s="1" t="b">
        <v>0</v>
      </c>
    </row>
    <row r="266" spans="4:13">
      <c r="D266" s="1" t="s">
        <v>88</v>
      </c>
      <c r="E266" s="1" t="s">
        <v>82</v>
      </c>
      <c r="H266" s="1" t="s">
        <v>22</v>
      </c>
      <c r="I266" s="1" t="s">
        <v>23</v>
      </c>
      <c r="J266" s="1">
        <v>-1</v>
      </c>
      <c r="K266" s="1">
        <v>3</v>
      </c>
      <c r="L266" s="1">
        <v>1</v>
      </c>
      <c r="M266" s="1">
        <v>1.01</v>
      </c>
    </row>
    <row r="267" spans="4:13">
      <c r="D267" s="1" t="s">
        <v>89</v>
      </c>
      <c r="E267" s="1" t="s">
        <v>28</v>
      </c>
      <c r="H267" s="1" t="s">
        <v>22</v>
      </c>
      <c r="I267" s="1" t="s">
        <v>29</v>
      </c>
      <c r="J267" s="1">
        <v>34000</v>
      </c>
      <c r="K267" s="1">
        <v>4300000</v>
      </c>
      <c r="L267" s="1">
        <v>349660</v>
      </c>
    </row>
    <row r="268" spans="4:13">
      <c r="D268" s="1" t="s">
        <v>89</v>
      </c>
      <c r="E268" s="1" t="s">
        <v>30</v>
      </c>
      <c r="H268" s="1" t="s">
        <v>22</v>
      </c>
      <c r="I268" s="1" t="s">
        <v>29</v>
      </c>
      <c r="J268" s="1">
        <v>-3.94</v>
      </c>
      <c r="K268" s="1">
        <v>3.66</v>
      </c>
      <c r="L268" s="1">
        <v>1</v>
      </c>
    </row>
    <row r="269" spans="4:13">
      <c r="D269" s="1" t="s">
        <v>89</v>
      </c>
      <c r="E269" s="1" t="s">
        <v>31</v>
      </c>
      <c r="H269" s="1" t="s">
        <v>22</v>
      </c>
      <c r="I269" s="1" t="s">
        <v>29</v>
      </c>
      <c r="J269" s="1">
        <v>0</v>
      </c>
      <c r="K269" s="1">
        <v>100</v>
      </c>
      <c r="L269" s="1">
        <v>1</v>
      </c>
    </row>
    <row r="270" spans="4:13">
      <c r="D270" s="1" t="s">
        <v>89</v>
      </c>
      <c r="E270" s="1" t="s">
        <v>32</v>
      </c>
      <c r="H270" s="1" t="s">
        <v>22</v>
      </c>
      <c r="I270" s="1" t="s">
        <v>29</v>
      </c>
      <c r="J270" s="1">
        <v>-3.94</v>
      </c>
      <c r="K270" s="1">
        <v>3.66</v>
      </c>
      <c r="L270" s="1">
        <v>1</v>
      </c>
    </row>
    <row r="271" spans="4:13">
      <c r="D271" s="1" t="s">
        <v>89</v>
      </c>
      <c r="E271" s="1" t="s">
        <v>33</v>
      </c>
      <c r="H271" s="1" t="s">
        <v>25</v>
      </c>
      <c r="I271" s="1" t="s">
        <v>23</v>
      </c>
      <c r="M271" s="1" t="b">
        <v>0</v>
      </c>
    </row>
    <row r="272" spans="4:13">
      <c r="D272" s="1" t="s">
        <v>89</v>
      </c>
      <c r="E272" s="1" t="s">
        <v>34</v>
      </c>
      <c r="F272" s="1" t="s">
        <v>35</v>
      </c>
      <c r="G272" s="1" t="s">
        <v>36</v>
      </c>
      <c r="H272" s="1" t="s">
        <v>22</v>
      </c>
      <c r="I272" s="1" t="s">
        <v>23</v>
      </c>
      <c r="J272" s="1">
        <v>-459.67</v>
      </c>
      <c r="K272" s="1">
        <v>980.32999999999993</v>
      </c>
      <c r="L272" s="1">
        <v>80.329999999999984</v>
      </c>
      <c r="M272" s="1">
        <v>67.999999999999943</v>
      </c>
    </row>
    <row r="273" spans="4:13">
      <c r="D273" s="1" t="s">
        <v>89</v>
      </c>
      <c r="E273" s="1" t="s">
        <v>37</v>
      </c>
      <c r="H273" s="1" t="s">
        <v>25</v>
      </c>
      <c r="I273" s="1" t="s">
        <v>23</v>
      </c>
      <c r="M273" s="1" t="b">
        <v>0</v>
      </c>
    </row>
    <row r="274" spans="4:13">
      <c r="D274" s="1" t="s">
        <v>89</v>
      </c>
      <c r="E274" s="1" t="s">
        <v>38</v>
      </c>
      <c r="F274" s="1" t="s">
        <v>35</v>
      </c>
      <c r="G274" s="1" t="s">
        <v>36</v>
      </c>
      <c r="H274" s="1" t="s">
        <v>22</v>
      </c>
      <c r="I274" s="1" t="s">
        <v>23</v>
      </c>
      <c r="J274" s="1">
        <v>-99.670000000000016</v>
      </c>
      <c r="K274" s="1">
        <v>980.32999999999993</v>
      </c>
      <c r="L274" s="1">
        <v>80.329999999999984</v>
      </c>
      <c r="M274" s="1">
        <v>13.999999999999943</v>
      </c>
    </row>
    <row r="275" spans="4:13">
      <c r="D275" s="1" t="s">
        <v>89</v>
      </c>
      <c r="E275" s="1" t="s">
        <v>39</v>
      </c>
      <c r="H275" s="1" t="s">
        <v>25</v>
      </c>
      <c r="I275" s="1" t="s">
        <v>23</v>
      </c>
      <c r="M275" s="1" t="b">
        <v>0</v>
      </c>
    </row>
    <row r="276" spans="4:13">
      <c r="D276" s="1" t="s">
        <v>89</v>
      </c>
      <c r="E276" s="1" t="s">
        <v>40</v>
      </c>
      <c r="F276" s="1" t="s">
        <v>41</v>
      </c>
      <c r="G276" s="1" t="s">
        <v>42</v>
      </c>
      <c r="H276" s="1" t="s">
        <v>22</v>
      </c>
      <c r="I276" s="1" t="s">
        <v>23</v>
      </c>
      <c r="J276" s="1">
        <v>-900</v>
      </c>
      <c r="K276" s="1">
        <v>900</v>
      </c>
      <c r="L276" s="1">
        <v>1.8</v>
      </c>
      <c r="M276" s="1">
        <v>9</v>
      </c>
    </row>
    <row r="277" spans="4:13">
      <c r="D277" s="1" t="s">
        <v>89</v>
      </c>
      <c r="E277" s="1" t="s">
        <v>43</v>
      </c>
      <c r="H277" s="1" t="s">
        <v>25</v>
      </c>
      <c r="I277" s="1" t="s">
        <v>23</v>
      </c>
      <c r="M277" s="1" t="b">
        <v>0</v>
      </c>
    </row>
    <row r="278" spans="4:13">
      <c r="D278" s="1" t="s">
        <v>89</v>
      </c>
      <c r="E278" s="1" t="s">
        <v>44</v>
      </c>
      <c r="F278" s="1" t="s">
        <v>45</v>
      </c>
      <c r="G278" s="1" t="s">
        <v>46</v>
      </c>
      <c r="H278" s="1" t="s">
        <v>22</v>
      </c>
      <c r="I278" s="1" t="s">
        <v>23</v>
      </c>
      <c r="J278" s="1">
        <v>-85.984522757427143</v>
      </c>
      <c r="K278" s="1">
        <v>8598.4522757427148</v>
      </c>
      <c r="L278" s="1">
        <v>114.79148749423418</v>
      </c>
      <c r="M278" s="1">
        <v>128.97678413614071</v>
      </c>
    </row>
    <row r="279" spans="4:13">
      <c r="D279" s="1" t="s">
        <v>89</v>
      </c>
      <c r="E279" s="1" t="s">
        <v>47</v>
      </c>
      <c r="H279" s="1" t="s">
        <v>25</v>
      </c>
      <c r="I279" s="1" t="s">
        <v>23</v>
      </c>
      <c r="M279" s="1" t="b">
        <v>0</v>
      </c>
    </row>
    <row r="280" spans="4:13">
      <c r="D280" s="1" t="s">
        <v>89</v>
      </c>
      <c r="E280" s="1" t="s">
        <v>48</v>
      </c>
      <c r="H280" s="1" t="s">
        <v>25</v>
      </c>
      <c r="I280" s="1" t="s">
        <v>23</v>
      </c>
      <c r="M280" s="1" t="b">
        <v>0</v>
      </c>
    </row>
    <row r="281" spans="4:13">
      <c r="D281" s="1" t="s">
        <v>89</v>
      </c>
      <c r="E281" s="1" t="s">
        <v>49</v>
      </c>
      <c r="H281" s="1" t="s">
        <v>25</v>
      </c>
      <c r="I281" s="1" t="s">
        <v>23</v>
      </c>
      <c r="M281" s="1" t="b">
        <v>0</v>
      </c>
    </row>
    <row r="282" spans="4:13">
      <c r="D282" s="1" t="s">
        <v>89</v>
      </c>
      <c r="E282" s="1" t="s">
        <v>50</v>
      </c>
      <c r="H282" s="1" t="s">
        <v>25</v>
      </c>
      <c r="I282" s="1" t="s">
        <v>23</v>
      </c>
      <c r="M282" s="1" t="b">
        <v>0</v>
      </c>
    </row>
    <row r="283" spans="4:13">
      <c r="D283" s="1" t="s">
        <v>89</v>
      </c>
      <c r="E283" s="1" t="s">
        <v>51</v>
      </c>
      <c r="F283" s="1" t="s">
        <v>52</v>
      </c>
      <c r="G283" s="1" t="s">
        <v>53</v>
      </c>
      <c r="H283" s="1" t="s">
        <v>22</v>
      </c>
      <c r="I283" s="1" t="s">
        <v>23</v>
      </c>
      <c r="J283" s="1">
        <v>0</v>
      </c>
      <c r="K283" s="1">
        <v>7936641438.6555996</v>
      </c>
      <c r="L283" s="1">
        <v>7936.6414386555998</v>
      </c>
      <c r="M283" s="1">
        <v>7936.6414386555998</v>
      </c>
    </row>
    <row r="284" spans="4:13">
      <c r="D284" s="1" t="s">
        <v>89</v>
      </c>
      <c r="E284" s="1" t="s">
        <v>54</v>
      </c>
      <c r="H284" s="1" t="s">
        <v>25</v>
      </c>
      <c r="I284" s="1" t="s">
        <v>23</v>
      </c>
      <c r="M284" s="1" t="b">
        <v>0</v>
      </c>
    </row>
    <row r="285" spans="4:13">
      <c r="D285" s="1" t="s">
        <v>89</v>
      </c>
      <c r="E285" s="1" t="s">
        <v>55</v>
      </c>
      <c r="F285" s="1" t="s">
        <v>56</v>
      </c>
      <c r="G285" s="1" t="s">
        <v>57</v>
      </c>
      <c r="H285" s="1" t="s">
        <v>22</v>
      </c>
      <c r="I285" s="1" t="s">
        <v>23</v>
      </c>
      <c r="J285" s="1">
        <v>0</v>
      </c>
      <c r="K285" s="1">
        <v>9427.4529524635982</v>
      </c>
      <c r="L285" s="1">
        <v>50.713895374744951</v>
      </c>
      <c r="M285" s="1">
        <v>50.763208205573221</v>
      </c>
    </row>
    <row r="286" spans="4:13">
      <c r="D286" s="1" t="s">
        <v>89</v>
      </c>
      <c r="E286" s="1" t="s">
        <v>58</v>
      </c>
      <c r="H286" s="1" t="s">
        <v>25</v>
      </c>
      <c r="I286" s="1" t="s">
        <v>23</v>
      </c>
      <c r="M286" s="1" t="b">
        <v>0</v>
      </c>
    </row>
    <row r="287" spans="4:13">
      <c r="D287" s="1" t="s">
        <v>89</v>
      </c>
      <c r="E287" s="1" t="s">
        <v>59</v>
      </c>
      <c r="F287" s="1" t="s">
        <v>60</v>
      </c>
      <c r="G287" s="1" t="s">
        <v>61</v>
      </c>
      <c r="H287" s="1" t="s">
        <v>22</v>
      </c>
      <c r="I287" s="1" t="s">
        <v>23</v>
      </c>
      <c r="J287" s="1">
        <v>-9.5538358650799999</v>
      </c>
      <c r="K287" s="1">
        <v>9.5538358650799999</v>
      </c>
      <c r="L287" s="1">
        <v>0.23884589662700001</v>
      </c>
      <c r="M287" s="1">
        <v>0.23884589662700001</v>
      </c>
    </row>
    <row r="288" spans="4:13">
      <c r="D288" s="1" t="s">
        <v>89</v>
      </c>
      <c r="E288" s="1" t="s">
        <v>62</v>
      </c>
      <c r="H288" s="1" t="s">
        <v>63</v>
      </c>
      <c r="I288" s="1" t="s">
        <v>23</v>
      </c>
      <c r="M288" s="1">
        <v>1</v>
      </c>
    </row>
    <row r="289" spans="4:13">
      <c r="D289" s="1" t="s">
        <v>89</v>
      </c>
      <c r="E289" s="1" t="s">
        <v>64</v>
      </c>
      <c r="F289" s="1" t="s">
        <v>35</v>
      </c>
      <c r="G289" s="1" t="s">
        <v>36</v>
      </c>
      <c r="H289" s="1" t="s">
        <v>22</v>
      </c>
      <c r="I289" s="1" t="s">
        <v>65</v>
      </c>
      <c r="J289" s="1">
        <v>-459.67</v>
      </c>
      <c r="L289" s="1">
        <v>80.329999999999984</v>
      </c>
    </row>
    <row r="290" spans="4:13">
      <c r="D290" s="1" t="s">
        <v>89</v>
      </c>
      <c r="E290" s="1" t="s">
        <v>66</v>
      </c>
      <c r="F290" s="1" t="s">
        <v>35</v>
      </c>
      <c r="G290" s="1" t="s">
        <v>36</v>
      </c>
      <c r="H290" s="1" t="s">
        <v>22</v>
      </c>
      <c r="I290" s="1" t="s">
        <v>65</v>
      </c>
      <c r="J290" s="1">
        <v>-459.67</v>
      </c>
      <c r="L290" s="1">
        <v>80.329999999999984</v>
      </c>
    </row>
    <row r="291" spans="4:13">
      <c r="D291" s="1" t="s">
        <v>89</v>
      </c>
      <c r="E291" s="1" t="s">
        <v>67</v>
      </c>
      <c r="F291" s="1" t="s">
        <v>41</v>
      </c>
      <c r="G291" s="1" t="s">
        <v>42</v>
      </c>
      <c r="H291" s="1" t="s">
        <v>22</v>
      </c>
      <c r="I291" s="1" t="s">
        <v>65</v>
      </c>
      <c r="L291" s="1">
        <v>1.8</v>
      </c>
    </row>
    <row r="292" spans="4:13">
      <c r="D292" s="1" t="s">
        <v>89</v>
      </c>
      <c r="E292" s="1" t="s">
        <v>68</v>
      </c>
      <c r="F292" s="1" t="s">
        <v>45</v>
      </c>
      <c r="G292" s="1" t="s">
        <v>46</v>
      </c>
      <c r="H292" s="1" t="s">
        <v>22</v>
      </c>
      <c r="I292" s="1" t="s">
        <v>65</v>
      </c>
      <c r="L292" s="1">
        <v>4.2992261378713571E-4</v>
      </c>
    </row>
    <row r="293" spans="4:13">
      <c r="D293" s="1" t="s">
        <v>89</v>
      </c>
      <c r="E293" s="1" t="s">
        <v>69</v>
      </c>
      <c r="H293" s="1" t="s">
        <v>25</v>
      </c>
      <c r="I293" s="1" t="s">
        <v>70</v>
      </c>
    </row>
    <row r="294" spans="4:13">
      <c r="D294" s="1" t="s">
        <v>89</v>
      </c>
      <c r="E294" s="1" t="s">
        <v>71</v>
      </c>
      <c r="F294" s="1" t="s">
        <v>52</v>
      </c>
      <c r="G294" s="1" t="s">
        <v>53</v>
      </c>
      <c r="H294" s="1" t="s">
        <v>22</v>
      </c>
      <c r="I294" s="1" t="s">
        <v>65</v>
      </c>
      <c r="L294" s="1">
        <v>7936.6414386555998</v>
      </c>
    </row>
    <row r="295" spans="4:13">
      <c r="D295" s="1" t="s">
        <v>89</v>
      </c>
      <c r="E295" s="1" t="s">
        <v>72</v>
      </c>
      <c r="F295" s="1" t="s">
        <v>56</v>
      </c>
      <c r="G295" s="1" t="s">
        <v>57</v>
      </c>
      <c r="H295" s="1" t="s">
        <v>22</v>
      </c>
      <c r="I295" s="1" t="s">
        <v>65</v>
      </c>
      <c r="J295" s="1">
        <v>0</v>
      </c>
      <c r="L295" s="1">
        <v>14.503773773020921</v>
      </c>
    </row>
    <row r="296" spans="4:13">
      <c r="D296" s="1" t="s">
        <v>89</v>
      </c>
      <c r="E296" s="1" t="s">
        <v>73</v>
      </c>
      <c r="F296" s="1" t="s">
        <v>60</v>
      </c>
      <c r="G296" s="1" t="s">
        <v>61</v>
      </c>
      <c r="H296" s="1" t="s">
        <v>22</v>
      </c>
      <c r="I296" s="1" t="s">
        <v>65</v>
      </c>
      <c r="L296" s="1">
        <v>2.38845896627E-4</v>
      </c>
    </row>
    <row r="297" spans="4:13">
      <c r="D297" s="1" t="s">
        <v>89</v>
      </c>
      <c r="E297" s="1" t="s">
        <v>74</v>
      </c>
      <c r="F297" s="1" t="s">
        <v>75</v>
      </c>
      <c r="G297" s="1" t="s">
        <v>76</v>
      </c>
      <c r="H297" s="1" t="s">
        <v>22</v>
      </c>
      <c r="I297" s="1" t="s">
        <v>65</v>
      </c>
      <c r="J297" s="1">
        <v>0</v>
      </c>
      <c r="L297" s="1">
        <v>16.018463521800001</v>
      </c>
    </row>
    <row r="298" spans="4:13">
      <c r="D298" s="1" t="s">
        <v>89</v>
      </c>
      <c r="E298" s="1" t="s">
        <v>77</v>
      </c>
      <c r="H298" s="1" t="s">
        <v>22</v>
      </c>
      <c r="I298" s="1" t="s">
        <v>65</v>
      </c>
      <c r="L298" s="1">
        <v>1</v>
      </c>
    </row>
    <row r="299" spans="4:13">
      <c r="D299" s="1" t="s">
        <v>89</v>
      </c>
      <c r="E299" s="1" t="s">
        <v>78</v>
      </c>
      <c r="H299" s="1" t="s">
        <v>25</v>
      </c>
      <c r="I299" s="1" t="s">
        <v>23</v>
      </c>
      <c r="M299" s="1" t="b">
        <v>0</v>
      </c>
    </row>
    <row r="300" spans="4:13">
      <c r="D300" s="1" t="s">
        <v>89</v>
      </c>
      <c r="E300" s="1" t="s">
        <v>79</v>
      </c>
      <c r="F300" s="1" t="s">
        <v>75</v>
      </c>
      <c r="G300" s="1" t="s">
        <v>76</v>
      </c>
      <c r="H300" s="1" t="s">
        <v>22</v>
      </c>
      <c r="I300" s="1" t="s">
        <v>23</v>
      </c>
      <c r="J300" s="1">
        <v>0</v>
      </c>
      <c r="K300" s="1">
        <v>96.110781130800007</v>
      </c>
      <c r="L300" s="1">
        <v>16.018463521800001</v>
      </c>
      <c r="M300" s="1">
        <v>1.6018463521800002</v>
      </c>
    </row>
    <row r="301" spans="4:13">
      <c r="D301" s="1" t="s">
        <v>89</v>
      </c>
      <c r="E301" s="1" t="s">
        <v>80</v>
      </c>
      <c r="H301" s="1" t="s">
        <v>25</v>
      </c>
      <c r="I301" s="1" t="s">
        <v>23</v>
      </c>
      <c r="M301" s="1" t="b">
        <v>0</v>
      </c>
    </row>
    <row r="302" spans="4:13">
      <c r="D302" s="1" t="s">
        <v>89</v>
      </c>
      <c r="E302" s="1" t="s">
        <v>81</v>
      </c>
      <c r="H302" s="1" t="s">
        <v>25</v>
      </c>
      <c r="I302" s="1" t="s">
        <v>23</v>
      </c>
      <c r="M302" s="1" t="b">
        <v>0</v>
      </c>
    </row>
    <row r="303" spans="4:13">
      <c r="D303" s="1" t="s">
        <v>89</v>
      </c>
      <c r="E303" s="1" t="s">
        <v>82</v>
      </c>
      <c r="H303" s="1" t="s">
        <v>22</v>
      </c>
      <c r="I303" s="1" t="s">
        <v>23</v>
      </c>
      <c r="J303" s="1">
        <v>-1</v>
      </c>
      <c r="K303" s="1">
        <v>3</v>
      </c>
      <c r="L303" s="1">
        <v>1</v>
      </c>
      <c r="M303" s="1">
        <v>1.01</v>
      </c>
    </row>
    <row r="304" spans="4:13">
      <c r="D304" s="1" t="s">
        <v>90</v>
      </c>
      <c r="E304" s="1" t="s">
        <v>28</v>
      </c>
      <c r="H304" s="1" t="s">
        <v>22</v>
      </c>
      <c r="I304" s="1" t="s">
        <v>29</v>
      </c>
      <c r="J304" s="1">
        <v>34000</v>
      </c>
      <c r="K304" s="1">
        <v>4300000</v>
      </c>
      <c r="L304" s="1">
        <v>349660</v>
      </c>
    </row>
    <row r="305" spans="4:13">
      <c r="D305" s="1" t="s">
        <v>90</v>
      </c>
      <c r="E305" s="1" t="s">
        <v>30</v>
      </c>
      <c r="H305" s="1" t="s">
        <v>22</v>
      </c>
      <c r="I305" s="1" t="s">
        <v>29</v>
      </c>
      <c r="J305" s="1">
        <v>-3.94</v>
      </c>
      <c r="K305" s="1">
        <v>3.66</v>
      </c>
      <c r="L305" s="1">
        <v>1</v>
      </c>
    </row>
    <row r="306" spans="4:13">
      <c r="D306" s="1" t="s">
        <v>90</v>
      </c>
      <c r="E306" s="1" t="s">
        <v>31</v>
      </c>
      <c r="H306" s="1" t="s">
        <v>22</v>
      </c>
      <c r="I306" s="1" t="s">
        <v>29</v>
      </c>
      <c r="J306" s="1">
        <v>0</v>
      </c>
      <c r="K306" s="1">
        <v>100</v>
      </c>
      <c r="L306" s="1">
        <v>1</v>
      </c>
    </row>
    <row r="307" spans="4:13">
      <c r="D307" s="1" t="s">
        <v>90</v>
      </c>
      <c r="E307" s="1" t="s">
        <v>32</v>
      </c>
      <c r="H307" s="1" t="s">
        <v>22</v>
      </c>
      <c r="I307" s="1" t="s">
        <v>29</v>
      </c>
      <c r="J307" s="1">
        <v>-3.94</v>
      </c>
      <c r="K307" s="1">
        <v>3.66</v>
      </c>
      <c r="L307" s="1">
        <v>1</v>
      </c>
    </row>
    <row r="308" spans="4:13">
      <c r="D308" s="1" t="s">
        <v>90</v>
      </c>
      <c r="E308" s="1" t="s">
        <v>33</v>
      </c>
      <c r="H308" s="1" t="s">
        <v>25</v>
      </c>
      <c r="I308" s="1" t="s">
        <v>23</v>
      </c>
      <c r="M308" s="1" t="b">
        <v>0</v>
      </c>
    </row>
    <row r="309" spans="4:13">
      <c r="D309" s="1" t="s">
        <v>90</v>
      </c>
      <c r="E309" s="1" t="s">
        <v>34</v>
      </c>
      <c r="F309" s="1" t="s">
        <v>35</v>
      </c>
      <c r="G309" s="1" t="s">
        <v>36</v>
      </c>
      <c r="H309" s="1" t="s">
        <v>22</v>
      </c>
      <c r="I309" s="1" t="s">
        <v>23</v>
      </c>
      <c r="J309" s="1">
        <v>-459.67</v>
      </c>
      <c r="K309" s="1">
        <v>980.32999999999993</v>
      </c>
      <c r="L309" s="1">
        <v>80.329999999999984</v>
      </c>
      <c r="M309" s="1">
        <v>67.999999999999943</v>
      </c>
    </row>
    <row r="310" spans="4:13">
      <c r="D310" s="1" t="s">
        <v>90</v>
      </c>
      <c r="E310" s="1" t="s">
        <v>37</v>
      </c>
      <c r="H310" s="1" t="s">
        <v>25</v>
      </c>
      <c r="I310" s="1" t="s">
        <v>23</v>
      </c>
      <c r="M310" s="1" t="b">
        <v>0</v>
      </c>
    </row>
    <row r="311" spans="4:13">
      <c r="D311" s="1" t="s">
        <v>90</v>
      </c>
      <c r="E311" s="1" t="s">
        <v>38</v>
      </c>
      <c r="F311" s="1" t="s">
        <v>35</v>
      </c>
      <c r="G311" s="1" t="s">
        <v>36</v>
      </c>
      <c r="H311" s="1" t="s">
        <v>22</v>
      </c>
      <c r="I311" s="1" t="s">
        <v>23</v>
      </c>
      <c r="J311" s="1">
        <v>-99.670000000000016</v>
      </c>
      <c r="K311" s="1">
        <v>980.32999999999993</v>
      </c>
      <c r="L311" s="1">
        <v>80.329999999999984</v>
      </c>
      <c r="M311" s="1">
        <v>13.999999999999943</v>
      </c>
    </row>
    <row r="312" spans="4:13">
      <c r="D312" s="1" t="s">
        <v>90</v>
      </c>
      <c r="E312" s="1" t="s">
        <v>39</v>
      </c>
      <c r="H312" s="1" t="s">
        <v>25</v>
      </c>
      <c r="I312" s="1" t="s">
        <v>23</v>
      </c>
      <c r="M312" s="1" t="b">
        <v>0</v>
      </c>
    </row>
    <row r="313" spans="4:13">
      <c r="D313" s="1" t="s">
        <v>90</v>
      </c>
      <c r="E313" s="1" t="s">
        <v>40</v>
      </c>
      <c r="F313" s="1" t="s">
        <v>41</v>
      </c>
      <c r="G313" s="1" t="s">
        <v>42</v>
      </c>
      <c r="H313" s="1" t="s">
        <v>22</v>
      </c>
      <c r="I313" s="1" t="s">
        <v>23</v>
      </c>
      <c r="J313" s="1">
        <v>-900</v>
      </c>
      <c r="K313" s="1">
        <v>900</v>
      </c>
      <c r="L313" s="1">
        <v>1.8</v>
      </c>
      <c r="M313" s="1">
        <v>9</v>
      </c>
    </row>
    <row r="314" spans="4:13">
      <c r="D314" s="1" t="s">
        <v>90</v>
      </c>
      <c r="E314" s="1" t="s">
        <v>43</v>
      </c>
      <c r="H314" s="1" t="s">
        <v>25</v>
      </c>
      <c r="I314" s="1" t="s">
        <v>23</v>
      </c>
      <c r="M314" s="1" t="b">
        <v>0</v>
      </c>
    </row>
    <row r="315" spans="4:13">
      <c r="D315" s="1" t="s">
        <v>90</v>
      </c>
      <c r="E315" s="1" t="s">
        <v>44</v>
      </c>
      <c r="F315" s="1" t="s">
        <v>45</v>
      </c>
      <c r="G315" s="1" t="s">
        <v>46</v>
      </c>
      <c r="H315" s="1" t="s">
        <v>22</v>
      </c>
      <c r="I315" s="1" t="s">
        <v>23</v>
      </c>
      <c r="J315" s="1">
        <v>-85.984522757427143</v>
      </c>
      <c r="K315" s="1">
        <v>8598.4522757427148</v>
      </c>
      <c r="L315" s="1">
        <v>114.79148749423418</v>
      </c>
      <c r="M315" s="1">
        <v>128.97678413614071</v>
      </c>
    </row>
    <row r="316" spans="4:13">
      <c r="D316" s="1" t="s">
        <v>90</v>
      </c>
      <c r="E316" s="1" t="s">
        <v>47</v>
      </c>
      <c r="H316" s="1" t="s">
        <v>25</v>
      </c>
      <c r="I316" s="1" t="s">
        <v>23</v>
      </c>
      <c r="M316" s="1" t="b">
        <v>0</v>
      </c>
    </row>
    <row r="317" spans="4:13">
      <c r="D317" s="1" t="s">
        <v>90</v>
      </c>
      <c r="E317" s="1" t="s">
        <v>48</v>
      </c>
      <c r="H317" s="1" t="s">
        <v>25</v>
      </c>
      <c r="I317" s="1" t="s">
        <v>23</v>
      </c>
      <c r="M317" s="1" t="b">
        <v>0</v>
      </c>
    </row>
    <row r="318" spans="4:13">
      <c r="D318" s="1" t="s">
        <v>90</v>
      </c>
      <c r="E318" s="1" t="s">
        <v>49</v>
      </c>
      <c r="H318" s="1" t="s">
        <v>25</v>
      </c>
      <c r="I318" s="1" t="s">
        <v>23</v>
      </c>
      <c r="M318" s="1" t="b">
        <v>0</v>
      </c>
    </row>
    <row r="319" spans="4:13">
      <c r="D319" s="1" t="s">
        <v>90</v>
      </c>
      <c r="E319" s="1" t="s">
        <v>50</v>
      </c>
      <c r="H319" s="1" t="s">
        <v>25</v>
      </c>
      <c r="I319" s="1" t="s">
        <v>23</v>
      </c>
      <c r="M319" s="1" t="b">
        <v>0</v>
      </c>
    </row>
    <row r="320" spans="4:13">
      <c r="D320" s="1" t="s">
        <v>90</v>
      </c>
      <c r="E320" s="1" t="s">
        <v>51</v>
      </c>
      <c r="F320" s="1" t="s">
        <v>52</v>
      </c>
      <c r="G320" s="1" t="s">
        <v>53</v>
      </c>
      <c r="H320" s="1" t="s">
        <v>22</v>
      </c>
      <c r="I320" s="1" t="s">
        <v>23</v>
      </c>
      <c r="J320" s="1">
        <v>0</v>
      </c>
      <c r="K320" s="1">
        <v>7936641438.6555996</v>
      </c>
      <c r="L320" s="1">
        <v>7936.6414386555998</v>
      </c>
      <c r="M320" s="1">
        <v>7936.6414386555998</v>
      </c>
    </row>
    <row r="321" spans="4:13">
      <c r="D321" s="1" t="s">
        <v>90</v>
      </c>
      <c r="E321" s="1" t="s">
        <v>54</v>
      </c>
      <c r="H321" s="1" t="s">
        <v>25</v>
      </c>
      <c r="I321" s="1" t="s">
        <v>23</v>
      </c>
      <c r="M321" s="1" t="b">
        <v>0</v>
      </c>
    </row>
    <row r="322" spans="4:13">
      <c r="D322" s="1" t="s">
        <v>90</v>
      </c>
      <c r="E322" s="1" t="s">
        <v>55</v>
      </c>
      <c r="F322" s="1" t="s">
        <v>56</v>
      </c>
      <c r="G322" s="1" t="s">
        <v>57</v>
      </c>
      <c r="H322" s="1" t="s">
        <v>22</v>
      </c>
      <c r="I322" s="1" t="s">
        <v>23</v>
      </c>
      <c r="J322" s="1">
        <v>0</v>
      </c>
      <c r="K322" s="1">
        <v>9427.4529524635982</v>
      </c>
      <c r="L322" s="1">
        <v>50.713895374744951</v>
      </c>
      <c r="M322" s="1">
        <v>50.763208205573221</v>
      </c>
    </row>
    <row r="323" spans="4:13">
      <c r="D323" s="1" t="s">
        <v>90</v>
      </c>
      <c r="E323" s="1" t="s">
        <v>58</v>
      </c>
      <c r="H323" s="1" t="s">
        <v>25</v>
      </c>
      <c r="I323" s="1" t="s">
        <v>23</v>
      </c>
      <c r="M323" s="1" t="b">
        <v>0</v>
      </c>
    </row>
    <row r="324" spans="4:13">
      <c r="D324" s="1" t="s">
        <v>90</v>
      </c>
      <c r="E324" s="1" t="s">
        <v>59</v>
      </c>
      <c r="F324" s="1" t="s">
        <v>60</v>
      </c>
      <c r="G324" s="1" t="s">
        <v>61</v>
      </c>
      <c r="H324" s="1" t="s">
        <v>22</v>
      </c>
      <c r="I324" s="1" t="s">
        <v>23</v>
      </c>
      <c r="J324" s="1">
        <v>-9.5538358650799999</v>
      </c>
      <c r="K324" s="1">
        <v>9.5538358650799999</v>
      </c>
      <c r="L324" s="1">
        <v>0.23884589662700001</v>
      </c>
      <c r="M324" s="1">
        <v>0.23884589662700001</v>
      </c>
    </row>
    <row r="325" spans="4:13">
      <c r="D325" s="1" t="s">
        <v>90</v>
      </c>
      <c r="E325" s="1" t="s">
        <v>62</v>
      </c>
      <c r="H325" s="1" t="s">
        <v>63</v>
      </c>
      <c r="I325" s="1" t="s">
        <v>23</v>
      </c>
      <c r="M325" s="1">
        <v>1</v>
      </c>
    </row>
    <row r="326" spans="4:13">
      <c r="D326" s="1" t="s">
        <v>90</v>
      </c>
      <c r="E326" s="1" t="s">
        <v>64</v>
      </c>
      <c r="F326" s="1" t="s">
        <v>35</v>
      </c>
      <c r="G326" s="1" t="s">
        <v>36</v>
      </c>
      <c r="H326" s="1" t="s">
        <v>22</v>
      </c>
      <c r="I326" s="1" t="s">
        <v>65</v>
      </c>
      <c r="J326" s="1">
        <v>-459.67</v>
      </c>
      <c r="L326" s="1">
        <v>80.329999999999984</v>
      </c>
    </row>
    <row r="327" spans="4:13">
      <c r="D327" s="1" t="s">
        <v>90</v>
      </c>
      <c r="E327" s="1" t="s">
        <v>66</v>
      </c>
      <c r="F327" s="1" t="s">
        <v>35</v>
      </c>
      <c r="G327" s="1" t="s">
        <v>36</v>
      </c>
      <c r="H327" s="1" t="s">
        <v>22</v>
      </c>
      <c r="I327" s="1" t="s">
        <v>65</v>
      </c>
      <c r="J327" s="1">
        <v>-459.67</v>
      </c>
      <c r="L327" s="1">
        <v>80.329999999999984</v>
      </c>
    </row>
    <row r="328" spans="4:13">
      <c r="D328" s="1" t="s">
        <v>90</v>
      </c>
      <c r="E328" s="1" t="s">
        <v>67</v>
      </c>
      <c r="F328" s="1" t="s">
        <v>41</v>
      </c>
      <c r="G328" s="1" t="s">
        <v>42</v>
      </c>
      <c r="H328" s="1" t="s">
        <v>22</v>
      </c>
      <c r="I328" s="1" t="s">
        <v>65</v>
      </c>
      <c r="L328" s="1">
        <v>1.8</v>
      </c>
    </row>
    <row r="329" spans="4:13">
      <c r="D329" s="1" t="s">
        <v>90</v>
      </c>
      <c r="E329" s="1" t="s">
        <v>68</v>
      </c>
      <c r="F329" s="1" t="s">
        <v>45</v>
      </c>
      <c r="G329" s="1" t="s">
        <v>46</v>
      </c>
      <c r="H329" s="1" t="s">
        <v>22</v>
      </c>
      <c r="I329" s="1" t="s">
        <v>65</v>
      </c>
      <c r="L329" s="1">
        <v>4.2992261378713571E-4</v>
      </c>
    </row>
    <row r="330" spans="4:13">
      <c r="D330" s="1" t="s">
        <v>90</v>
      </c>
      <c r="E330" s="1" t="s">
        <v>69</v>
      </c>
      <c r="H330" s="1" t="s">
        <v>25</v>
      </c>
      <c r="I330" s="1" t="s">
        <v>70</v>
      </c>
    </row>
    <row r="331" spans="4:13">
      <c r="D331" s="1" t="s">
        <v>90</v>
      </c>
      <c r="E331" s="1" t="s">
        <v>71</v>
      </c>
      <c r="F331" s="1" t="s">
        <v>52</v>
      </c>
      <c r="G331" s="1" t="s">
        <v>53</v>
      </c>
      <c r="H331" s="1" t="s">
        <v>22</v>
      </c>
      <c r="I331" s="1" t="s">
        <v>65</v>
      </c>
      <c r="L331" s="1">
        <v>7936.6414386555998</v>
      </c>
    </row>
    <row r="332" spans="4:13">
      <c r="D332" s="1" t="s">
        <v>90</v>
      </c>
      <c r="E332" s="1" t="s">
        <v>72</v>
      </c>
      <c r="F332" s="1" t="s">
        <v>56</v>
      </c>
      <c r="G332" s="1" t="s">
        <v>57</v>
      </c>
      <c r="H332" s="1" t="s">
        <v>22</v>
      </c>
      <c r="I332" s="1" t="s">
        <v>65</v>
      </c>
      <c r="J332" s="1">
        <v>0</v>
      </c>
      <c r="L332" s="1">
        <v>14.503773773020921</v>
      </c>
    </row>
    <row r="333" spans="4:13">
      <c r="D333" s="1" t="s">
        <v>90</v>
      </c>
      <c r="E333" s="1" t="s">
        <v>73</v>
      </c>
      <c r="F333" s="1" t="s">
        <v>60</v>
      </c>
      <c r="G333" s="1" t="s">
        <v>61</v>
      </c>
      <c r="H333" s="1" t="s">
        <v>22</v>
      </c>
      <c r="I333" s="1" t="s">
        <v>65</v>
      </c>
      <c r="L333" s="1">
        <v>2.38845896627E-4</v>
      </c>
    </row>
    <row r="334" spans="4:13">
      <c r="D334" s="1" t="s">
        <v>90</v>
      </c>
      <c r="E334" s="1" t="s">
        <v>74</v>
      </c>
      <c r="F334" s="1" t="s">
        <v>75</v>
      </c>
      <c r="G334" s="1" t="s">
        <v>76</v>
      </c>
      <c r="H334" s="1" t="s">
        <v>22</v>
      </c>
      <c r="I334" s="1" t="s">
        <v>65</v>
      </c>
      <c r="J334" s="1">
        <v>0</v>
      </c>
      <c r="L334" s="1">
        <v>16.018463521800001</v>
      </c>
    </row>
    <row r="335" spans="4:13">
      <c r="D335" s="1" t="s">
        <v>90</v>
      </c>
      <c r="E335" s="1" t="s">
        <v>77</v>
      </c>
      <c r="H335" s="1" t="s">
        <v>22</v>
      </c>
      <c r="I335" s="1" t="s">
        <v>65</v>
      </c>
      <c r="L335" s="1">
        <v>1</v>
      </c>
    </row>
    <row r="336" spans="4:13">
      <c r="D336" s="1" t="s">
        <v>90</v>
      </c>
      <c r="E336" s="1" t="s">
        <v>78</v>
      </c>
      <c r="H336" s="1" t="s">
        <v>25</v>
      </c>
      <c r="I336" s="1" t="s">
        <v>23</v>
      </c>
      <c r="M336" s="1" t="b">
        <v>0</v>
      </c>
    </row>
    <row r="337" spans="4:13">
      <c r="D337" s="1" t="s">
        <v>90</v>
      </c>
      <c r="E337" s="1" t="s">
        <v>79</v>
      </c>
      <c r="F337" s="1" t="s">
        <v>75</v>
      </c>
      <c r="G337" s="1" t="s">
        <v>76</v>
      </c>
      <c r="H337" s="1" t="s">
        <v>22</v>
      </c>
      <c r="I337" s="1" t="s">
        <v>23</v>
      </c>
      <c r="J337" s="1">
        <v>0</v>
      </c>
      <c r="K337" s="1">
        <v>96.110781130800007</v>
      </c>
      <c r="L337" s="1">
        <v>16.018463521800001</v>
      </c>
      <c r="M337" s="1">
        <v>1.6018463521800002</v>
      </c>
    </row>
    <row r="338" spans="4:13">
      <c r="D338" s="1" t="s">
        <v>90</v>
      </c>
      <c r="E338" s="1" t="s">
        <v>80</v>
      </c>
      <c r="H338" s="1" t="s">
        <v>25</v>
      </c>
      <c r="I338" s="1" t="s">
        <v>23</v>
      </c>
      <c r="M338" s="1" t="b">
        <v>0</v>
      </c>
    </row>
    <row r="339" spans="4:13">
      <c r="D339" s="1" t="s">
        <v>90</v>
      </c>
      <c r="E339" s="1" t="s">
        <v>81</v>
      </c>
      <c r="H339" s="1" t="s">
        <v>25</v>
      </c>
      <c r="I339" s="1" t="s">
        <v>23</v>
      </c>
      <c r="M339" s="1" t="b">
        <v>0</v>
      </c>
    </row>
    <row r="340" spans="4:13">
      <c r="D340" s="1" t="s">
        <v>90</v>
      </c>
      <c r="E340" s="1" t="s">
        <v>82</v>
      </c>
      <c r="H340" s="1" t="s">
        <v>22</v>
      </c>
      <c r="I340" s="1" t="s">
        <v>23</v>
      </c>
      <c r="J340" s="1">
        <v>-1</v>
      </c>
      <c r="K340" s="1">
        <v>3</v>
      </c>
      <c r="L340" s="1">
        <v>1</v>
      </c>
      <c r="M340" s="1">
        <v>1.01</v>
      </c>
    </row>
    <row r="341" spans="4:13">
      <c r="D341" s="1" t="s">
        <v>91</v>
      </c>
      <c r="H341" s="1" t="s">
        <v>22</v>
      </c>
      <c r="I341" s="1" t="s">
        <v>23</v>
      </c>
      <c r="L341" s="1">
        <v>1</v>
      </c>
      <c r="M341" s="1">
        <v>0.99</v>
      </c>
    </row>
    <row r="342" spans="4:13">
      <c r="D342" s="1" t="s">
        <v>92</v>
      </c>
      <c r="E342" s="1" t="s">
        <v>28</v>
      </c>
      <c r="H342" s="1" t="s">
        <v>22</v>
      </c>
      <c r="I342" s="1" t="s">
        <v>29</v>
      </c>
      <c r="J342" s="1">
        <v>34000</v>
      </c>
      <c r="K342" s="1">
        <v>4300000</v>
      </c>
      <c r="L342" s="1">
        <v>349660</v>
      </c>
    </row>
    <row r="343" spans="4:13">
      <c r="D343" s="1" t="s">
        <v>92</v>
      </c>
      <c r="E343" s="1" t="s">
        <v>30</v>
      </c>
      <c r="H343" s="1" t="s">
        <v>22</v>
      </c>
      <c r="I343" s="1" t="s">
        <v>29</v>
      </c>
      <c r="J343" s="1">
        <v>-3.94</v>
      </c>
      <c r="K343" s="1">
        <v>3.66</v>
      </c>
      <c r="L343" s="1">
        <v>1</v>
      </c>
    </row>
    <row r="344" spans="4:13">
      <c r="D344" s="1" t="s">
        <v>92</v>
      </c>
      <c r="E344" s="1" t="s">
        <v>31</v>
      </c>
      <c r="H344" s="1" t="s">
        <v>22</v>
      </c>
      <c r="I344" s="1" t="s">
        <v>29</v>
      </c>
      <c r="J344" s="1">
        <v>0</v>
      </c>
      <c r="K344" s="1">
        <v>100</v>
      </c>
      <c r="L344" s="1">
        <v>1</v>
      </c>
    </row>
    <row r="345" spans="4:13">
      <c r="D345" s="1" t="s">
        <v>92</v>
      </c>
      <c r="E345" s="1" t="s">
        <v>32</v>
      </c>
      <c r="H345" s="1" t="s">
        <v>22</v>
      </c>
      <c r="I345" s="1" t="s">
        <v>29</v>
      </c>
      <c r="J345" s="1">
        <v>-3.94</v>
      </c>
      <c r="K345" s="1">
        <v>3.66</v>
      </c>
      <c r="L345" s="1">
        <v>1</v>
      </c>
    </row>
    <row r="346" spans="4:13">
      <c r="D346" s="1" t="s">
        <v>92</v>
      </c>
      <c r="E346" s="1" t="s">
        <v>33</v>
      </c>
      <c r="H346" s="1" t="s">
        <v>25</v>
      </c>
      <c r="I346" s="1" t="s">
        <v>23</v>
      </c>
      <c r="M346" s="1" t="b">
        <v>0</v>
      </c>
    </row>
    <row r="347" spans="4:13">
      <c r="D347" s="1" t="s">
        <v>92</v>
      </c>
      <c r="E347" s="1" t="s">
        <v>34</v>
      </c>
      <c r="F347" s="1" t="s">
        <v>35</v>
      </c>
      <c r="G347" s="1" t="s">
        <v>36</v>
      </c>
      <c r="H347" s="1" t="s">
        <v>22</v>
      </c>
      <c r="I347" s="1" t="s">
        <v>23</v>
      </c>
      <c r="J347" s="1">
        <v>-459.67</v>
      </c>
      <c r="K347" s="1">
        <v>980.32999999999993</v>
      </c>
      <c r="L347" s="1">
        <v>80.329999999999984</v>
      </c>
      <c r="M347" s="1">
        <v>67.999999999999943</v>
      </c>
    </row>
    <row r="348" spans="4:13">
      <c r="D348" s="1" t="s">
        <v>92</v>
      </c>
      <c r="E348" s="1" t="s">
        <v>37</v>
      </c>
      <c r="H348" s="1" t="s">
        <v>25</v>
      </c>
      <c r="I348" s="1" t="s">
        <v>23</v>
      </c>
      <c r="M348" s="1" t="b">
        <v>0</v>
      </c>
    </row>
    <row r="349" spans="4:13">
      <c r="D349" s="1" t="s">
        <v>92</v>
      </c>
      <c r="E349" s="1" t="s">
        <v>38</v>
      </c>
      <c r="F349" s="1" t="s">
        <v>35</v>
      </c>
      <c r="G349" s="1" t="s">
        <v>36</v>
      </c>
      <c r="H349" s="1" t="s">
        <v>22</v>
      </c>
      <c r="I349" s="1" t="s">
        <v>23</v>
      </c>
      <c r="J349" s="1">
        <v>-99.670000000000016</v>
      </c>
      <c r="K349" s="1">
        <v>980.32999999999993</v>
      </c>
      <c r="L349" s="1">
        <v>80.329999999999984</v>
      </c>
      <c r="M349" s="1">
        <v>13.999999999999943</v>
      </c>
    </row>
    <row r="350" spans="4:13">
      <c r="D350" s="1" t="s">
        <v>92</v>
      </c>
      <c r="E350" s="1" t="s">
        <v>39</v>
      </c>
      <c r="H350" s="1" t="s">
        <v>25</v>
      </c>
      <c r="I350" s="1" t="s">
        <v>23</v>
      </c>
      <c r="M350" s="1" t="b">
        <v>0</v>
      </c>
    </row>
    <row r="351" spans="4:13">
      <c r="D351" s="1" t="s">
        <v>92</v>
      </c>
      <c r="E351" s="1" t="s">
        <v>40</v>
      </c>
      <c r="F351" s="1" t="s">
        <v>41</v>
      </c>
      <c r="G351" s="1" t="s">
        <v>42</v>
      </c>
      <c r="H351" s="1" t="s">
        <v>22</v>
      </c>
      <c r="I351" s="1" t="s">
        <v>23</v>
      </c>
      <c r="J351" s="1">
        <v>-900</v>
      </c>
      <c r="K351" s="1">
        <v>900</v>
      </c>
      <c r="L351" s="1">
        <v>1.8</v>
      </c>
      <c r="M351" s="1">
        <v>9</v>
      </c>
    </row>
    <row r="352" spans="4:13">
      <c r="D352" s="1" t="s">
        <v>92</v>
      </c>
      <c r="E352" s="1" t="s">
        <v>43</v>
      </c>
      <c r="H352" s="1" t="s">
        <v>25</v>
      </c>
      <c r="I352" s="1" t="s">
        <v>23</v>
      </c>
      <c r="M352" s="1" t="b">
        <v>0</v>
      </c>
    </row>
    <row r="353" spans="4:13">
      <c r="D353" s="1" t="s">
        <v>92</v>
      </c>
      <c r="E353" s="1" t="s">
        <v>44</v>
      </c>
      <c r="F353" s="1" t="s">
        <v>45</v>
      </c>
      <c r="G353" s="1" t="s">
        <v>46</v>
      </c>
      <c r="H353" s="1" t="s">
        <v>22</v>
      </c>
      <c r="I353" s="1" t="s">
        <v>23</v>
      </c>
      <c r="J353" s="1">
        <v>-85.984522757427143</v>
      </c>
      <c r="K353" s="1">
        <v>8598.4522757427148</v>
      </c>
      <c r="L353" s="1">
        <v>114.79148749423418</v>
      </c>
      <c r="M353" s="1">
        <v>128.97678413614071</v>
      </c>
    </row>
    <row r="354" spans="4:13">
      <c r="D354" s="1" t="s">
        <v>92</v>
      </c>
      <c r="E354" s="1" t="s">
        <v>47</v>
      </c>
      <c r="H354" s="1" t="s">
        <v>25</v>
      </c>
      <c r="I354" s="1" t="s">
        <v>23</v>
      </c>
      <c r="M354" s="1" t="b">
        <v>0</v>
      </c>
    </row>
    <row r="355" spans="4:13">
      <c r="D355" s="1" t="s">
        <v>92</v>
      </c>
      <c r="E355" s="1" t="s">
        <v>48</v>
      </c>
      <c r="H355" s="1" t="s">
        <v>25</v>
      </c>
      <c r="I355" s="1" t="s">
        <v>23</v>
      </c>
      <c r="M355" s="1" t="b">
        <v>0</v>
      </c>
    </row>
    <row r="356" spans="4:13">
      <c r="D356" s="1" t="s">
        <v>92</v>
      </c>
      <c r="E356" s="1" t="s">
        <v>49</v>
      </c>
      <c r="H356" s="1" t="s">
        <v>25</v>
      </c>
      <c r="I356" s="1" t="s">
        <v>23</v>
      </c>
      <c r="M356" s="1" t="b">
        <v>0</v>
      </c>
    </row>
    <row r="357" spans="4:13">
      <c r="D357" s="1" t="s">
        <v>92</v>
      </c>
      <c r="E357" s="1" t="s">
        <v>50</v>
      </c>
      <c r="H357" s="1" t="s">
        <v>25</v>
      </c>
      <c r="I357" s="1" t="s">
        <v>23</v>
      </c>
      <c r="M357" s="1" t="b">
        <v>0</v>
      </c>
    </row>
    <row r="358" spans="4:13">
      <c r="D358" s="1" t="s">
        <v>92</v>
      </c>
      <c r="E358" s="1" t="s">
        <v>51</v>
      </c>
      <c r="F358" s="1" t="s">
        <v>52</v>
      </c>
      <c r="G358" s="1" t="s">
        <v>53</v>
      </c>
      <c r="H358" s="1" t="s">
        <v>22</v>
      </c>
      <c r="I358" s="1" t="s">
        <v>23</v>
      </c>
      <c r="J358" s="1">
        <v>0</v>
      </c>
      <c r="K358" s="1">
        <v>7936641438.6555996</v>
      </c>
      <c r="L358" s="1">
        <v>7936.6414386555998</v>
      </c>
      <c r="M358" s="1">
        <v>7936.6414386555998</v>
      </c>
    </row>
    <row r="359" spans="4:13">
      <c r="D359" s="1" t="s">
        <v>92</v>
      </c>
      <c r="E359" s="1" t="s">
        <v>54</v>
      </c>
      <c r="H359" s="1" t="s">
        <v>25</v>
      </c>
      <c r="I359" s="1" t="s">
        <v>23</v>
      </c>
      <c r="M359" s="1" t="b">
        <v>0</v>
      </c>
    </row>
    <row r="360" spans="4:13">
      <c r="D360" s="1" t="s">
        <v>92</v>
      </c>
      <c r="E360" s="1" t="s">
        <v>55</v>
      </c>
      <c r="F360" s="1" t="s">
        <v>56</v>
      </c>
      <c r="G360" s="1" t="s">
        <v>57</v>
      </c>
      <c r="H360" s="1" t="s">
        <v>22</v>
      </c>
      <c r="I360" s="1" t="s">
        <v>23</v>
      </c>
      <c r="J360" s="1">
        <v>0</v>
      </c>
      <c r="K360" s="1">
        <v>9427.4529524635982</v>
      </c>
      <c r="L360" s="1">
        <v>50.713895374744951</v>
      </c>
      <c r="M360" s="1">
        <v>50.763208205573221</v>
      </c>
    </row>
    <row r="361" spans="4:13">
      <c r="D361" s="1" t="s">
        <v>92</v>
      </c>
      <c r="E361" s="1" t="s">
        <v>58</v>
      </c>
      <c r="H361" s="1" t="s">
        <v>25</v>
      </c>
      <c r="I361" s="1" t="s">
        <v>23</v>
      </c>
      <c r="M361" s="1" t="b">
        <v>0</v>
      </c>
    </row>
    <row r="362" spans="4:13">
      <c r="D362" s="1" t="s">
        <v>92</v>
      </c>
      <c r="E362" s="1" t="s">
        <v>59</v>
      </c>
      <c r="F362" s="1" t="s">
        <v>60</v>
      </c>
      <c r="G362" s="1" t="s">
        <v>61</v>
      </c>
      <c r="H362" s="1" t="s">
        <v>22</v>
      </c>
      <c r="I362" s="1" t="s">
        <v>23</v>
      </c>
      <c r="J362" s="1">
        <v>-9.5538358650799999</v>
      </c>
      <c r="K362" s="1">
        <v>9.5538358650799999</v>
      </c>
      <c r="L362" s="1">
        <v>0.23884589662700001</v>
      </c>
      <c r="M362" s="1">
        <v>0.23884589662700001</v>
      </c>
    </row>
    <row r="363" spans="4:13">
      <c r="D363" s="1" t="s">
        <v>92</v>
      </c>
      <c r="E363" s="1" t="s">
        <v>62</v>
      </c>
      <c r="H363" s="1" t="s">
        <v>63</v>
      </c>
      <c r="I363" s="1" t="s">
        <v>23</v>
      </c>
      <c r="M363" s="1">
        <v>1</v>
      </c>
    </row>
    <row r="364" spans="4:13">
      <c r="D364" s="1" t="s">
        <v>92</v>
      </c>
      <c r="E364" s="1" t="s">
        <v>64</v>
      </c>
      <c r="F364" s="1" t="s">
        <v>35</v>
      </c>
      <c r="G364" s="1" t="s">
        <v>36</v>
      </c>
      <c r="H364" s="1" t="s">
        <v>22</v>
      </c>
      <c r="I364" s="1" t="s">
        <v>65</v>
      </c>
      <c r="J364" s="1">
        <v>-459.67</v>
      </c>
      <c r="L364" s="1">
        <v>80.329999999999984</v>
      </c>
    </row>
    <row r="365" spans="4:13">
      <c r="D365" s="1" t="s">
        <v>92</v>
      </c>
      <c r="E365" s="1" t="s">
        <v>66</v>
      </c>
      <c r="F365" s="1" t="s">
        <v>35</v>
      </c>
      <c r="G365" s="1" t="s">
        <v>36</v>
      </c>
      <c r="H365" s="1" t="s">
        <v>22</v>
      </c>
      <c r="I365" s="1" t="s">
        <v>65</v>
      </c>
      <c r="J365" s="1">
        <v>-459.67</v>
      </c>
      <c r="L365" s="1">
        <v>80.329999999999984</v>
      </c>
    </row>
    <row r="366" spans="4:13">
      <c r="D366" s="1" t="s">
        <v>92</v>
      </c>
      <c r="E366" s="1" t="s">
        <v>67</v>
      </c>
      <c r="F366" s="1" t="s">
        <v>41</v>
      </c>
      <c r="G366" s="1" t="s">
        <v>42</v>
      </c>
      <c r="H366" s="1" t="s">
        <v>22</v>
      </c>
      <c r="I366" s="1" t="s">
        <v>65</v>
      </c>
      <c r="L366" s="1">
        <v>1.8</v>
      </c>
    </row>
    <row r="367" spans="4:13">
      <c r="D367" s="1" t="s">
        <v>92</v>
      </c>
      <c r="E367" s="1" t="s">
        <v>68</v>
      </c>
      <c r="F367" s="1" t="s">
        <v>45</v>
      </c>
      <c r="G367" s="1" t="s">
        <v>46</v>
      </c>
      <c r="H367" s="1" t="s">
        <v>22</v>
      </c>
      <c r="I367" s="1" t="s">
        <v>65</v>
      </c>
      <c r="L367" s="1">
        <v>4.2992261378713571E-4</v>
      </c>
    </row>
    <row r="368" spans="4:13">
      <c r="D368" s="1" t="s">
        <v>92</v>
      </c>
      <c r="E368" s="1" t="s">
        <v>69</v>
      </c>
      <c r="H368" s="1" t="s">
        <v>25</v>
      </c>
      <c r="I368" s="1" t="s">
        <v>70</v>
      </c>
    </row>
    <row r="369" spans="4:13">
      <c r="D369" s="1" t="s">
        <v>92</v>
      </c>
      <c r="E369" s="1" t="s">
        <v>71</v>
      </c>
      <c r="F369" s="1" t="s">
        <v>52</v>
      </c>
      <c r="G369" s="1" t="s">
        <v>53</v>
      </c>
      <c r="H369" s="1" t="s">
        <v>22</v>
      </c>
      <c r="I369" s="1" t="s">
        <v>65</v>
      </c>
      <c r="L369" s="1">
        <v>7936.6414386555998</v>
      </c>
    </row>
    <row r="370" spans="4:13">
      <c r="D370" s="1" t="s">
        <v>92</v>
      </c>
      <c r="E370" s="1" t="s">
        <v>72</v>
      </c>
      <c r="F370" s="1" t="s">
        <v>56</v>
      </c>
      <c r="G370" s="1" t="s">
        <v>57</v>
      </c>
      <c r="H370" s="1" t="s">
        <v>22</v>
      </c>
      <c r="I370" s="1" t="s">
        <v>65</v>
      </c>
      <c r="J370" s="1">
        <v>0</v>
      </c>
      <c r="L370" s="1">
        <v>14.503773773020921</v>
      </c>
    </row>
    <row r="371" spans="4:13">
      <c r="D371" s="1" t="s">
        <v>92</v>
      </c>
      <c r="E371" s="1" t="s">
        <v>73</v>
      </c>
      <c r="F371" s="1" t="s">
        <v>60</v>
      </c>
      <c r="G371" s="1" t="s">
        <v>61</v>
      </c>
      <c r="H371" s="1" t="s">
        <v>22</v>
      </c>
      <c r="I371" s="1" t="s">
        <v>65</v>
      </c>
      <c r="L371" s="1">
        <v>2.38845896627E-4</v>
      </c>
    </row>
    <row r="372" spans="4:13">
      <c r="D372" s="1" t="s">
        <v>92</v>
      </c>
      <c r="E372" s="1" t="s">
        <v>74</v>
      </c>
      <c r="F372" s="1" t="s">
        <v>75</v>
      </c>
      <c r="G372" s="1" t="s">
        <v>76</v>
      </c>
      <c r="H372" s="1" t="s">
        <v>22</v>
      </c>
      <c r="I372" s="1" t="s">
        <v>65</v>
      </c>
      <c r="J372" s="1">
        <v>0</v>
      </c>
      <c r="L372" s="1">
        <v>16.018463521800001</v>
      </c>
    </row>
    <row r="373" spans="4:13">
      <c r="D373" s="1" t="s">
        <v>92</v>
      </c>
      <c r="E373" s="1" t="s">
        <v>77</v>
      </c>
      <c r="H373" s="1" t="s">
        <v>22</v>
      </c>
      <c r="I373" s="1" t="s">
        <v>65</v>
      </c>
      <c r="L373" s="1">
        <v>1</v>
      </c>
    </row>
    <row r="374" spans="4:13">
      <c r="D374" s="1" t="s">
        <v>92</v>
      </c>
      <c r="E374" s="1" t="s">
        <v>78</v>
      </c>
      <c r="H374" s="1" t="s">
        <v>25</v>
      </c>
      <c r="I374" s="1" t="s">
        <v>23</v>
      </c>
      <c r="M374" s="1" t="b">
        <v>0</v>
      </c>
    </row>
    <row r="375" spans="4:13">
      <c r="D375" s="1" t="s">
        <v>92</v>
      </c>
      <c r="E375" s="1" t="s">
        <v>79</v>
      </c>
      <c r="F375" s="1" t="s">
        <v>75</v>
      </c>
      <c r="G375" s="1" t="s">
        <v>76</v>
      </c>
      <c r="H375" s="1" t="s">
        <v>22</v>
      </c>
      <c r="I375" s="1" t="s">
        <v>23</v>
      </c>
      <c r="J375" s="1">
        <v>0</v>
      </c>
      <c r="K375" s="1">
        <v>96.110781130800007</v>
      </c>
      <c r="L375" s="1">
        <v>16.018463521800001</v>
      </c>
      <c r="M375" s="1">
        <v>1.6018463521800002</v>
      </c>
    </row>
    <row r="376" spans="4:13">
      <c r="D376" s="1" t="s">
        <v>92</v>
      </c>
      <c r="E376" s="1" t="s">
        <v>80</v>
      </c>
      <c r="H376" s="1" t="s">
        <v>25</v>
      </c>
      <c r="I376" s="1" t="s">
        <v>23</v>
      </c>
      <c r="M376" s="1" t="b">
        <v>0</v>
      </c>
    </row>
    <row r="377" spans="4:13">
      <c r="D377" s="1" t="s">
        <v>92</v>
      </c>
      <c r="E377" s="1" t="s">
        <v>81</v>
      </c>
      <c r="H377" s="1" t="s">
        <v>25</v>
      </c>
      <c r="I377" s="1" t="s">
        <v>23</v>
      </c>
      <c r="M377" s="1" t="b">
        <v>0</v>
      </c>
    </row>
    <row r="378" spans="4:13">
      <c r="D378" s="1" t="s">
        <v>92</v>
      </c>
      <c r="E378" s="1" t="s">
        <v>82</v>
      </c>
      <c r="H378" s="1" t="s">
        <v>22</v>
      </c>
      <c r="I378" s="1" t="s">
        <v>23</v>
      </c>
      <c r="J378" s="1">
        <v>-1</v>
      </c>
      <c r="K378" s="1">
        <v>3</v>
      </c>
      <c r="L378" s="1">
        <v>1</v>
      </c>
      <c r="M378" s="1">
        <v>1.01</v>
      </c>
    </row>
    <row r="379" spans="4:13">
      <c r="D379" s="1" t="s">
        <v>93</v>
      </c>
      <c r="F379" s="1" t="s">
        <v>41</v>
      </c>
      <c r="G379" s="1" t="s">
        <v>42</v>
      </c>
      <c r="H379" s="1" t="s">
        <v>22</v>
      </c>
      <c r="I379" s="1" t="s">
        <v>23</v>
      </c>
      <c r="L379" s="1">
        <v>1.8</v>
      </c>
      <c r="M379" s="1">
        <v>10</v>
      </c>
    </row>
    <row r="380" spans="4:13">
      <c r="D380" s="1" t="s">
        <v>94</v>
      </c>
      <c r="E380" s="1" t="s">
        <v>95</v>
      </c>
      <c r="H380" s="1" t="s">
        <v>63</v>
      </c>
      <c r="I380" s="1" t="s">
        <v>23</v>
      </c>
      <c r="M380" s="1">
        <v>-1</v>
      </c>
    </row>
    <row r="381" spans="4:13">
      <c r="D381" s="1" t="s">
        <v>94</v>
      </c>
      <c r="E381" s="1" t="s">
        <v>96</v>
      </c>
      <c r="H381" s="1" t="s">
        <v>22</v>
      </c>
      <c r="I381" s="1" t="s">
        <v>23</v>
      </c>
      <c r="L381" s="1">
        <v>1</v>
      </c>
      <c r="M381" s="1">
        <v>-0.1</v>
      </c>
    </row>
    <row r="382" spans="4:13">
      <c r="D382" s="1" t="s">
        <v>94</v>
      </c>
      <c r="E382" s="1" t="s">
        <v>47</v>
      </c>
      <c r="H382" s="1" t="s">
        <v>25</v>
      </c>
      <c r="I382" s="1" t="s">
        <v>23</v>
      </c>
      <c r="M382" s="1" t="b">
        <v>0</v>
      </c>
    </row>
    <row r="383" spans="4:13">
      <c r="D383" s="1" t="s">
        <v>97</v>
      </c>
      <c r="E383" s="1" t="s">
        <v>28</v>
      </c>
      <c r="H383" s="1" t="s">
        <v>22</v>
      </c>
      <c r="I383" s="1" t="s">
        <v>29</v>
      </c>
      <c r="J383" s="1">
        <v>34000</v>
      </c>
      <c r="K383" s="1">
        <v>4300000</v>
      </c>
      <c r="L383" s="1">
        <v>349660</v>
      </c>
    </row>
    <row r="384" spans="4:13">
      <c r="D384" s="1" t="s">
        <v>97</v>
      </c>
      <c r="E384" s="1" t="s">
        <v>30</v>
      </c>
      <c r="H384" s="1" t="s">
        <v>22</v>
      </c>
      <c r="I384" s="1" t="s">
        <v>29</v>
      </c>
      <c r="J384" s="1">
        <v>-3.94</v>
      </c>
      <c r="K384" s="1">
        <v>3.66</v>
      </c>
      <c r="L384" s="1">
        <v>1</v>
      </c>
    </row>
    <row r="385" spans="4:13">
      <c r="D385" s="1" t="s">
        <v>97</v>
      </c>
      <c r="E385" s="1" t="s">
        <v>31</v>
      </c>
      <c r="H385" s="1" t="s">
        <v>22</v>
      </c>
      <c r="I385" s="1" t="s">
        <v>29</v>
      </c>
      <c r="J385" s="1">
        <v>0</v>
      </c>
      <c r="K385" s="1">
        <v>100</v>
      </c>
      <c r="L385" s="1">
        <v>1</v>
      </c>
    </row>
    <row r="386" spans="4:13">
      <c r="D386" s="1" t="s">
        <v>97</v>
      </c>
      <c r="E386" s="1" t="s">
        <v>32</v>
      </c>
      <c r="H386" s="1" t="s">
        <v>22</v>
      </c>
      <c r="I386" s="1" t="s">
        <v>29</v>
      </c>
      <c r="J386" s="1">
        <v>-3.94</v>
      </c>
      <c r="K386" s="1">
        <v>3.66</v>
      </c>
      <c r="L386" s="1">
        <v>1</v>
      </c>
    </row>
    <row r="387" spans="4:13">
      <c r="D387" s="1" t="s">
        <v>97</v>
      </c>
      <c r="E387" s="1" t="s">
        <v>33</v>
      </c>
      <c r="H387" s="1" t="s">
        <v>25</v>
      </c>
      <c r="I387" s="1" t="s">
        <v>23</v>
      </c>
      <c r="M387" s="1" t="b">
        <v>0</v>
      </c>
    </row>
    <row r="388" spans="4:13">
      <c r="D388" s="1" t="s">
        <v>97</v>
      </c>
      <c r="E388" s="1" t="s">
        <v>34</v>
      </c>
      <c r="F388" s="1" t="s">
        <v>35</v>
      </c>
      <c r="G388" s="1" t="s">
        <v>36</v>
      </c>
      <c r="H388" s="1" t="s">
        <v>22</v>
      </c>
      <c r="I388" s="1" t="s">
        <v>23</v>
      </c>
      <c r="J388" s="1">
        <v>-459.67</v>
      </c>
      <c r="K388" s="1">
        <v>980.32999999999993</v>
      </c>
      <c r="L388" s="1">
        <v>80.329999999999984</v>
      </c>
      <c r="M388" s="1">
        <v>67.999999999999943</v>
      </c>
    </row>
    <row r="389" spans="4:13">
      <c r="D389" s="1" t="s">
        <v>97</v>
      </c>
      <c r="E389" s="1" t="s">
        <v>37</v>
      </c>
      <c r="H389" s="1" t="s">
        <v>25</v>
      </c>
      <c r="I389" s="1" t="s">
        <v>23</v>
      </c>
      <c r="M389" s="1" t="b">
        <v>0</v>
      </c>
    </row>
    <row r="390" spans="4:13">
      <c r="D390" s="1" t="s">
        <v>97</v>
      </c>
      <c r="E390" s="1" t="s">
        <v>38</v>
      </c>
      <c r="F390" s="1" t="s">
        <v>35</v>
      </c>
      <c r="G390" s="1" t="s">
        <v>36</v>
      </c>
      <c r="H390" s="1" t="s">
        <v>22</v>
      </c>
      <c r="I390" s="1" t="s">
        <v>23</v>
      </c>
      <c r="J390" s="1">
        <v>-99.670000000000016</v>
      </c>
      <c r="K390" s="1">
        <v>980.32999999999993</v>
      </c>
      <c r="L390" s="1">
        <v>80.329999999999984</v>
      </c>
      <c r="M390" s="1">
        <v>13.999999999999943</v>
      </c>
    </row>
    <row r="391" spans="4:13">
      <c r="D391" s="1" t="s">
        <v>97</v>
      </c>
      <c r="E391" s="1" t="s">
        <v>39</v>
      </c>
      <c r="H391" s="1" t="s">
        <v>25</v>
      </c>
      <c r="I391" s="1" t="s">
        <v>23</v>
      </c>
      <c r="M391" s="1" t="b">
        <v>1</v>
      </c>
    </row>
    <row r="392" spans="4:13">
      <c r="D392" s="1" t="s">
        <v>97</v>
      </c>
      <c r="E392" s="1" t="s">
        <v>40</v>
      </c>
      <c r="F392" s="1" t="s">
        <v>41</v>
      </c>
      <c r="G392" s="1" t="s">
        <v>42</v>
      </c>
      <c r="H392" s="1" t="s">
        <v>22</v>
      </c>
      <c r="I392" s="1" t="s">
        <v>23</v>
      </c>
      <c r="J392" s="1">
        <v>-900</v>
      </c>
      <c r="K392" s="1">
        <v>900</v>
      </c>
      <c r="L392" s="1">
        <v>1.8</v>
      </c>
      <c r="M392" s="1">
        <v>0.5</v>
      </c>
    </row>
    <row r="393" spans="4:13">
      <c r="D393" s="1" t="s">
        <v>97</v>
      </c>
      <c r="E393" s="1" t="s">
        <v>43</v>
      </c>
      <c r="H393" s="1" t="s">
        <v>25</v>
      </c>
      <c r="I393" s="1" t="s">
        <v>23</v>
      </c>
      <c r="M393" s="1" t="b">
        <v>0</v>
      </c>
    </row>
    <row r="394" spans="4:13">
      <c r="D394" s="1" t="s">
        <v>97</v>
      </c>
      <c r="E394" s="1" t="s">
        <v>44</v>
      </c>
      <c r="F394" s="1" t="s">
        <v>45</v>
      </c>
      <c r="G394" s="1" t="s">
        <v>46</v>
      </c>
      <c r="H394" s="1" t="s">
        <v>22</v>
      </c>
      <c r="I394" s="1" t="s">
        <v>23</v>
      </c>
      <c r="J394" s="1">
        <v>-85.984522757427143</v>
      </c>
      <c r="K394" s="1">
        <v>8598.4522757427148</v>
      </c>
      <c r="L394" s="1">
        <v>114.79148749423418</v>
      </c>
      <c r="M394" s="1">
        <v>128.97678413614071</v>
      </c>
    </row>
    <row r="395" spans="4:13">
      <c r="D395" s="1" t="s">
        <v>97</v>
      </c>
      <c r="E395" s="1" t="s">
        <v>47</v>
      </c>
      <c r="H395" s="1" t="s">
        <v>25</v>
      </c>
      <c r="I395" s="1" t="s">
        <v>23</v>
      </c>
      <c r="M395" s="1" t="b">
        <v>0</v>
      </c>
    </row>
    <row r="396" spans="4:13">
      <c r="D396" s="1" t="s">
        <v>97</v>
      </c>
      <c r="E396" s="1" t="s">
        <v>48</v>
      </c>
      <c r="H396" s="1" t="s">
        <v>25</v>
      </c>
      <c r="I396" s="1" t="s">
        <v>23</v>
      </c>
      <c r="M396" s="1" t="b">
        <v>0</v>
      </c>
    </row>
    <row r="397" spans="4:13">
      <c r="D397" s="1" t="s">
        <v>97</v>
      </c>
      <c r="E397" s="1" t="s">
        <v>49</v>
      </c>
      <c r="H397" s="1" t="s">
        <v>25</v>
      </c>
      <c r="I397" s="1" t="s">
        <v>23</v>
      </c>
      <c r="M397" s="1" t="b">
        <v>0</v>
      </c>
    </row>
    <row r="398" spans="4:13">
      <c r="D398" s="1" t="s">
        <v>97</v>
      </c>
      <c r="E398" s="1" t="s">
        <v>50</v>
      </c>
      <c r="H398" s="1" t="s">
        <v>25</v>
      </c>
      <c r="I398" s="1" t="s">
        <v>23</v>
      </c>
      <c r="M398" s="1" t="b">
        <v>0</v>
      </c>
    </row>
    <row r="399" spans="4:13">
      <c r="D399" s="1" t="s">
        <v>97</v>
      </c>
      <c r="E399" s="1" t="s">
        <v>51</v>
      </c>
      <c r="F399" s="1" t="s">
        <v>52</v>
      </c>
      <c r="G399" s="1" t="s">
        <v>53</v>
      </c>
      <c r="H399" s="1" t="s">
        <v>22</v>
      </c>
      <c r="I399" s="1" t="s">
        <v>23</v>
      </c>
      <c r="J399" s="1">
        <v>0</v>
      </c>
      <c r="K399" s="1">
        <v>7936641438.6555996</v>
      </c>
      <c r="L399" s="1">
        <v>7936.6414386555998</v>
      </c>
      <c r="M399" s="1">
        <v>7936.6414386555998</v>
      </c>
    </row>
    <row r="400" spans="4:13">
      <c r="D400" s="1" t="s">
        <v>97</v>
      </c>
      <c r="E400" s="1" t="s">
        <v>54</v>
      </c>
      <c r="H400" s="1" t="s">
        <v>25</v>
      </c>
      <c r="I400" s="1" t="s">
        <v>23</v>
      </c>
      <c r="M400" s="1" t="b">
        <v>0</v>
      </c>
    </row>
    <row r="401" spans="4:13">
      <c r="D401" s="1" t="s">
        <v>97</v>
      </c>
      <c r="E401" s="1" t="s">
        <v>55</v>
      </c>
      <c r="F401" s="1" t="s">
        <v>56</v>
      </c>
      <c r="G401" s="1" t="s">
        <v>57</v>
      </c>
      <c r="H401" s="1" t="s">
        <v>22</v>
      </c>
      <c r="I401" s="1" t="s">
        <v>23</v>
      </c>
      <c r="J401" s="1">
        <v>0</v>
      </c>
      <c r="K401" s="1">
        <v>9427.4529524635982</v>
      </c>
      <c r="L401" s="1">
        <v>50.713895374744951</v>
      </c>
      <c r="M401" s="1">
        <v>50.763208205573221</v>
      </c>
    </row>
    <row r="402" spans="4:13">
      <c r="D402" s="1" t="s">
        <v>97</v>
      </c>
      <c r="E402" s="1" t="s">
        <v>58</v>
      </c>
      <c r="H402" s="1" t="s">
        <v>25</v>
      </c>
      <c r="I402" s="1" t="s">
        <v>23</v>
      </c>
      <c r="M402" s="1" t="b">
        <v>0</v>
      </c>
    </row>
    <row r="403" spans="4:13">
      <c r="D403" s="1" t="s">
        <v>97</v>
      </c>
      <c r="E403" s="1" t="s">
        <v>59</v>
      </c>
      <c r="F403" s="1" t="s">
        <v>60</v>
      </c>
      <c r="G403" s="1" t="s">
        <v>61</v>
      </c>
      <c r="H403" s="1" t="s">
        <v>22</v>
      </c>
      <c r="I403" s="1" t="s">
        <v>23</v>
      </c>
      <c r="J403" s="1">
        <v>-9.5538358650799999</v>
      </c>
      <c r="K403" s="1">
        <v>9.5538358650799999</v>
      </c>
      <c r="L403" s="1">
        <v>0.23884589662700001</v>
      </c>
      <c r="M403" s="1">
        <v>0.23884589662700001</v>
      </c>
    </row>
    <row r="404" spans="4:13">
      <c r="D404" s="1" t="s">
        <v>97</v>
      </c>
      <c r="E404" s="1" t="s">
        <v>62</v>
      </c>
      <c r="H404" s="1" t="s">
        <v>63</v>
      </c>
      <c r="I404" s="1" t="s">
        <v>23</v>
      </c>
      <c r="M404" s="1">
        <v>1</v>
      </c>
    </row>
    <row r="405" spans="4:13">
      <c r="D405" s="1" t="s">
        <v>97</v>
      </c>
      <c r="E405" s="1" t="s">
        <v>64</v>
      </c>
      <c r="F405" s="1" t="s">
        <v>35</v>
      </c>
      <c r="G405" s="1" t="s">
        <v>36</v>
      </c>
      <c r="H405" s="1" t="s">
        <v>22</v>
      </c>
      <c r="I405" s="1" t="s">
        <v>65</v>
      </c>
      <c r="J405" s="1">
        <v>-459.67</v>
      </c>
      <c r="L405" s="1">
        <v>80.329999999999984</v>
      </c>
    </row>
    <row r="406" spans="4:13">
      <c r="D406" s="1" t="s">
        <v>97</v>
      </c>
      <c r="E406" s="1" t="s">
        <v>66</v>
      </c>
      <c r="F406" s="1" t="s">
        <v>35</v>
      </c>
      <c r="G406" s="1" t="s">
        <v>36</v>
      </c>
      <c r="H406" s="1" t="s">
        <v>22</v>
      </c>
      <c r="I406" s="1" t="s">
        <v>65</v>
      </c>
      <c r="J406" s="1">
        <v>-459.67</v>
      </c>
      <c r="L406" s="1">
        <v>80.329999999999984</v>
      </c>
    </row>
    <row r="407" spans="4:13">
      <c r="D407" s="1" t="s">
        <v>97</v>
      </c>
      <c r="E407" s="1" t="s">
        <v>67</v>
      </c>
      <c r="F407" s="1" t="s">
        <v>41</v>
      </c>
      <c r="G407" s="1" t="s">
        <v>42</v>
      </c>
      <c r="H407" s="1" t="s">
        <v>22</v>
      </c>
      <c r="I407" s="1" t="s">
        <v>65</v>
      </c>
      <c r="L407" s="1">
        <v>1.8</v>
      </c>
    </row>
    <row r="408" spans="4:13">
      <c r="D408" s="1" t="s">
        <v>97</v>
      </c>
      <c r="E408" s="1" t="s">
        <v>68</v>
      </c>
      <c r="F408" s="1" t="s">
        <v>45</v>
      </c>
      <c r="G408" s="1" t="s">
        <v>46</v>
      </c>
      <c r="H408" s="1" t="s">
        <v>22</v>
      </c>
      <c r="I408" s="1" t="s">
        <v>65</v>
      </c>
      <c r="L408" s="1">
        <v>4.2992261378713571E-4</v>
      </c>
    </row>
    <row r="409" spans="4:13">
      <c r="D409" s="1" t="s">
        <v>97</v>
      </c>
      <c r="E409" s="1" t="s">
        <v>69</v>
      </c>
      <c r="H409" s="1" t="s">
        <v>25</v>
      </c>
      <c r="I409" s="1" t="s">
        <v>70</v>
      </c>
    </row>
    <row r="410" spans="4:13">
      <c r="D410" s="1" t="s">
        <v>97</v>
      </c>
      <c r="E410" s="1" t="s">
        <v>71</v>
      </c>
      <c r="F410" s="1" t="s">
        <v>52</v>
      </c>
      <c r="G410" s="1" t="s">
        <v>53</v>
      </c>
      <c r="H410" s="1" t="s">
        <v>22</v>
      </c>
      <c r="I410" s="1" t="s">
        <v>65</v>
      </c>
      <c r="L410" s="1">
        <v>7936.6414386555998</v>
      </c>
    </row>
    <row r="411" spans="4:13">
      <c r="D411" s="1" t="s">
        <v>97</v>
      </c>
      <c r="E411" s="1" t="s">
        <v>72</v>
      </c>
      <c r="F411" s="1" t="s">
        <v>56</v>
      </c>
      <c r="G411" s="1" t="s">
        <v>57</v>
      </c>
      <c r="H411" s="1" t="s">
        <v>22</v>
      </c>
      <c r="I411" s="1" t="s">
        <v>65</v>
      </c>
      <c r="J411" s="1">
        <v>0</v>
      </c>
      <c r="L411" s="1">
        <v>14.503773773020921</v>
      </c>
    </row>
    <row r="412" spans="4:13">
      <c r="D412" s="1" t="s">
        <v>97</v>
      </c>
      <c r="E412" s="1" t="s">
        <v>73</v>
      </c>
      <c r="F412" s="1" t="s">
        <v>60</v>
      </c>
      <c r="G412" s="1" t="s">
        <v>61</v>
      </c>
      <c r="H412" s="1" t="s">
        <v>22</v>
      </c>
      <c r="I412" s="1" t="s">
        <v>65</v>
      </c>
      <c r="L412" s="1">
        <v>2.38845896627E-4</v>
      </c>
    </row>
    <row r="413" spans="4:13">
      <c r="D413" s="1" t="s">
        <v>97</v>
      </c>
      <c r="E413" s="1" t="s">
        <v>74</v>
      </c>
      <c r="F413" s="1" t="s">
        <v>75</v>
      </c>
      <c r="G413" s="1" t="s">
        <v>76</v>
      </c>
      <c r="H413" s="1" t="s">
        <v>22</v>
      </c>
      <c r="I413" s="1" t="s">
        <v>65</v>
      </c>
      <c r="J413" s="1">
        <v>0</v>
      </c>
      <c r="L413" s="1">
        <v>16.018463521800001</v>
      </c>
    </row>
    <row r="414" spans="4:13">
      <c r="D414" s="1" t="s">
        <v>97</v>
      </c>
      <c r="E414" s="1" t="s">
        <v>77</v>
      </c>
      <c r="H414" s="1" t="s">
        <v>22</v>
      </c>
      <c r="I414" s="1" t="s">
        <v>65</v>
      </c>
      <c r="L414" s="1">
        <v>1</v>
      </c>
    </row>
    <row r="415" spans="4:13">
      <c r="D415" s="1" t="s">
        <v>97</v>
      </c>
      <c r="E415" s="1" t="s">
        <v>78</v>
      </c>
      <c r="H415" s="1" t="s">
        <v>25</v>
      </c>
      <c r="I415" s="1" t="s">
        <v>23</v>
      </c>
      <c r="M415" s="1" t="b">
        <v>0</v>
      </c>
    </row>
    <row r="416" spans="4:13">
      <c r="D416" s="1" t="s">
        <v>97</v>
      </c>
      <c r="E416" s="1" t="s">
        <v>79</v>
      </c>
      <c r="F416" s="1" t="s">
        <v>75</v>
      </c>
      <c r="G416" s="1" t="s">
        <v>76</v>
      </c>
      <c r="H416" s="1" t="s">
        <v>22</v>
      </c>
      <c r="I416" s="1" t="s">
        <v>23</v>
      </c>
      <c r="J416" s="1">
        <v>0</v>
      </c>
      <c r="K416" s="1">
        <v>96.110781130800007</v>
      </c>
      <c r="L416" s="1">
        <v>16.018463521800001</v>
      </c>
      <c r="M416" s="1">
        <v>1.6018463521800002</v>
      </c>
    </row>
    <row r="417" spans="4:13">
      <c r="D417" s="1" t="s">
        <v>97</v>
      </c>
      <c r="E417" s="1" t="s">
        <v>80</v>
      </c>
      <c r="H417" s="1" t="s">
        <v>25</v>
      </c>
      <c r="I417" s="1" t="s">
        <v>23</v>
      </c>
      <c r="M417" s="1" t="b">
        <v>0</v>
      </c>
    </row>
    <row r="418" spans="4:13">
      <c r="D418" s="1" t="s">
        <v>97</v>
      </c>
      <c r="E418" s="1" t="s">
        <v>81</v>
      </c>
      <c r="H418" s="1" t="s">
        <v>25</v>
      </c>
      <c r="I418" s="1" t="s">
        <v>23</v>
      </c>
      <c r="M418" s="1" t="b">
        <v>0</v>
      </c>
    </row>
    <row r="419" spans="4:13">
      <c r="D419" s="1" t="s">
        <v>97</v>
      </c>
      <c r="E419" s="1" t="s">
        <v>82</v>
      </c>
      <c r="H419" s="1" t="s">
        <v>22</v>
      </c>
      <c r="I419" s="1" t="s">
        <v>23</v>
      </c>
      <c r="J419" s="1">
        <v>-1</v>
      </c>
      <c r="K419" s="1">
        <v>3</v>
      </c>
      <c r="L419" s="1">
        <v>1</v>
      </c>
      <c r="M419" s="1">
        <v>1.01</v>
      </c>
    </row>
    <row r="420" spans="4:13">
      <c r="D420" s="1" t="s">
        <v>98</v>
      </c>
      <c r="E420" s="1" t="s">
        <v>99</v>
      </c>
      <c r="H420" s="1" t="s">
        <v>25</v>
      </c>
      <c r="I420" s="1" t="s">
        <v>23</v>
      </c>
      <c r="M420" s="1" t="b">
        <v>0</v>
      </c>
    </row>
    <row r="421" spans="4:13">
      <c r="D421" s="1" t="s">
        <v>98</v>
      </c>
      <c r="E421" s="1" t="s">
        <v>100</v>
      </c>
      <c r="H421" s="1" t="s">
        <v>22</v>
      </c>
      <c r="I421" s="1" t="s">
        <v>23</v>
      </c>
      <c r="L421" s="1">
        <v>1</v>
      </c>
      <c r="M421" s="1">
        <v>1000</v>
      </c>
    </row>
    <row r="422" spans="4:13">
      <c r="D422" s="1" t="s">
        <v>98</v>
      </c>
      <c r="E422" s="1" t="s">
        <v>101</v>
      </c>
      <c r="H422" s="1" t="s">
        <v>22</v>
      </c>
      <c r="I422" s="1" t="s">
        <v>23</v>
      </c>
      <c r="L422" s="1">
        <v>1</v>
      </c>
      <c r="M422" s="1">
        <v>0</v>
      </c>
    </row>
    <row r="423" spans="4:13">
      <c r="D423" s="1" t="s">
        <v>98</v>
      </c>
      <c r="E423" s="1" t="s">
        <v>102</v>
      </c>
      <c r="H423" s="1" t="s">
        <v>22</v>
      </c>
      <c r="I423" s="1" t="s">
        <v>23</v>
      </c>
      <c r="L423" s="1">
        <v>1</v>
      </c>
      <c r="M423" s="1">
        <v>1.4</v>
      </c>
    </row>
    <row r="424" spans="4:13">
      <c r="D424" s="1" t="s">
        <v>98</v>
      </c>
      <c r="E424" s="1" t="s">
        <v>103</v>
      </c>
      <c r="H424" s="1" t="s">
        <v>22</v>
      </c>
      <c r="I424" s="1" t="s">
        <v>29</v>
      </c>
      <c r="J424" s="1">
        <v>0</v>
      </c>
      <c r="K424" s="1">
        <v>1000</v>
      </c>
      <c r="L424" s="1">
        <v>500</v>
      </c>
    </row>
    <row r="425" spans="4:13">
      <c r="D425" s="1" t="s">
        <v>104</v>
      </c>
      <c r="E425" s="1" t="s">
        <v>105</v>
      </c>
      <c r="H425" s="1" t="s">
        <v>22</v>
      </c>
      <c r="I425" s="1" t="s">
        <v>29</v>
      </c>
      <c r="J425" s="1">
        <v>0</v>
      </c>
      <c r="K425" s="1">
        <v>10000</v>
      </c>
      <c r="L425" s="1">
        <v>5000</v>
      </c>
    </row>
    <row r="426" spans="4:13">
      <c r="D426" s="1" t="s">
        <v>104</v>
      </c>
      <c r="E426" s="1" t="s">
        <v>106</v>
      </c>
      <c r="H426" s="1" t="s">
        <v>25</v>
      </c>
      <c r="I426" s="1" t="s">
        <v>23</v>
      </c>
      <c r="M426" s="1" t="b">
        <v>0</v>
      </c>
    </row>
    <row r="427" spans="4:13">
      <c r="D427" s="1" t="s">
        <v>104</v>
      </c>
      <c r="E427" s="1" t="s">
        <v>107</v>
      </c>
      <c r="H427" s="1" t="s">
        <v>22</v>
      </c>
      <c r="I427" s="1" t="s">
        <v>23</v>
      </c>
      <c r="L427" s="1">
        <v>1</v>
      </c>
      <c r="M427" s="1">
        <v>20</v>
      </c>
    </row>
    <row r="428" spans="4:13">
      <c r="D428" s="1" t="s">
        <v>104</v>
      </c>
      <c r="E428" s="1" t="s">
        <v>108</v>
      </c>
      <c r="F428" s="1" t="s">
        <v>35</v>
      </c>
      <c r="G428" s="1" t="s">
        <v>36</v>
      </c>
      <c r="H428" s="1" t="s">
        <v>22</v>
      </c>
      <c r="I428" s="1" t="s">
        <v>23</v>
      </c>
      <c r="J428" s="1">
        <v>-459.67</v>
      </c>
      <c r="L428" s="1">
        <v>80.329999999999984</v>
      </c>
      <c r="M428" s="1">
        <v>49.999999999999943</v>
      </c>
    </row>
    <row r="429" spans="4:13">
      <c r="D429" s="1" t="s">
        <v>104</v>
      </c>
      <c r="E429" s="1" t="s">
        <v>109</v>
      </c>
      <c r="H429" s="1" t="s">
        <v>22</v>
      </c>
      <c r="I429" s="1" t="s">
        <v>23</v>
      </c>
      <c r="L429" s="1">
        <v>1</v>
      </c>
      <c r="M429" s="1">
        <v>1</v>
      </c>
    </row>
    <row r="430" spans="4:13">
      <c r="D430" s="1" t="s">
        <v>104</v>
      </c>
      <c r="E430" s="1" t="s">
        <v>110</v>
      </c>
      <c r="H430" s="1" t="s">
        <v>25</v>
      </c>
      <c r="I430" s="1" t="s">
        <v>23</v>
      </c>
      <c r="M430" s="1" t="b">
        <v>1</v>
      </c>
    </row>
    <row r="431" spans="4:13">
      <c r="D431" s="1" t="s">
        <v>104</v>
      </c>
      <c r="E431" s="1" t="s">
        <v>111</v>
      </c>
      <c r="F431" s="1" t="s">
        <v>56</v>
      </c>
      <c r="G431" s="1" t="s">
        <v>57</v>
      </c>
      <c r="H431" s="1" t="s">
        <v>22</v>
      </c>
      <c r="I431" s="1" t="s">
        <v>23</v>
      </c>
      <c r="L431" s="1">
        <v>1.4503773773020921E-4</v>
      </c>
      <c r="M431" s="1">
        <v>7.2518868865104604E-3</v>
      </c>
    </row>
    <row r="432" spans="4:13">
      <c r="D432" s="1" t="s">
        <v>104</v>
      </c>
      <c r="E432" s="1" t="s">
        <v>112</v>
      </c>
      <c r="F432" s="1" t="s">
        <v>56</v>
      </c>
      <c r="G432" s="1" t="s">
        <v>57</v>
      </c>
      <c r="H432" s="1" t="s">
        <v>22</v>
      </c>
      <c r="I432" s="1" t="s">
        <v>29</v>
      </c>
      <c r="J432" s="1">
        <v>4.9312830828271128</v>
      </c>
      <c r="K432" s="1">
        <v>623.66227223989961</v>
      </c>
      <c r="L432" s="1">
        <v>50.713895374744951</v>
      </c>
    </row>
    <row r="433" spans="4:13">
      <c r="D433" s="1" t="s">
        <v>104</v>
      </c>
      <c r="E433" s="1" t="s">
        <v>62</v>
      </c>
      <c r="H433" s="1" t="s">
        <v>63</v>
      </c>
      <c r="I433" s="1" t="s">
        <v>23</v>
      </c>
      <c r="M433" s="1">
        <v>1</v>
      </c>
    </row>
    <row r="434" spans="4:13">
      <c r="D434" s="1" t="s">
        <v>104</v>
      </c>
      <c r="E434" s="1" t="s">
        <v>113</v>
      </c>
      <c r="H434" s="1" t="s">
        <v>22</v>
      </c>
      <c r="I434" s="1" t="s">
        <v>65</v>
      </c>
      <c r="L434" s="1">
        <v>1</v>
      </c>
    </row>
    <row r="435" spans="4:13">
      <c r="D435" s="1" t="s">
        <v>104</v>
      </c>
      <c r="E435" s="1" t="s">
        <v>114</v>
      </c>
      <c r="H435" s="1" t="s">
        <v>22</v>
      </c>
      <c r="I435" s="1" t="s">
        <v>70</v>
      </c>
      <c r="L435" s="1">
        <v>1</v>
      </c>
    </row>
    <row r="436" spans="4:13">
      <c r="D436" s="1" t="s">
        <v>104</v>
      </c>
      <c r="E436" s="1" t="s">
        <v>115</v>
      </c>
      <c r="F436" s="1" t="s">
        <v>56</v>
      </c>
      <c r="G436" s="1" t="s">
        <v>57</v>
      </c>
      <c r="H436" s="1" t="s">
        <v>22</v>
      </c>
      <c r="I436" s="1" t="s">
        <v>65</v>
      </c>
      <c r="L436" s="1">
        <v>1.4503773773020921E-4</v>
      </c>
    </row>
    <row r="437" spans="4:13">
      <c r="D437" s="1" t="s">
        <v>104</v>
      </c>
      <c r="E437" s="1" t="s">
        <v>116</v>
      </c>
      <c r="H437" s="1" t="s">
        <v>25</v>
      </c>
      <c r="I437" s="1" t="s">
        <v>65</v>
      </c>
    </row>
    <row r="438" spans="4:13">
      <c r="D438" s="1" t="s">
        <v>104</v>
      </c>
      <c r="E438" s="1" t="s">
        <v>69</v>
      </c>
      <c r="H438" s="1" t="s">
        <v>25</v>
      </c>
      <c r="I438" s="1" t="s">
        <v>70</v>
      </c>
    </row>
    <row r="439" spans="4:13">
      <c r="D439" s="1" t="s">
        <v>104</v>
      </c>
      <c r="E439" s="1" t="s">
        <v>71</v>
      </c>
      <c r="F439" s="1" t="s">
        <v>52</v>
      </c>
      <c r="G439" s="1" t="s">
        <v>53</v>
      </c>
      <c r="H439" s="1" t="s">
        <v>22</v>
      </c>
      <c r="I439" s="1" t="s">
        <v>65</v>
      </c>
      <c r="L439" s="1">
        <v>7936.6414386555998</v>
      </c>
    </row>
    <row r="440" spans="4:13">
      <c r="D440" s="1" t="s">
        <v>104</v>
      </c>
      <c r="E440" s="1" t="s">
        <v>117</v>
      </c>
      <c r="F440" s="1" t="s">
        <v>118</v>
      </c>
      <c r="G440" s="1" t="s">
        <v>119</v>
      </c>
      <c r="H440" s="1" t="s">
        <v>22</v>
      </c>
      <c r="I440" s="1" t="s">
        <v>120</v>
      </c>
      <c r="J440" s="1">
        <v>0</v>
      </c>
      <c r="L440" s="1">
        <v>2.20462262185</v>
      </c>
    </row>
    <row r="441" spans="4:13">
      <c r="D441" s="1" t="s">
        <v>104</v>
      </c>
      <c r="E441" s="1" t="s">
        <v>121</v>
      </c>
      <c r="H441" s="1" t="s">
        <v>22</v>
      </c>
      <c r="I441" s="1" t="s">
        <v>120</v>
      </c>
      <c r="L441" s="1">
        <v>1</v>
      </c>
    </row>
    <row r="442" spans="4:13">
      <c r="D442" s="1" t="s">
        <v>104</v>
      </c>
      <c r="E442" s="1" t="s">
        <v>122</v>
      </c>
      <c r="F442" s="1" t="s">
        <v>56</v>
      </c>
      <c r="G442" s="1" t="s">
        <v>57</v>
      </c>
      <c r="H442" s="1" t="s">
        <v>22</v>
      </c>
      <c r="I442" s="1" t="s">
        <v>65</v>
      </c>
      <c r="L442" s="1">
        <v>1.4503773773020921E-4</v>
      </c>
    </row>
    <row r="443" spans="4:13">
      <c r="D443" s="1" t="s">
        <v>104</v>
      </c>
      <c r="E443" s="1" t="s">
        <v>123</v>
      </c>
      <c r="F443" s="1" t="s">
        <v>124</v>
      </c>
      <c r="G443" s="1" t="s">
        <v>125</v>
      </c>
      <c r="H443" s="1" t="s">
        <v>22</v>
      </c>
      <c r="I443" s="1" t="s">
        <v>120</v>
      </c>
      <c r="L443" s="1">
        <v>35.314666699999997</v>
      </c>
    </row>
    <row r="444" spans="4:13">
      <c r="D444" s="1" t="s">
        <v>104</v>
      </c>
      <c r="E444" s="1" t="s">
        <v>126</v>
      </c>
      <c r="H444" s="1" t="s">
        <v>22</v>
      </c>
      <c r="I444" s="1" t="s">
        <v>65</v>
      </c>
      <c r="L444" s="1">
        <v>1</v>
      </c>
    </row>
    <row r="445" spans="4:13">
      <c r="D445" s="1" t="s">
        <v>104</v>
      </c>
      <c r="E445" s="1" t="s">
        <v>127</v>
      </c>
      <c r="H445" s="1" t="s">
        <v>25</v>
      </c>
      <c r="I445" s="1" t="s">
        <v>23</v>
      </c>
      <c r="M445" s="1" t="b">
        <v>1</v>
      </c>
    </row>
    <row r="446" spans="4:13">
      <c r="D446" s="1" t="s">
        <v>104</v>
      </c>
      <c r="E446" s="1" t="s">
        <v>128</v>
      </c>
      <c r="H446" s="1" t="s">
        <v>25</v>
      </c>
      <c r="I446" s="1" t="s">
        <v>23</v>
      </c>
      <c r="M446" s="1" t="b">
        <v>0</v>
      </c>
    </row>
    <row r="447" spans="4:13">
      <c r="D447" s="1" t="s">
        <v>129</v>
      </c>
      <c r="E447" s="1" t="s">
        <v>28</v>
      </c>
      <c r="H447" s="1" t="s">
        <v>22</v>
      </c>
      <c r="I447" s="1" t="s">
        <v>29</v>
      </c>
      <c r="J447" s="1">
        <v>34000</v>
      </c>
      <c r="K447" s="1">
        <v>4300000</v>
      </c>
      <c r="L447" s="1">
        <v>349660</v>
      </c>
    </row>
    <row r="448" spans="4:13">
      <c r="D448" s="1" t="s">
        <v>129</v>
      </c>
      <c r="E448" s="1" t="s">
        <v>30</v>
      </c>
      <c r="H448" s="1" t="s">
        <v>22</v>
      </c>
      <c r="I448" s="1" t="s">
        <v>29</v>
      </c>
      <c r="J448" s="1">
        <v>-3.94</v>
      </c>
      <c r="K448" s="1">
        <v>3.66</v>
      </c>
      <c r="L448" s="1">
        <v>1</v>
      </c>
    </row>
    <row r="449" spans="4:13">
      <c r="D449" s="1" t="s">
        <v>129</v>
      </c>
      <c r="E449" s="1" t="s">
        <v>31</v>
      </c>
      <c r="H449" s="1" t="s">
        <v>22</v>
      </c>
      <c r="I449" s="1" t="s">
        <v>29</v>
      </c>
      <c r="J449" s="1">
        <v>0</v>
      </c>
      <c r="K449" s="1">
        <v>100</v>
      </c>
      <c r="L449" s="1">
        <v>1</v>
      </c>
    </row>
    <row r="450" spans="4:13">
      <c r="D450" s="1" t="s">
        <v>129</v>
      </c>
      <c r="E450" s="1" t="s">
        <v>32</v>
      </c>
      <c r="H450" s="1" t="s">
        <v>22</v>
      </c>
      <c r="I450" s="1" t="s">
        <v>29</v>
      </c>
      <c r="J450" s="1">
        <v>-3.94</v>
      </c>
      <c r="K450" s="1">
        <v>3.66</v>
      </c>
      <c r="L450" s="1">
        <v>1</v>
      </c>
    </row>
    <row r="451" spans="4:13">
      <c r="D451" s="1" t="s">
        <v>129</v>
      </c>
      <c r="E451" s="1" t="s">
        <v>33</v>
      </c>
      <c r="H451" s="1" t="s">
        <v>25</v>
      </c>
      <c r="I451" s="1" t="s">
        <v>23</v>
      </c>
      <c r="M451" s="1" t="b">
        <v>0</v>
      </c>
    </row>
    <row r="452" spans="4:13">
      <c r="D452" s="1" t="s">
        <v>129</v>
      </c>
      <c r="E452" s="1" t="s">
        <v>34</v>
      </c>
      <c r="F452" s="1" t="s">
        <v>35</v>
      </c>
      <c r="G452" s="1" t="s">
        <v>36</v>
      </c>
      <c r="H452" s="1" t="s">
        <v>22</v>
      </c>
      <c r="I452" s="1" t="s">
        <v>23</v>
      </c>
      <c r="J452" s="1">
        <v>-459.67</v>
      </c>
      <c r="K452" s="1">
        <v>980.32999999999993</v>
      </c>
      <c r="L452" s="1">
        <v>80.329999999999984</v>
      </c>
      <c r="M452" s="1">
        <v>67.999999999999943</v>
      </c>
    </row>
    <row r="453" spans="4:13">
      <c r="D453" s="1" t="s">
        <v>129</v>
      </c>
      <c r="E453" s="1" t="s">
        <v>37</v>
      </c>
      <c r="H453" s="1" t="s">
        <v>25</v>
      </c>
      <c r="I453" s="1" t="s">
        <v>23</v>
      </c>
      <c r="M453" s="1" t="b">
        <v>0</v>
      </c>
    </row>
    <row r="454" spans="4:13">
      <c r="D454" s="1" t="s">
        <v>129</v>
      </c>
      <c r="E454" s="1" t="s">
        <v>38</v>
      </c>
      <c r="F454" s="1" t="s">
        <v>35</v>
      </c>
      <c r="G454" s="1" t="s">
        <v>36</v>
      </c>
      <c r="H454" s="1" t="s">
        <v>22</v>
      </c>
      <c r="I454" s="1" t="s">
        <v>23</v>
      </c>
      <c r="J454" s="1">
        <v>-99.670000000000016</v>
      </c>
      <c r="K454" s="1">
        <v>980.32999999999993</v>
      </c>
      <c r="L454" s="1">
        <v>80.329999999999984</v>
      </c>
      <c r="M454" s="1">
        <v>13.999999999999943</v>
      </c>
    </row>
    <row r="455" spans="4:13">
      <c r="D455" s="1" t="s">
        <v>129</v>
      </c>
      <c r="E455" s="1" t="s">
        <v>39</v>
      </c>
      <c r="H455" s="1" t="s">
        <v>25</v>
      </c>
      <c r="I455" s="1" t="s">
        <v>23</v>
      </c>
      <c r="M455" s="1" t="b">
        <v>0</v>
      </c>
    </row>
    <row r="456" spans="4:13">
      <c r="D456" s="1" t="s">
        <v>129</v>
      </c>
      <c r="E456" s="1" t="s">
        <v>40</v>
      </c>
      <c r="F456" s="1" t="s">
        <v>41</v>
      </c>
      <c r="G456" s="1" t="s">
        <v>42</v>
      </c>
      <c r="H456" s="1" t="s">
        <v>22</v>
      </c>
      <c r="I456" s="1" t="s">
        <v>23</v>
      </c>
      <c r="J456" s="1">
        <v>-900</v>
      </c>
      <c r="K456" s="1">
        <v>900</v>
      </c>
      <c r="L456" s="1">
        <v>1.8</v>
      </c>
      <c r="M456" s="1">
        <v>9</v>
      </c>
    </row>
    <row r="457" spans="4:13">
      <c r="D457" s="1" t="s">
        <v>129</v>
      </c>
      <c r="E457" s="1" t="s">
        <v>43</v>
      </c>
      <c r="H457" s="1" t="s">
        <v>25</v>
      </c>
      <c r="I457" s="1" t="s">
        <v>23</v>
      </c>
      <c r="M457" s="1" t="b">
        <v>0</v>
      </c>
    </row>
    <row r="458" spans="4:13">
      <c r="D458" s="1" t="s">
        <v>129</v>
      </c>
      <c r="E458" s="1" t="s">
        <v>44</v>
      </c>
      <c r="F458" s="1" t="s">
        <v>45</v>
      </c>
      <c r="G458" s="1" t="s">
        <v>46</v>
      </c>
      <c r="H458" s="1" t="s">
        <v>22</v>
      </c>
      <c r="I458" s="1" t="s">
        <v>23</v>
      </c>
      <c r="J458" s="1">
        <v>-85.984522757427143</v>
      </c>
      <c r="K458" s="1">
        <v>8598.4522757427148</v>
      </c>
      <c r="L458" s="1">
        <v>114.79148749423418</v>
      </c>
      <c r="M458" s="1">
        <v>128.97678413614071</v>
      </c>
    </row>
    <row r="459" spans="4:13">
      <c r="D459" s="1" t="s">
        <v>129</v>
      </c>
      <c r="E459" s="1" t="s">
        <v>47</v>
      </c>
      <c r="H459" s="1" t="s">
        <v>25</v>
      </c>
      <c r="I459" s="1" t="s">
        <v>23</v>
      </c>
      <c r="M459" s="1" t="b">
        <v>0</v>
      </c>
    </row>
    <row r="460" spans="4:13">
      <c r="D460" s="1" t="s">
        <v>129</v>
      </c>
      <c r="E460" s="1" t="s">
        <v>48</v>
      </c>
      <c r="H460" s="1" t="s">
        <v>25</v>
      </c>
      <c r="I460" s="1" t="s">
        <v>23</v>
      </c>
      <c r="M460" s="1" t="b">
        <v>0</v>
      </c>
    </row>
    <row r="461" spans="4:13">
      <c r="D461" s="1" t="s">
        <v>129</v>
      </c>
      <c r="E461" s="1" t="s">
        <v>49</v>
      </c>
      <c r="H461" s="1" t="s">
        <v>25</v>
      </c>
      <c r="I461" s="1" t="s">
        <v>23</v>
      </c>
      <c r="M461" s="1" t="b">
        <v>0</v>
      </c>
    </row>
    <row r="462" spans="4:13">
      <c r="D462" s="1" t="s">
        <v>129</v>
      </c>
      <c r="E462" s="1" t="s">
        <v>50</v>
      </c>
      <c r="H462" s="1" t="s">
        <v>25</v>
      </c>
      <c r="I462" s="1" t="s">
        <v>23</v>
      </c>
      <c r="M462" s="1" t="b">
        <v>0</v>
      </c>
    </row>
    <row r="463" spans="4:13">
      <c r="D463" s="1" t="s">
        <v>129</v>
      </c>
      <c r="E463" s="1" t="s">
        <v>51</v>
      </c>
      <c r="F463" s="1" t="s">
        <v>52</v>
      </c>
      <c r="G463" s="1" t="s">
        <v>53</v>
      </c>
      <c r="H463" s="1" t="s">
        <v>22</v>
      </c>
      <c r="I463" s="1" t="s">
        <v>23</v>
      </c>
      <c r="J463" s="1">
        <v>0</v>
      </c>
      <c r="K463" s="1">
        <v>7936641438.6555996</v>
      </c>
      <c r="L463" s="1">
        <v>7936.6414386555998</v>
      </c>
      <c r="M463" s="1">
        <v>7936.6414386555998</v>
      </c>
    </row>
    <row r="464" spans="4:13">
      <c r="D464" s="1" t="s">
        <v>129</v>
      </c>
      <c r="E464" s="1" t="s">
        <v>54</v>
      </c>
      <c r="H464" s="1" t="s">
        <v>25</v>
      </c>
      <c r="I464" s="1" t="s">
        <v>23</v>
      </c>
      <c r="M464" s="1" t="b">
        <v>0</v>
      </c>
    </row>
    <row r="465" spans="4:13">
      <c r="D465" s="1" t="s">
        <v>129</v>
      </c>
      <c r="E465" s="1" t="s">
        <v>55</v>
      </c>
      <c r="F465" s="1" t="s">
        <v>56</v>
      </c>
      <c r="G465" s="1" t="s">
        <v>57</v>
      </c>
      <c r="H465" s="1" t="s">
        <v>22</v>
      </c>
      <c r="I465" s="1" t="s">
        <v>23</v>
      </c>
      <c r="J465" s="1">
        <v>0</v>
      </c>
      <c r="K465" s="1">
        <v>9427.4529524635982</v>
      </c>
      <c r="L465" s="1">
        <v>50.713895374744951</v>
      </c>
      <c r="M465" s="1">
        <v>50.763208205573221</v>
      </c>
    </row>
    <row r="466" spans="4:13">
      <c r="D466" s="1" t="s">
        <v>129</v>
      </c>
      <c r="E466" s="1" t="s">
        <v>58</v>
      </c>
      <c r="H466" s="1" t="s">
        <v>25</v>
      </c>
      <c r="I466" s="1" t="s">
        <v>23</v>
      </c>
      <c r="M466" s="1" t="b">
        <v>0</v>
      </c>
    </row>
    <row r="467" spans="4:13">
      <c r="D467" s="1" t="s">
        <v>129</v>
      </c>
      <c r="E467" s="1" t="s">
        <v>59</v>
      </c>
      <c r="F467" s="1" t="s">
        <v>60</v>
      </c>
      <c r="G467" s="1" t="s">
        <v>61</v>
      </c>
      <c r="H467" s="1" t="s">
        <v>22</v>
      </c>
      <c r="I467" s="1" t="s">
        <v>23</v>
      </c>
      <c r="J467" s="1">
        <v>-9.5538358650799999</v>
      </c>
      <c r="K467" s="1">
        <v>9.5538358650799999</v>
      </c>
      <c r="L467" s="1">
        <v>0.23884589662700001</v>
      </c>
      <c r="M467" s="1">
        <v>0.23884589662700001</v>
      </c>
    </row>
    <row r="468" spans="4:13">
      <c r="D468" s="1" t="s">
        <v>129</v>
      </c>
      <c r="E468" s="1" t="s">
        <v>62</v>
      </c>
      <c r="H468" s="1" t="s">
        <v>63</v>
      </c>
      <c r="I468" s="1" t="s">
        <v>23</v>
      </c>
      <c r="M468" s="1">
        <v>1</v>
      </c>
    </row>
    <row r="469" spans="4:13">
      <c r="D469" s="1" t="s">
        <v>129</v>
      </c>
      <c r="E469" s="1" t="s">
        <v>64</v>
      </c>
      <c r="F469" s="1" t="s">
        <v>35</v>
      </c>
      <c r="G469" s="1" t="s">
        <v>36</v>
      </c>
      <c r="H469" s="1" t="s">
        <v>22</v>
      </c>
      <c r="I469" s="1" t="s">
        <v>65</v>
      </c>
      <c r="J469" s="1">
        <v>-459.67</v>
      </c>
      <c r="L469" s="1">
        <v>80.329999999999984</v>
      </c>
    </row>
    <row r="470" spans="4:13">
      <c r="D470" s="1" t="s">
        <v>129</v>
      </c>
      <c r="E470" s="1" t="s">
        <v>66</v>
      </c>
      <c r="F470" s="1" t="s">
        <v>35</v>
      </c>
      <c r="G470" s="1" t="s">
        <v>36</v>
      </c>
      <c r="H470" s="1" t="s">
        <v>22</v>
      </c>
      <c r="I470" s="1" t="s">
        <v>65</v>
      </c>
      <c r="J470" s="1">
        <v>-459.67</v>
      </c>
      <c r="L470" s="1">
        <v>80.329999999999984</v>
      </c>
    </row>
    <row r="471" spans="4:13">
      <c r="D471" s="1" t="s">
        <v>129</v>
      </c>
      <c r="E471" s="1" t="s">
        <v>67</v>
      </c>
      <c r="F471" s="1" t="s">
        <v>41</v>
      </c>
      <c r="G471" s="1" t="s">
        <v>42</v>
      </c>
      <c r="H471" s="1" t="s">
        <v>22</v>
      </c>
      <c r="I471" s="1" t="s">
        <v>65</v>
      </c>
      <c r="L471" s="1">
        <v>1.8</v>
      </c>
    </row>
    <row r="472" spans="4:13">
      <c r="D472" s="1" t="s">
        <v>129</v>
      </c>
      <c r="E472" s="1" t="s">
        <v>68</v>
      </c>
      <c r="F472" s="1" t="s">
        <v>45</v>
      </c>
      <c r="G472" s="1" t="s">
        <v>46</v>
      </c>
      <c r="H472" s="1" t="s">
        <v>22</v>
      </c>
      <c r="I472" s="1" t="s">
        <v>65</v>
      </c>
      <c r="L472" s="1">
        <v>4.2992261378713571E-4</v>
      </c>
    </row>
    <row r="473" spans="4:13">
      <c r="D473" s="1" t="s">
        <v>129</v>
      </c>
      <c r="E473" s="1" t="s">
        <v>69</v>
      </c>
      <c r="H473" s="1" t="s">
        <v>25</v>
      </c>
      <c r="I473" s="1" t="s">
        <v>70</v>
      </c>
    </row>
    <row r="474" spans="4:13">
      <c r="D474" s="1" t="s">
        <v>129</v>
      </c>
      <c r="E474" s="1" t="s">
        <v>71</v>
      </c>
      <c r="F474" s="1" t="s">
        <v>52</v>
      </c>
      <c r="G474" s="1" t="s">
        <v>53</v>
      </c>
      <c r="H474" s="1" t="s">
        <v>22</v>
      </c>
      <c r="I474" s="1" t="s">
        <v>65</v>
      </c>
      <c r="L474" s="1">
        <v>7936.6414386555998</v>
      </c>
    </row>
    <row r="475" spans="4:13">
      <c r="D475" s="1" t="s">
        <v>129</v>
      </c>
      <c r="E475" s="1" t="s">
        <v>72</v>
      </c>
      <c r="F475" s="1" t="s">
        <v>56</v>
      </c>
      <c r="G475" s="1" t="s">
        <v>57</v>
      </c>
      <c r="H475" s="1" t="s">
        <v>22</v>
      </c>
      <c r="I475" s="1" t="s">
        <v>65</v>
      </c>
      <c r="J475" s="1">
        <v>0</v>
      </c>
      <c r="L475" s="1">
        <v>14.503773773020921</v>
      </c>
    </row>
    <row r="476" spans="4:13">
      <c r="D476" s="1" t="s">
        <v>129</v>
      </c>
      <c r="E476" s="1" t="s">
        <v>73</v>
      </c>
      <c r="F476" s="1" t="s">
        <v>60</v>
      </c>
      <c r="G476" s="1" t="s">
        <v>61</v>
      </c>
      <c r="H476" s="1" t="s">
        <v>22</v>
      </c>
      <c r="I476" s="1" t="s">
        <v>65</v>
      </c>
      <c r="L476" s="1">
        <v>2.38845896627E-4</v>
      </c>
    </row>
    <row r="477" spans="4:13">
      <c r="D477" s="1" t="s">
        <v>129</v>
      </c>
      <c r="E477" s="1" t="s">
        <v>74</v>
      </c>
      <c r="F477" s="1" t="s">
        <v>75</v>
      </c>
      <c r="G477" s="1" t="s">
        <v>76</v>
      </c>
      <c r="H477" s="1" t="s">
        <v>22</v>
      </c>
      <c r="I477" s="1" t="s">
        <v>65</v>
      </c>
      <c r="J477" s="1">
        <v>0</v>
      </c>
      <c r="L477" s="1">
        <v>16.018463521800001</v>
      </c>
    </row>
    <row r="478" spans="4:13">
      <c r="D478" s="1" t="s">
        <v>129</v>
      </c>
      <c r="E478" s="1" t="s">
        <v>77</v>
      </c>
      <c r="H478" s="1" t="s">
        <v>22</v>
      </c>
      <c r="I478" s="1" t="s">
        <v>65</v>
      </c>
      <c r="L478" s="1">
        <v>1</v>
      </c>
    </row>
    <row r="479" spans="4:13">
      <c r="D479" s="1" t="s">
        <v>129</v>
      </c>
      <c r="E479" s="1" t="s">
        <v>78</v>
      </c>
      <c r="H479" s="1" t="s">
        <v>25</v>
      </c>
      <c r="I479" s="1" t="s">
        <v>23</v>
      </c>
      <c r="M479" s="1" t="b">
        <v>0</v>
      </c>
    </row>
    <row r="480" spans="4:13">
      <c r="D480" s="1" t="s">
        <v>129</v>
      </c>
      <c r="E480" s="1" t="s">
        <v>79</v>
      </c>
      <c r="F480" s="1" t="s">
        <v>75</v>
      </c>
      <c r="G480" s="1" t="s">
        <v>76</v>
      </c>
      <c r="H480" s="1" t="s">
        <v>22</v>
      </c>
      <c r="I480" s="1" t="s">
        <v>23</v>
      </c>
      <c r="J480" s="1">
        <v>0</v>
      </c>
      <c r="K480" s="1">
        <v>96.110781130800007</v>
      </c>
      <c r="L480" s="1">
        <v>16.018463521800001</v>
      </c>
      <c r="M480" s="1">
        <v>1.6018463521800002</v>
      </c>
    </row>
    <row r="481" spans="4:13">
      <c r="D481" s="1" t="s">
        <v>129</v>
      </c>
      <c r="E481" s="1" t="s">
        <v>80</v>
      </c>
      <c r="H481" s="1" t="s">
        <v>25</v>
      </c>
      <c r="I481" s="1" t="s">
        <v>23</v>
      </c>
      <c r="M481" s="1" t="b">
        <v>0</v>
      </c>
    </row>
    <row r="482" spans="4:13">
      <c r="D482" s="1" t="s">
        <v>129</v>
      </c>
      <c r="E482" s="1" t="s">
        <v>81</v>
      </c>
      <c r="H482" s="1" t="s">
        <v>25</v>
      </c>
      <c r="I482" s="1" t="s">
        <v>23</v>
      </c>
      <c r="M482" s="1" t="b">
        <v>0</v>
      </c>
    </row>
    <row r="483" spans="4:13">
      <c r="D483" s="1" t="s">
        <v>129</v>
      </c>
      <c r="E483" s="1" t="s">
        <v>82</v>
      </c>
      <c r="H483" s="1" t="s">
        <v>22</v>
      </c>
      <c r="I483" s="1" t="s">
        <v>23</v>
      </c>
      <c r="J483" s="1">
        <v>-1</v>
      </c>
      <c r="K483" s="1">
        <v>3</v>
      </c>
      <c r="L483" s="1">
        <v>1</v>
      </c>
      <c r="M483" s="1">
        <v>1.01</v>
      </c>
    </row>
    <row r="484" spans="4:13">
      <c r="D484" s="1" t="s">
        <v>130</v>
      </c>
      <c r="E484" s="1" t="s">
        <v>28</v>
      </c>
      <c r="H484" s="1" t="s">
        <v>22</v>
      </c>
      <c r="I484" s="1" t="s">
        <v>29</v>
      </c>
      <c r="J484" s="1">
        <v>34000</v>
      </c>
      <c r="K484" s="1">
        <v>4300000</v>
      </c>
      <c r="L484" s="1">
        <v>349660</v>
      </c>
    </row>
    <row r="485" spans="4:13">
      <c r="D485" s="1" t="s">
        <v>130</v>
      </c>
      <c r="E485" s="1" t="s">
        <v>30</v>
      </c>
      <c r="H485" s="1" t="s">
        <v>22</v>
      </c>
      <c r="I485" s="1" t="s">
        <v>29</v>
      </c>
      <c r="J485" s="1">
        <v>-3.94</v>
      </c>
      <c r="K485" s="1">
        <v>3.66</v>
      </c>
      <c r="L485" s="1">
        <v>1</v>
      </c>
    </row>
    <row r="486" spans="4:13">
      <c r="D486" s="1" t="s">
        <v>130</v>
      </c>
      <c r="E486" s="1" t="s">
        <v>31</v>
      </c>
      <c r="H486" s="1" t="s">
        <v>22</v>
      </c>
      <c r="I486" s="1" t="s">
        <v>29</v>
      </c>
      <c r="J486" s="1">
        <v>0</v>
      </c>
      <c r="K486" s="1">
        <v>100</v>
      </c>
      <c r="L486" s="1">
        <v>1</v>
      </c>
    </row>
    <row r="487" spans="4:13">
      <c r="D487" s="1" t="s">
        <v>130</v>
      </c>
      <c r="E487" s="1" t="s">
        <v>32</v>
      </c>
      <c r="H487" s="1" t="s">
        <v>22</v>
      </c>
      <c r="I487" s="1" t="s">
        <v>29</v>
      </c>
      <c r="J487" s="1">
        <v>-3.94</v>
      </c>
      <c r="K487" s="1">
        <v>3.66</v>
      </c>
      <c r="L487" s="1">
        <v>1</v>
      </c>
    </row>
    <row r="488" spans="4:13">
      <c r="D488" s="1" t="s">
        <v>130</v>
      </c>
      <c r="E488" s="1" t="s">
        <v>33</v>
      </c>
      <c r="H488" s="1" t="s">
        <v>25</v>
      </c>
      <c r="I488" s="1" t="s">
        <v>23</v>
      </c>
      <c r="M488" s="1" t="b">
        <v>0</v>
      </c>
    </row>
    <row r="489" spans="4:13">
      <c r="D489" s="1" t="s">
        <v>130</v>
      </c>
      <c r="E489" s="1" t="s">
        <v>34</v>
      </c>
      <c r="F489" s="1" t="s">
        <v>35</v>
      </c>
      <c r="G489" s="1" t="s">
        <v>36</v>
      </c>
      <c r="H489" s="1" t="s">
        <v>22</v>
      </c>
      <c r="I489" s="1" t="s">
        <v>23</v>
      </c>
      <c r="J489" s="1">
        <v>-459.67</v>
      </c>
      <c r="K489" s="1">
        <v>980.32999999999993</v>
      </c>
      <c r="L489" s="1">
        <v>80.329999999999984</v>
      </c>
      <c r="M489" s="1">
        <v>67.999999999999943</v>
      </c>
    </row>
    <row r="490" spans="4:13">
      <c r="D490" s="1" t="s">
        <v>130</v>
      </c>
      <c r="E490" s="1" t="s">
        <v>37</v>
      </c>
      <c r="H490" s="1" t="s">
        <v>25</v>
      </c>
      <c r="I490" s="1" t="s">
        <v>23</v>
      </c>
      <c r="M490" s="1" t="b">
        <v>0</v>
      </c>
    </row>
    <row r="491" spans="4:13">
      <c r="D491" s="1" t="s">
        <v>130</v>
      </c>
      <c r="E491" s="1" t="s">
        <v>38</v>
      </c>
      <c r="F491" s="1" t="s">
        <v>35</v>
      </c>
      <c r="G491" s="1" t="s">
        <v>36</v>
      </c>
      <c r="H491" s="1" t="s">
        <v>22</v>
      </c>
      <c r="I491" s="1" t="s">
        <v>23</v>
      </c>
      <c r="J491" s="1">
        <v>-99.670000000000016</v>
      </c>
      <c r="K491" s="1">
        <v>980.32999999999993</v>
      </c>
      <c r="L491" s="1">
        <v>80.329999999999984</v>
      </c>
      <c r="M491" s="1">
        <v>13.999999999999943</v>
      </c>
    </row>
    <row r="492" spans="4:13">
      <c r="D492" s="1" t="s">
        <v>130</v>
      </c>
      <c r="E492" s="1" t="s">
        <v>39</v>
      </c>
      <c r="H492" s="1" t="s">
        <v>25</v>
      </c>
      <c r="I492" s="1" t="s">
        <v>23</v>
      </c>
      <c r="M492" s="1" t="b">
        <v>0</v>
      </c>
    </row>
    <row r="493" spans="4:13">
      <c r="D493" s="1" t="s">
        <v>130</v>
      </c>
      <c r="E493" s="1" t="s">
        <v>40</v>
      </c>
      <c r="F493" s="1" t="s">
        <v>41</v>
      </c>
      <c r="G493" s="1" t="s">
        <v>42</v>
      </c>
      <c r="H493" s="1" t="s">
        <v>22</v>
      </c>
      <c r="I493" s="1" t="s">
        <v>23</v>
      </c>
      <c r="J493" s="1">
        <v>-900</v>
      </c>
      <c r="K493" s="1">
        <v>900</v>
      </c>
      <c r="L493" s="1">
        <v>1.8</v>
      </c>
      <c r="M493" s="1">
        <v>9</v>
      </c>
    </row>
    <row r="494" spans="4:13">
      <c r="D494" s="1" t="s">
        <v>130</v>
      </c>
      <c r="E494" s="1" t="s">
        <v>43</v>
      </c>
      <c r="H494" s="1" t="s">
        <v>25</v>
      </c>
      <c r="I494" s="1" t="s">
        <v>23</v>
      </c>
      <c r="M494" s="1" t="b">
        <v>0</v>
      </c>
    </row>
    <row r="495" spans="4:13">
      <c r="D495" s="1" t="s">
        <v>130</v>
      </c>
      <c r="E495" s="1" t="s">
        <v>44</v>
      </c>
      <c r="F495" s="1" t="s">
        <v>45</v>
      </c>
      <c r="G495" s="1" t="s">
        <v>46</v>
      </c>
      <c r="H495" s="1" t="s">
        <v>22</v>
      </c>
      <c r="I495" s="1" t="s">
        <v>23</v>
      </c>
      <c r="J495" s="1">
        <v>-85.984522757427143</v>
      </c>
      <c r="K495" s="1">
        <v>8598.4522757427148</v>
      </c>
      <c r="L495" s="1">
        <v>114.79148749423418</v>
      </c>
      <c r="M495" s="1">
        <v>128.97678413614071</v>
      </c>
    </row>
    <row r="496" spans="4:13">
      <c r="D496" s="1" t="s">
        <v>130</v>
      </c>
      <c r="E496" s="1" t="s">
        <v>47</v>
      </c>
      <c r="H496" s="1" t="s">
        <v>25</v>
      </c>
      <c r="I496" s="1" t="s">
        <v>23</v>
      </c>
      <c r="M496" s="1" t="b">
        <v>0</v>
      </c>
    </row>
    <row r="497" spans="4:13">
      <c r="D497" s="1" t="s">
        <v>130</v>
      </c>
      <c r="E497" s="1" t="s">
        <v>48</v>
      </c>
      <c r="H497" s="1" t="s">
        <v>25</v>
      </c>
      <c r="I497" s="1" t="s">
        <v>23</v>
      </c>
      <c r="M497" s="1" t="b">
        <v>0</v>
      </c>
    </row>
    <row r="498" spans="4:13">
      <c r="D498" s="1" t="s">
        <v>130</v>
      </c>
      <c r="E498" s="1" t="s">
        <v>49</v>
      </c>
      <c r="H498" s="1" t="s">
        <v>25</v>
      </c>
      <c r="I498" s="1" t="s">
        <v>23</v>
      </c>
      <c r="M498" s="1" t="b">
        <v>0</v>
      </c>
    </row>
    <row r="499" spans="4:13">
      <c r="D499" s="1" t="s">
        <v>130</v>
      </c>
      <c r="E499" s="1" t="s">
        <v>50</v>
      </c>
      <c r="H499" s="1" t="s">
        <v>25</v>
      </c>
      <c r="I499" s="1" t="s">
        <v>23</v>
      </c>
      <c r="M499" s="1" t="b">
        <v>0</v>
      </c>
    </row>
    <row r="500" spans="4:13">
      <c r="D500" s="1" t="s">
        <v>130</v>
      </c>
      <c r="E500" s="1" t="s">
        <v>51</v>
      </c>
      <c r="F500" s="1" t="s">
        <v>52</v>
      </c>
      <c r="G500" s="1" t="s">
        <v>53</v>
      </c>
      <c r="H500" s="1" t="s">
        <v>22</v>
      </c>
      <c r="I500" s="1" t="s">
        <v>23</v>
      </c>
      <c r="J500" s="1">
        <v>0</v>
      </c>
      <c r="K500" s="1">
        <v>7936641438.6555996</v>
      </c>
      <c r="L500" s="1">
        <v>7936.6414386555998</v>
      </c>
      <c r="M500" s="1">
        <v>7936.6414386555998</v>
      </c>
    </row>
    <row r="501" spans="4:13">
      <c r="D501" s="1" t="s">
        <v>130</v>
      </c>
      <c r="E501" s="1" t="s">
        <v>54</v>
      </c>
      <c r="H501" s="1" t="s">
        <v>25</v>
      </c>
      <c r="I501" s="1" t="s">
        <v>23</v>
      </c>
      <c r="M501" s="1" t="b">
        <v>0</v>
      </c>
    </row>
    <row r="502" spans="4:13">
      <c r="D502" s="1" t="s">
        <v>130</v>
      </c>
      <c r="E502" s="1" t="s">
        <v>55</v>
      </c>
      <c r="F502" s="1" t="s">
        <v>56</v>
      </c>
      <c r="G502" s="1" t="s">
        <v>57</v>
      </c>
      <c r="H502" s="1" t="s">
        <v>22</v>
      </c>
      <c r="I502" s="1" t="s">
        <v>23</v>
      </c>
      <c r="J502" s="1">
        <v>0</v>
      </c>
      <c r="K502" s="1">
        <v>9427.4529524635982</v>
      </c>
      <c r="L502" s="1">
        <v>50.713895374744951</v>
      </c>
      <c r="M502" s="1">
        <v>50.763208205573221</v>
      </c>
    </row>
    <row r="503" spans="4:13">
      <c r="D503" s="1" t="s">
        <v>130</v>
      </c>
      <c r="E503" s="1" t="s">
        <v>58</v>
      </c>
      <c r="H503" s="1" t="s">
        <v>25</v>
      </c>
      <c r="I503" s="1" t="s">
        <v>23</v>
      </c>
      <c r="M503" s="1" t="b">
        <v>0</v>
      </c>
    </row>
    <row r="504" spans="4:13">
      <c r="D504" s="1" t="s">
        <v>130</v>
      </c>
      <c r="E504" s="1" t="s">
        <v>59</v>
      </c>
      <c r="F504" s="1" t="s">
        <v>60</v>
      </c>
      <c r="G504" s="1" t="s">
        <v>61</v>
      </c>
      <c r="H504" s="1" t="s">
        <v>22</v>
      </c>
      <c r="I504" s="1" t="s">
        <v>23</v>
      </c>
      <c r="J504" s="1">
        <v>-9.5538358650799999</v>
      </c>
      <c r="K504" s="1">
        <v>9.5538358650799999</v>
      </c>
      <c r="L504" s="1">
        <v>0.23884589662700001</v>
      </c>
      <c r="M504" s="1">
        <v>0.23884589662700001</v>
      </c>
    </row>
    <row r="505" spans="4:13">
      <c r="D505" s="1" t="s">
        <v>130</v>
      </c>
      <c r="E505" s="1" t="s">
        <v>62</v>
      </c>
      <c r="H505" s="1" t="s">
        <v>63</v>
      </c>
      <c r="I505" s="1" t="s">
        <v>23</v>
      </c>
      <c r="M505" s="1">
        <v>1</v>
      </c>
    </row>
    <row r="506" spans="4:13">
      <c r="D506" s="1" t="s">
        <v>130</v>
      </c>
      <c r="E506" s="1" t="s">
        <v>64</v>
      </c>
      <c r="F506" s="1" t="s">
        <v>35</v>
      </c>
      <c r="G506" s="1" t="s">
        <v>36</v>
      </c>
      <c r="H506" s="1" t="s">
        <v>22</v>
      </c>
      <c r="I506" s="1" t="s">
        <v>65</v>
      </c>
      <c r="J506" s="1">
        <v>-459.67</v>
      </c>
      <c r="L506" s="1">
        <v>80.329999999999984</v>
      </c>
    </row>
    <row r="507" spans="4:13">
      <c r="D507" s="1" t="s">
        <v>130</v>
      </c>
      <c r="E507" s="1" t="s">
        <v>66</v>
      </c>
      <c r="F507" s="1" t="s">
        <v>35</v>
      </c>
      <c r="G507" s="1" t="s">
        <v>36</v>
      </c>
      <c r="H507" s="1" t="s">
        <v>22</v>
      </c>
      <c r="I507" s="1" t="s">
        <v>65</v>
      </c>
      <c r="J507" s="1">
        <v>-459.67</v>
      </c>
      <c r="L507" s="1">
        <v>80.329999999999984</v>
      </c>
    </row>
    <row r="508" spans="4:13">
      <c r="D508" s="1" t="s">
        <v>130</v>
      </c>
      <c r="E508" s="1" t="s">
        <v>67</v>
      </c>
      <c r="F508" s="1" t="s">
        <v>41</v>
      </c>
      <c r="G508" s="1" t="s">
        <v>42</v>
      </c>
      <c r="H508" s="1" t="s">
        <v>22</v>
      </c>
      <c r="I508" s="1" t="s">
        <v>65</v>
      </c>
      <c r="L508" s="1">
        <v>1.8</v>
      </c>
    </row>
    <row r="509" spans="4:13">
      <c r="D509" s="1" t="s">
        <v>130</v>
      </c>
      <c r="E509" s="1" t="s">
        <v>68</v>
      </c>
      <c r="F509" s="1" t="s">
        <v>45</v>
      </c>
      <c r="G509" s="1" t="s">
        <v>46</v>
      </c>
      <c r="H509" s="1" t="s">
        <v>22</v>
      </c>
      <c r="I509" s="1" t="s">
        <v>65</v>
      </c>
      <c r="L509" s="1">
        <v>4.2992261378713571E-4</v>
      </c>
    </row>
    <row r="510" spans="4:13">
      <c r="D510" s="1" t="s">
        <v>130</v>
      </c>
      <c r="E510" s="1" t="s">
        <v>69</v>
      </c>
      <c r="H510" s="1" t="s">
        <v>25</v>
      </c>
      <c r="I510" s="1" t="s">
        <v>70</v>
      </c>
    </row>
    <row r="511" spans="4:13">
      <c r="D511" s="1" t="s">
        <v>130</v>
      </c>
      <c r="E511" s="1" t="s">
        <v>71</v>
      </c>
      <c r="F511" s="1" t="s">
        <v>52</v>
      </c>
      <c r="G511" s="1" t="s">
        <v>53</v>
      </c>
      <c r="H511" s="1" t="s">
        <v>22</v>
      </c>
      <c r="I511" s="1" t="s">
        <v>65</v>
      </c>
      <c r="L511" s="1">
        <v>7936.6414386555998</v>
      </c>
    </row>
    <row r="512" spans="4:13">
      <c r="D512" s="1" t="s">
        <v>130</v>
      </c>
      <c r="E512" s="1" t="s">
        <v>72</v>
      </c>
      <c r="F512" s="1" t="s">
        <v>56</v>
      </c>
      <c r="G512" s="1" t="s">
        <v>57</v>
      </c>
      <c r="H512" s="1" t="s">
        <v>22</v>
      </c>
      <c r="I512" s="1" t="s">
        <v>65</v>
      </c>
      <c r="J512" s="1">
        <v>0</v>
      </c>
      <c r="L512" s="1">
        <v>14.503773773020921</v>
      </c>
    </row>
    <row r="513" spans="4:13">
      <c r="D513" s="1" t="s">
        <v>130</v>
      </c>
      <c r="E513" s="1" t="s">
        <v>73</v>
      </c>
      <c r="F513" s="1" t="s">
        <v>60</v>
      </c>
      <c r="G513" s="1" t="s">
        <v>61</v>
      </c>
      <c r="H513" s="1" t="s">
        <v>22</v>
      </c>
      <c r="I513" s="1" t="s">
        <v>65</v>
      </c>
      <c r="L513" s="1">
        <v>2.38845896627E-4</v>
      </c>
    </row>
    <row r="514" spans="4:13">
      <c r="D514" s="1" t="s">
        <v>130</v>
      </c>
      <c r="E514" s="1" t="s">
        <v>74</v>
      </c>
      <c r="F514" s="1" t="s">
        <v>75</v>
      </c>
      <c r="G514" s="1" t="s">
        <v>76</v>
      </c>
      <c r="H514" s="1" t="s">
        <v>22</v>
      </c>
      <c r="I514" s="1" t="s">
        <v>65</v>
      </c>
      <c r="J514" s="1">
        <v>0</v>
      </c>
      <c r="L514" s="1">
        <v>16.018463521800001</v>
      </c>
    </row>
    <row r="515" spans="4:13">
      <c r="D515" s="1" t="s">
        <v>130</v>
      </c>
      <c r="E515" s="1" t="s">
        <v>77</v>
      </c>
      <c r="H515" s="1" t="s">
        <v>22</v>
      </c>
      <c r="I515" s="1" t="s">
        <v>65</v>
      </c>
      <c r="L515" s="1">
        <v>1</v>
      </c>
    </row>
    <row r="516" spans="4:13">
      <c r="D516" s="1" t="s">
        <v>130</v>
      </c>
      <c r="E516" s="1" t="s">
        <v>78</v>
      </c>
      <c r="H516" s="1" t="s">
        <v>25</v>
      </c>
      <c r="I516" s="1" t="s">
        <v>23</v>
      </c>
      <c r="M516" s="1" t="b">
        <v>0</v>
      </c>
    </row>
    <row r="517" spans="4:13">
      <c r="D517" s="1" t="s">
        <v>130</v>
      </c>
      <c r="E517" s="1" t="s">
        <v>79</v>
      </c>
      <c r="F517" s="1" t="s">
        <v>75</v>
      </c>
      <c r="G517" s="1" t="s">
        <v>76</v>
      </c>
      <c r="H517" s="1" t="s">
        <v>22</v>
      </c>
      <c r="I517" s="1" t="s">
        <v>23</v>
      </c>
      <c r="J517" s="1">
        <v>0</v>
      </c>
      <c r="K517" s="1">
        <v>96.110781130800007</v>
      </c>
      <c r="L517" s="1">
        <v>16.018463521800001</v>
      </c>
      <c r="M517" s="1">
        <v>1.6018463521800002</v>
      </c>
    </row>
    <row r="518" spans="4:13">
      <c r="D518" s="1" t="s">
        <v>130</v>
      </c>
      <c r="E518" s="1" t="s">
        <v>80</v>
      </c>
      <c r="H518" s="1" t="s">
        <v>25</v>
      </c>
      <c r="I518" s="1" t="s">
        <v>23</v>
      </c>
      <c r="M518" s="1" t="b">
        <v>0</v>
      </c>
    </row>
    <row r="519" spans="4:13">
      <c r="D519" s="1" t="s">
        <v>130</v>
      </c>
      <c r="E519" s="1" t="s">
        <v>81</v>
      </c>
      <c r="H519" s="1" t="s">
        <v>25</v>
      </c>
      <c r="I519" s="1" t="s">
        <v>23</v>
      </c>
      <c r="M519" s="1" t="b">
        <v>0</v>
      </c>
    </row>
    <row r="520" spans="4:13">
      <c r="D520" s="1" t="s">
        <v>130</v>
      </c>
      <c r="E520" s="1" t="s">
        <v>82</v>
      </c>
      <c r="H520" s="1" t="s">
        <v>22</v>
      </c>
      <c r="I520" s="1" t="s">
        <v>23</v>
      </c>
      <c r="J520" s="1">
        <v>-1</v>
      </c>
      <c r="K520" s="1">
        <v>3</v>
      </c>
      <c r="L520" s="1">
        <v>1</v>
      </c>
      <c r="M520" s="1">
        <v>1.01</v>
      </c>
    </row>
    <row r="521" spans="4:13">
      <c r="D521" s="1" t="s">
        <v>131</v>
      </c>
      <c r="H521" s="1" t="s">
        <v>22</v>
      </c>
      <c r="I521" s="1" t="s">
        <v>23</v>
      </c>
      <c r="L521" s="1">
        <v>1</v>
      </c>
      <c r="M521" s="1">
        <v>1</v>
      </c>
    </row>
    <row r="522" spans="4:13">
      <c r="D522" s="1" t="s">
        <v>132</v>
      </c>
      <c r="E522" s="1" t="s">
        <v>105</v>
      </c>
      <c r="H522" s="1" t="s">
        <v>22</v>
      </c>
      <c r="I522" s="1" t="s">
        <v>29</v>
      </c>
      <c r="J522" s="1">
        <v>0</v>
      </c>
      <c r="K522" s="1">
        <v>10000</v>
      </c>
      <c r="L522" s="1">
        <v>5000</v>
      </c>
    </row>
    <row r="523" spans="4:13">
      <c r="D523" s="1" t="s">
        <v>132</v>
      </c>
      <c r="E523" s="1" t="s">
        <v>106</v>
      </c>
      <c r="H523" s="1" t="s">
        <v>25</v>
      </c>
      <c r="I523" s="1" t="s">
        <v>23</v>
      </c>
      <c r="M523" s="1" t="b">
        <v>0</v>
      </c>
    </row>
    <row r="524" spans="4:13">
      <c r="D524" s="1" t="s">
        <v>132</v>
      </c>
      <c r="E524" s="1" t="s">
        <v>107</v>
      </c>
      <c r="H524" s="1" t="s">
        <v>22</v>
      </c>
      <c r="I524" s="1" t="s">
        <v>23</v>
      </c>
      <c r="L524" s="1">
        <v>1</v>
      </c>
      <c r="M524" s="1">
        <v>20</v>
      </c>
    </row>
    <row r="525" spans="4:13">
      <c r="D525" s="1" t="s">
        <v>132</v>
      </c>
      <c r="E525" s="1" t="s">
        <v>109</v>
      </c>
      <c r="H525" s="1" t="s">
        <v>22</v>
      </c>
      <c r="I525" s="1" t="s">
        <v>23</v>
      </c>
      <c r="L525" s="1">
        <v>1</v>
      </c>
      <c r="M525" s="1">
        <v>1</v>
      </c>
    </row>
    <row r="526" spans="4:13">
      <c r="D526" s="1" t="s">
        <v>132</v>
      </c>
      <c r="E526" s="1" t="s">
        <v>110</v>
      </c>
      <c r="H526" s="1" t="s">
        <v>25</v>
      </c>
      <c r="I526" s="1" t="s">
        <v>23</v>
      </c>
      <c r="M526" s="1" t="b">
        <v>1</v>
      </c>
    </row>
    <row r="527" spans="4:13">
      <c r="D527" s="1" t="s">
        <v>132</v>
      </c>
      <c r="E527" s="1" t="s">
        <v>111</v>
      </c>
      <c r="F527" s="1" t="s">
        <v>56</v>
      </c>
      <c r="G527" s="1" t="s">
        <v>57</v>
      </c>
      <c r="H527" s="1" t="s">
        <v>22</v>
      </c>
      <c r="I527" s="1" t="s">
        <v>23</v>
      </c>
      <c r="L527" s="1">
        <v>1.4503773773020921E-4</v>
      </c>
      <c r="M527" s="1">
        <v>7.2518868865104604E-3</v>
      </c>
    </row>
    <row r="528" spans="4:13">
      <c r="D528" s="1" t="s">
        <v>132</v>
      </c>
      <c r="E528" s="1" t="s">
        <v>47</v>
      </c>
      <c r="H528" s="1" t="s">
        <v>25</v>
      </c>
      <c r="I528" s="1" t="s">
        <v>23</v>
      </c>
      <c r="M528" s="1" t="b">
        <v>0</v>
      </c>
    </row>
    <row r="529" spans="4:13">
      <c r="D529" s="1" t="s">
        <v>132</v>
      </c>
      <c r="E529" s="1" t="s">
        <v>112</v>
      </c>
      <c r="F529" s="1" t="s">
        <v>56</v>
      </c>
      <c r="G529" s="1" t="s">
        <v>57</v>
      </c>
      <c r="H529" s="1" t="s">
        <v>22</v>
      </c>
      <c r="I529" s="1" t="s">
        <v>29</v>
      </c>
      <c r="J529" s="1">
        <v>4.9312830828271128</v>
      </c>
      <c r="K529" s="1">
        <v>623.66227223989961</v>
      </c>
      <c r="L529" s="1">
        <v>50.713895374744951</v>
      </c>
    </row>
    <row r="530" spans="4:13">
      <c r="D530" s="1" t="s">
        <v>132</v>
      </c>
      <c r="E530" s="1" t="s">
        <v>133</v>
      </c>
      <c r="H530" s="1" t="s">
        <v>22</v>
      </c>
      <c r="I530" s="1" t="s">
        <v>23</v>
      </c>
      <c r="L530" s="1">
        <v>1</v>
      </c>
      <c r="M530" s="1">
        <v>1E-3</v>
      </c>
    </row>
    <row r="531" spans="4:13">
      <c r="D531" s="1" t="s">
        <v>132</v>
      </c>
      <c r="E531" s="1" t="s">
        <v>134</v>
      </c>
      <c r="H531" s="1" t="s">
        <v>22</v>
      </c>
      <c r="I531" s="1" t="s">
        <v>23</v>
      </c>
      <c r="L531" s="1">
        <v>1</v>
      </c>
      <c r="M531" s="1">
        <v>9.9999999999999995E-7</v>
      </c>
    </row>
    <row r="532" spans="4:13">
      <c r="D532" s="1" t="s">
        <v>132</v>
      </c>
      <c r="E532" s="1" t="s">
        <v>135</v>
      </c>
      <c r="H532" s="1" t="s">
        <v>22</v>
      </c>
      <c r="I532" s="1" t="s">
        <v>23</v>
      </c>
      <c r="L532" s="1">
        <v>1</v>
      </c>
      <c r="M532" s="1">
        <v>9.9999999999999998E-13</v>
      </c>
    </row>
    <row r="533" spans="4:13">
      <c r="D533" s="1" t="s">
        <v>132</v>
      </c>
      <c r="E533" s="1" t="s">
        <v>62</v>
      </c>
      <c r="H533" s="1" t="s">
        <v>63</v>
      </c>
      <c r="I533" s="1" t="s">
        <v>23</v>
      </c>
      <c r="M533" s="1">
        <v>1</v>
      </c>
    </row>
    <row r="534" spans="4:13">
      <c r="D534" s="1" t="s">
        <v>132</v>
      </c>
      <c r="E534" s="1" t="s">
        <v>113</v>
      </c>
      <c r="H534" s="1" t="s">
        <v>22</v>
      </c>
      <c r="I534" s="1" t="s">
        <v>65</v>
      </c>
      <c r="L534" s="1">
        <v>1</v>
      </c>
    </row>
    <row r="535" spans="4:13">
      <c r="D535" s="1" t="s">
        <v>132</v>
      </c>
      <c r="E535" s="1" t="s">
        <v>114</v>
      </c>
      <c r="H535" s="1" t="s">
        <v>22</v>
      </c>
      <c r="I535" s="1" t="s">
        <v>70</v>
      </c>
      <c r="L535" s="1">
        <v>1</v>
      </c>
    </row>
    <row r="536" spans="4:13">
      <c r="D536" s="1" t="s">
        <v>132</v>
      </c>
      <c r="E536" s="1" t="s">
        <v>115</v>
      </c>
      <c r="F536" s="1" t="s">
        <v>56</v>
      </c>
      <c r="G536" s="1" t="s">
        <v>57</v>
      </c>
      <c r="H536" s="1" t="s">
        <v>22</v>
      </c>
      <c r="I536" s="1" t="s">
        <v>65</v>
      </c>
      <c r="L536" s="1">
        <v>1.4503773773020921E-4</v>
      </c>
    </row>
    <row r="537" spans="4:13">
      <c r="D537" s="1" t="s">
        <v>132</v>
      </c>
      <c r="E537" s="1" t="s">
        <v>116</v>
      </c>
      <c r="H537" s="1" t="s">
        <v>25</v>
      </c>
      <c r="I537" s="1" t="s">
        <v>65</v>
      </c>
    </row>
    <row r="538" spans="4:13">
      <c r="D538" s="1" t="s">
        <v>132</v>
      </c>
      <c r="E538" s="1" t="s">
        <v>69</v>
      </c>
      <c r="H538" s="1" t="s">
        <v>25</v>
      </c>
      <c r="I538" s="1" t="s">
        <v>70</v>
      </c>
    </row>
    <row r="539" spans="4:13">
      <c r="D539" s="1" t="s">
        <v>132</v>
      </c>
      <c r="E539" s="1" t="s">
        <v>71</v>
      </c>
      <c r="F539" s="1" t="s">
        <v>52</v>
      </c>
      <c r="G539" s="1" t="s">
        <v>53</v>
      </c>
      <c r="H539" s="1" t="s">
        <v>22</v>
      </c>
      <c r="I539" s="1" t="s">
        <v>65</v>
      </c>
      <c r="L539" s="1">
        <v>7936.6414386555998</v>
      </c>
    </row>
    <row r="540" spans="4:13">
      <c r="D540" s="1" t="s">
        <v>132</v>
      </c>
      <c r="E540" s="1" t="s">
        <v>117</v>
      </c>
      <c r="F540" s="1" t="s">
        <v>118</v>
      </c>
      <c r="G540" s="1" t="s">
        <v>119</v>
      </c>
      <c r="H540" s="1" t="s">
        <v>22</v>
      </c>
      <c r="I540" s="1" t="s">
        <v>120</v>
      </c>
      <c r="J540" s="1">
        <v>0</v>
      </c>
      <c r="L540" s="1">
        <v>2.20462262185</v>
      </c>
    </row>
    <row r="541" spans="4:13">
      <c r="D541" s="1" t="s">
        <v>132</v>
      </c>
      <c r="E541" s="1" t="s">
        <v>121</v>
      </c>
      <c r="H541" s="1" t="s">
        <v>22</v>
      </c>
      <c r="I541" s="1" t="s">
        <v>120</v>
      </c>
      <c r="L541" s="1">
        <v>1</v>
      </c>
    </row>
    <row r="542" spans="4:13">
      <c r="D542" s="1" t="s">
        <v>132</v>
      </c>
      <c r="E542" s="1" t="s">
        <v>122</v>
      </c>
      <c r="F542" s="1" t="s">
        <v>56</v>
      </c>
      <c r="G542" s="1" t="s">
        <v>57</v>
      </c>
      <c r="H542" s="1" t="s">
        <v>22</v>
      </c>
      <c r="I542" s="1" t="s">
        <v>65</v>
      </c>
      <c r="L542" s="1">
        <v>1.4503773773020921E-4</v>
      </c>
    </row>
    <row r="543" spans="4:13">
      <c r="D543" s="1" t="s">
        <v>132</v>
      </c>
      <c r="E543" s="1" t="s">
        <v>123</v>
      </c>
      <c r="F543" s="1" t="s">
        <v>124</v>
      </c>
      <c r="G543" s="1" t="s">
        <v>125</v>
      </c>
      <c r="H543" s="1" t="s">
        <v>22</v>
      </c>
      <c r="I543" s="1" t="s">
        <v>120</v>
      </c>
      <c r="L543" s="1">
        <v>35.314666699999997</v>
      </c>
    </row>
    <row r="544" spans="4:13">
      <c r="D544" s="1" t="s">
        <v>132</v>
      </c>
      <c r="E544" s="1" t="s">
        <v>126</v>
      </c>
      <c r="H544" s="1" t="s">
        <v>22</v>
      </c>
      <c r="I544" s="1" t="s">
        <v>65</v>
      </c>
      <c r="L544" s="1">
        <v>1</v>
      </c>
    </row>
    <row r="545" spans="4:13">
      <c r="D545" s="1" t="s">
        <v>132</v>
      </c>
      <c r="E545" s="1" t="s">
        <v>127</v>
      </c>
      <c r="H545" s="1" t="s">
        <v>25</v>
      </c>
      <c r="I545" s="1" t="s">
        <v>23</v>
      </c>
      <c r="M545" s="1" t="b">
        <v>1</v>
      </c>
    </row>
    <row r="546" spans="4:13">
      <c r="D546" s="1" t="s">
        <v>136</v>
      </c>
      <c r="E546" s="1" t="s">
        <v>28</v>
      </c>
      <c r="H546" s="1" t="s">
        <v>22</v>
      </c>
      <c r="I546" s="1" t="s">
        <v>29</v>
      </c>
      <c r="J546" s="1">
        <v>34000</v>
      </c>
      <c r="K546" s="1">
        <v>4300000</v>
      </c>
      <c r="L546" s="1">
        <v>349660</v>
      </c>
    </row>
    <row r="547" spans="4:13">
      <c r="D547" s="1" t="s">
        <v>136</v>
      </c>
      <c r="E547" s="1" t="s">
        <v>30</v>
      </c>
      <c r="H547" s="1" t="s">
        <v>22</v>
      </c>
      <c r="I547" s="1" t="s">
        <v>29</v>
      </c>
      <c r="J547" s="1">
        <v>-3.94</v>
      </c>
      <c r="K547" s="1">
        <v>3.66</v>
      </c>
      <c r="L547" s="1">
        <v>1</v>
      </c>
    </row>
    <row r="548" spans="4:13">
      <c r="D548" s="1" t="s">
        <v>136</v>
      </c>
      <c r="E548" s="1" t="s">
        <v>31</v>
      </c>
      <c r="H548" s="1" t="s">
        <v>22</v>
      </c>
      <c r="I548" s="1" t="s">
        <v>29</v>
      </c>
      <c r="J548" s="1">
        <v>0</v>
      </c>
      <c r="K548" s="1">
        <v>100</v>
      </c>
      <c r="L548" s="1">
        <v>1</v>
      </c>
    </row>
    <row r="549" spans="4:13">
      <c r="D549" s="1" t="s">
        <v>136</v>
      </c>
      <c r="E549" s="1" t="s">
        <v>32</v>
      </c>
      <c r="H549" s="1" t="s">
        <v>22</v>
      </c>
      <c r="I549" s="1" t="s">
        <v>29</v>
      </c>
      <c r="J549" s="1">
        <v>-3.94</v>
      </c>
      <c r="K549" s="1">
        <v>3.66</v>
      </c>
      <c r="L549" s="1">
        <v>1</v>
      </c>
    </row>
    <row r="550" spans="4:13">
      <c r="D550" s="1" t="s">
        <v>136</v>
      </c>
      <c r="E550" s="1" t="s">
        <v>33</v>
      </c>
      <c r="H550" s="1" t="s">
        <v>25</v>
      </c>
      <c r="I550" s="1" t="s">
        <v>23</v>
      </c>
      <c r="M550" s="1" t="b">
        <v>0</v>
      </c>
    </row>
    <row r="551" spans="4:13">
      <c r="D551" s="1" t="s">
        <v>136</v>
      </c>
      <c r="E551" s="1" t="s">
        <v>34</v>
      </c>
      <c r="F551" s="1" t="s">
        <v>35</v>
      </c>
      <c r="G551" s="1" t="s">
        <v>36</v>
      </c>
      <c r="H551" s="1" t="s">
        <v>22</v>
      </c>
      <c r="I551" s="1" t="s">
        <v>23</v>
      </c>
      <c r="J551" s="1">
        <v>-459.67</v>
      </c>
      <c r="K551" s="1">
        <v>980.32999999999993</v>
      </c>
      <c r="L551" s="1">
        <v>80.329999999999984</v>
      </c>
      <c r="M551" s="1">
        <v>67.999999999999943</v>
      </c>
    </row>
    <row r="552" spans="4:13">
      <c r="D552" s="1" t="s">
        <v>136</v>
      </c>
      <c r="E552" s="1" t="s">
        <v>37</v>
      </c>
      <c r="H552" s="1" t="s">
        <v>25</v>
      </c>
      <c r="I552" s="1" t="s">
        <v>23</v>
      </c>
      <c r="M552" s="1" t="b">
        <v>0</v>
      </c>
    </row>
    <row r="553" spans="4:13">
      <c r="D553" s="1" t="s">
        <v>136</v>
      </c>
      <c r="E553" s="1" t="s">
        <v>38</v>
      </c>
      <c r="F553" s="1" t="s">
        <v>35</v>
      </c>
      <c r="G553" s="1" t="s">
        <v>36</v>
      </c>
      <c r="H553" s="1" t="s">
        <v>22</v>
      </c>
      <c r="I553" s="1" t="s">
        <v>23</v>
      </c>
      <c r="J553" s="1">
        <v>-99.670000000000016</v>
      </c>
      <c r="K553" s="1">
        <v>980.32999999999993</v>
      </c>
      <c r="L553" s="1">
        <v>80.329999999999984</v>
      </c>
      <c r="M553" s="1">
        <v>13.999999999999943</v>
      </c>
    </row>
    <row r="554" spans="4:13">
      <c r="D554" s="1" t="s">
        <v>136</v>
      </c>
      <c r="E554" s="1" t="s">
        <v>39</v>
      </c>
      <c r="H554" s="1" t="s">
        <v>25</v>
      </c>
      <c r="I554" s="1" t="s">
        <v>23</v>
      </c>
      <c r="M554" s="1" t="b">
        <v>0</v>
      </c>
    </row>
    <row r="555" spans="4:13">
      <c r="D555" s="1" t="s">
        <v>136</v>
      </c>
      <c r="E555" s="1" t="s">
        <v>40</v>
      </c>
      <c r="F555" s="1" t="s">
        <v>41</v>
      </c>
      <c r="G555" s="1" t="s">
        <v>42</v>
      </c>
      <c r="H555" s="1" t="s">
        <v>22</v>
      </c>
      <c r="I555" s="1" t="s">
        <v>23</v>
      </c>
      <c r="J555" s="1">
        <v>-900</v>
      </c>
      <c r="K555" s="1">
        <v>900</v>
      </c>
      <c r="L555" s="1">
        <v>1.8</v>
      </c>
      <c r="M555" s="1">
        <v>9</v>
      </c>
    </row>
    <row r="556" spans="4:13">
      <c r="D556" s="1" t="s">
        <v>136</v>
      </c>
      <c r="E556" s="1" t="s">
        <v>43</v>
      </c>
      <c r="H556" s="1" t="s">
        <v>25</v>
      </c>
      <c r="I556" s="1" t="s">
        <v>23</v>
      </c>
      <c r="M556" s="1" t="b">
        <v>0</v>
      </c>
    </row>
    <row r="557" spans="4:13">
      <c r="D557" s="1" t="s">
        <v>136</v>
      </c>
      <c r="E557" s="1" t="s">
        <v>44</v>
      </c>
      <c r="F557" s="1" t="s">
        <v>45</v>
      </c>
      <c r="G557" s="1" t="s">
        <v>46</v>
      </c>
      <c r="H557" s="1" t="s">
        <v>22</v>
      </c>
      <c r="I557" s="1" t="s">
        <v>23</v>
      </c>
      <c r="J557" s="1">
        <v>-85.984522757427143</v>
      </c>
      <c r="K557" s="1">
        <v>8598.4522757427148</v>
      </c>
      <c r="L557" s="1">
        <v>114.79148749423418</v>
      </c>
      <c r="M557" s="1">
        <v>128.97678413614071</v>
      </c>
    </row>
    <row r="558" spans="4:13">
      <c r="D558" s="1" t="s">
        <v>136</v>
      </c>
      <c r="E558" s="1" t="s">
        <v>47</v>
      </c>
      <c r="H558" s="1" t="s">
        <v>25</v>
      </c>
      <c r="I558" s="1" t="s">
        <v>23</v>
      </c>
      <c r="M558" s="1" t="b">
        <v>0</v>
      </c>
    </row>
    <row r="559" spans="4:13">
      <c r="D559" s="1" t="s">
        <v>136</v>
      </c>
      <c r="E559" s="1" t="s">
        <v>48</v>
      </c>
      <c r="H559" s="1" t="s">
        <v>25</v>
      </c>
      <c r="I559" s="1" t="s">
        <v>23</v>
      </c>
      <c r="M559" s="1" t="b">
        <v>0</v>
      </c>
    </row>
    <row r="560" spans="4:13">
      <c r="D560" s="1" t="s">
        <v>136</v>
      </c>
      <c r="E560" s="1" t="s">
        <v>49</v>
      </c>
      <c r="H560" s="1" t="s">
        <v>25</v>
      </c>
      <c r="I560" s="1" t="s">
        <v>23</v>
      </c>
      <c r="M560" s="1" t="b">
        <v>0</v>
      </c>
    </row>
    <row r="561" spans="4:13">
      <c r="D561" s="1" t="s">
        <v>136</v>
      </c>
      <c r="E561" s="1" t="s">
        <v>50</v>
      </c>
      <c r="H561" s="1" t="s">
        <v>25</v>
      </c>
      <c r="I561" s="1" t="s">
        <v>23</v>
      </c>
      <c r="M561" s="1" t="b">
        <v>0</v>
      </c>
    </row>
    <row r="562" spans="4:13">
      <c r="D562" s="1" t="s">
        <v>136</v>
      </c>
      <c r="E562" s="1" t="s">
        <v>51</v>
      </c>
      <c r="F562" s="1" t="s">
        <v>52</v>
      </c>
      <c r="G562" s="1" t="s">
        <v>53</v>
      </c>
      <c r="H562" s="1" t="s">
        <v>22</v>
      </c>
      <c r="I562" s="1" t="s">
        <v>23</v>
      </c>
      <c r="J562" s="1">
        <v>0</v>
      </c>
      <c r="K562" s="1">
        <v>7936641438.6555996</v>
      </c>
      <c r="L562" s="1">
        <v>7936.6414386555998</v>
      </c>
      <c r="M562" s="1">
        <v>7936.6414386555998</v>
      </c>
    </row>
    <row r="563" spans="4:13">
      <c r="D563" s="1" t="s">
        <v>136</v>
      </c>
      <c r="E563" s="1" t="s">
        <v>54</v>
      </c>
      <c r="H563" s="1" t="s">
        <v>25</v>
      </c>
      <c r="I563" s="1" t="s">
        <v>23</v>
      </c>
      <c r="M563" s="1" t="b">
        <v>0</v>
      </c>
    </row>
    <row r="564" spans="4:13">
      <c r="D564" s="1" t="s">
        <v>136</v>
      </c>
      <c r="E564" s="1" t="s">
        <v>55</v>
      </c>
      <c r="F564" s="1" t="s">
        <v>56</v>
      </c>
      <c r="G564" s="1" t="s">
        <v>57</v>
      </c>
      <c r="H564" s="1" t="s">
        <v>22</v>
      </c>
      <c r="I564" s="1" t="s">
        <v>23</v>
      </c>
      <c r="J564" s="1">
        <v>0</v>
      </c>
      <c r="K564" s="1">
        <v>9427.4529524635982</v>
      </c>
      <c r="L564" s="1">
        <v>50.713895374744951</v>
      </c>
      <c r="M564" s="1">
        <v>50.763208205573221</v>
      </c>
    </row>
    <row r="565" spans="4:13">
      <c r="D565" s="1" t="s">
        <v>136</v>
      </c>
      <c r="E565" s="1" t="s">
        <v>58</v>
      </c>
      <c r="H565" s="1" t="s">
        <v>25</v>
      </c>
      <c r="I565" s="1" t="s">
        <v>23</v>
      </c>
      <c r="M565" s="1" t="b">
        <v>0</v>
      </c>
    </row>
    <row r="566" spans="4:13">
      <c r="D566" s="1" t="s">
        <v>136</v>
      </c>
      <c r="E566" s="1" t="s">
        <v>59</v>
      </c>
      <c r="F566" s="1" t="s">
        <v>60</v>
      </c>
      <c r="G566" s="1" t="s">
        <v>61</v>
      </c>
      <c r="H566" s="1" t="s">
        <v>22</v>
      </c>
      <c r="I566" s="1" t="s">
        <v>23</v>
      </c>
      <c r="J566" s="1">
        <v>-9.5538358650799999</v>
      </c>
      <c r="K566" s="1">
        <v>9.5538358650799999</v>
      </c>
      <c r="L566" s="1">
        <v>0.23884589662700001</v>
      </c>
      <c r="M566" s="1">
        <v>0.23884589662700001</v>
      </c>
    </row>
    <row r="567" spans="4:13">
      <c r="D567" s="1" t="s">
        <v>136</v>
      </c>
      <c r="E567" s="1" t="s">
        <v>62</v>
      </c>
      <c r="H567" s="1" t="s">
        <v>63</v>
      </c>
      <c r="I567" s="1" t="s">
        <v>23</v>
      </c>
      <c r="M567" s="1">
        <v>1</v>
      </c>
    </row>
    <row r="568" spans="4:13">
      <c r="D568" s="1" t="s">
        <v>136</v>
      </c>
      <c r="E568" s="1" t="s">
        <v>64</v>
      </c>
      <c r="F568" s="1" t="s">
        <v>35</v>
      </c>
      <c r="G568" s="1" t="s">
        <v>36</v>
      </c>
      <c r="H568" s="1" t="s">
        <v>22</v>
      </c>
      <c r="I568" s="1" t="s">
        <v>65</v>
      </c>
      <c r="J568" s="1">
        <v>-459.67</v>
      </c>
      <c r="L568" s="1">
        <v>80.329999999999984</v>
      </c>
    </row>
    <row r="569" spans="4:13">
      <c r="D569" s="1" t="s">
        <v>136</v>
      </c>
      <c r="E569" s="1" t="s">
        <v>66</v>
      </c>
      <c r="F569" s="1" t="s">
        <v>35</v>
      </c>
      <c r="G569" s="1" t="s">
        <v>36</v>
      </c>
      <c r="H569" s="1" t="s">
        <v>22</v>
      </c>
      <c r="I569" s="1" t="s">
        <v>65</v>
      </c>
      <c r="J569" s="1">
        <v>-459.67</v>
      </c>
      <c r="L569" s="1">
        <v>80.329999999999984</v>
      </c>
    </row>
    <row r="570" spans="4:13">
      <c r="D570" s="1" t="s">
        <v>136</v>
      </c>
      <c r="E570" s="1" t="s">
        <v>67</v>
      </c>
      <c r="F570" s="1" t="s">
        <v>41</v>
      </c>
      <c r="G570" s="1" t="s">
        <v>42</v>
      </c>
      <c r="H570" s="1" t="s">
        <v>22</v>
      </c>
      <c r="I570" s="1" t="s">
        <v>65</v>
      </c>
      <c r="L570" s="1">
        <v>1.8</v>
      </c>
    </row>
    <row r="571" spans="4:13">
      <c r="D571" s="1" t="s">
        <v>136</v>
      </c>
      <c r="E571" s="1" t="s">
        <v>68</v>
      </c>
      <c r="F571" s="1" t="s">
        <v>45</v>
      </c>
      <c r="G571" s="1" t="s">
        <v>46</v>
      </c>
      <c r="H571" s="1" t="s">
        <v>22</v>
      </c>
      <c r="I571" s="1" t="s">
        <v>65</v>
      </c>
      <c r="L571" s="1">
        <v>4.2992261378713571E-4</v>
      </c>
    </row>
    <row r="572" spans="4:13">
      <c r="D572" s="1" t="s">
        <v>136</v>
      </c>
      <c r="E572" s="1" t="s">
        <v>69</v>
      </c>
      <c r="H572" s="1" t="s">
        <v>25</v>
      </c>
      <c r="I572" s="1" t="s">
        <v>70</v>
      </c>
    </row>
    <row r="573" spans="4:13">
      <c r="D573" s="1" t="s">
        <v>136</v>
      </c>
      <c r="E573" s="1" t="s">
        <v>71</v>
      </c>
      <c r="F573" s="1" t="s">
        <v>52</v>
      </c>
      <c r="G573" s="1" t="s">
        <v>53</v>
      </c>
      <c r="H573" s="1" t="s">
        <v>22</v>
      </c>
      <c r="I573" s="1" t="s">
        <v>65</v>
      </c>
      <c r="L573" s="1">
        <v>7936.6414386555998</v>
      </c>
    </row>
    <row r="574" spans="4:13">
      <c r="D574" s="1" t="s">
        <v>136</v>
      </c>
      <c r="E574" s="1" t="s">
        <v>72</v>
      </c>
      <c r="F574" s="1" t="s">
        <v>56</v>
      </c>
      <c r="G574" s="1" t="s">
        <v>57</v>
      </c>
      <c r="H574" s="1" t="s">
        <v>22</v>
      </c>
      <c r="I574" s="1" t="s">
        <v>65</v>
      </c>
      <c r="J574" s="1">
        <v>0</v>
      </c>
      <c r="L574" s="1">
        <v>14.503773773020921</v>
      </c>
    </row>
    <row r="575" spans="4:13">
      <c r="D575" s="1" t="s">
        <v>136</v>
      </c>
      <c r="E575" s="1" t="s">
        <v>73</v>
      </c>
      <c r="F575" s="1" t="s">
        <v>60</v>
      </c>
      <c r="G575" s="1" t="s">
        <v>61</v>
      </c>
      <c r="H575" s="1" t="s">
        <v>22</v>
      </c>
      <c r="I575" s="1" t="s">
        <v>65</v>
      </c>
      <c r="L575" s="1">
        <v>2.38845896627E-4</v>
      </c>
    </row>
    <row r="576" spans="4:13">
      <c r="D576" s="1" t="s">
        <v>136</v>
      </c>
      <c r="E576" s="1" t="s">
        <v>74</v>
      </c>
      <c r="F576" s="1" t="s">
        <v>75</v>
      </c>
      <c r="G576" s="1" t="s">
        <v>76</v>
      </c>
      <c r="H576" s="1" t="s">
        <v>22</v>
      </c>
      <c r="I576" s="1" t="s">
        <v>65</v>
      </c>
      <c r="J576" s="1">
        <v>0</v>
      </c>
      <c r="L576" s="1">
        <v>16.018463521800001</v>
      </c>
    </row>
    <row r="577" spans="4:13">
      <c r="D577" s="1" t="s">
        <v>136</v>
      </c>
      <c r="E577" s="1" t="s">
        <v>77</v>
      </c>
      <c r="H577" s="1" t="s">
        <v>22</v>
      </c>
      <c r="I577" s="1" t="s">
        <v>65</v>
      </c>
      <c r="L577" s="1">
        <v>1</v>
      </c>
    </row>
    <row r="578" spans="4:13">
      <c r="D578" s="1" t="s">
        <v>136</v>
      </c>
      <c r="E578" s="1" t="s">
        <v>78</v>
      </c>
      <c r="H578" s="1" t="s">
        <v>25</v>
      </c>
      <c r="I578" s="1" t="s">
        <v>23</v>
      </c>
      <c r="M578" s="1" t="b">
        <v>0</v>
      </c>
    </row>
    <row r="579" spans="4:13">
      <c r="D579" s="1" t="s">
        <v>136</v>
      </c>
      <c r="E579" s="1" t="s">
        <v>79</v>
      </c>
      <c r="F579" s="1" t="s">
        <v>75</v>
      </c>
      <c r="G579" s="1" t="s">
        <v>76</v>
      </c>
      <c r="H579" s="1" t="s">
        <v>22</v>
      </c>
      <c r="I579" s="1" t="s">
        <v>23</v>
      </c>
      <c r="J579" s="1">
        <v>0</v>
      </c>
      <c r="K579" s="1">
        <v>96.110781130800007</v>
      </c>
      <c r="L579" s="1">
        <v>16.018463521800001</v>
      </c>
      <c r="M579" s="1">
        <v>1.6018463521800002</v>
      </c>
    </row>
    <row r="580" spans="4:13">
      <c r="D580" s="1" t="s">
        <v>136</v>
      </c>
      <c r="E580" s="1" t="s">
        <v>80</v>
      </c>
      <c r="H580" s="1" t="s">
        <v>25</v>
      </c>
      <c r="I580" s="1" t="s">
        <v>23</v>
      </c>
      <c r="M580" s="1" t="b">
        <v>0</v>
      </c>
    </row>
    <row r="581" spans="4:13">
      <c r="D581" s="1" t="s">
        <v>136</v>
      </c>
      <c r="E581" s="1" t="s">
        <v>81</v>
      </c>
      <c r="H581" s="1" t="s">
        <v>25</v>
      </c>
      <c r="I581" s="1" t="s">
        <v>23</v>
      </c>
      <c r="M581" s="1" t="b">
        <v>0</v>
      </c>
    </row>
    <row r="582" spans="4:13">
      <c r="D582" s="1" t="s">
        <v>136</v>
      </c>
      <c r="E582" s="1" t="s">
        <v>82</v>
      </c>
      <c r="H582" s="1" t="s">
        <v>22</v>
      </c>
      <c r="I582" s="1" t="s">
        <v>23</v>
      </c>
      <c r="J582" s="1">
        <v>-1</v>
      </c>
      <c r="K582" s="1">
        <v>3</v>
      </c>
      <c r="L582" s="1">
        <v>1</v>
      </c>
      <c r="M582" s="1">
        <v>1.01</v>
      </c>
    </row>
    <row r="583" spans="4:13">
      <c r="D583" s="1" t="s">
        <v>137</v>
      </c>
      <c r="E583" s="1" t="s">
        <v>28</v>
      </c>
      <c r="H583" s="1" t="s">
        <v>22</v>
      </c>
      <c r="I583" s="1" t="s">
        <v>29</v>
      </c>
      <c r="J583" s="1">
        <v>34000</v>
      </c>
      <c r="K583" s="1">
        <v>4300000</v>
      </c>
      <c r="L583" s="1">
        <v>349660</v>
      </c>
    </row>
    <row r="584" spans="4:13">
      <c r="D584" s="1" t="s">
        <v>137</v>
      </c>
      <c r="E584" s="1" t="s">
        <v>30</v>
      </c>
      <c r="H584" s="1" t="s">
        <v>22</v>
      </c>
      <c r="I584" s="1" t="s">
        <v>29</v>
      </c>
      <c r="J584" s="1">
        <v>-3.94</v>
      </c>
      <c r="K584" s="1">
        <v>3.66</v>
      </c>
      <c r="L584" s="1">
        <v>1</v>
      </c>
    </row>
    <row r="585" spans="4:13">
      <c r="D585" s="1" t="s">
        <v>137</v>
      </c>
      <c r="E585" s="1" t="s">
        <v>31</v>
      </c>
      <c r="H585" s="1" t="s">
        <v>22</v>
      </c>
      <c r="I585" s="1" t="s">
        <v>29</v>
      </c>
      <c r="J585" s="1">
        <v>0</v>
      </c>
      <c r="K585" s="1">
        <v>100</v>
      </c>
      <c r="L585" s="1">
        <v>1</v>
      </c>
    </row>
    <row r="586" spans="4:13">
      <c r="D586" s="1" t="s">
        <v>137</v>
      </c>
      <c r="E586" s="1" t="s">
        <v>32</v>
      </c>
      <c r="H586" s="1" t="s">
        <v>22</v>
      </c>
      <c r="I586" s="1" t="s">
        <v>29</v>
      </c>
      <c r="J586" s="1">
        <v>-3.94</v>
      </c>
      <c r="K586" s="1">
        <v>3.66</v>
      </c>
      <c r="L586" s="1">
        <v>1</v>
      </c>
    </row>
    <row r="587" spans="4:13">
      <c r="D587" s="1" t="s">
        <v>137</v>
      </c>
      <c r="E587" s="1" t="s">
        <v>33</v>
      </c>
      <c r="H587" s="1" t="s">
        <v>25</v>
      </c>
      <c r="I587" s="1" t="s">
        <v>23</v>
      </c>
      <c r="M587" s="1" t="b">
        <v>0</v>
      </c>
    </row>
    <row r="588" spans="4:13">
      <c r="D588" s="1" t="s">
        <v>137</v>
      </c>
      <c r="E588" s="1" t="s">
        <v>34</v>
      </c>
      <c r="F588" s="1" t="s">
        <v>35</v>
      </c>
      <c r="G588" s="1" t="s">
        <v>36</v>
      </c>
      <c r="H588" s="1" t="s">
        <v>22</v>
      </c>
      <c r="I588" s="1" t="s">
        <v>23</v>
      </c>
      <c r="J588" s="1">
        <v>-459.67</v>
      </c>
      <c r="K588" s="1">
        <v>980.32999999999993</v>
      </c>
      <c r="L588" s="1">
        <v>80.329999999999984</v>
      </c>
      <c r="M588" s="1">
        <v>67.999999999999943</v>
      </c>
    </row>
    <row r="589" spans="4:13">
      <c r="D589" s="1" t="s">
        <v>137</v>
      </c>
      <c r="E589" s="1" t="s">
        <v>37</v>
      </c>
      <c r="H589" s="1" t="s">
        <v>25</v>
      </c>
      <c r="I589" s="1" t="s">
        <v>23</v>
      </c>
      <c r="M589" s="1" t="b">
        <v>0</v>
      </c>
    </row>
    <row r="590" spans="4:13">
      <c r="D590" s="1" t="s">
        <v>137</v>
      </c>
      <c r="E590" s="1" t="s">
        <v>38</v>
      </c>
      <c r="F590" s="1" t="s">
        <v>35</v>
      </c>
      <c r="G590" s="1" t="s">
        <v>36</v>
      </c>
      <c r="H590" s="1" t="s">
        <v>22</v>
      </c>
      <c r="I590" s="1" t="s">
        <v>23</v>
      </c>
      <c r="J590" s="1">
        <v>-99.670000000000016</v>
      </c>
      <c r="K590" s="1">
        <v>980.32999999999993</v>
      </c>
      <c r="L590" s="1">
        <v>80.329999999999984</v>
      </c>
      <c r="M590" s="1">
        <v>13.999999999999943</v>
      </c>
    </row>
    <row r="591" spans="4:13">
      <c r="D591" s="1" t="s">
        <v>137</v>
      </c>
      <c r="E591" s="1" t="s">
        <v>39</v>
      </c>
      <c r="H591" s="1" t="s">
        <v>25</v>
      </c>
      <c r="I591" s="1" t="s">
        <v>23</v>
      </c>
      <c r="M591" s="1" t="b">
        <v>0</v>
      </c>
    </row>
    <row r="592" spans="4:13">
      <c r="D592" s="1" t="s">
        <v>137</v>
      </c>
      <c r="E592" s="1" t="s">
        <v>40</v>
      </c>
      <c r="F592" s="1" t="s">
        <v>41</v>
      </c>
      <c r="G592" s="1" t="s">
        <v>42</v>
      </c>
      <c r="H592" s="1" t="s">
        <v>22</v>
      </c>
      <c r="I592" s="1" t="s">
        <v>23</v>
      </c>
      <c r="J592" s="1">
        <v>-900</v>
      </c>
      <c r="K592" s="1">
        <v>900</v>
      </c>
      <c r="L592" s="1">
        <v>1.8</v>
      </c>
      <c r="M592" s="1">
        <v>9</v>
      </c>
    </row>
    <row r="593" spans="4:13">
      <c r="D593" s="1" t="s">
        <v>137</v>
      </c>
      <c r="E593" s="1" t="s">
        <v>43</v>
      </c>
      <c r="H593" s="1" t="s">
        <v>25</v>
      </c>
      <c r="I593" s="1" t="s">
        <v>23</v>
      </c>
      <c r="M593" s="1" t="b">
        <v>0</v>
      </c>
    </row>
    <row r="594" spans="4:13">
      <c r="D594" s="1" t="s">
        <v>137</v>
      </c>
      <c r="E594" s="1" t="s">
        <v>44</v>
      </c>
      <c r="F594" s="1" t="s">
        <v>45</v>
      </c>
      <c r="G594" s="1" t="s">
        <v>46</v>
      </c>
      <c r="H594" s="1" t="s">
        <v>22</v>
      </c>
      <c r="I594" s="1" t="s">
        <v>23</v>
      </c>
      <c r="J594" s="1">
        <v>-85.984522757427143</v>
      </c>
      <c r="K594" s="1">
        <v>8598.4522757427148</v>
      </c>
      <c r="L594" s="1">
        <v>114.79148749423418</v>
      </c>
      <c r="M594" s="1">
        <v>128.97678413614071</v>
      </c>
    </row>
    <row r="595" spans="4:13">
      <c r="D595" s="1" t="s">
        <v>137</v>
      </c>
      <c r="E595" s="1" t="s">
        <v>47</v>
      </c>
      <c r="H595" s="1" t="s">
        <v>25</v>
      </c>
      <c r="I595" s="1" t="s">
        <v>23</v>
      </c>
      <c r="M595" s="1" t="b">
        <v>0</v>
      </c>
    </row>
    <row r="596" spans="4:13">
      <c r="D596" s="1" t="s">
        <v>137</v>
      </c>
      <c r="E596" s="1" t="s">
        <v>48</v>
      </c>
      <c r="H596" s="1" t="s">
        <v>25</v>
      </c>
      <c r="I596" s="1" t="s">
        <v>23</v>
      </c>
      <c r="M596" s="1" t="b">
        <v>0</v>
      </c>
    </row>
    <row r="597" spans="4:13">
      <c r="D597" s="1" t="s">
        <v>137</v>
      </c>
      <c r="E597" s="1" t="s">
        <v>49</v>
      </c>
      <c r="H597" s="1" t="s">
        <v>25</v>
      </c>
      <c r="I597" s="1" t="s">
        <v>23</v>
      </c>
      <c r="M597" s="1" t="b">
        <v>0</v>
      </c>
    </row>
    <row r="598" spans="4:13">
      <c r="D598" s="1" t="s">
        <v>137</v>
      </c>
      <c r="E598" s="1" t="s">
        <v>50</v>
      </c>
      <c r="H598" s="1" t="s">
        <v>25</v>
      </c>
      <c r="I598" s="1" t="s">
        <v>23</v>
      </c>
      <c r="M598" s="1" t="b">
        <v>0</v>
      </c>
    </row>
    <row r="599" spans="4:13">
      <c r="D599" s="1" t="s">
        <v>137</v>
      </c>
      <c r="E599" s="1" t="s">
        <v>51</v>
      </c>
      <c r="F599" s="1" t="s">
        <v>52</v>
      </c>
      <c r="G599" s="1" t="s">
        <v>53</v>
      </c>
      <c r="H599" s="1" t="s">
        <v>22</v>
      </c>
      <c r="I599" s="1" t="s">
        <v>23</v>
      </c>
      <c r="J599" s="1">
        <v>0</v>
      </c>
      <c r="K599" s="1">
        <v>7936641438.6555996</v>
      </c>
      <c r="L599" s="1">
        <v>7936.6414386555998</v>
      </c>
      <c r="M599" s="1">
        <v>7936.6414386555998</v>
      </c>
    </row>
    <row r="600" spans="4:13">
      <c r="D600" s="1" t="s">
        <v>137</v>
      </c>
      <c r="E600" s="1" t="s">
        <v>54</v>
      </c>
      <c r="H600" s="1" t="s">
        <v>25</v>
      </c>
      <c r="I600" s="1" t="s">
        <v>23</v>
      </c>
      <c r="M600" s="1" t="b">
        <v>0</v>
      </c>
    </row>
    <row r="601" spans="4:13">
      <c r="D601" s="1" t="s">
        <v>137</v>
      </c>
      <c r="E601" s="1" t="s">
        <v>55</v>
      </c>
      <c r="F601" s="1" t="s">
        <v>56</v>
      </c>
      <c r="G601" s="1" t="s">
        <v>57</v>
      </c>
      <c r="H601" s="1" t="s">
        <v>22</v>
      </c>
      <c r="I601" s="1" t="s">
        <v>23</v>
      </c>
      <c r="J601" s="1">
        <v>0</v>
      </c>
      <c r="K601" s="1">
        <v>9427.4529524635982</v>
      </c>
      <c r="L601" s="1">
        <v>50.713895374744951</v>
      </c>
      <c r="M601" s="1">
        <v>50.763208205573221</v>
      </c>
    </row>
    <row r="602" spans="4:13">
      <c r="D602" s="1" t="s">
        <v>137</v>
      </c>
      <c r="E602" s="1" t="s">
        <v>58</v>
      </c>
      <c r="H602" s="1" t="s">
        <v>25</v>
      </c>
      <c r="I602" s="1" t="s">
        <v>23</v>
      </c>
      <c r="M602" s="1" t="b">
        <v>0</v>
      </c>
    </row>
    <row r="603" spans="4:13">
      <c r="D603" s="1" t="s">
        <v>137</v>
      </c>
      <c r="E603" s="1" t="s">
        <v>59</v>
      </c>
      <c r="F603" s="1" t="s">
        <v>60</v>
      </c>
      <c r="G603" s="1" t="s">
        <v>61</v>
      </c>
      <c r="H603" s="1" t="s">
        <v>22</v>
      </c>
      <c r="I603" s="1" t="s">
        <v>23</v>
      </c>
      <c r="J603" s="1">
        <v>-9.5538358650799999</v>
      </c>
      <c r="K603" s="1">
        <v>9.5538358650799999</v>
      </c>
      <c r="L603" s="1">
        <v>0.23884589662700001</v>
      </c>
      <c r="M603" s="1">
        <v>0.23884589662700001</v>
      </c>
    </row>
    <row r="604" spans="4:13">
      <c r="D604" s="1" t="s">
        <v>137</v>
      </c>
      <c r="E604" s="1" t="s">
        <v>62</v>
      </c>
      <c r="H604" s="1" t="s">
        <v>63</v>
      </c>
      <c r="I604" s="1" t="s">
        <v>23</v>
      </c>
      <c r="M604" s="1">
        <v>1</v>
      </c>
    </row>
    <row r="605" spans="4:13">
      <c r="D605" s="1" t="s">
        <v>137</v>
      </c>
      <c r="E605" s="1" t="s">
        <v>64</v>
      </c>
      <c r="F605" s="1" t="s">
        <v>35</v>
      </c>
      <c r="G605" s="1" t="s">
        <v>36</v>
      </c>
      <c r="H605" s="1" t="s">
        <v>22</v>
      </c>
      <c r="I605" s="1" t="s">
        <v>65</v>
      </c>
      <c r="J605" s="1">
        <v>-459.67</v>
      </c>
      <c r="L605" s="1">
        <v>80.329999999999984</v>
      </c>
    </row>
    <row r="606" spans="4:13">
      <c r="D606" s="1" t="s">
        <v>137</v>
      </c>
      <c r="E606" s="1" t="s">
        <v>66</v>
      </c>
      <c r="F606" s="1" t="s">
        <v>35</v>
      </c>
      <c r="G606" s="1" t="s">
        <v>36</v>
      </c>
      <c r="H606" s="1" t="s">
        <v>22</v>
      </c>
      <c r="I606" s="1" t="s">
        <v>65</v>
      </c>
      <c r="J606" s="1">
        <v>-459.67</v>
      </c>
      <c r="L606" s="1">
        <v>80.329999999999984</v>
      </c>
    </row>
    <row r="607" spans="4:13">
      <c r="D607" s="1" t="s">
        <v>137</v>
      </c>
      <c r="E607" s="1" t="s">
        <v>67</v>
      </c>
      <c r="F607" s="1" t="s">
        <v>41</v>
      </c>
      <c r="G607" s="1" t="s">
        <v>42</v>
      </c>
      <c r="H607" s="1" t="s">
        <v>22</v>
      </c>
      <c r="I607" s="1" t="s">
        <v>65</v>
      </c>
      <c r="L607" s="1">
        <v>1.8</v>
      </c>
    </row>
    <row r="608" spans="4:13">
      <c r="D608" s="1" t="s">
        <v>137</v>
      </c>
      <c r="E608" s="1" t="s">
        <v>68</v>
      </c>
      <c r="F608" s="1" t="s">
        <v>45</v>
      </c>
      <c r="G608" s="1" t="s">
        <v>46</v>
      </c>
      <c r="H608" s="1" t="s">
        <v>22</v>
      </c>
      <c r="I608" s="1" t="s">
        <v>65</v>
      </c>
      <c r="L608" s="1">
        <v>4.2992261378713571E-4</v>
      </c>
    </row>
    <row r="609" spans="4:13">
      <c r="D609" s="1" t="s">
        <v>137</v>
      </c>
      <c r="E609" s="1" t="s">
        <v>69</v>
      </c>
      <c r="H609" s="1" t="s">
        <v>25</v>
      </c>
      <c r="I609" s="1" t="s">
        <v>70</v>
      </c>
    </row>
    <row r="610" spans="4:13">
      <c r="D610" s="1" t="s">
        <v>137</v>
      </c>
      <c r="E610" s="1" t="s">
        <v>71</v>
      </c>
      <c r="F610" s="1" t="s">
        <v>52</v>
      </c>
      <c r="G610" s="1" t="s">
        <v>53</v>
      </c>
      <c r="H610" s="1" t="s">
        <v>22</v>
      </c>
      <c r="I610" s="1" t="s">
        <v>65</v>
      </c>
      <c r="L610" s="1">
        <v>7936.6414386555998</v>
      </c>
    </row>
    <row r="611" spans="4:13">
      <c r="D611" s="1" t="s">
        <v>137</v>
      </c>
      <c r="E611" s="1" t="s">
        <v>72</v>
      </c>
      <c r="F611" s="1" t="s">
        <v>56</v>
      </c>
      <c r="G611" s="1" t="s">
        <v>57</v>
      </c>
      <c r="H611" s="1" t="s">
        <v>22</v>
      </c>
      <c r="I611" s="1" t="s">
        <v>65</v>
      </c>
      <c r="J611" s="1">
        <v>0</v>
      </c>
      <c r="L611" s="1">
        <v>14.503773773020921</v>
      </c>
    </row>
    <row r="612" spans="4:13">
      <c r="D612" s="1" t="s">
        <v>137</v>
      </c>
      <c r="E612" s="1" t="s">
        <v>73</v>
      </c>
      <c r="F612" s="1" t="s">
        <v>60</v>
      </c>
      <c r="G612" s="1" t="s">
        <v>61</v>
      </c>
      <c r="H612" s="1" t="s">
        <v>22</v>
      </c>
      <c r="I612" s="1" t="s">
        <v>65</v>
      </c>
      <c r="L612" s="1">
        <v>2.38845896627E-4</v>
      </c>
    </row>
    <row r="613" spans="4:13">
      <c r="D613" s="1" t="s">
        <v>137</v>
      </c>
      <c r="E613" s="1" t="s">
        <v>74</v>
      </c>
      <c r="F613" s="1" t="s">
        <v>75</v>
      </c>
      <c r="G613" s="1" t="s">
        <v>76</v>
      </c>
      <c r="H613" s="1" t="s">
        <v>22</v>
      </c>
      <c r="I613" s="1" t="s">
        <v>65</v>
      </c>
      <c r="J613" s="1">
        <v>0</v>
      </c>
      <c r="L613" s="1">
        <v>16.018463521800001</v>
      </c>
    </row>
    <row r="614" spans="4:13">
      <c r="D614" s="1" t="s">
        <v>137</v>
      </c>
      <c r="E614" s="1" t="s">
        <v>77</v>
      </c>
      <c r="H614" s="1" t="s">
        <v>22</v>
      </c>
      <c r="I614" s="1" t="s">
        <v>65</v>
      </c>
      <c r="L614" s="1">
        <v>1</v>
      </c>
    </row>
    <row r="615" spans="4:13">
      <c r="D615" s="1" t="s">
        <v>137</v>
      </c>
      <c r="E615" s="1" t="s">
        <v>78</v>
      </c>
      <c r="H615" s="1" t="s">
        <v>25</v>
      </c>
      <c r="I615" s="1" t="s">
        <v>23</v>
      </c>
      <c r="M615" s="1" t="b">
        <v>0</v>
      </c>
    </row>
    <row r="616" spans="4:13">
      <c r="D616" s="1" t="s">
        <v>137</v>
      </c>
      <c r="E616" s="1" t="s">
        <v>79</v>
      </c>
      <c r="F616" s="1" t="s">
        <v>75</v>
      </c>
      <c r="G616" s="1" t="s">
        <v>76</v>
      </c>
      <c r="H616" s="1" t="s">
        <v>22</v>
      </c>
      <c r="I616" s="1" t="s">
        <v>23</v>
      </c>
      <c r="J616" s="1">
        <v>0</v>
      </c>
      <c r="K616" s="1">
        <v>96.110781130800007</v>
      </c>
      <c r="L616" s="1">
        <v>16.018463521800001</v>
      </c>
      <c r="M616" s="1">
        <v>1.6018463521800002</v>
      </c>
    </row>
    <row r="617" spans="4:13">
      <c r="D617" s="1" t="s">
        <v>137</v>
      </c>
      <c r="E617" s="1" t="s">
        <v>80</v>
      </c>
      <c r="H617" s="1" t="s">
        <v>25</v>
      </c>
      <c r="I617" s="1" t="s">
        <v>23</v>
      </c>
      <c r="M617" s="1" t="b">
        <v>0</v>
      </c>
    </row>
    <row r="618" spans="4:13">
      <c r="D618" s="1" t="s">
        <v>137</v>
      </c>
      <c r="E618" s="1" t="s">
        <v>81</v>
      </c>
      <c r="H618" s="1" t="s">
        <v>25</v>
      </c>
      <c r="I618" s="1" t="s">
        <v>23</v>
      </c>
      <c r="M618" s="1" t="b">
        <v>0</v>
      </c>
    </row>
    <row r="619" spans="4:13">
      <c r="D619" s="1" t="s">
        <v>137</v>
      </c>
      <c r="E619" s="1" t="s">
        <v>82</v>
      </c>
      <c r="H619" s="1" t="s">
        <v>22</v>
      </c>
      <c r="I619" s="1" t="s">
        <v>23</v>
      </c>
      <c r="J619" s="1">
        <v>-1</v>
      </c>
      <c r="K619" s="1">
        <v>3</v>
      </c>
      <c r="L619" s="1">
        <v>1</v>
      </c>
      <c r="M619" s="1">
        <v>1.01</v>
      </c>
    </row>
    <row r="620" spans="4:13">
      <c r="D620" s="1" t="s">
        <v>138</v>
      </c>
      <c r="E620" s="1" t="s">
        <v>28</v>
      </c>
      <c r="H620" s="1" t="s">
        <v>22</v>
      </c>
      <c r="I620" s="1" t="s">
        <v>29</v>
      </c>
      <c r="J620" s="1">
        <v>34000</v>
      </c>
      <c r="K620" s="1">
        <v>4300000</v>
      </c>
      <c r="L620" s="1">
        <v>349660</v>
      </c>
    </row>
    <row r="621" spans="4:13">
      <c r="D621" s="1" t="s">
        <v>138</v>
      </c>
      <c r="E621" s="1" t="s">
        <v>30</v>
      </c>
      <c r="H621" s="1" t="s">
        <v>22</v>
      </c>
      <c r="I621" s="1" t="s">
        <v>29</v>
      </c>
      <c r="J621" s="1">
        <v>-3.94</v>
      </c>
      <c r="K621" s="1">
        <v>3.66</v>
      </c>
      <c r="L621" s="1">
        <v>1</v>
      </c>
    </row>
    <row r="622" spans="4:13">
      <c r="D622" s="1" t="s">
        <v>138</v>
      </c>
      <c r="E622" s="1" t="s">
        <v>31</v>
      </c>
      <c r="H622" s="1" t="s">
        <v>22</v>
      </c>
      <c r="I622" s="1" t="s">
        <v>29</v>
      </c>
      <c r="J622" s="1">
        <v>0</v>
      </c>
      <c r="K622" s="1">
        <v>100</v>
      </c>
      <c r="L622" s="1">
        <v>1</v>
      </c>
    </row>
    <row r="623" spans="4:13">
      <c r="D623" s="1" t="s">
        <v>138</v>
      </c>
      <c r="E623" s="1" t="s">
        <v>32</v>
      </c>
      <c r="H623" s="1" t="s">
        <v>22</v>
      </c>
      <c r="I623" s="1" t="s">
        <v>29</v>
      </c>
      <c r="J623" s="1">
        <v>-3.94</v>
      </c>
      <c r="K623" s="1">
        <v>3.66</v>
      </c>
      <c r="L623" s="1">
        <v>1</v>
      </c>
    </row>
    <row r="624" spans="4:13">
      <c r="D624" s="1" t="s">
        <v>138</v>
      </c>
      <c r="E624" s="1" t="s">
        <v>33</v>
      </c>
      <c r="H624" s="1" t="s">
        <v>25</v>
      </c>
      <c r="I624" s="1" t="s">
        <v>23</v>
      </c>
      <c r="M624" s="1" t="b">
        <v>0</v>
      </c>
    </row>
    <row r="625" spans="4:13">
      <c r="D625" s="1" t="s">
        <v>138</v>
      </c>
      <c r="E625" s="1" t="s">
        <v>34</v>
      </c>
      <c r="F625" s="1" t="s">
        <v>35</v>
      </c>
      <c r="G625" s="1" t="s">
        <v>36</v>
      </c>
      <c r="H625" s="1" t="s">
        <v>22</v>
      </c>
      <c r="I625" s="1" t="s">
        <v>23</v>
      </c>
      <c r="J625" s="1">
        <v>-459.67</v>
      </c>
      <c r="K625" s="1">
        <v>980.32999999999993</v>
      </c>
      <c r="L625" s="1">
        <v>80.329999999999984</v>
      </c>
      <c r="M625" s="1">
        <v>67.999999999999943</v>
      </c>
    </row>
    <row r="626" spans="4:13">
      <c r="D626" s="1" t="s">
        <v>138</v>
      </c>
      <c r="E626" s="1" t="s">
        <v>37</v>
      </c>
      <c r="H626" s="1" t="s">
        <v>25</v>
      </c>
      <c r="I626" s="1" t="s">
        <v>23</v>
      </c>
      <c r="M626" s="1" t="b">
        <v>0</v>
      </c>
    </row>
    <row r="627" spans="4:13">
      <c r="D627" s="1" t="s">
        <v>138</v>
      </c>
      <c r="E627" s="1" t="s">
        <v>38</v>
      </c>
      <c r="F627" s="1" t="s">
        <v>35</v>
      </c>
      <c r="G627" s="1" t="s">
        <v>36</v>
      </c>
      <c r="H627" s="1" t="s">
        <v>22</v>
      </c>
      <c r="I627" s="1" t="s">
        <v>23</v>
      </c>
      <c r="J627" s="1">
        <v>-99.670000000000016</v>
      </c>
      <c r="K627" s="1">
        <v>980.32999999999993</v>
      </c>
      <c r="L627" s="1">
        <v>80.329999999999984</v>
      </c>
      <c r="M627" s="1">
        <v>13.999999999999943</v>
      </c>
    </row>
    <row r="628" spans="4:13">
      <c r="D628" s="1" t="s">
        <v>138</v>
      </c>
      <c r="E628" s="1" t="s">
        <v>39</v>
      </c>
      <c r="H628" s="1" t="s">
        <v>25</v>
      </c>
      <c r="I628" s="1" t="s">
        <v>23</v>
      </c>
      <c r="M628" s="1" t="b">
        <v>0</v>
      </c>
    </row>
    <row r="629" spans="4:13">
      <c r="D629" s="1" t="s">
        <v>138</v>
      </c>
      <c r="E629" s="1" t="s">
        <v>40</v>
      </c>
      <c r="F629" s="1" t="s">
        <v>41</v>
      </c>
      <c r="G629" s="1" t="s">
        <v>42</v>
      </c>
      <c r="H629" s="1" t="s">
        <v>22</v>
      </c>
      <c r="I629" s="1" t="s">
        <v>23</v>
      </c>
      <c r="J629" s="1">
        <v>-900</v>
      </c>
      <c r="K629" s="1">
        <v>900</v>
      </c>
      <c r="L629" s="1">
        <v>1.8</v>
      </c>
      <c r="M629" s="1">
        <v>9</v>
      </c>
    </row>
    <row r="630" spans="4:13">
      <c r="D630" s="1" t="s">
        <v>138</v>
      </c>
      <c r="E630" s="1" t="s">
        <v>43</v>
      </c>
      <c r="H630" s="1" t="s">
        <v>25</v>
      </c>
      <c r="I630" s="1" t="s">
        <v>23</v>
      </c>
      <c r="M630" s="1" t="b">
        <v>0</v>
      </c>
    </row>
    <row r="631" spans="4:13">
      <c r="D631" s="1" t="s">
        <v>138</v>
      </c>
      <c r="E631" s="1" t="s">
        <v>44</v>
      </c>
      <c r="F631" s="1" t="s">
        <v>45</v>
      </c>
      <c r="G631" s="1" t="s">
        <v>46</v>
      </c>
      <c r="H631" s="1" t="s">
        <v>22</v>
      </c>
      <c r="I631" s="1" t="s">
        <v>23</v>
      </c>
      <c r="J631" s="1">
        <v>-85.984522757427143</v>
      </c>
      <c r="K631" s="1">
        <v>8598.4522757427148</v>
      </c>
      <c r="L631" s="1">
        <v>114.79148749423418</v>
      </c>
      <c r="M631" s="1">
        <v>128.97678413614071</v>
      </c>
    </row>
    <row r="632" spans="4:13">
      <c r="D632" s="1" t="s">
        <v>138</v>
      </c>
      <c r="E632" s="1" t="s">
        <v>47</v>
      </c>
      <c r="H632" s="1" t="s">
        <v>25</v>
      </c>
      <c r="I632" s="1" t="s">
        <v>23</v>
      </c>
      <c r="M632" s="1" t="b">
        <v>0</v>
      </c>
    </row>
    <row r="633" spans="4:13">
      <c r="D633" s="1" t="s">
        <v>138</v>
      </c>
      <c r="E633" s="1" t="s">
        <v>48</v>
      </c>
      <c r="H633" s="1" t="s">
        <v>25</v>
      </c>
      <c r="I633" s="1" t="s">
        <v>23</v>
      </c>
      <c r="M633" s="1" t="b">
        <v>0</v>
      </c>
    </row>
    <row r="634" spans="4:13">
      <c r="D634" s="1" t="s">
        <v>138</v>
      </c>
      <c r="E634" s="1" t="s">
        <v>49</v>
      </c>
      <c r="H634" s="1" t="s">
        <v>25</v>
      </c>
      <c r="I634" s="1" t="s">
        <v>23</v>
      </c>
      <c r="M634" s="1" t="b">
        <v>0</v>
      </c>
    </row>
    <row r="635" spans="4:13">
      <c r="D635" s="1" t="s">
        <v>138</v>
      </c>
      <c r="E635" s="1" t="s">
        <v>50</v>
      </c>
      <c r="H635" s="1" t="s">
        <v>25</v>
      </c>
      <c r="I635" s="1" t="s">
        <v>23</v>
      </c>
      <c r="M635" s="1" t="b">
        <v>0</v>
      </c>
    </row>
    <row r="636" spans="4:13">
      <c r="D636" s="1" t="s">
        <v>138</v>
      </c>
      <c r="E636" s="1" t="s">
        <v>51</v>
      </c>
      <c r="F636" s="1" t="s">
        <v>52</v>
      </c>
      <c r="G636" s="1" t="s">
        <v>53</v>
      </c>
      <c r="H636" s="1" t="s">
        <v>22</v>
      </c>
      <c r="I636" s="1" t="s">
        <v>23</v>
      </c>
      <c r="J636" s="1">
        <v>0</v>
      </c>
      <c r="K636" s="1">
        <v>7936641438.6555996</v>
      </c>
      <c r="L636" s="1">
        <v>7936.6414386555998</v>
      </c>
      <c r="M636" s="1">
        <v>7936.6414386555998</v>
      </c>
    </row>
    <row r="637" spans="4:13">
      <c r="D637" s="1" t="s">
        <v>138</v>
      </c>
      <c r="E637" s="1" t="s">
        <v>54</v>
      </c>
      <c r="H637" s="1" t="s">
        <v>25</v>
      </c>
      <c r="I637" s="1" t="s">
        <v>23</v>
      </c>
      <c r="M637" s="1" t="b">
        <v>0</v>
      </c>
    </row>
    <row r="638" spans="4:13">
      <c r="D638" s="1" t="s">
        <v>138</v>
      </c>
      <c r="E638" s="1" t="s">
        <v>55</v>
      </c>
      <c r="F638" s="1" t="s">
        <v>56</v>
      </c>
      <c r="G638" s="1" t="s">
        <v>57</v>
      </c>
      <c r="H638" s="1" t="s">
        <v>22</v>
      </c>
      <c r="I638" s="1" t="s">
        <v>23</v>
      </c>
      <c r="J638" s="1">
        <v>0</v>
      </c>
      <c r="K638" s="1">
        <v>9427.4529524635982</v>
      </c>
      <c r="L638" s="1">
        <v>50.713895374744951</v>
      </c>
      <c r="M638" s="1">
        <v>50.763208205573221</v>
      </c>
    </row>
    <row r="639" spans="4:13">
      <c r="D639" s="1" t="s">
        <v>138</v>
      </c>
      <c r="E639" s="1" t="s">
        <v>58</v>
      </c>
      <c r="H639" s="1" t="s">
        <v>25</v>
      </c>
      <c r="I639" s="1" t="s">
        <v>23</v>
      </c>
      <c r="M639" s="1" t="b">
        <v>0</v>
      </c>
    </row>
    <row r="640" spans="4:13">
      <c r="D640" s="1" t="s">
        <v>138</v>
      </c>
      <c r="E640" s="1" t="s">
        <v>59</v>
      </c>
      <c r="F640" s="1" t="s">
        <v>60</v>
      </c>
      <c r="G640" s="1" t="s">
        <v>61</v>
      </c>
      <c r="H640" s="1" t="s">
        <v>22</v>
      </c>
      <c r="I640" s="1" t="s">
        <v>23</v>
      </c>
      <c r="J640" s="1">
        <v>-9.5538358650799999</v>
      </c>
      <c r="K640" s="1">
        <v>9.5538358650799999</v>
      </c>
      <c r="L640" s="1">
        <v>0.23884589662700001</v>
      </c>
      <c r="M640" s="1">
        <v>0.23884589662700001</v>
      </c>
    </row>
    <row r="641" spans="4:13">
      <c r="D641" s="1" t="s">
        <v>138</v>
      </c>
      <c r="E641" s="1" t="s">
        <v>62</v>
      </c>
      <c r="H641" s="1" t="s">
        <v>63</v>
      </c>
      <c r="I641" s="1" t="s">
        <v>23</v>
      </c>
      <c r="M641" s="1">
        <v>1</v>
      </c>
    </row>
    <row r="642" spans="4:13">
      <c r="D642" s="1" t="s">
        <v>138</v>
      </c>
      <c r="E642" s="1" t="s">
        <v>64</v>
      </c>
      <c r="F642" s="1" t="s">
        <v>35</v>
      </c>
      <c r="G642" s="1" t="s">
        <v>36</v>
      </c>
      <c r="H642" s="1" t="s">
        <v>22</v>
      </c>
      <c r="I642" s="1" t="s">
        <v>65</v>
      </c>
      <c r="J642" s="1">
        <v>-459.67</v>
      </c>
      <c r="L642" s="1">
        <v>80.329999999999984</v>
      </c>
    </row>
    <row r="643" spans="4:13">
      <c r="D643" s="1" t="s">
        <v>138</v>
      </c>
      <c r="E643" s="1" t="s">
        <v>66</v>
      </c>
      <c r="F643" s="1" t="s">
        <v>35</v>
      </c>
      <c r="G643" s="1" t="s">
        <v>36</v>
      </c>
      <c r="H643" s="1" t="s">
        <v>22</v>
      </c>
      <c r="I643" s="1" t="s">
        <v>65</v>
      </c>
      <c r="J643" s="1">
        <v>-459.67</v>
      </c>
      <c r="L643" s="1">
        <v>80.329999999999984</v>
      </c>
    </row>
    <row r="644" spans="4:13">
      <c r="D644" s="1" t="s">
        <v>138</v>
      </c>
      <c r="E644" s="1" t="s">
        <v>67</v>
      </c>
      <c r="F644" s="1" t="s">
        <v>41</v>
      </c>
      <c r="G644" s="1" t="s">
        <v>42</v>
      </c>
      <c r="H644" s="1" t="s">
        <v>22</v>
      </c>
      <c r="I644" s="1" t="s">
        <v>65</v>
      </c>
      <c r="L644" s="1">
        <v>1.8</v>
      </c>
    </row>
    <row r="645" spans="4:13">
      <c r="D645" s="1" t="s">
        <v>138</v>
      </c>
      <c r="E645" s="1" t="s">
        <v>68</v>
      </c>
      <c r="F645" s="1" t="s">
        <v>45</v>
      </c>
      <c r="G645" s="1" t="s">
        <v>46</v>
      </c>
      <c r="H645" s="1" t="s">
        <v>22</v>
      </c>
      <c r="I645" s="1" t="s">
        <v>65</v>
      </c>
      <c r="L645" s="1">
        <v>4.2992261378713571E-4</v>
      </c>
    </row>
    <row r="646" spans="4:13">
      <c r="D646" s="1" t="s">
        <v>138</v>
      </c>
      <c r="E646" s="1" t="s">
        <v>69</v>
      </c>
      <c r="H646" s="1" t="s">
        <v>25</v>
      </c>
      <c r="I646" s="1" t="s">
        <v>70</v>
      </c>
    </row>
    <row r="647" spans="4:13">
      <c r="D647" s="1" t="s">
        <v>138</v>
      </c>
      <c r="E647" s="1" t="s">
        <v>71</v>
      </c>
      <c r="F647" s="1" t="s">
        <v>52</v>
      </c>
      <c r="G647" s="1" t="s">
        <v>53</v>
      </c>
      <c r="H647" s="1" t="s">
        <v>22</v>
      </c>
      <c r="I647" s="1" t="s">
        <v>65</v>
      </c>
      <c r="L647" s="1">
        <v>7936.6414386555998</v>
      </c>
    </row>
    <row r="648" spans="4:13">
      <c r="D648" s="1" t="s">
        <v>138</v>
      </c>
      <c r="E648" s="1" t="s">
        <v>72</v>
      </c>
      <c r="F648" s="1" t="s">
        <v>56</v>
      </c>
      <c r="G648" s="1" t="s">
        <v>57</v>
      </c>
      <c r="H648" s="1" t="s">
        <v>22</v>
      </c>
      <c r="I648" s="1" t="s">
        <v>65</v>
      </c>
      <c r="J648" s="1">
        <v>0</v>
      </c>
      <c r="L648" s="1">
        <v>14.503773773020921</v>
      </c>
    </row>
    <row r="649" spans="4:13">
      <c r="D649" s="1" t="s">
        <v>138</v>
      </c>
      <c r="E649" s="1" t="s">
        <v>73</v>
      </c>
      <c r="F649" s="1" t="s">
        <v>60</v>
      </c>
      <c r="G649" s="1" t="s">
        <v>61</v>
      </c>
      <c r="H649" s="1" t="s">
        <v>22</v>
      </c>
      <c r="I649" s="1" t="s">
        <v>65</v>
      </c>
      <c r="L649" s="1">
        <v>2.38845896627E-4</v>
      </c>
    </row>
    <row r="650" spans="4:13">
      <c r="D650" s="1" t="s">
        <v>138</v>
      </c>
      <c r="E650" s="1" t="s">
        <v>74</v>
      </c>
      <c r="F650" s="1" t="s">
        <v>75</v>
      </c>
      <c r="G650" s="1" t="s">
        <v>76</v>
      </c>
      <c r="H650" s="1" t="s">
        <v>22</v>
      </c>
      <c r="I650" s="1" t="s">
        <v>65</v>
      </c>
      <c r="J650" s="1">
        <v>0</v>
      </c>
      <c r="L650" s="1">
        <v>16.018463521800001</v>
      </c>
    </row>
    <row r="651" spans="4:13">
      <c r="D651" s="1" t="s">
        <v>138</v>
      </c>
      <c r="E651" s="1" t="s">
        <v>77</v>
      </c>
      <c r="H651" s="1" t="s">
        <v>22</v>
      </c>
      <c r="I651" s="1" t="s">
        <v>65</v>
      </c>
      <c r="L651" s="1">
        <v>1</v>
      </c>
    </row>
    <row r="652" spans="4:13">
      <c r="D652" s="1" t="s">
        <v>138</v>
      </c>
      <c r="E652" s="1" t="s">
        <v>78</v>
      </c>
      <c r="H652" s="1" t="s">
        <v>25</v>
      </c>
      <c r="I652" s="1" t="s">
        <v>23</v>
      </c>
      <c r="M652" s="1" t="b">
        <v>0</v>
      </c>
    </row>
    <row r="653" spans="4:13">
      <c r="D653" s="1" t="s">
        <v>138</v>
      </c>
      <c r="E653" s="1" t="s">
        <v>79</v>
      </c>
      <c r="F653" s="1" t="s">
        <v>75</v>
      </c>
      <c r="G653" s="1" t="s">
        <v>76</v>
      </c>
      <c r="H653" s="1" t="s">
        <v>22</v>
      </c>
      <c r="I653" s="1" t="s">
        <v>23</v>
      </c>
      <c r="J653" s="1">
        <v>0</v>
      </c>
      <c r="K653" s="1">
        <v>96.110781130800007</v>
      </c>
      <c r="L653" s="1">
        <v>16.018463521800001</v>
      </c>
      <c r="M653" s="1">
        <v>1.6018463521800002</v>
      </c>
    </row>
    <row r="654" spans="4:13">
      <c r="D654" s="1" t="s">
        <v>138</v>
      </c>
      <c r="E654" s="1" t="s">
        <v>80</v>
      </c>
      <c r="H654" s="1" t="s">
        <v>25</v>
      </c>
      <c r="I654" s="1" t="s">
        <v>23</v>
      </c>
      <c r="M654" s="1" t="b">
        <v>0</v>
      </c>
    </row>
    <row r="655" spans="4:13">
      <c r="D655" s="1" t="s">
        <v>138</v>
      </c>
      <c r="E655" s="1" t="s">
        <v>81</v>
      </c>
      <c r="H655" s="1" t="s">
        <v>25</v>
      </c>
      <c r="I655" s="1" t="s">
        <v>23</v>
      </c>
      <c r="M655" s="1" t="b">
        <v>0</v>
      </c>
    </row>
    <row r="656" spans="4:13">
      <c r="D656" s="1" t="s">
        <v>138</v>
      </c>
      <c r="E656" s="1" t="s">
        <v>82</v>
      </c>
      <c r="H656" s="1" t="s">
        <v>22</v>
      </c>
      <c r="I656" s="1" t="s">
        <v>23</v>
      </c>
      <c r="J656" s="1">
        <v>-1</v>
      </c>
      <c r="K656" s="1">
        <v>3</v>
      </c>
      <c r="L656" s="1">
        <v>1</v>
      </c>
      <c r="M656" s="1">
        <v>1.01</v>
      </c>
    </row>
    <row r="657" spans="4:13">
      <c r="D657" s="1" t="s">
        <v>139</v>
      </c>
      <c r="E657" s="1" t="s">
        <v>99</v>
      </c>
      <c r="H657" s="1" t="s">
        <v>25</v>
      </c>
      <c r="I657" s="1" t="s">
        <v>23</v>
      </c>
      <c r="M657" s="1" t="b">
        <v>0</v>
      </c>
    </row>
    <row r="658" spans="4:13">
      <c r="D658" s="1" t="s">
        <v>139</v>
      </c>
      <c r="E658" s="1" t="s">
        <v>100</v>
      </c>
      <c r="H658" s="1" t="s">
        <v>22</v>
      </c>
      <c r="I658" s="1" t="s">
        <v>23</v>
      </c>
      <c r="L658" s="1">
        <v>1</v>
      </c>
      <c r="M658" s="1">
        <v>100</v>
      </c>
    </row>
    <row r="659" spans="4:13">
      <c r="D659" s="1" t="s">
        <v>139</v>
      </c>
      <c r="E659" s="1" t="s">
        <v>101</v>
      </c>
      <c r="H659" s="1" t="s">
        <v>22</v>
      </c>
      <c r="I659" s="1" t="s">
        <v>23</v>
      </c>
      <c r="L659" s="1">
        <v>1</v>
      </c>
      <c r="M659" s="1">
        <v>0</v>
      </c>
    </row>
    <row r="660" spans="4:13">
      <c r="D660" s="1" t="s">
        <v>139</v>
      </c>
      <c r="E660" s="1" t="s">
        <v>102</v>
      </c>
      <c r="H660" s="1" t="s">
        <v>22</v>
      </c>
      <c r="I660" s="1" t="s">
        <v>23</v>
      </c>
      <c r="L660" s="1">
        <v>1</v>
      </c>
      <c r="M660" s="1">
        <v>20</v>
      </c>
    </row>
    <row r="661" spans="4:13">
      <c r="D661" s="1" t="s">
        <v>139</v>
      </c>
      <c r="E661" s="1" t="s">
        <v>103</v>
      </c>
      <c r="H661" s="1" t="s">
        <v>22</v>
      </c>
      <c r="I661" s="1" t="s">
        <v>29</v>
      </c>
      <c r="J661" s="1">
        <v>0</v>
      </c>
      <c r="K661" s="1">
        <v>100</v>
      </c>
      <c r="L661" s="1">
        <v>50</v>
      </c>
    </row>
    <row r="662" spans="4:13">
      <c r="D662" s="1" t="s">
        <v>140</v>
      </c>
      <c r="H662" s="1" t="s">
        <v>22</v>
      </c>
      <c r="I662" s="1" t="s">
        <v>23</v>
      </c>
      <c r="L662" s="1">
        <v>1</v>
      </c>
      <c r="M662" s="1">
        <v>0.55000000000000004</v>
      </c>
    </row>
    <row r="663" spans="4:13">
      <c r="D663" s="1" t="s">
        <v>141</v>
      </c>
      <c r="E663" s="1" t="s">
        <v>142</v>
      </c>
      <c r="F663" s="1" t="s">
        <v>143</v>
      </c>
      <c r="G663" s="1" t="s">
        <v>144</v>
      </c>
      <c r="H663" s="1" t="s">
        <v>22</v>
      </c>
      <c r="I663" s="1" t="s">
        <v>23</v>
      </c>
      <c r="L663" s="1">
        <v>5.6782633429906824</v>
      </c>
      <c r="M663" s="1">
        <v>2.5000000000000001E-4</v>
      </c>
    </row>
    <row r="664" spans="4:13">
      <c r="D664" s="1" t="s">
        <v>141</v>
      </c>
      <c r="E664" s="1" t="s">
        <v>145</v>
      </c>
      <c r="F664" s="1" t="s">
        <v>143</v>
      </c>
      <c r="G664" s="1" t="s">
        <v>144</v>
      </c>
      <c r="H664" s="1" t="s">
        <v>22</v>
      </c>
      <c r="I664" s="1" t="s">
        <v>23</v>
      </c>
      <c r="L664" s="1">
        <v>5.6782633429906824</v>
      </c>
      <c r="M664" s="1">
        <v>9.9999999999999978E-5</v>
      </c>
    </row>
    <row r="665" spans="4:13">
      <c r="D665" s="1" t="s">
        <v>141</v>
      </c>
      <c r="E665" s="1" t="s">
        <v>146</v>
      </c>
      <c r="F665" s="1" t="s">
        <v>147</v>
      </c>
      <c r="G665" s="1" t="s">
        <v>148</v>
      </c>
      <c r="H665" s="1" t="s">
        <v>22</v>
      </c>
      <c r="I665" s="1" t="s">
        <v>23</v>
      </c>
      <c r="L665" s="1">
        <v>3.4121416351331</v>
      </c>
      <c r="M665" s="1">
        <v>10799836.354944</v>
      </c>
    </row>
    <row r="666" spans="4:13">
      <c r="D666" s="1" t="s">
        <v>141</v>
      </c>
      <c r="E666" s="1" t="s">
        <v>149</v>
      </c>
      <c r="H666" s="1" t="s">
        <v>150</v>
      </c>
      <c r="I666" s="1" t="s">
        <v>23</v>
      </c>
      <c r="M666" s="1" t="s">
        <v>151</v>
      </c>
    </row>
    <row r="667" spans="4:13">
      <c r="D667" s="1" t="s">
        <v>141</v>
      </c>
      <c r="E667" s="1" t="s">
        <v>152</v>
      </c>
      <c r="H667" s="1" t="s">
        <v>150</v>
      </c>
      <c r="I667" s="1" t="s">
        <v>23</v>
      </c>
      <c r="M667" s="1" t="s">
        <v>153</v>
      </c>
    </row>
    <row r="668" spans="4:13">
      <c r="D668" s="1" t="s">
        <v>141</v>
      </c>
      <c r="E668" s="1" t="s">
        <v>154</v>
      </c>
      <c r="H668" s="1" t="s">
        <v>150</v>
      </c>
      <c r="I668" s="1" t="s">
        <v>23</v>
      </c>
      <c r="M668" s="1" t="s">
        <v>155</v>
      </c>
    </row>
    <row r="669" spans="4:13">
      <c r="D669" s="1" t="s">
        <v>141</v>
      </c>
      <c r="E669" s="1" t="s">
        <v>156</v>
      </c>
      <c r="H669" s="1" t="s">
        <v>150</v>
      </c>
      <c r="I669" s="1" t="s">
        <v>23</v>
      </c>
      <c r="M669" s="1" t="s">
        <v>157</v>
      </c>
    </row>
    <row r="670" spans="4:13">
      <c r="D670" s="1" t="s">
        <v>151</v>
      </c>
      <c r="E670" s="1" t="s">
        <v>33</v>
      </c>
      <c r="H670" s="1" t="s">
        <v>25</v>
      </c>
      <c r="I670" s="1" t="s">
        <v>23</v>
      </c>
      <c r="M670" s="1" t="b">
        <v>1</v>
      </c>
    </row>
    <row r="671" spans="4:13">
      <c r="D671" s="1" t="s">
        <v>151</v>
      </c>
      <c r="E671" s="1" t="s">
        <v>158</v>
      </c>
      <c r="H671" s="1" t="s">
        <v>22</v>
      </c>
      <c r="I671" s="1" t="s">
        <v>29</v>
      </c>
      <c r="J671" s="1">
        <v>238.14</v>
      </c>
      <c r="K671" s="1">
        <v>398.15</v>
      </c>
      <c r="L671" s="1">
        <v>300</v>
      </c>
    </row>
    <row r="672" spans="4:13">
      <c r="D672" s="1" t="s">
        <v>151</v>
      </c>
      <c r="E672" s="1" t="s">
        <v>34</v>
      </c>
      <c r="F672" s="1" t="s">
        <v>35</v>
      </c>
      <c r="G672" s="1" t="s">
        <v>36</v>
      </c>
      <c r="H672" s="1" t="s">
        <v>22</v>
      </c>
      <c r="I672" s="1" t="s">
        <v>23</v>
      </c>
      <c r="J672" s="1">
        <v>-99.670000000000016</v>
      </c>
      <c r="K672" s="1">
        <v>980.32999999999993</v>
      </c>
      <c r="L672" s="1">
        <v>80.329999999999984</v>
      </c>
      <c r="M672" s="1">
        <v>94.299999999997965</v>
      </c>
    </row>
    <row r="673" spans="4:13">
      <c r="D673" s="1" t="s">
        <v>151</v>
      </c>
      <c r="E673" s="1" t="s">
        <v>159</v>
      </c>
      <c r="H673" s="1" t="s">
        <v>25</v>
      </c>
      <c r="I673" s="1" t="s">
        <v>23</v>
      </c>
      <c r="M673" s="1" t="b">
        <v>0</v>
      </c>
    </row>
    <row r="674" spans="4:13">
      <c r="D674" s="1" t="s">
        <v>151</v>
      </c>
      <c r="E674" s="1" t="s">
        <v>160</v>
      </c>
      <c r="F674" s="1" t="s">
        <v>161</v>
      </c>
      <c r="G674" s="1" t="s">
        <v>162</v>
      </c>
      <c r="H674" s="1" t="s">
        <v>22</v>
      </c>
      <c r="I674" s="1" t="s">
        <v>23</v>
      </c>
      <c r="J674" s="1">
        <v>0</v>
      </c>
      <c r="K674" s="1">
        <v>9510193342.230648</v>
      </c>
      <c r="L674" s="1">
        <v>15850.322237051079</v>
      </c>
      <c r="M674" s="1">
        <v>1585.032223705108</v>
      </c>
    </row>
    <row r="675" spans="4:13">
      <c r="D675" s="1" t="s">
        <v>151</v>
      </c>
      <c r="E675" s="1" t="s">
        <v>163</v>
      </c>
      <c r="H675" s="1" t="s">
        <v>22</v>
      </c>
      <c r="I675" s="1" t="s">
        <v>23</v>
      </c>
      <c r="J675" s="1">
        <v>0</v>
      </c>
      <c r="K675" s="1">
        <v>1</v>
      </c>
      <c r="L675" s="1">
        <v>0.1</v>
      </c>
      <c r="M675" s="1">
        <v>0.2</v>
      </c>
    </row>
    <row r="676" spans="4:13">
      <c r="D676" s="1" t="s">
        <v>151</v>
      </c>
      <c r="E676" s="1" t="s">
        <v>164</v>
      </c>
      <c r="F676" s="1" t="s">
        <v>35</v>
      </c>
      <c r="G676" s="1" t="s">
        <v>36</v>
      </c>
      <c r="H676" s="1" t="s">
        <v>22</v>
      </c>
      <c r="I676" s="1" t="s">
        <v>29</v>
      </c>
      <c r="J676" s="1">
        <v>-31.018000000000029</v>
      </c>
      <c r="K676" s="1">
        <v>256.99999999999994</v>
      </c>
      <c r="L676" s="1">
        <v>80.329999999999984</v>
      </c>
    </row>
    <row r="677" spans="4:13">
      <c r="D677" s="1" t="s">
        <v>151</v>
      </c>
      <c r="E677" s="1" t="s">
        <v>43</v>
      </c>
      <c r="H677" s="1" t="s">
        <v>25</v>
      </c>
      <c r="I677" s="1" t="s">
        <v>23</v>
      </c>
      <c r="M677" s="1" t="b">
        <v>0</v>
      </c>
    </row>
    <row r="678" spans="4:13">
      <c r="D678" s="1" t="s">
        <v>151</v>
      </c>
      <c r="E678" s="1" t="s">
        <v>44</v>
      </c>
      <c r="F678" s="1" t="s">
        <v>45</v>
      </c>
      <c r="G678" s="1" t="s">
        <v>46</v>
      </c>
      <c r="H678" s="1" t="s">
        <v>22</v>
      </c>
      <c r="I678" s="1" t="s">
        <v>23</v>
      </c>
      <c r="J678" s="1">
        <v>-85.984522757427143</v>
      </c>
      <c r="K678" s="1">
        <v>859.84522757427146</v>
      </c>
      <c r="L678" s="1">
        <v>429.92261378713573</v>
      </c>
      <c r="M678" s="1">
        <v>128.97678413614071</v>
      </c>
    </row>
    <row r="679" spans="4:13">
      <c r="D679" s="1" t="s">
        <v>151</v>
      </c>
      <c r="E679" s="1" t="s">
        <v>47</v>
      </c>
      <c r="H679" s="1" t="s">
        <v>25</v>
      </c>
      <c r="I679" s="1" t="s">
        <v>23</v>
      </c>
      <c r="M679" s="1" t="b">
        <v>0</v>
      </c>
    </row>
    <row r="680" spans="4:13">
      <c r="D680" s="1" t="s">
        <v>151</v>
      </c>
      <c r="E680" s="1" t="s">
        <v>54</v>
      </c>
      <c r="H680" s="1" t="s">
        <v>25</v>
      </c>
      <c r="I680" s="1" t="s">
        <v>23</v>
      </c>
      <c r="M680" s="1" t="b">
        <v>1</v>
      </c>
    </row>
    <row r="681" spans="4:13">
      <c r="D681" s="1" t="s">
        <v>151</v>
      </c>
      <c r="E681" s="1" t="s">
        <v>165</v>
      </c>
      <c r="H681" s="1" t="s">
        <v>22</v>
      </c>
      <c r="I681" s="1" t="s">
        <v>29</v>
      </c>
      <c r="J681" s="1">
        <v>1000</v>
      </c>
      <c r="K681" s="1">
        <v>10000000</v>
      </c>
      <c r="L681" s="1">
        <v>100000</v>
      </c>
    </row>
    <row r="682" spans="4:13">
      <c r="D682" s="1" t="s">
        <v>151</v>
      </c>
      <c r="E682" s="1" t="s">
        <v>55</v>
      </c>
      <c r="F682" s="1" t="s">
        <v>56</v>
      </c>
      <c r="G682" s="1" t="s">
        <v>57</v>
      </c>
      <c r="H682" s="1" t="s">
        <v>22</v>
      </c>
      <c r="I682" s="1" t="s">
        <v>23</v>
      </c>
      <c r="J682" s="1">
        <v>0</v>
      </c>
      <c r="K682" s="1">
        <v>942.74529524635989</v>
      </c>
      <c r="L682" s="1">
        <v>14.503773773020921</v>
      </c>
      <c r="M682" s="1">
        <v>14.503773773020921</v>
      </c>
    </row>
    <row r="683" spans="4:13">
      <c r="D683" s="1" t="s">
        <v>151</v>
      </c>
      <c r="E683" s="1" t="s">
        <v>58</v>
      </c>
      <c r="H683" s="1" t="s">
        <v>25</v>
      </c>
      <c r="I683" s="1" t="s">
        <v>23</v>
      </c>
      <c r="M683" s="1" t="b">
        <v>0</v>
      </c>
    </row>
    <row r="684" spans="4:13">
      <c r="D684" s="1" t="s">
        <v>151</v>
      </c>
      <c r="E684" s="1" t="s">
        <v>59</v>
      </c>
      <c r="F684" s="1" t="s">
        <v>60</v>
      </c>
      <c r="G684" s="1" t="s">
        <v>61</v>
      </c>
      <c r="H684" s="1" t="s">
        <v>22</v>
      </c>
      <c r="I684" s="1" t="s">
        <v>23</v>
      </c>
      <c r="J684" s="1">
        <v>-0.95538358650800004</v>
      </c>
      <c r="K684" s="1">
        <v>9.5538358650799999</v>
      </c>
      <c r="L684" s="1">
        <v>0.23884589662700001</v>
      </c>
      <c r="M684" s="1">
        <v>0.23884589662700001</v>
      </c>
    </row>
    <row r="685" spans="4:13">
      <c r="D685" s="1" t="s">
        <v>151</v>
      </c>
      <c r="E685" s="1" t="s">
        <v>64</v>
      </c>
      <c r="F685" s="1" t="s">
        <v>35</v>
      </c>
      <c r="G685" s="1" t="s">
        <v>36</v>
      </c>
      <c r="H685" s="1" t="s">
        <v>22</v>
      </c>
      <c r="I685" s="1" t="s">
        <v>65</v>
      </c>
      <c r="J685" s="1">
        <v>-459.67</v>
      </c>
      <c r="L685" s="1">
        <v>80.329999999999984</v>
      </c>
    </row>
    <row r="686" spans="4:13">
      <c r="D686" s="1" t="s">
        <v>151</v>
      </c>
      <c r="E686" s="1" t="s">
        <v>166</v>
      </c>
      <c r="F686" s="1" t="s">
        <v>161</v>
      </c>
      <c r="G686" s="1" t="s">
        <v>162</v>
      </c>
      <c r="H686" s="1" t="s">
        <v>22</v>
      </c>
      <c r="I686" s="1" t="s">
        <v>65</v>
      </c>
      <c r="L686" s="1">
        <v>15850.322237051079</v>
      </c>
    </row>
    <row r="687" spans="4:13">
      <c r="D687" s="1" t="s">
        <v>151</v>
      </c>
      <c r="E687" s="1" t="s">
        <v>68</v>
      </c>
      <c r="F687" s="1" t="s">
        <v>45</v>
      </c>
      <c r="G687" s="1" t="s">
        <v>46</v>
      </c>
      <c r="H687" s="1" t="s">
        <v>22</v>
      </c>
      <c r="I687" s="1" t="s">
        <v>65</v>
      </c>
      <c r="L687" s="1">
        <v>4.2992261378713571E-4</v>
      </c>
    </row>
    <row r="688" spans="4:13">
      <c r="D688" s="1" t="s">
        <v>151</v>
      </c>
      <c r="E688" s="1" t="s">
        <v>69</v>
      </c>
      <c r="H688" s="1" t="s">
        <v>25</v>
      </c>
      <c r="I688" s="1" t="s">
        <v>70</v>
      </c>
    </row>
    <row r="689" spans="4:13">
      <c r="D689" s="1" t="s">
        <v>151</v>
      </c>
      <c r="E689" s="1" t="s">
        <v>72</v>
      </c>
      <c r="F689" s="1" t="s">
        <v>56</v>
      </c>
      <c r="G689" s="1" t="s">
        <v>57</v>
      </c>
      <c r="H689" s="1" t="s">
        <v>22</v>
      </c>
      <c r="I689" s="1" t="s">
        <v>65</v>
      </c>
      <c r="J689" s="1">
        <v>0</v>
      </c>
      <c r="L689" s="1">
        <v>14.503773773020921</v>
      </c>
    </row>
    <row r="690" spans="4:13">
      <c r="D690" s="1" t="s">
        <v>151</v>
      </c>
      <c r="E690" s="1" t="s">
        <v>73</v>
      </c>
      <c r="F690" s="1" t="s">
        <v>60</v>
      </c>
      <c r="G690" s="1" t="s">
        <v>61</v>
      </c>
      <c r="H690" s="1" t="s">
        <v>22</v>
      </c>
      <c r="I690" s="1" t="s">
        <v>65</v>
      </c>
      <c r="L690" s="1">
        <v>2.38845896627E-4</v>
      </c>
    </row>
    <row r="691" spans="4:13">
      <c r="D691" s="1" t="s">
        <v>151</v>
      </c>
      <c r="E691" s="1" t="s">
        <v>74</v>
      </c>
      <c r="F691" s="1" t="s">
        <v>75</v>
      </c>
      <c r="G691" s="1" t="s">
        <v>76</v>
      </c>
      <c r="H691" s="1" t="s">
        <v>22</v>
      </c>
      <c r="I691" s="1" t="s">
        <v>65</v>
      </c>
      <c r="J691" s="1">
        <v>0</v>
      </c>
      <c r="L691" s="1">
        <v>16.018463521800001</v>
      </c>
    </row>
    <row r="692" spans="4:13">
      <c r="D692" s="1" t="s">
        <v>151</v>
      </c>
      <c r="E692" s="1" t="s">
        <v>78</v>
      </c>
      <c r="H692" s="1" t="s">
        <v>25</v>
      </c>
      <c r="I692" s="1" t="s">
        <v>23</v>
      </c>
      <c r="M692" s="1" t="b">
        <v>0</v>
      </c>
    </row>
    <row r="693" spans="4:13">
      <c r="D693" s="1" t="s">
        <v>151</v>
      </c>
      <c r="E693" s="1" t="s">
        <v>79</v>
      </c>
      <c r="F693" s="1" t="s">
        <v>75</v>
      </c>
      <c r="G693" s="1" t="s">
        <v>76</v>
      </c>
      <c r="H693" s="1" t="s">
        <v>22</v>
      </c>
      <c r="I693" s="1" t="s">
        <v>23</v>
      </c>
      <c r="J693" s="1">
        <v>0</v>
      </c>
      <c r="K693" s="1">
        <v>0.96110781130800005</v>
      </c>
      <c r="L693" s="1">
        <v>16.018463521800001</v>
      </c>
      <c r="M693" s="1">
        <v>1.6018463521800002</v>
      </c>
    </row>
    <row r="694" spans="4:13">
      <c r="D694" s="1" t="s">
        <v>153</v>
      </c>
      <c r="E694" s="1" t="s">
        <v>33</v>
      </c>
      <c r="H694" s="1" t="s">
        <v>25</v>
      </c>
      <c r="I694" s="1" t="s">
        <v>23</v>
      </c>
      <c r="M694" s="1" t="b">
        <v>1</v>
      </c>
    </row>
    <row r="695" spans="4:13">
      <c r="D695" s="1" t="s">
        <v>153</v>
      </c>
      <c r="E695" s="1" t="s">
        <v>158</v>
      </c>
      <c r="H695" s="1" t="s">
        <v>22</v>
      </c>
      <c r="I695" s="1" t="s">
        <v>29</v>
      </c>
      <c r="J695" s="1">
        <v>238.14</v>
      </c>
      <c r="K695" s="1">
        <v>398.15</v>
      </c>
      <c r="L695" s="1">
        <v>300</v>
      </c>
    </row>
    <row r="696" spans="4:13">
      <c r="D696" s="1" t="s">
        <v>153</v>
      </c>
      <c r="E696" s="1" t="s">
        <v>34</v>
      </c>
      <c r="F696" s="1" t="s">
        <v>35</v>
      </c>
      <c r="G696" s="1" t="s">
        <v>36</v>
      </c>
      <c r="H696" s="1" t="s">
        <v>22</v>
      </c>
      <c r="I696" s="1" t="s">
        <v>23</v>
      </c>
      <c r="J696" s="1">
        <v>-99.670000000000016</v>
      </c>
      <c r="K696" s="1">
        <v>980.32999999999993</v>
      </c>
      <c r="L696" s="1">
        <v>80.329999999999984</v>
      </c>
      <c r="M696" s="1">
        <v>44.000000000006025</v>
      </c>
    </row>
    <row r="697" spans="4:13">
      <c r="D697" s="1" t="s">
        <v>153</v>
      </c>
      <c r="E697" s="1" t="s">
        <v>159</v>
      </c>
      <c r="H697" s="1" t="s">
        <v>25</v>
      </c>
      <c r="I697" s="1" t="s">
        <v>23</v>
      </c>
      <c r="M697" s="1" t="b">
        <v>0</v>
      </c>
    </row>
    <row r="698" spans="4:13">
      <c r="D698" s="1" t="s">
        <v>153</v>
      </c>
      <c r="E698" s="1" t="s">
        <v>160</v>
      </c>
      <c r="F698" s="1" t="s">
        <v>161</v>
      </c>
      <c r="G698" s="1" t="s">
        <v>162</v>
      </c>
      <c r="H698" s="1" t="s">
        <v>22</v>
      </c>
      <c r="I698" s="1" t="s">
        <v>23</v>
      </c>
      <c r="J698" s="1">
        <v>0</v>
      </c>
      <c r="K698" s="1">
        <v>9510193342.230648</v>
      </c>
      <c r="L698" s="1">
        <v>15850.322237051079</v>
      </c>
      <c r="M698" s="1">
        <v>1585.032223705108</v>
      </c>
    </row>
    <row r="699" spans="4:13">
      <c r="D699" s="1" t="s">
        <v>153</v>
      </c>
      <c r="E699" s="1" t="s">
        <v>163</v>
      </c>
      <c r="H699" s="1" t="s">
        <v>22</v>
      </c>
      <c r="I699" s="1" t="s">
        <v>23</v>
      </c>
      <c r="J699" s="1">
        <v>0</v>
      </c>
      <c r="K699" s="1">
        <v>1</v>
      </c>
      <c r="L699" s="1">
        <v>0.1</v>
      </c>
      <c r="M699" s="1">
        <v>0.2</v>
      </c>
    </row>
    <row r="700" spans="4:13">
      <c r="D700" s="1" t="s">
        <v>153</v>
      </c>
      <c r="E700" s="1" t="s">
        <v>164</v>
      </c>
      <c r="F700" s="1" t="s">
        <v>35</v>
      </c>
      <c r="G700" s="1" t="s">
        <v>36</v>
      </c>
      <c r="H700" s="1" t="s">
        <v>22</v>
      </c>
      <c r="I700" s="1" t="s">
        <v>29</v>
      </c>
      <c r="J700" s="1">
        <v>-31.018000000000029</v>
      </c>
      <c r="K700" s="1">
        <v>256.99999999999994</v>
      </c>
      <c r="L700" s="1">
        <v>80.329999999999984</v>
      </c>
    </row>
    <row r="701" spans="4:13">
      <c r="D701" s="1" t="s">
        <v>153</v>
      </c>
      <c r="E701" s="1" t="s">
        <v>43</v>
      </c>
      <c r="H701" s="1" t="s">
        <v>25</v>
      </c>
      <c r="I701" s="1" t="s">
        <v>23</v>
      </c>
      <c r="M701" s="1" t="b">
        <v>0</v>
      </c>
    </row>
    <row r="702" spans="4:13">
      <c r="D702" s="1" t="s">
        <v>153</v>
      </c>
      <c r="E702" s="1" t="s">
        <v>44</v>
      </c>
      <c r="F702" s="1" t="s">
        <v>45</v>
      </c>
      <c r="G702" s="1" t="s">
        <v>46</v>
      </c>
      <c r="H702" s="1" t="s">
        <v>22</v>
      </c>
      <c r="I702" s="1" t="s">
        <v>23</v>
      </c>
      <c r="J702" s="1">
        <v>-85.984522757427143</v>
      </c>
      <c r="K702" s="1">
        <v>859.84522757427146</v>
      </c>
      <c r="L702" s="1">
        <v>429.92261378713573</v>
      </c>
      <c r="M702" s="1">
        <v>128.97678413614071</v>
      </c>
    </row>
    <row r="703" spans="4:13">
      <c r="D703" s="1" t="s">
        <v>153</v>
      </c>
      <c r="E703" s="1" t="s">
        <v>47</v>
      </c>
      <c r="H703" s="1" t="s">
        <v>25</v>
      </c>
      <c r="I703" s="1" t="s">
        <v>23</v>
      </c>
      <c r="M703" s="1" t="b">
        <v>0</v>
      </c>
    </row>
    <row r="704" spans="4:13">
      <c r="D704" s="1" t="s">
        <v>153</v>
      </c>
      <c r="E704" s="1" t="s">
        <v>54</v>
      </c>
      <c r="H704" s="1" t="s">
        <v>25</v>
      </c>
      <c r="I704" s="1" t="s">
        <v>23</v>
      </c>
      <c r="M704" s="1" t="b">
        <v>1</v>
      </c>
    </row>
    <row r="705" spans="4:13">
      <c r="D705" s="1" t="s">
        <v>153</v>
      </c>
      <c r="E705" s="1" t="s">
        <v>165</v>
      </c>
      <c r="H705" s="1" t="s">
        <v>22</v>
      </c>
      <c r="I705" s="1" t="s">
        <v>29</v>
      </c>
      <c r="J705" s="1">
        <v>1000</v>
      </c>
      <c r="K705" s="1">
        <v>10000000</v>
      </c>
      <c r="L705" s="1">
        <v>100000</v>
      </c>
    </row>
    <row r="706" spans="4:13">
      <c r="D706" s="1" t="s">
        <v>153</v>
      </c>
      <c r="E706" s="1" t="s">
        <v>55</v>
      </c>
      <c r="F706" s="1" t="s">
        <v>56</v>
      </c>
      <c r="G706" s="1" t="s">
        <v>57</v>
      </c>
      <c r="H706" s="1" t="s">
        <v>22</v>
      </c>
      <c r="I706" s="1" t="s">
        <v>23</v>
      </c>
      <c r="J706" s="1">
        <v>0</v>
      </c>
      <c r="K706" s="1">
        <v>942.74529524635989</v>
      </c>
      <c r="L706" s="1">
        <v>14.503773773020921</v>
      </c>
      <c r="M706" s="1">
        <v>14.503773773020921</v>
      </c>
    </row>
    <row r="707" spans="4:13">
      <c r="D707" s="1" t="s">
        <v>153</v>
      </c>
      <c r="E707" s="1" t="s">
        <v>58</v>
      </c>
      <c r="H707" s="1" t="s">
        <v>25</v>
      </c>
      <c r="I707" s="1" t="s">
        <v>23</v>
      </c>
      <c r="M707" s="1" t="b">
        <v>0</v>
      </c>
    </row>
    <row r="708" spans="4:13">
      <c r="D708" s="1" t="s">
        <v>153</v>
      </c>
      <c r="E708" s="1" t="s">
        <v>59</v>
      </c>
      <c r="F708" s="1" t="s">
        <v>60</v>
      </c>
      <c r="G708" s="1" t="s">
        <v>61</v>
      </c>
      <c r="H708" s="1" t="s">
        <v>22</v>
      </c>
      <c r="I708" s="1" t="s">
        <v>23</v>
      </c>
      <c r="J708" s="1">
        <v>-0.95538358650800004</v>
      </c>
      <c r="K708" s="1">
        <v>9.5538358650799999</v>
      </c>
      <c r="L708" s="1">
        <v>0.23884589662700001</v>
      </c>
      <c r="M708" s="1">
        <v>0.23884589662700001</v>
      </c>
    </row>
    <row r="709" spans="4:13">
      <c r="D709" s="1" t="s">
        <v>153</v>
      </c>
      <c r="E709" s="1" t="s">
        <v>64</v>
      </c>
      <c r="F709" s="1" t="s">
        <v>35</v>
      </c>
      <c r="G709" s="1" t="s">
        <v>36</v>
      </c>
      <c r="H709" s="1" t="s">
        <v>22</v>
      </c>
      <c r="I709" s="1" t="s">
        <v>65</v>
      </c>
      <c r="J709" s="1">
        <v>-459.67</v>
      </c>
      <c r="L709" s="1">
        <v>80.329999999999984</v>
      </c>
    </row>
    <row r="710" spans="4:13">
      <c r="D710" s="1" t="s">
        <v>153</v>
      </c>
      <c r="E710" s="1" t="s">
        <v>166</v>
      </c>
      <c r="F710" s="1" t="s">
        <v>161</v>
      </c>
      <c r="G710" s="1" t="s">
        <v>162</v>
      </c>
      <c r="H710" s="1" t="s">
        <v>22</v>
      </c>
      <c r="I710" s="1" t="s">
        <v>65</v>
      </c>
      <c r="L710" s="1">
        <v>15850.322237051079</v>
      </c>
    </row>
    <row r="711" spans="4:13">
      <c r="D711" s="1" t="s">
        <v>153</v>
      </c>
      <c r="E711" s="1" t="s">
        <v>68</v>
      </c>
      <c r="F711" s="1" t="s">
        <v>45</v>
      </c>
      <c r="G711" s="1" t="s">
        <v>46</v>
      </c>
      <c r="H711" s="1" t="s">
        <v>22</v>
      </c>
      <c r="I711" s="1" t="s">
        <v>65</v>
      </c>
      <c r="L711" s="1">
        <v>4.2992261378713571E-4</v>
      </c>
    </row>
    <row r="712" spans="4:13">
      <c r="D712" s="1" t="s">
        <v>153</v>
      </c>
      <c r="E712" s="1" t="s">
        <v>69</v>
      </c>
      <c r="H712" s="1" t="s">
        <v>25</v>
      </c>
      <c r="I712" s="1" t="s">
        <v>70</v>
      </c>
    </row>
    <row r="713" spans="4:13">
      <c r="D713" s="1" t="s">
        <v>153</v>
      </c>
      <c r="E713" s="1" t="s">
        <v>72</v>
      </c>
      <c r="F713" s="1" t="s">
        <v>56</v>
      </c>
      <c r="G713" s="1" t="s">
        <v>57</v>
      </c>
      <c r="H713" s="1" t="s">
        <v>22</v>
      </c>
      <c r="I713" s="1" t="s">
        <v>65</v>
      </c>
      <c r="J713" s="1">
        <v>0</v>
      </c>
      <c r="L713" s="1">
        <v>14.503773773020921</v>
      </c>
    </row>
    <row r="714" spans="4:13">
      <c r="D714" s="1" t="s">
        <v>153</v>
      </c>
      <c r="E714" s="1" t="s">
        <v>73</v>
      </c>
      <c r="F714" s="1" t="s">
        <v>60</v>
      </c>
      <c r="G714" s="1" t="s">
        <v>61</v>
      </c>
      <c r="H714" s="1" t="s">
        <v>22</v>
      </c>
      <c r="I714" s="1" t="s">
        <v>65</v>
      </c>
      <c r="L714" s="1">
        <v>2.38845896627E-4</v>
      </c>
    </row>
    <row r="715" spans="4:13">
      <c r="D715" s="1" t="s">
        <v>153</v>
      </c>
      <c r="E715" s="1" t="s">
        <v>74</v>
      </c>
      <c r="F715" s="1" t="s">
        <v>75</v>
      </c>
      <c r="G715" s="1" t="s">
        <v>76</v>
      </c>
      <c r="H715" s="1" t="s">
        <v>22</v>
      </c>
      <c r="I715" s="1" t="s">
        <v>65</v>
      </c>
      <c r="J715" s="1">
        <v>0</v>
      </c>
      <c r="L715" s="1">
        <v>16.018463521800001</v>
      </c>
    </row>
    <row r="716" spans="4:13">
      <c r="D716" s="1" t="s">
        <v>153</v>
      </c>
      <c r="E716" s="1" t="s">
        <v>78</v>
      </c>
      <c r="H716" s="1" t="s">
        <v>25</v>
      </c>
      <c r="I716" s="1" t="s">
        <v>23</v>
      </c>
      <c r="M716" s="1" t="b">
        <v>0</v>
      </c>
    </row>
    <row r="717" spans="4:13">
      <c r="D717" s="1" t="s">
        <v>153</v>
      </c>
      <c r="E717" s="1" t="s">
        <v>79</v>
      </c>
      <c r="F717" s="1" t="s">
        <v>75</v>
      </c>
      <c r="G717" s="1" t="s">
        <v>76</v>
      </c>
      <c r="H717" s="1" t="s">
        <v>22</v>
      </c>
      <c r="I717" s="1" t="s">
        <v>23</v>
      </c>
      <c r="J717" s="1">
        <v>0</v>
      </c>
      <c r="K717" s="1">
        <v>0.96110781130800005</v>
      </c>
      <c r="L717" s="1">
        <v>16.018463521800001</v>
      </c>
      <c r="M717" s="1">
        <v>1.6018463521800002</v>
      </c>
    </row>
    <row r="718" spans="4:13">
      <c r="D718" s="1" t="s">
        <v>155</v>
      </c>
      <c r="E718" s="1" t="s">
        <v>33</v>
      </c>
      <c r="H718" s="1" t="s">
        <v>25</v>
      </c>
      <c r="I718" s="1" t="s">
        <v>23</v>
      </c>
      <c r="M718" s="1" t="b">
        <v>1</v>
      </c>
    </row>
    <row r="719" spans="4:13">
      <c r="D719" s="1" t="s">
        <v>155</v>
      </c>
      <c r="E719" s="1" t="s">
        <v>158</v>
      </c>
      <c r="H719" s="1" t="s">
        <v>22</v>
      </c>
      <c r="I719" s="1" t="s">
        <v>29</v>
      </c>
      <c r="J719" s="1">
        <v>238.14</v>
      </c>
      <c r="K719" s="1">
        <v>398.15</v>
      </c>
      <c r="L719" s="1">
        <v>300</v>
      </c>
    </row>
    <row r="720" spans="4:13">
      <c r="D720" s="1" t="s">
        <v>155</v>
      </c>
      <c r="E720" s="1" t="s">
        <v>34</v>
      </c>
      <c r="F720" s="1" t="s">
        <v>35</v>
      </c>
      <c r="G720" s="1" t="s">
        <v>36</v>
      </c>
      <c r="H720" s="1" t="s">
        <v>22</v>
      </c>
      <c r="I720" s="1" t="s">
        <v>23</v>
      </c>
      <c r="J720" s="1">
        <v>-99.670000000000016</v>
      </c>
      <c r="K720" s="1">
        <v>980.32999999999993</v>
      </c>
      <c r="L720" s="1">
        <v>80.329999999999984</v>
      </c>
      <c r="M720" s="1">
        <v>84.999999999991985</v>
      </c>
    </row>
    <row r="721" spans="4:13">
      <c r="D721" s="1" t="s">
        <v>155</v>
      </c>
      <c r="E721" s="1" t="s">
        <v>159</v>
      </c>
      <c r="H721" s="1" t="s">
        <v>25</v>
      </c>
      <c r="I721" s="1" t="s">
        <v>23</v>
      </c>
      <c r="M721" s="1" t="b">
        <v>0</v>
      </c>
    </row>
    <row r="722" spans="4:13">
      <c r="D722" s="1" t="s">
        <v>155</v>
      </c>
      <c r="E722" s="1" t="s">
        <v>167</v>
      </c>
      <c r="H722" s="1" t="s">
        <v>22</v>
      </c>
      <c r="I722" s="1" t="s">
        <v>29</v>
      </c>
      <c r="J722" s="1">
        <v>9.9999999999999995E-8</v>
      </c>
      <c r="K722" s="1">
        <v>100</v>
      </c>
      <c r="L722" s="1">
        <v>0.2</v>
      </c>
    </row>
    <row r="723" spans="4:13">
      <c r="D723" s="1" t="s">
        <v>155</v>
      </c>
      <c r="E723" s="1" t="s">
        <v>160</v>
      </c>
      <c r="F723" s="1" t="s">
        <v>161</v>
      </c>
      <c r="G723" s="1" t="s">
        <v>162</v>
      </c>
      <c r="H723" s="1" t="s">
        <v>22</v>
      </c>
      <c r="I723" s="1" t="s">
        <v>23</v>
      </c>
      <c r="J723" s="1">
        <v>0</v>
      </c>
      <c r="K723" s="1">
        <v>9510193342.230648</v>
      </c>
      <c r="L723" s="1">
        <v>15850.322237051079</v>
      </c>
      <c r="M723" s="1">
        <v>1756.3001068311719</v>
      </c>
    </row>
    <row r="724" spans="4:13">
      <c r="D724" s="1" t="s">
        <v>155</v>
      </c>
      <c r="E724" s="1" t="s">
        <v>163</v>
      </c>
      <c r="H724" s="1" t="s">
        <v>22</v>
      </c>
      <c r="I724" s="1" t="s">
        <v>23</v>
      </c>
      <c r="J724" s="1">
        <v>0</v>
      </c>
      <c r="K724" s="1">
        <v>1</v>
      </c>
      <c r="L724" s="1">
        <v>0.1</v>
      </c>
      <c r="M724" s="1">
        <v>0.2</v>
      </c>
    </row>
    <row r="725" spans="4:13">
      <c r="D725" s="1" t="s">
        <v>155</v>
      </c>
      <c r="E725" s="1" t="s">
        <v>164</v>
      </c>
      <c r="F725" s="1" t="s">
        <v>35</v>
      </c>
      <c r="G725" s="1" t="s">
        <v>36</v>
      </c>
      <c r="H725" s="1" t="s">
        <v>22</v>
      </c>
      <c r="I725" s="1" t="s">
        <v>29</v>
      </c>
      <c r="J725" s="1">
        <v>-31.018000000000029</v>
      </c>
      <c r="K725" s="1">
        <v>256.99999999999994</v>
      </c>
      <c r="L725" s="1">
        <v>80.329999999999984</v>
      </c>
    </row>
    <row r="726" spans="4:13">
      <c r="D726" s="1" t="s">
        <v>155</v>
      </c>
      <c r="E726" s="1" t="s">
        <v>43</v>
      </c>
      <c r="H726" s="1" t="s">
        <v>25</v>
      </c>
      <c r="I726" s="1" t="s">
        <v>23</v>
      </c>
      <c r="M726" s="1" t="b">
        <v>0</v>
      </c>
    </row>
    <row r="727" spans="4:13">
      <c r="D727" s="1" t="s">
        <v>155</v>
      </c>
      <c r="E727" s="1" t="s">
        <v>44</v>
      </c>
      <c r="F727" s="1" t="s">
        <v>45</v>
      </c>
      <c r="G727" s="1" t="s">
        <v>46</v>
      </c>
      <c r="H727" s="1" t="s">
        <v>22</v>
      </c>
      <c r="I727" s="1" t="s">
        <v>23</v>
      </c>
      <c r="J727" s="1">
        <v>-85.984522757427143</v>
      </c>
      <c r="K727" s="1">
        <v>859.84522757427146</v>
      </c>
      <c r="L727" s="1">
        <v>429.92261378713573</v>
      </c>
      <c r="M727" s="1">
        <v>128.97678413614071</v>
      </c>
    </row>
    <row r="728" spans="4:13">
      <c r="D728" s="1" t="s">
        <v>155</v>
      </c>
      <c r="E728" s="1" t="s">
        <v>47</v>
      </c>
      <c r="H728" s="1" t="s">
        <v>25</v>
      </c>
      <c r="I728" s="1" t="s">
        <v>23</v>
      </c>
      <c r="M728" s="1" t="b">
        <v>0</v>
      </c>
    </row>
    <row r="729" spans="4:13">
      <c r="D729" s="1" t="s">
        <v>155</v>
      </c>
      <c r="E729" s="1" t="s">
        <v>54</v>
      </c>
      <c r="H729" s="1" t="s">
        <v>25</v>
      </c>
      <c r="I729" s="1" t="s">
        <v>23</v>
      </c>
      <c r="M729" s="1" t="b">
        <v>0</v>
      </c>
    </row>
    <row r="730" spans="4:13">
      <c r="D730" s="1" t="s">
        <v>155</v>
      </c>
      <c r="E730" s="1" t="s">
        <v>55</v>
      </c>
      <c r="F730" s="1" t="s">
        <v>56</v>
      </c>
      <c r="G730" s="1" t="s">
        <v>57</v>
      </c>
      <c r="H730" s="1" t="s">
        <v>22</v>
      </c>
      <c r="I730" s="1" t="s">
        <v>23</v>
      </c>
      <c r="J730" s="1">
        <v>0</v>
      </c>
      <c r="K730" s="1">
        <v>942.74529524635989</v>
      </c>
      <c r="L730" s="1">
        <v>14.503773773020921</v>
      </c>
      <c r="M730" s="1">
        <v>39.999998299180966</v>
      </c>
    </row>
    <row r="731" spans="4:13">
      <c r="D731" s="1" t="s">
        <v>155</v>
      </c>
      <c r="E731" s="1" t="s">
        <v>58</v>
      </c>
      <c r="H731" s="1" t="s">
        <v>25</v>
      </c>
      <c r="I731" s="1" t="s">
        <v>23</v>
      </c>
      <c r="M731" s="1" t="b">
        <v>0</v>
      </c>
    </row>
    <row r="732" spans="4:13">
      <c r="D732" s="1" t="s">
        <v>155</v>
      </c>
      <c r="E732" s="1" t="s">
        <v>59</v>
      </c>
      <c r="F732" s="1" t="s">
        <v>60</v>
      </c>
      <c r="G732" s="1" t="s">
        <v>61</v>
      </c>
      <c r="H732" s="1" t="s">
        <v>22</v>
      </c>
      <c r="I732" s="1" t="s">
        <v>23</v>
      </c>
      <c r="J732" s="1">
        <v>-0.95538358650800004</v>
      </c>
      <c r="K732" s="1">
        <v>9.5538358650799999</v>
      </c>
      <c r="L732" s="1">
        <v>0.23884589662700001</v>
      </c>
      <c r="M732" s="1">
        <v>0.23884589662700001</v>
      </c>
    </row>
    <row r="733" spans="4:13">
      <c r="D733" s="1" t="s">
        <v>155</v>
      </c>
      <c r="E733" s="1" t="s">
        <v>64</v>
      </c>
      <c r="F733" s="1" t="s">
        <v>35</v>
      </c>
      <c r="G733" s="1" t="s">
        <v>36</v>
      </c>
      <c r="H733" s="1" t="s">
        <v>22</v>
      </c>
      <c r="I733" s="1" t="s">
        <v>65</v>
      </c>
      <c r="J733" s="1">
        <v>-459.67</v>
      </c>
      <c r="L733" s="1">
        <v>80.329999999999984</v>
      </c>
    </row>
    <row r="734" spans="4:13">
      <c r="D734" s="1" t="s">
        <v>155</v>
      </c>
      <c r="E734" s="1" t="s">
        <v>166</v>
      </c>
      <c r="F734" s="1" t="s">
        <v>161</v>
      </c>
      <c r="G734" s="1" t="s">
        <v>162</v>
      </c>
      <c r="H734" s="1" t="s">
        <v>22</v>
      </c>
      <c r="I734" s="1" t="s">
        <v>65</v>
      </c>
      <c r="L734" s="1">
        <v>15850.322237051079</v>
      </c>
    </row>
    <row r="735" spans="4:13">
      <c r="D735" s="1" t="s">
        <v>155</v>
      </c>
      <c r="E735" s="1" t="s">
        <v>68</v>
      </c>
      <c r="F735" s="1" t="s">
        <v>45</v>
      </c>
      <c r="G735" s="1" t="s">
        <v>46</v>
      </c>
      <c r="H735" s="1" t="s">
        <v>22</v>
      </c>
      <c r="I735" s="1" t="s">
        <v>65</v>
      </c>
      <c r="L735" s="1">
        <v>4.2992261378713571E-4</v>
      </c>
    </row>
    <row r="736" spans="4:13">
      <c r="D736" s="1" t="s">
        <v>155</v>
      </c>
      <c r="E736" s="1" t="s">
        <v>69</v>
      </c>
      <c r="H736" s="1" t="s">
        <v>25</v>
      </c>
      <c r="I736" s="1" t="s">
        <v>70</v>
      </c>
    </row>
    <row r="737" spans="4:13">
      <c r="D737" s="1" t="s">
        <v>155</v>
      </c>
      <c r="E737" s="1" t="s">
        <v>72</v>
      </c>
      <c r="F737" s="1" t="s">
        <v>56</v>
      </c>
      <c r="G737" s="1" t="s">
        <v>57</v>
      </c>
      <c r="H737" s="1" t="s">
        <v>22</v>
      </c>
      <c r="I737" s="1" t="s">
        <v>65</v>
      </c>
      <c r="J737" s="1">
        <v>0</v>
      </c>
      <c r="L737" s="1">
        <v>14.503773773020921</v>
      </c>
    </row>
    <row r="738" spans="4:13">
      <c r="D738" s="1" t="s">
        <v>155</v>
      </c>
      <c r="E738" s="1" t="s">
        <v>73</v>
      </c>
      <c r="F738" s="1" t="s">
        <v>60</v>
      </c>
      <c r="G738" s="1" t="s">
        <v>61</v>
      </c>
      <c r="H738" s="1" t="s">
        <v>22</v>
      </c>
      <c r="I738" s="1" t="s">
        <v>65</v>
      </c>
      <c r="L738" s="1">
        <v>2.38845896627E-4</v>
      </c>
    </row>
    <row r="739" spans="4:13">
      <c r="D739" s="1" t="s">
        <v>155</v>
      </c>
      <c r="E739" s="1" t="s">
        <v>74</v>
      </c>
      <c r="F739" s="1" t="s">
        <v>75</v>
      </c>
      <c r="G739" s="1" t="s">
        <v>76</v>
      </c>
      <c r="H739" s="1" t="s">
        <v>22</v>
      </c>
      <c r="I739" s="1" t="s">
        <v>65</v>
      </c>
      <c r="J739" s="1">
        <v>0</v>
      </c>
      <c r="L739" s="1">
        <v>16.018463521800001</v>
      </c>
    </row>
    <row r="740" spans="4:13">
      <c r="D740" s="1" t="s">
        <v>155</v>
      </c>
      <c r="E740" s="1" t="s">
        <v>78</v>
      </c>
      <c r="H740" s="1" t="s">
        <v>25</v>
      </c>
      <c r="I740" s="1" t="s">
        <v>23</v>
      </c>
      <c r="M740" s="1" t="b">
        <v>0</v>
      </c>
    </row>
    <row r="741" spans="4:13">
      <c r="D741" s="1" t="s">
        <v>155</v>
      </c>
      <c r="E741" s="1" t="s">
        <v>79</v>
      </c>
      <c r="F741" s="1" t="s">
        <v>75</v>
      </c>
      <c r="G741" s="1" t="s">
        <v>76</v>
      </c>
      <c r="H741" s="1" t="s">
        <v>22</v>
      </c>
      <c r="I741" s="1" t="s">
        <v>23</v>
      </c>
      <c r="J741" s="1">
        <v>0</v>
      </c>
      <c r="K741" s="1">
        <v>0.96110781130800005</v>
      </c>
      <c r="L741" s="1">
        <v>16.018463521800001</v>
      </c>
      <c r="M741" s="1">
        <v>1.6018463521800003E-2</v>
      </c>
    </row>
    <row r="742" spans="4:13">
      <c r="D742" s="1" t="s">
        <v>157</v>
      </c>
      <c r="E742" s="1" t="s">
        <v>33</v>
      </c>
      <c r="H742" s="1" t="s">
        <v>25</v>
      </c>
      <c r="I742" s="1" t="s">
        <v>23</v>
      </c>
      <c r="M742" s="1" t="b">
        <v>1</v>
      </c>
    </row>
    <row r="743" spans="4:13">
      <c r="D743" s="1" t="s">
        <v>157</v>
      </c>
      <c r="E743" s="1" t="s">
        <v>158</v>
      </c>
      <c r="H743" s="1" t="s">
        <v>22</v>
      </c>
      <c r="I743" s="1" t="s">
        <v>29</v>
      </c>
      <c r="J743" s="1">
        <v>238.14</v>
      </c>
      <c r="K743" s="1">
        <v>398.15</v>
      </c>
      <c r="L743" s="1">
        <v>300</v>
      </c>
    </row>
    <row r="744" spans="4:13">
      <c r="D744" s="1" t="s">
        <v>157</v>
      </c>
      <c r="E744" s="1" t="s">
        <v>34</v>
      </c>
      <c r="F744" s="1" t="s">
        <v>35</v>
      </c>
      <c r="G744" s="1" t="s">
        <v>36</v>
      </c>
      <c r="H744" s="1" t="s">
        <v>22</v>
      </c>
      <c r="I744" s="1" t="s">
        <v>23</v>
      </c>
      <c r="J744" s="1">
        <v>-99.670000000000016</v>
      </c>
      <c r="K744" s="1">
        <v>980.32999999999993</v>
      </c>
      <c r="L744" s="1">
        <v>80.329999999999984</v>
      </c>
      <c r="M744" s="1">
        <v>53.999999999995964</v>
      </c>
    </row>
    <row r="745" spans="4:13">
      <c r="D745" s="1" t="s">
        <v>157</v>
      </c>
      <c r="E745" s="1" t="s">
        <v>159</v>
      </c>
      <c r="H745" s="1" t="s">
        <v>25</v>
      </c>
      <c r="I745" s="1" t="s">
        <v>23</v>
      </c>
      <c r="M745" s="1" t="b">
        <v>0</v>
      </c>
    </row>
    <row r="746" spans="4:13">
      <c r="D746" s="1" t="s">
        <v>157</v>
      </c>
      <c r="E746" s="1" t="s">
        <v>167</v>
      </c>
      <c r="H746" s="1" t="s">
        <v>22</v>
      </c>
      <c r="I746" s="1" t="s">
        <v>29</v>
      </c>
      <c r="J746" s="1">
        <v>9.9999999999999995E-8</v>
      </c>
      <c r="K746" s="1">
        <v>100</v>
      </c>
      <c r="L746" s="1">
        <v>0.2</v>
      </c>
    </row>
    <row r="747" spans="4:13">
      <c r="D747" s="1" t="s">
        <v>157</v>
      </c>
      <c r="E747" s="1" t="s">
        <v>160</v>
      </c>
      <c r="F747" s="1" t="s">
        <v>161</v>
      </c>
      <c r="G747" s="1" t="s">
        <v>162</v>
      </c>
      <c r="H747" s="1" t="s">
        <v>22</v>
      </c>
      <c r="I747" s="1" t="s">
        <v>23</v>
      </c>
      <c r="J747" s="1">
        <v>0</v>
      </c>
      <c r="K747" s="1">
        <v>9510193342.230648</v>
      </c>
      <c r="L747" s="1">
        <v>15850.322237051079</v>
      </c>
      <c r="M747" s="1">
        <v>1438.0607923259079</v>
      </c>
    </row>
    <row r="748" spans="4:13">
      <c r="D748" s="1" t="s">
        <v>157</v>
      </c>
      <c r="E748" s="1" t="s">
        <v>163</v>
      </c>
      <c r="H748" s="1" t="s">
        <v>22</v>
      </c>
      <c r="I748" s="1" t="s">
        <v>23</v>
      </c>
      <c r="J748" s="1">
        <v>0</v>
      </c>
      <c r="K748" s="1">
        <v>1</v>
      </c>
      <c r="L748" s="1">
        <v>0.1</v>
      </c>
      <c r="M748" s="1">
        <v>0.2</v>
      </c>
    </row>
    <row r="749" spans="4:13">
      <c r="D749" s="1" t="s">
        <v>157</v>
      </c>
      <c r="E749" s="1" t="s">
        <v>164</v>
      </c>
      <c r="F749" s="1" t="s">
        <v>35</v>
      </c>
      <c r="G749" s="1" t="s">
        <v>36</v>
      </c>
      <c r="H749" s="1" t="s">
        <v>22</v>
      </c>
      <c r="I749" s="1" t="s">
        <v>29</v>
      </c>
      <c r="J749" s="1">
        <v>-31.018000000000029</v>
      </c>
      <c r="K749" s="1">
        <v>256.99999999999994</v>
      </c>
      <c r="L749" s="1">
        <v>80.329999999999984</v>
      </c>
    </row>
    <row r="750" spans="4:13">
      <c r="D750" s="1" t="s">
        <v>157</v>
      </c>
      <c r="E750" s="1" t="s">
        <v>43</v>
      </c>
      <c r="H750" s="1" t="s">
        <v>25</v>
      </c>
      <c r="I750" s="1" t="s">
        <v>23</v>
      </c>
      <c r="M750" s="1" t="b">
        <v>0</v>
      </c>
    </row>
    <row r="751" spans="4:13">
      <c r="D751" s="1" t="s">
        <v>157</v>
      </c>
      <c r="E751" s="1" t="s">
        <v>44</v>
      </c>
      <c r="F751" s="1" t="s">
        <v>45</v>
      </c>
      <c r="G751" s="1" t="s">
        <v>46</v>
      </c>
      <c r="H751" s="1" t="s">
        <v>22</v>
      </c>
      <c r="I751" s="1" t="s">
        <v>23</v>
      </c>
      <c r="J751" s="1">
        <v>-85.984522757427143</v>
      </c>
      <c r="K751" s="1">
        <v>859.84522757427146</v>
      </c>
      <c r="L751" s="1">
        <v>429.92261378713573</v>
      </c>
      <c r="M751" s="1">
        <v>128.97678413614071</v>
      </c>
    </row>
    <row r="752" spans="4:13">
      <c r="D752" s="1" t="s">
        <v>157</v>
      </c>
      <c r="E752" s="1" t="s">
        <v>47</v>
      </c>
      <c r="H752" s="1" t="s">
        <v>25</v>
      </c>
      <c r="I752" s="1" t="s">
        <v>23</v>
      </c>
      <c r="M752" s="1" t="b">
        <v>0</v>
      </c>
    </row>
    <row r="753" spans="4:13">
      <c r="D753" s="1" t="s">
        <v>157</v>
      </c>
      <c r="E753" s="1" t="s">
        <v>54</v>
      </c>
      <c r="H753" s="1" t="s">
        <v>25</v>
      </c>
      <c r="I753" s="1" t="s">
        <v>23</v>
      </c>
      <c r="M753" s="1" t="b">
        <v>0</v>
      </c>
    </row>
    <row r="754" spans="4:13">
      <c r="D754" s="1" t="s">
        <v>157</v>
      </c>
      <c r="E754" s="1" t="s">
        <v>55</v>
      </c>
      <c r="F754" s="1" t="s">
        <v>56</v>
      </c>
      <c r="G754" s="1" t="s">
        <v>57</v>
      </c>
      <c r="H754" s="1" t="s">
        <v>22</v>
      </c>
      <c r="I754" s="1" t="s">
        <v>23</v>
      </c>
      <c r="J754" s="1">
        <v>0</v>
      </c>
      <c r="K754" s="1">
        <v>942.74529524635989</v>
      </c>
      <c r="L754" s="1">
        <v>14.503773773020921</v>
      </c>
      <c r="M754" s="1">
        <v>39.999998299180966</v>
      </c>
    </row>
    <row r="755" spans="4:13">
      <c r="D755" s="1" t="s">
        <v>157</v>
      </c>
      <c r="E755" s="1" t="s">
        <v>58</v>
      </c>
      <c r="H755" s="1" t="s">
        <v>25</v>
      </c>
      <c r="I755" s="1" t="s">
        <v>23</v>
      </c>
      <c r="M755" s="1" t="b">
        <v>0</v>
      </c>
    </row>
    <row r="756" spans="4:13">
      <c r="D756" s="1" t="s">
        <v>157</v>
      </c>
      <c r="E756" s="1" t="s">
        <v>59</v>
      </c>
      <c r="F756" s="1" t="s">
        <v>60</v>
      </c>
      <c r="G756" s="1" t="s">
        <v>61</v>
      </c>
      <c r="H756" s="1" t="s">
        <v>22</v>
      </c>
      <c r="I756" s="1" t="s">
        <v>23</v>
      </c>
      <c r="J756" s="1">
        <v>-0.95538358650800004</v>
      </c>
      <c r="K756" s="1">
        <v>9.5538358650799999</v>
      </c>
      <c r="L756" s="1">
        <v>0.23884589662700001</v>
      </c>
      <c r="M756" s="1">
        <v>0.23884589662700001</v>
      </c>
    </row>
    <row r="757" spans="4:13">
      <c r="D757" s="1" t="s">
        <v>157</v>
      </c>
      <c r="E757" s="1" t="s">
        <v>64</v>
      </c>
      <c r="F757" s="1" t="s">
        <v>35</v>
      </c>
      <c r="G757" s="1" t="s">
        <v>36</v>
      </c>
      <c r="H757" s="1" t="s">
        <v>22</v>
      </c>
      <c r="I757" s="1" t="s">
        <v>65</v>
      </c>
      <c r="J757" s="1">
        <v>-459.67</v>
      </c>
      <c r="L757" s="1">
        <v>80.329999999999984</v>
      </c>
    </row>
    <row r="758" spans="4:13">
      <c r="D758" s="1" t="s">
        <v>157</v>
      </c>
      <c r="E758" s="1" t="s">
        <v>166</v>
      </c>
      <c r="F758" s="1" t="s">
        <v>161</v>
      </c>
      <c r="G758" s="1" t="s">
        <v>162</v>
      </c>
      <c r="H758" s="1" t="s">
        <v>22</v>
      </c>
      <c r="I758" s="1" t="s">
        <v>65</v>
      </c>
      <c r="L758" s="1">
        <v>15850.322237051079</v>
      </c>
    </row>
    <row r="759" spans="4:13">
      <c r="D759" s="1" t="s">
        <v>157</v>
      </c>
      <c r="E759" s="1" t="s">
        <v>68</v>
      </c>
      <c r="F759" s="1" t="s">
        <v>45</v>
      </c>
      <c r="G759" s="1" t="s">
        <v>46</v>
      </c>
      <c r="H759" s="1" t="s">
        <v>22</v>
      </c>
      <c r="I759" s="1" t="s">
        <v>65</v>
      </c>
      <c r="L759" s="1">
        <v>4.2992261378713571E-4</v>
      </c>
    </row>
    <row r="760" spans="4:13">
      <c r="D760" s="1" t="s">
        <v>157</v>
      </c>
      <c r="E760" s="1" t="s">
        <v>69</v>
      </c>
      <c r="H760" s="1" t="s">
        <v>25</v>
      </c>
      <c r="I760" s="1" t="s">
        <v>70</v>
      </c>
    </row>
    <row r="761" spans="4:13">
      <c r="D761" s="1" t="s">
        <v>157</v>
      </c>
      <c r="E761" s="1" t="s">
        <v>72</v>
      </c>
      <c r="F761" s="1" t="s">
        <v>56</v>
      </c>
      <c r="G761" s="1" t="s">
        <v>57</v>
      </c>
      <c r="H761" s="1" t="s">
        <v>22</v>
      </c>
      <c r="I761" s="1" t="s">
        <v>65</v>
      </c>
      <c r="J761" s="1">
        <v>0</v>
      </c>
      <c r="L761" s="1">
        <v>14.503773773020921</v>
      </c>
    </row>
    <row r="762" spans="4:13">
      <c r="D762" s="1" t="s">
        <v>157</v>
      </c>
      <c r="E762" s="1" t="s">
        <v>73</v>
      </c>
      <c r="F762" s="1" t="s">
        <v>60</v>
      </c>
      <c r="G762" s="1" t="s">
        <v>61</v>
      </c>
      <c r="H762" s="1" t="s">
        <v>22</v>
      </c>
      <c r="I762" s="1" t="s">
        <v>65</v>
      </c>
      <c r="L762" s="1">
        <v>2.38845896627E-4</v>
      </c>
    </row>
    <row r="763" spans="4:13">
      <c r="D763" s="1" t="s">
        <v>157</v>
      </c>
      <c r="E763" s="1" t="s">
        <v>74</v>
      </c>
      <c r="F763" s="1" t="s">
        <v>75</v>
      </c>
      <c r="G763" s="1" t="s">
        <v>76</v>
      </c>
      <c r="H763" s="1" t="s">
        <v>22</v>
      </c>
      <c r="I763" s="1" t="s">
        <v>65</v>
      </c>
      <c r="J763" s="1">
        <v>0</v>
      </c>
      <c r="L763" s="1">
        <v>16.018463521800001</v>
      </c>
    </row>
    <row r="764" spans="4:13">
      <c r="D764" s="1" t="s">
        <v>157</v>
      </c>
      <c r="E764" s="1" t="s">
        <v>78</v>
      </c>
      <c r="H764" s="1" t="s">
        <v>25</v>
      </c>
      <c r="I764" s="1" t="s">
        <v>23</v>
      </c>
      <c r="M764" s="1" t="b">
        <v>0</v>
      </c>
    </row>
    <row r="765" spans="4:13">
      <c r="D765" s="1" t="s">
        <v>157</v>
      </c>
      <c r="E765" s="1" t="s">
        <v>79</v>
      </c>
      <c r="F765" s="1" t="s">
        <v>75</v>
      </c>
      <c r="G765" s="1" t="s">
        <v>76</v>
      </c>
      <c r="H765" s="1" t="s">
        <v>22</v>
      </c>
      <c r="I765" s="1" t="s">
        <v>23</v>
      </c>
      <c r="J765" s="1">
        <v>0</v>
      </c>
      <c r="K765" s="1">
        <v>0.96110781130800005</v>
      </c>
      <c r="L765" s="1">
        <v>16.018463521800001</v>
      </c>
      <c r="M765" s="1">
        <v>1.6018463521800003E-2</v>
      </c>
    </row>
    <row r="766" spans="4:13">
      <c r="D766" s="1" t="s">
        <v>168</v>
      </c>
      <c r="E766" s="1" t="s">
        <v>169</v>
      </c>
      <c r="H766" s="1" t="s">
        <v>25</v>
      </c>
      <c r="I766" s="1" t="s">
        <v>23</v>
      </c>
      <c r="M766" s="1" t="b">
        <v>1</v>
      </c>
    </row>
    <row r="767" spans="4:13">
      <c r="D767" s="1" t="s">
        <v>170</v>
      </c>
      <c r="E767" s="1" t="s">
        <v>171</v>
      </c>
      <c r="H767" s="1" t="s">
        <v>22</v>
      </c>
      <c r="I767" s="1" t="s">
        <v>23</v>
      </c>
      <c r="L767" s="1">
        <v>1</v>
      </c>
      <c r="M767" s="1">
        <v>3.0558000000000001</v>
      </c>
    </row>
    <row r="768" spans="4:13">
      <c r="D768" s="1" t="s">
        <v>170</v>
      </c>
      <c r="E768" s="1" t="s">
        <v>172</v>
      </c>
      <c r="H768" s="1" t="s">
        <v>22</v>
      </c>
      <c r="I768" s="1" t="s">
        <v>29</v>
      </c>
      <c r="J768" s="1">
        <v>0</v>
      </c>
      <c r="K768" s="1">
        <v>10000</v>
      </c>
      <c r="L768" s="1">
        <v>5000</v>
      </c>
    </row>
    <row r="769" spans="4:13">
      <c r="D769" s="1" t="s">
        <v>170</v>
      </c>
      <c r="E769" s="1" t="s">
        <v>173</v>
      </c>
      <c r="H769" s="1" t="s">
        <v>22</v>
      </c>
      <c r="I769" s="1" t="s">
        <v>29</v>
      </c>
      <c r="J769" s="1">
        <v>9.9999999999999995E-7</v>
      </c>
      <c r="K769" s="1">
        <v>0.01</v>
      </c>
      <c r="L769" s="1">
        <v>5.0004999999999997E-3</v>
      </c>
    </row>
    <row r="770" spans="4:13">
      <c r="D770" s="1" t="s">
        <v>170</v>
      </c>
      <c r="E770" s="1" t="s">
        <v>174</v>
      </c>
      <c r="H770" s="1" t="s">
        <v>25</v>
      </c>
      <c r="I770" s="1" t="s">
        <v>23</v>
      </c>
      <c r="M770" s="1" t="b">
        <v>1</v>
      </c>
    </row>
    <row r="771" spans="4:13">
      <c r="D771" s="1" t="s">
        <v>170</v>
      </c>
      <c r="E771" s="1" t="s">
        <v>175</v>
      </c>
      <c r="F771" s="1" t="s">
        <v>176</v>
      </c>
      <c r="G771" s="1" t="s">
        <v>177</v>
      </c>
      <c r="H771" s="1" t="s">
        <v>22</v>
      </c>
      <c r="I771" s="1" t="s">
        <v>23</v>
      </c>
      <c r="L771" s="1">
        <v>39.370078740157467</v>
      </c>
      <c r="M771" s="1">
        <v>6.0649999999999977</v>
      </c>
    </row>
    <row r="772" spans="4:13">
      <c r="D772" s="1" t="s">
        <v>170</v>
      </c>
      <c r="E772" s="1" t="s">
        <v>178</v>
      </c>
      <c r="H772" s="1" t="s">
        <v>25</v>
      </c>
      <c r="I772" s="1" t="s">
        <v>23</v>
      </c>
      <c r="M772" s="1" t="b">
        <v>0</v>
      </c>
    </row>
    <row r="773" spans="4:13">
      <c r="D773" s="1" t="s">
        <v>170</v>
      </c>
      <c r="E773" s="1" t="s">
        <v>111</v>
      </c>
      <c r="F773" s="1" t="s">
        <v>56</v>
      </c>
      <c r="G773" s="1" t="s">
        <v>57</v>
      </c>
      <c r="H773" s="1" t="s">
        <v>22</v>
      </c>
      <c r="I773" s="1" t="s">
        <v>23</v>
      </c>
      <c r="L773" s="1">
        <v>1.4503773773020921E-4</v>
      </c>
      <c r="M773" s="1">
        <v>7.2518868865104604E-3</v>
      </c>
    </row>
    <row r="774" spans="4:13">
      <c r="D774" s="1" t="s">
        <v>170</v>
      </c>
      <c r="E774" s="1" t="s">
        <v>179</v>
      </c>
      <c r="H774" s="1" t="s">
        <v>22</v>
      </c>
      <c r="I774" s="1" t="s">
        <v>23</v>
      </c>
      <c r="L774" s="1">
        <v>1</v>
      </c>
      <c r="M774" s="1">
        <v>10000</v>
      </c>
    </row>
    <row r="775" spans="4:13">
      <c r="D775" s="1" t="s">
        <v>170</v>
      </c>
      <c r="E775" s="1" t="s">
        <v>180</v>
      </c>
      <c r="H775" s="1" t="s">
        <v>181</v>
      </c>
      <c r="I775" s="1" t="s">
        <v>23</v>
      </c>
      <c r="J775" s="1">
        <v>1</v>
      </c>
      <c r="K775" s="1">
        <v>3</v>
      </c>
      <c r="M775" s="1" t="s">
        <v>182</v>
      </c>
    </row>
    <row r="776" spans="4:13">
      <c r="D776" s="1" t="s">
        <v>170</v>
      </c>
      <c r="E776" s="1" t="s">
        <v>47</v>
      </c>
      <c r="H776" s="1" t="s">
        <v>25</v>
      </c>
      <c r="I776" s="1" t="s">
        <v>23</v>
      </c>
      <c r="M776" s="1" t="b">
        <v>0</v>
      </c>
    </row>
    <row r="777" spans="4:13">
      <c r="D777" s="1" t="s">
        <v>170</v>
      </c>
      <c r="E777" s="1" t="s">
        <v>183</v>
      </c>
      <c r="H777" s="1" t="s">
        <v>25</v>
      </c>
      <c r="I777" s="1" t="s">
        <v>23</v>
      </c>
      <c r="M777" s="1" t="b">
        <v>1</v>
      </c>
    </row>
    <row r="778" spans="4:13">
      <c r="D778" s="1" t="s">
        <v>170</v>
      </c>
      <c r="E778" s="1" t="s">
        <v>112</v>
      </c>
      <c r="F778" s="1" t="s">
        <v>56</v>
      </c>
      <c r="G778" s="1" t="s">
        <v>57</v>
      </c>
      <c r="H778" s="1" t="s">
        <v>22</v>
      </c>
      <c r="I778" s="1" t="s">
        <v>29</v>
      </c>
      <c r="J778" s="1">
        <v>4.9312830828271128</v>
      </c>
      <c r="K778" s="1">
        <v>623.66227223989961</v>
      </c>
      <c r="L778" s="1">
        <v>50.713895374744951</v>
      </c>
    </row>
    <row r="779" spans="4:13">
      <c r="D779" s="1" t="s">
        <v>170</v>
      </c>
      <c r="E779" s="1" t="s">
        <v>62</v>
      </c>
      <c r="H779" s="1" t="s">
        <v>63</v>
      </c>
      <c r="I779" s="1" t="s">
        <v>23</v>
      </c>
      <c r="M779" s="1">
        <v>1</v>
      </c>
    </row>
    <row r="780" spans="4:13">
      <c r="D780" s="1" t="s">
        <v>170</v>
      </c>
      <c r="E780" s="1" t="s">
        <v>184</v>
      </c>
      <c r="H780" s="1" t="s">
        <v>22</v>
      </c>
      <c r="I780" s="1" t="s">
        <v>120</v>
      </c>
      <c r="L780" s="1">
        <v>1</v>
      </c>
    </row>
    <row r="781" spans="4:13">
      <c r="D781" s="1" t="s">
        <v>170</v>
      </c>
      <c r="E781" s="1" t="s">
        <v>185</v>
      </c>
      <c r="F781" s="1" t="s">
        <v>176</v>
      </c>
      <c r="G781" s="1" t="s">
        <v>177</v>
      </c>
      <c r="H781" s="1" t="s">
        <v>22</v>
      </c>
      <c r="I781" s="1" t="s">
        <v>65</v>
      </c>
      <c r="L781" s="1">
        <v>39.370078740157467</v>
      </c>
    </row>
    <row r="782" spans="4:13">
      <c r="D782" s="1" t="s">
        <v>170</v>
      </c>
      <c r="E782" s="1" t="s">
        <v>115</v>
      </c>
      <c r="F782" s="1" t="s">
        <v>56</v>
      </c>
      <c r="G782" s="1" t="s">
        <v>57</v>
      </c>
      <c r="H782" s="1" t="s">
        <v>22</v>
      </c>
      <c r="I782" s="1" t="s">
        <v>65</v>
      </c>
      <c r="L782" s="1">
        <v>1.4503773773020921E-4</v>
      </c>
    </row>
    <row r="783" spans="4:13">
      <c r="D783" s="1" t="s">
        <v>170</v>
      </c>
      <c r="E783" s="1" t="s">
        <v>69</v>
      </c>
      <c r="H783" s="1" t="s">
        <v>25</v>
      </c>
      <c r="I783" s="1" t="s">
        <v>70</v>
      </c>
    </row>
    <row r="784" spans="4:13">
      <c r="D784" s="1" t="s">
        <v>170</v>
      </c>
      <c r="E784" s="1" t="s">
        <v>186</v>
      </c>
      <c r="H784" s="1" t="s">
        <v>22</v>
      </c>
      <c r="I784" s="1" t="s">
        <v>65</v>
      </c>
      <c r="L784" s="1">
        <v>1</v>
      </c>
    </row>
    <row r="785" spans="4:13">
      <c r="D785" s="1" t="s">
        <v>170</v>
      </c>
      <c r="E785" s="1" t="s">
        <v>71</v>
      </c>
      <c r="F785" s="1" t="s">
        <v>52</v>
      </c>
      <c r="G785" s="1" t="s">
        <v>53</v>
      </c>
      <c r="H785" s="1" t="s">
        <v>22</v>
      </c>
      <c r="I785" s="1" t="s">
        <v>65</v>
      </c>
      <c r="L785" s="1">
        <v>7936.6414386555998</v>
      </c>
    </row>
    <row r="786" spans="4:13">
      <c r="D786" s="1" t="s">
        <v>170</v>
      </c>
      <c r="E786" s="1" t="s">
        <v>117</v>
      </c>
      <c r="F786" s="1" t="s">
        <v>118</v>
      </c>
      <c r="G786" s="1" t="s">
        <v>119</v>
      </c>
      <c r="H786" s="1" t="s">
        <v>22</v>
      </c>
      <c r="I786" s="1" t="s">
        <v>120</v>
      </c>
      <c r="J786" s="1">
        <v>0</v>
      </c>
      <c r="L786" s="1">
        <v>2.20462262185</v>
      </c>
    </row>
    <row r="787" spans="4:13">
      <c r="D787" s="1" t="s">
        <v>170</v>
      </c>
      <c r="E787" s="1" t="s">
        <v>123</v>
      </c>
      <c r="F787" s="1" t="s">
        <v>124</v>
      </c>
      <c r="G787" s="1" t="s">
        <v>125</v>
      </c>
      <c r="H787" s="1" t="s">
        <v>22</v>
      </c>
      <c r="I787" s="1" t="s">
        <v>120</v>
      </c>
      <c r="L787" s="1">
        <v>35.314666699999997</v>
      </c>
    </row>
    <row r="788" spans="4:13">
      <c r="D788" s="1" t="s">
        <v>170</v>
      </c>
      <c r="E788" s="1" t="s">
        <v>126</v>
      </c>
      <c r="H788" s="1" t="s">
        <v>22</v>
      </c>
      <c r="I788" s="1" t="s">
        <v>65</v>
      </c>
      <c r="L788" s="1">
        <v>1</v>
      </c>
    </row>
    <row r="789" spans="4:13">
      <c r="D789" s="1" t="s">
        <v>187</v>
      </c>
      <c r="E789" s="1" t="s">
        <v>28</v>
      </c>
      <c r="H789" s="1" t="s">
        <v>22</v>
      </c>
      <c r="I789" s="1" t="s">
        <v>29</v>
      </c>
      <c r="J789" s="1">
        <v>34000</v>
      </c>
      <c r="K789" s="1">
        <v>4300000</v>
      </c>
      <c r="L789" s="1">
        <v>349660</v>
      </c>
    </row>
    <row r="790" spans="4:13">
      <c r="D790" s="1" t="s">
        <v>187</v>
      </c>
      <c r="E790" s="1" t="s">
        <v>30</v>
      </c>
      <c r="H790" s="1" t="s">
        <v>22</v>
      </c>
      <c r="I790" s="1" t="s">
        <v>29</v>
      </c>
      <c r="J790" s="1">
        <v>-3.94</v>
      </c>
      <c r="K790" s="1">
        <v>3.66</v>
      </c>
      <c r="L790" s="1">
        <v>1</v>
      </c>
    </row>
    <row r="791" spans="4:13">
      <c r="D791" s="1" t="s">
        <v>187</v>
      </c>
      <c r="E791" s="1" t="s">
        <v>31</v>
      </c>
      <c r="H791" s="1" t="s">
        <v>22</v>
      </c>
      <c r="I791" s="1" t="s">
        <v>29</v>
      </c>
      <c r="J791" s="1">
        <v>0</v>
      </c>
      <c r="K791" s="1">
        <v>100</v>
      </c>
      <c r="L791" s="1">
        <v>1</v>
      </c>
    </row>
    <row r="792" spans="4:13">
      <c r="D792" s="1" t="s">
        <v>187</v>
      </c>
      <c r="E792" s="1" t="s">
        <v>32</v>
      </c>
      <c r="H792" s="1" t="s">
        <v>22</v>
      </c>
      <c r="I792" s="1" t="s">
        <v>29</v>
      </c>
      <c r="J792" s="1">
        <v>-3.94</v>
      </c>
      <c r="K792" s="1">
        <v>3.66</v>
      </c>
      <c r="L792" s="1">
        <v>1</v>
      </c>
    </row>
    <row r="793" spans="4:13">
      <c r="D793" s="1" t="s">
        <v>187</v>
      </c>
      <c r="E793" s="1" t="s">
        <v>33</v>
      </c>
      <c r="H793" s="1" t="s">
        <v>25</v>
      </c>
      <c r="I793" s="1" t="s">
        <v>23</v>
      </c>
      <c r="M793" s="1" t="b">
        <v>0</v>
      </c>
    </row>
    <row r="794" spans="4:13">
      <c r="D794" s="1" t="s">
        <v>187</v>
      </c>
      <c r="E794" s="1" t="s">
        <v>34</v>
      </c>
      <c r="F794" s="1" t="s">
        <v>35</v>
      </c>
      <c r="G794" s="1" t="s">
        <v>36</v>
      </c>
      <c r="H794" s="1" t="s">
        <v>22</v>
      </c>
      <c r="I794" s="1" t="s">
        <v>23</v>
      </c>
      <c r="J794" s="1">
        <v>-459.67</v>
      </c>
      <c r="K794" s="1">
        <v>980.32999999999993</v>
      </c>
      <c r="L794" s="1">
        <v>80.329999999999984</v>
      </c>
      <c r="M794" s="1">
        <v>67.999999999999943</v>
      </c>
    </row>
    <row r="795" spans="4:13">
      <c r="D795" s="1" t="s">
        <v>187</v>
      </c>
      <c r="E795" s="1" t="s">
        <v>37</v>
      </c>
      <c r="H795" s="1" t="s">
        <v>25</v>
      </c>
      <c r="I795" s="1" t="s">
        <v>23</v>
      </c>
      <c r="M795" s="1" t="b">
        <v>0</v>
      </c>
    </row>
    <row r="796" spans="4:13">
      <c r="D796" s="1" t="s">
        <v>187</v>
      </c>
      <c r="E796" s="1" t="s">
        <v>38</v>
      </c>
      <c r="F796" s="1" t="s">
        <v>35</v>
      </c>
      <c r="G796" s="1" t="s">
        <v>36</v>
      </c>
      <c r="H796" s="1" t="s">
        <v>22</v>
      </c>
      <c r="I796" s="1" t="s">
        <v>23</v>
      </c>
      <c r="J796" s="1">
        <v>-99.670000000000016</v>
      </c>
      <c r="K796" s="1">
        <v>980.32999999999993</v>
      </c>
      <c r="L796" s="1">
        <v>80.329999999999984</v>
      </c>
      <c r="M796" s="1">
        <v>13.999999999999943</v>
      </c>
    </row>
    <row r="797" spans="4:13">
      <c r="D797" s="1" t="s">
        <v>187</v>
      </c>
      <c r="E797" s="1" t="s">
        <v>39</v>
      </c>
      <c r="H797" s="1" t="s">
        <v>25</v>
      </c>
      <c r="I797" s="1" t="s">
        <v>23</v>
      </c>
      <c r="M797" s="1" t="b">
        <v>0</v>
      </c>
    </row>
    <row r="798" spans="4:13">
      <c r="D798" s="1" t="s">
        <v>187</v>
      </c>
      <c r="E798" s="1" t="s">
        <v>40</v>
      </c>
      <c r="F798" s="1" t="s">
        <v>41</v>
      </c>
      <c r="G798" s="1" t="s">
        <v>42</v>
      </c>
      <c r="H798" s="1" t="s">
        <v>22</v>
      </c>
      <c r="I798" s="1" t="s">
        <v>23</v>
      </c>
      <c r="J798" s="1">
        <v>-900</v>
      </c>
      <c r="K798" s="1">
        <v>900</v>
      </c>
      <c r="L798" s="1">
        <v>1.8</v>
      </c>
      <c r="M798" s="1">
        <v>9</v>
      </c>
    </row>
    <row r="799" spans="4:13">
      <c r="D799" s="1" t="s">
        <v>187</v>
      </c>
      <c r="E799" s="1" t="s">
        <v>43</v>
      </c>
      <c r="H799" s="1" t="s">
        <v>25</v>
      </c>
      <c r="I799" s="1" t="s">
        <v>23</v>
      </c>
      <c r="M799" s="1" t="b">
        <v>0</v>
      </c>
    </row>
    <row r="800" spans="4:13">
      <c r="D800" s="1" t="s">
        <v>187</v>
      </c>
      <c r="E800" s="1" t="s">
        <v>44</v>
      </c>
      <c r="F800" s="1" t="s">
        <v>45</v>
      </c>
      <c r="G800" s="1" t="s">
        <v>46</v>
      </c>
      <c r="H800" s="1" t="s">
        <v>22</v>
      </c>
      <c r="I800" s="1" t="s">
        <v>23</v>
      </c>
      <c r="J800" s="1">
        <v>-85.984522757427143</v>
      </c>
      <c r="K800" s="1">
        <v>8598.4522757427148</v>
      </c>
      <c r="L800" s="1">
        <v>114.79148749423418</v>
      </c>
      <c r="M800" s="1">
        <v>128.97678413614071</v>
      </c>
    </row>
    <row r="801" spans="4:13">
      <c r="D801" s="1" t="s">
        <v>187</v>
      </c>
      <c r="E801" s="1" t="s">
        <v>47</v>
      </c>
      <c r="H801" s="1" t="s">
        <v>25</v>
      </c>
      <c r="I801" s="1" t="s">
        <v>23</v>
      </c>
      <c r="M801" s="1" t="b">
        <v>0</v>
      </c>
    </row>
    <row r="802" spans="4:13">
      <c r="D802" s="1" t="s">
        <v>187</v>
      </c>
      <c r="E802" s="1" t="s">
        <v>48</v>
      </c>
      <c r="H802" s="1" t="s">
        <v>25</v>
      </c>
      <c r="I802" s="1" t="s">
        <v>23</v>
      </c>
      <c r="M802" s="1" t="b">
        <v>0</v>
      </c>
    </row>
    <row r="803" spans="4:13">
      <c r="D803" s="1" t="s">
        <v>187</v>
      </c>
      <c r="E803" s="1" t="s">
        <v>49</v>
      </c>
      <c r="H803" s="1" t="s">
        <v>25</v>
      </c>
      <c r="I803" s="1" t="s">
        <v>23</v>
      </c>
      <c r="M803" s="1" t="b">
        <v>0</v>
      </c>
    </row>
    <row r="804" spans="4:13">
      <c r="D804" s="1" t="s">
        <v>187</v>
      </c>
      <c r="E804" s="1" t="s">
        <v>50</v>
      </c>
      <c r="H804" s="1" t="s">
        <v>25</v>
      </c>
      <c r="I804" s="1" t="s">
        <v>23</v>
      </c>
      <c r="M804" s="1" t="b">
        <v>0</v>
      </c>
    </row>
    <row r="805" spans="4:13">
      <c r="D805" s="1" t="s">
        <v>187</v>
      </c>
      <c r="E805" s="1" t="s">
        <v>51</v>
      </c>
      <c r="F805" s="1" t="s">
        <v>52</v>
      </c>
      <c r="G805" s="1" t="s">
        <v>53</v>
      </c>
      <c r="H805" s="1" t="s">
        <v>22</v>
      </c>
      <c r="I805" s="1" t="s">
        <v>23</v>
      </c>
      <c r="J805" s="1">
        <v>0</v>
      </c>
      <c r="K805" s="1">
        <v>7936641438.6555996</v>
      </c>
      <c r="L805" s="1">
        <v>7936.6414386555998</v>
      </c>
      <c r="M805" s="1">
        <v>7936.6414386555998</v>
      </c>
    </row>
    <row r="806" spans="4:13">
      <c r="D806" s="1" t="s">
        <v>187</v>
      </c>
      <c r="E806" s="1" t="s">
        <v>54</v>
      </c>
      <c r="H806" s="1" t="s">
        <v>25</v>
      </c>
      <c r="I806" s="1" t="s">
        <v>23</v>
      </c>
      <c r="M806" s="1" t="b">
        <v>0</v>
      </c>
    </row>
    <row r="807" spans="4:13">
      <c r="D807" s="1" t="s">
        <v>187</v>
      </c>
      <c r="E807" s="1" t="s">
        <v>55</v>
      </c>
      <c r="F807" s="1" t="s">
        <v>56</v>
      </c>
      <c r="G807" s="1" t="s">
        <v>57</v>
      </c>
      <c r="H807" s="1" t="s">
        <v>22</v>
      </c>
      <c r="I807" s="1" t="s">
        <v>23</v>
      </c>
      <c r="J807" s="1">
        <v>0</v>
      </c>
      <c r="K807" s="1">
        <v>9427.4529524635982</v>
      </c>
      <c r="L807" s="1">
        <v>50.713895374744951</v>
      </c>
      <c r="M807" s="1">
        <v>50.763208205573221</v>
      </c>
    </row>
    <row r="808" spans="4:13">
      <c r="D808" s="1" t="s">
        <v>187</v>
      </c>
      <c r="E808" s="1" t="s">
        <v>58</v>
      </c>
      <c r="H808" s="1" t="s">
        <v>25</v>
      </c>
      <c r="I808" s="1" t="s">
        <v>23</v>
      </c>
      <c r="M808" s="1" t="b">
        <v>0</v>
      </c>
    </row>
    <row r="809" spans="4:13">
      <c r="D809" s="1" t="s">
        <v>187</v>
      </c>
      <c r="E809" s="1" t="s">
        <v>59</v>
      </c>
      <c r="F809" s="1" t="s">
        <v>60</v>
      </c>
      <c r="G809" s="1" t="s">
        <v>61</v>
      </c>
      <c r="H809" s="1" t="s">
        <v>22</v>
      </c>
      <c r="I809" s="1" t="s">
        <v>23</v>
      </c>
      <c r="J809" s="1">
        <v>-9.5538358650799999</v>
      </c>
      <c r="K809" s="1">
        <v>9.5538358650799999</v>
      </c>
      <c r="L809" s="1">
        <v>0.23884589662700001</v>
      </c>
      <c r="M809" s="1">
        <v>0.23884589662700001</v>
      </c>
    </row>
    <row r="810" spans="4:13">
      <c r="D810" s="1" t="s">
        <v>187</v>
      </c>
      <c r="E810" s="1" t="s">
        <v>62</v>
      </c>
      <c r="H810" s="1" t="s">
        <v>63</v>
      </c>
      <c r="I810" s="1" t="s">
        <v>23</v>
      </c>
      <c r="M810" s="1">
        <v>1</v>
      </c>
    </row>
    <row r="811" spans="4:13">
      <c r="D811" s="1" t="s">
        <v>187</v>
      </c>
      <c r="E811" s="1" t="s">
        <v>64</v>
      </c>
      <c r="F811" s="1" t="s">
        <v>35</v>
      </c>
      <c r="G811" s="1" t="s">
        <v>36</v>
      </c>
      <c r="H811" s="1" t="s">
        <v>22</v>
      </c>
      <c r="I811" s="1" t="s">
        <v>65</v>
      </c>
      <c r="J811" s="1">
        <v>-459.67</v>
      </c>
      <c r="L811" s="1">
        <v>80.329999999999984</v>
      </c>
    </row>
    <row r="812" spans="4:13">
      <c r="D812" s="1" t="s">
        <v>187</v>
      </c>
      <c r="E812" s="1" t="s">
        <v>66</v>
      </c>
      <c r="F812" s="1" t="s">
        <v>35</v>
      </c>
      <c r="G812" s="1" t="s">
        <v>36</v>
      </c>
      <c r="H812" s="1" t="s">
        <v>22</v>
      </c>
      <c r="I812" s="1" t="s">
        <v>65</v>
      </c>
      <c r="J812" s="1">
        <v>-459.67</v>
      </c>
      <c r="L812" s="1">
        <v>80.329999999999984</v>
      </c>
    </row>
    <row r="813" spans="4:13">
      <c r="D813" s="1" t="s">
        <v>187</v>
      </c>
      <c r="E813" s="1" t="s">
        <v>67</v>
      </c>
      <c r="F813" s="1" t="s">
        <v>41</v>
      </c>
      <c r="G813" s="1" t="s">
        <v>42</v>
      </c>
      <c r="H813" s="1" t="s">
        <v>22</v>
      </c>
      <c r="I813" s="1" t="s">
        <v>65</v>
      </c>
      <c r="L813" s="1">
        <v>1.8</v>
      </c>
    </row>
    <row r="814" spans="4:13">
      <c r="D814" s="1" t="s">
        <v>187</v>
      </c>
      <c r="E814" s="1" t="s">
        <v>68</v>
      </c>
      <c r="F814" s="1" t="s">
        <v>45</v>
      </c>
      <c r="G814" s="1" t="s">
        <v>46</v>
      </c>
      <c r="H814" s="1" t="s">
        <v>22</v>
      </c>
      <c r="I814" s="1" t="s">
        <v>65</v>
      </c>
      <c r="L814" s="1">
        <v>4.2992261378713571E-4</v>
      </c>
    </row>
    <row r="815" spans="4:13">
      <c r="D815" s="1" t="s">
        <v>187</v>
      </c>
      <c r="E815" s="1" t="s">
        <v>69</v>
      </c>
      <c r="H815" s="1" t="s">
        <v>25</v>
      </c>
      <c r="I815" s="1" t="s">
        <v>70</v>
      </c>
    </row>
    <row r="816" spans="4:13">
      <c r="D816" s="1" t="s">
        <v>187</v>
      </c>
      <c r="E816" s="1" t="s">
        <v>71</v>
      </c>
      <c r="F816" s="1" t="s">
        <v>52</v>
      </c>
      <c r="G816" s="1" t="s">
        <v>53</v>
      </c>
      <c r="H816" s="1" t="s">
        <v>22</v>
      </c>
      <c r="I816" s="1" t="s">
        <v>65</v>
      </c>
      <c r="L816" s="1">
        <v>7936.6414386555998</v>
      </c>
    </row>
    <row r="817" spans="4:13">
      <c r="D817" s="1" t="s">
        <v>187</v>
      </c>
      <c r="E817" s="1" t="s">
        <v>72</v>
      </c>
      <c r="F817" s="1" t="s">
        <v>56</v>
      </c>
      <c r="G817" s="1" t="s">
        <v>57</v>
      </c>
      <c r="H817" s="1" t="s">
        <v>22</v>
      </c>
      <c r="I817" s="1" t="s">
        <v>65</v>
      </c>
      <c r="J817" s="1">
        <v>0</v>
      </c>
      <c r="L817" s="1">
        <v>14.503773773020921</v>
      </c>
    </row>
    <row r="818" spans="4:13">
      <c r="D818" s="1" t="s">
        <v>187</v>
      </c>
      <c r="E818" s="1" t="s">
        <v>73</v>
      </c>
      <c r="F818" s="1" t="s">
        <v>60</v>
      </c>
      <c r="G818" s="1" t="s">
        <v>61</v>
      </c>
      <c r="H818" s="1" t="s">
        <v>22</v>
      </c>
      <c r="I818" s="1" t="s">
        <v>65</v>
      </c>
      <c r="L818" s="1">
        <v>2.38845896627E-4</v>
      </c>
    </row>
    <row r="819" spans="4:13">
      <c r="D819" s="1" t="s">
        <v>187</v>
      </c>
      <c r="E819" s="1" t="s">
        <v>74</v>
      </c>
      <c r="F819" s="1" t="s">
        <v>75</v>
      </c>
      <c r="G819" s="1" t="s">
        <v>76</v>
      </c>
      <c r="H819" s="1" t="s">
        <v>22</v>
      </c>
      <c r="I819" s="1" t="s">
        <v>65</v>
      </c>
      <c r="J819" s="1">
        <v>0</v>
      </c>
      <c r="L819" s="1">
        <v>16.018463521800001</v>
      </c>
    </row>
    <row r="820" spans="4:13">
      <c r="D820" s="1" t="s">
        <v>187</v>
      </c>
      <c r="E820" s="1" t="s">
        <v>77</v>
      </c>
      <c r="H820" s="1" t="s">
        <v>22</v>
      </c>
      <c r="I820" s="1" t="s">
        <v>65</v>
      </c>
      <c r="L820" s="1">
        <v>1</v>
      </c>
    </row>
    <row r="821" spans="4:13">
      <c r="D821" s="1" t="s">
        <v>187</v>
      </c>
      <c r="E821" s="1" t="s">
        <v>78</v>
      </c>
      <c r="H821" s="1" t="s">
        <v>25</v>
      </c>
      <c r="I821" s="1" t="s">
        <v>23</v>
      </c>
      <c r="M821" s="1" t="b">
        <v>0</v>
      </c>
    </row>
    <row r="822" spans="4:13">
      <c r="D822" s="1" t="s">
        <v>187</v>
      </c>
      <c r="E822" s="1" t="s">
        <v>79</v>
      </c>
      <c r="F822" s="1" t="s">
        <v>75</v>
      </c>
      <c r="G822" s="1" t="s">
        <v>76</v>
      </c>
      <c r="H822" s="1" t="s">
        <v>22</v>
      </c>
      <c r="I822" s="1" t="s">
        <v>23</v>
      </c>
      <c r="J822" s="1">
        <v>0</v>
      </c>
      <c r="K822" s="1">
        <v>96.110781130800007</v>
      </c>
      <c r="L822" s="1">
        <v>16.018463521800001</v>
      </c>
      <c r="M822" s="1">
        <v>1.6018463521800002</v>
      </c>
    </row>
    <row r="823" spans="4:13">
      <c r="D823" s="1" t="s">
        <v>187</v>
      </c>
      <c r="E823" s="1" t="s">
        <v>80</v>
      </c>
      <c r="H823" s="1" t="s">
        <v>25</v>
      </c>
      <c r="I823" s="1" t="s">
        <v>23</v>
      </c>
      <c r="M823" s="1" t="b">
        <v>0</v>
      </c>
    </row>
    <row r="824" spans="4:13">
      <c r="D824" s="1" t="s">
        <v>187</v>
      </c>
      <c r="E824" s="1" t="s">
        <v>81</v>
      </c>
      <c r="H824" s="1" t="s">
        <v>25</v>
      </c>
      <c r="I824" s="1" t="s">
        <v>23</v>
      </c>
      <c r="M824" s="1" t="b">
        <v>0</v>
      </c>
    </row>
    <row r="825" spans="4:13">
      <c r="D825" s="1" t="s">
        <v>187</v>
      </c>
      <c r="E825" s="1" t="s">
        <v>82</v>
      </c>
      <c r="H825" s="1" t="s">
        <v>22</v>
      </c>
      <c r="I825" s="1" t="s">
        <v>23</v>
      </c>
      <c r="J825" s="1">
        <v>-1</v>
      </c>
      <c r="K825" s="1">
        <v>3</v>
      </c>
      <c r="L825" s="1">
        <v>1</v>
      </c>
      <c r="M825" s="1">
        <v>1.01</v>
      </c>
    </row>
    <row r="826" spans="4:13">
      <c r="D826" s="1" t="s">
        <v>188</v>
      </c>
      <c r="E826" s="1" t="s">
        <v>171</v>
      </c>
      <c r="H826" s="1" t="s">
        <v>22</v>
      </c>
      <c r="I826" s="1" t="s">
        <v>23</v>
      </c>
      <c r="L826" s="1">
        <v>1</v>
      </c>
      <c r="M826" s="1">
        <v>3.0558000000000001</v>
      </c>
    </row>
    <row r="827" spans="4:13">
      <c r="D827" s="1" t="s">
        <v>188</v>
      </c>
      <c r="E827" s="1" t="s">
        <v>172</v>
      </c>
      <c r="H827" s="1" t="s">
        <v>22</v>
      </c>
      <c r="I827" s="1" t="s">
        <v>29</v>
      </c>
      <c r="J827" s="1">
        <v>0</v>
      </c>
      <c r="K827" s="1">
        <v>10000</v>
      </c>
      <c r="L827" s="1">
        <v>5000</v>
      </c>
    </row>
    <row r="828" spans="4:13">
      <c r="D828" s="1" t="s">
        <v>188</v>
      </c>
      <c r="E828" s="1" t="s">
        <v>173</v>
      </c>
      <c r="H828" s="1" t="s">
        <v>22</v>
      </c>
      <c r="I828" s="1" t="s">
        <v>29</v>
      </c>
      <c r="J828" s="1">
        <v>9.9999999999999995E-7</v>
      </c>
      <c r="K828" s="1">
        <v>0.01</v>
      </c>
      <c r="L828" s="1">
        <v>5.0004999999999997E-3</v>
      </c>
    </row>
    <row r="829" spans="4:13">
      <c r="D829" s="1" t="s">
        <v>188</v>
      </c>
      <c r="E829" s="1" t="s">
        <v>174</v>
      </c>
      <c r="H829" s="1" t="s">
        <v>25</v>
      </c>
      <c r="I829" s="1" t="s">
        <v>23</v>
      </c>
      <c r="M829" s="1" t="b">
        <v>1</v>
      </c>
    </row>
    <row r="830" spans="4:13">
      <c r="D830" s="1" t="s">
        <v>188</v>
      </c>
      <c r="E830" s="1" t="s">
        <v>175</v>
      </c>
      <c r="F830" s="1" t="s">
        <v>176</v>
      </c>
      <c r="G830" s="1" t="s">
        <v>177</v>
      </c>
      <c r="H830" s="1" t="s">
        <v>22</v>
      </c>
      <c r="I830" s="1" t="s">
        <v>23</v>
      </c>
      <c r="L830" s="1">
        <v>39.370078740157467</v>
      </c>
      <c r="M830" s="1">
        <v>6.0649999999999977</v>
      </c>
    </row>
    <row r="831" spans="4:13">
      <c r="D831" s="1" t="s">
        <v>188</v>
      </c>
      <c r="E831" s="1" t="s">
        <v>178</v>
      </c>
      <c r="H831" s="1" t="s">
        <v>25</v>
      </c>
      <c r="I831" s="1" t="s">
        <v>23</v>
      </c>
      <c r="M831" s="1" t="b">
        <v>0</v>
      </c>
    </row>
    <row r="832" spans="4:13">
      <c r="D832" s="1" t="s">
        <v>188</v>
      </c>
      <c r="E832" s="1" t="s">
        <v>111</v>
      </c>
      <c r="F832" s="1" t="s">
        <v>56</v>
      </c>
      <c r="G832" s="1" t="s">
        <v>57</v>
      </c>
      <c r="H832" s="1" t="s">
        <v>22</v>
      </c>
      <c r="I832" s="1" t="s">
        <v>23</v>
      </c>
      <c r="L832" s="1">
        <v>1.4503773773020921E-4</v>
      </c>
      <c r="M832" s="1">
        <v>7.2518868865104604E-3</v>
      </c>
    </row>
    <row r="833" spans="4:13">
      <c r="D833" s="1" t="s">
        <v>188</v>
      </c>
      <c r="E833" s="1" t="s">
        <v>179</v>
      </c>
      <c r="H833" s="1" t="s">
        <v>22</v>
      </c>
      <c r="I833" s="1" t="s">
        <v>23</v>
      </c>
      <c r="L833" s="1">
        <v>1</v>
      </c>
      <c r="M833" s="1">
        <v>10000</v>
      </c>
    </row>
    <row r="834" spans="4:13">
      <c r="D834" s="1" t="s">
        <v>188</v>
      </c>
      <c r="E834" s="1" t="s">
        <v>180</v>
      </c>
      <c r="H834" s="1" t="s">
        <v>181</v>
      </c>
      <c r="I834" s="1" t="s">
        <v>23</v>
      </c>
      <c r="J834" s="1">
        <v>1</v>
      </c>
      <c r="K834" s="1">
        <v>3</v>
      </c>
      <c r="M834" s="1" t="s">
        <v>182</v>
      </c>
    </row>
    <row r="835" spans="4:13">
      <c r="D835" s="1" t="s">
        <v>188</v>
      </c>
      <c r="E835" s="1" t="s">
        <v>47</v>
      </c>
      <c r="H835" s="1" t="s">
        <v>25</v>
      </c>
      <c r="I835" s="1" t="s">
        <v>23</v>
      </c>
      <c r="M835" s="1" t="b">
        <v>0</v>
      </c>
    </row>
    <row r="836" spans="4:13">
      <c r="D836" s="1" t="s">
        <v>188</v>
      </c>
      <c r="E836" s="1" t="s">
        <v>183</v>
      </c>
      <c r="H836" s="1" t="s">
        <v>25</v>
      </c>
      <c r="I836" s="1" t="s">
        <v>23</v>
      </c>
      <c r="M836" s="1" t="b">
        <v>1</v>
      </c>
    </row>
    <row r="837" spans="4:13">
      <c r="D837" s="1" t="s">
        <v>188</v>
      </c>
      <c r="E837" s="1" t="s">
        <v>189</v>
      </c>
      <c r="H837" s="1" t="s">
        <v>22</v>
      </c>
      <c r="I837" s="1" t="s">
        <v>23</v>
      </c>
      <c r="L837" s="1">
        <v>1</v>
      </c>
      <c r="M837" s="1">
        <v>1.1900000000000001E-4</v>
      </c>
    </row>
    <row r="838" spans="4:13">
      <c r="D838" s="1" t="s">
        <v>188</v>
      </c>
      <c r="E838" s="1" t="s">
        <v>112</v>
      </c>
      <c r="F838" s="1" t="s">
        <v>56</v>
      </c>
      <c r="G838" s="1" t="s">
        <v>57</v>
      </c>
      <c r="H838" s="1" t="s">
        <v>22</v>
      </c>
      <c r="I838" s="1" t="s">
        <v>29</v>
      </c>
      <c r="J838" s="1">
        <v>4.9312830828271128</v>
      </c>
      <c r="K838" s="1">
        <v>623.66227223989961</v>
      </c>
      <c r="L838" s="1">
        <v>50.713895374744951</v>
      </c>
    </row>
    <row r="839" spans="4:13">
      <c r="D839" s="1" t="s">
        <v>188</v>
      </c>
      <c r="E839" s="1" t="s">
        <v>62</v>
      </c>
      <c r="H839" s="1" t="s">
        <v>63</v>
      </c>
      <c r="I839" s="1" t="s">
        <v>23</v>
      </c>
      <c r="M839" s="1">
        <v>1</v>
      </c>
    </row>
    <row r="840" spans="4:13">
      <c r="D840" s="1" t="s">
        <v>188</v>
      </c>
      <c r="E840" s="1" t="s">
        <v>184</v>
      </c>
      <c r="H840" s="1" t="s">
        <v>22</v>
      </c>
      <c r="I840" s="1" t="s">
        <v>120</v>
      </c>
      <c r="L840" s="1">
        <v>1</v>
      </c>
    </row>
    <row r="841" spans="4:13">
      <c r="D841" s="1" t="s">
        <v>188</v>
      </c>
      <c r="E841" s="1" t="s">
        <v>185</v>
      </c>
      <c r="F841" s="1" t="s">
        <v>176</v>
      </c>
      <c r="G841" s="1" t="s">
        <v>177</v>
      </c>
      <c r="H841" s="1" t="s">
        <v>22</v>
      </c>
      <c r="I841" s="1" t="s">
        <v>65</v>
      </c>
      <c r="L841" s="1">
        <v>39.370078740157467</v>
      </c>
    </row>
    <row r="842" spans="4:13">
      <c r="D842" s="1" t="s">
        <v>188</v>
      </c>
      <c r="E842" s="1" t="s">
        <v>115</v>
      </c>
      <c r="F842" s="1" t="s">
        <v>56</v>
      </c>
      <c r="G842" s="1" t="s">
        <v>57</v>
      </c>
      <c r="H842" s="1" t="s">
        <v>22</v>
      </c>
      <c r="I842" s="1" t="s">
        <v>65</v>
      </c>
      <c r="L842" s="1">
        <v>1.4503773773020921E-4</v>
      </c>
    </row>
    <row r="843" spans="4:13">
      <c r="D843" s="1" t="s">
        <v>188</v>
      </c>
      <c r="E843" s="1" t="s">
        <v>69</v>
      </c>
      <c r="H843" s="1" t="s">
        <v>25</v>
      </c>
      <c r="I843" s="1" t="s">
        <v>70</v>
      </c>
    </row>
    <row r="844" spans="4:13">
      <c r="D844" s="1" t="s">
        <v>188</v>
      </c>
      <c r="E844" s="1" t="s">
        <v>186</v>
      </c>
      <c r="H844" s="1" t="s">
        <v>22</v>
      </c>
      <c r="I844" s="1" t="s">
        <v>65</v>
      </c>
      <c r="L844" s="1">
        <v>1</v>
      </c>
    </row>
    <row r="845" spans="4:13">
      <c r="D845" s="1" t="s">
        <v>188</v>
      </c>
      <c r="E845" s="1" t="s">
        <v>71</v>
      </c>
      <c r="F845" s="1" t="s">
        <v>52</v>
      </c>
      <c r="G845" s="1" t="s">
        <v>53</v>
      </c>
      <c r="H845" s="1" t="s">
        <v>22</v>
      </c>
      <c r="I845" s="1" t="s">
        <v>65</v>
      </c>
      <c r="L845" s="1">
        <v>7936.6414386555998</v>
      </c>
    </row>
    <row r="846" spans="4:13">
      <c r="D846" s="1" t="s">
        <v>188</v>
      </c>
      <c r="E846" s="1" t="s">
        <v>117</v>
      </c>
      <c r="F846" s="1" t="s">
        <v>118</v>
      </c>
      <c r="G846" s="1" t="s">
        <v>119</v>
      </c>
      <c r="H846" s="1" t="s">
        <v>22</v>
      </c>
      <c r="I846" s="1" t="s">
        <v>120</v>
      </c>
      <c r="J846" s="1">
        <v>0</v>
      </c>
      <c r="L846" s="1">
        <v>2.20462262185</v>
      </c>
    </row>
    <row r="847" spans="4:13">
      <c r="D847" s="1" t="s">
        <v>188</v>
      </c>
      <c r="E847" s="1" t="s">
        <v>123</v>
      </c>
      <c r="F847" s="1" t="s">
        <v>124</v>
      </c>
      <c r="G847" s="1" t="s">
        <v>125</v>
      </c>
      <c r="H847" s="1" t="s">
        <v>22</v>
      </c>
      <c r="I847" s="1" t="s">
        <v>120</v>
      </c>
      <c r="L847" s="1">
        <v>35.314666699999997</v>
      </c>
    </row>
    <row r="848" spans="4:13">
      <c r="D848" s="1" t="s">
        <v>188</v>
      </c>
      <c r="E848" s="1" t="s">
        <v>126</v>
      </c>
      <c r="H848" s="1" t="s">
        <v>22</v>
      </c>
      <c r="I848" s="1" t="s">
        <v>65</v>
      </c>
      <c r="L848" s="1">
        <v>1</v>
      </c>
    </row>
    <row r="849" spans="4:13">
      <c r="D849" s="1" t="s">
        <v>190</v>
      </c>
      <c r="E849" s="1" t="s">
        <v>28</v>
      </c>
      <c r="H849" s="1" t="s">
        <v>22</v>
      </c>
      <c r="I849" s="1" t="s">
        <v>29</v>
      </c>
      <c r="J849" s="1">
        <v>34000</v>
      </c>
      <c r="K849" s="1">
        <v>4300000</v>
      </c>
      <c r="L849" s="1">
        <v>349660</v>
      </c>
    </row>
    <row r="850" spans="4:13">
      <c r="D850" s="1" t="s">
        <v>190</v>
      </c>
      <c r="E850" s="1" t="s">
        <v>30</v>
      </c>
      <c r="H850" s="1" t="s">
        <v>22</v>
      </c>
      <c r="I850" s="1" t="s">
        <v>29</v>
      </c>
      <c r="J850" s="1">
        <v>-3.94</v>
      </c>
      <c r="K850" s="1">
        <v>3.66</v>
      </c>
      <c r="L850" s="1">
        <v>1</v>
      </c>
    </row>
    <row r="851" spans="4:13">
      <c r="D851" s="1" t="s">
        <v>190</v>
      </c>
      <c r="E851" s="1" t="s">
        <v>31</v>
      </c>
      <c r="H851" s="1" t="s">
        <v>22</v>
      </c>
      <c r="I851" s="1" t="s">
        <v>29</v>
      </c>
      <c r="J851" s="1">
        <v>0</v>
      </c>
      <c r="K851" s="1">
        <v>100</v>
      </c>
      <c r="L851" s="1">
        <v>1</v>
      </c>
    </row>
    <row r="852" spans="4:13">
      <c r="D852" s="1" t="s">
        <v>190</v>
      </c>
      <c r="E852" s="1" t="s">
        <v>32</v>
      </c>
      <c r="H852" s="1" t="s">
        <v>22</v>
      </c>
      <c r="I852" s="1" t="s">
        <v>29</v>
      </c>
      <c r="J852" s="1">
        <v>-3.94</v>
      </c>
      <c r="K852" s="1">
        <v>3.66</v>
      </c>
      <c r="L852" s="1">
        <v>1</v>
      </c>
    </row>
    <row r="853" spans="4:13">
      <c r="D853" s="1" t="s">
        <v>190</v>
      </c>
      <c r="E853" s="1" t="s">
        <v>33</v>
      </c>
      <c r="H853" s="1" t="s">
        <v>25</v>
      </c>
      <c r="I853" s="1" t="s">
        <v>23</v>
      </c>
      <c r="M853" s="1" t="b">
        <v>0</v>
      </c>
    </row>
    <row r="854" spans="4:13">
      <c r="D854" s="1" t="s">
        <v>190</v>
      </c>
      <c r="E854" s="1" t="s">
        <v>34</v>
      </c>
      <c r="F854" s="1" t="s">
        <v>35</v>
      </c>
      <c r="G854" s="1" t="s">
        <v>36</v>
      </c>
      <c r="H854" s="1" t="s">
        <v>22</v>
      </c>
      <c r="I854" s="1" t="s">
        <v>23</v>
      </c>
      <c r="J854" s="1">
        <v>-459.67</v>
      </c>
      <c r="K854" s="1">
        <v>980.32999999999993</v>
      </c>
      <c r="L854" s="1">
        <v>80.329999999999984</v>
      </c>
      <c r="M854" s="1">
        <v>67.999999999999943</v>
      </c>
    </row>
    <row r="855" spans="4:13">
      <c r="D855" s="1" t="s">
        <v>190</v>
      </c>
      <c r="E855" s="1" t="s">
        <v>37</v>
      </c>
      <c r="H855" s="1" t="s">
        <v>25</v>
      </c>
      <c r="I855" s="1" t="s">
        <v>23</v>
      </c>
      <c r="M855" s="1" t="b">
        <v>0</v>
      </c>
    </row>
    <row r="856" spans="4:13">
      <c r="D856" s="1" t="s">
        <v>190</v>
      </c>
      <c r="E856" s="1" t="s">
        <v>38</v>
      </c>
      <c r="F856" s="1" t="s">
        <v>35</v>
      </c>
      <c r="G856" s="1" t="s">
        <v>36</v>
      </c>
      <c r="H856" s="1" t="s">
        <v>22</v>
      </c>
      <c r="I856" s="1" t="s">
        <v>23</v>
      </c>
      <c r="J856" s="1">
        <v>-99.670000000000016</v>
      </c>
      <c r="K856" s="1">
        <v>980.32999999999993</v>
      </c>
      <c r="L856" s="1">
        <v>80.329999999999984</v>
      </c>
      <c r="M856" s="1">
        <v>13.999999999999943</v>
      </c>
    </row>
    <row r="857" spans="4:13">
      <c r="D857" s="1" t="s">
        <v>190</v>
      </c>
      <c r="E857" s="1" t="s">
        <v>39</v>
      </c>
      <c r="H857" s="1" t="s">
        <v>25</v>
      </c>
      <c r="I857" s="1" t="s">
        <v>23</v>
      </c>
      <c r="M857" s="1" t="b">
        <v>0</v>
      </c>
    </row>
    <row r="858" spans="4:13">
      <c r="D858" s="1" t="s">
        <v>190</v>
      </c>
      <c r="E858" s="1" t="s">
        <v>40</v>
      </c>
      <c r="F858" s="1" t="s">
        <v>41</v>
      </c>
      <c r="G858" s="1" t="s">
        <v>42</v>
      </c>
      <c r="H858" s="1" t="s">
        <v>22</v>
      </c>
      <c r="I858" s="1" t="s">
        <v>23</v>
      </c>
      <c r="J858" s="1">
        <v>-900</v>
      </c>
      <c r="K858" s="1">
        <v>900</v>
      </c>
      <c r="L858" s="1">
        <v>1.8</v>
      </c>
      <c r="M858" s="1">
        <v>9</v>
      </c>
    </row>
    <row r="859" spans="4:13">
      <c r="D859" s="1" t="s">
        <v>190</v>
      </c>
      <c r="E859" s="1" t="s">
        <v>43</v>
      </c>
      <c r="H859" s="1" t="s">
        <v>25</v>
      </c>
      <c r="I859" s="1" t="s">
        <v>23</v>
      </c>
      <c r="M859" s="1" t="b">
        <v>0</v>
      </c>
    </row>
    <row r="860" spans="4:13">
      <c r="D860" s="1" t="s">
        <v>190</v>
      </c>
      <c r="E860" s="1" t="s">
        <v>44</v>
      </c>
      <c r="F860" s="1" t="s">
        <v>45</v>
      </c>
      <c r="G860" s="1" t="s">
        <v>46</v>
      </c>
      <c r="H860" s="1" t="s">
        <v>22</v>
      </c>
      <c r="I860" s="1" t="s">
        <v>23</v>
      </c>
      <c r="J860" s="1">
        <v>-85.984522757427143</v>
      </c>
      <c r="K860" s="1">
        <v>8598.4522757427148</v>
      </c>
      <c r="L860" s="1">
        <v>114.79148749423418</v>
      </c>
      <c r="M860" s="1">
        <v>128.97678413614071</v>
      </c>
    </row>
    <row r="861" spans="4:13">
      <c r="D861" s="1" t="s">
        <v>190</v>
      </c>
      <c r="E861" s="1" t="s">
        <v>47</v>
      </c>
      <c r="H861" s="1" t="s">
        <v>25</v>
      </c>
      <c r="I861" s="1" t="s">
        <v>23</v>
      </c>
      <c r="M861" s="1" t="b">
        <v>0</v>
      </c>
    </row>
    <row r="862" spans="4:13">
      <c r="D862" s="1" t="s">
        <v>190</v>
      </c>
      <c r="E862" s="1" t="s">
        <v>48</v>
      </c>
      <c r="H862" s="1" t="s">
        <v>25</v>
      </c>
      <c r="I862" s="1" t="s">
        <v>23</v>
      </c>
      <c r="M862" s="1" t="b">
        <v>0</v>
      </c>
    </row>
    <row r="863" spans="4:13">
      <c r="D863" s="1" t="s">
        <v>190</v>
      </c>
      <c r="E863" s="1" t="s">
        <v>49</v>
      </c>
      <c r="H863" s="1" t="s">
        <v>25</v>
      </c>
      <c r="I863" s="1" t="s">
        <v>23</v>
      </c>
      <c r="M863" s="1" t="b">
        <v>0</v>
      </c>
    </row>
    <row r="864" spans="4:13">
      <c r="D864" s="1" t="s">
        <v>190</v>
      </c>
      <c r="E864" s="1" t="s">
        <v>50</v>
      </c>
      <c r="H864" s="1" t="s">
        <v>25</v>
      </c>
      <c r="I864" s="1" t="s">
        <v>23</v>
      </c>
      <c r="M864" s="1" t="b">
        <v>0</v>
      </c>
    </row>
    <row r="865" spans="4:13">
      <c r="D865" s="1" t="s">
        <v>190</v>
      </c>
      <c r="E865" s="1" t="s">
        <v>51</v>
      </c>
      <c r="F865" s="1" t="s">
        <v>52</v>
      </c>
      <c r="G865" s="1" t="s">
        <v>53</v>
      </c>
      <c r="H865" s="1" t="s">
        <v>22</v>
      </c>
      <c r="I865" s="1" t="s">
        <v>23</v>
      </c>
      <c r="J865" s="1">
        <v>0</v>
      </c>
      <c r="K865" s="1">
        <v>7936641438.6555996</v>
      </c>
      <c r="L865" s="1">
        <v>7936.6414386555998</v>
      </c>
      <c r="M865" s="1">
        <v>7936.6414386555998</v>
      </c>
    </row>
    <row r="866" spans="4:13">
      <c r="D866" s="1" t="s">
        <v>190</v>
      </c>
      <c r="E866" s="1" t="s">
        <v>54</v>
      </c>
      <c r="H866" s="1" t="s">
        <v>25</v>
      </c>
      <c r="I866" s="1" t="s">
        <v>23</v>
      </c>
      <c r="M866" s="1" t="b">
        <v>0</v>
      </c>
    </row>
    <row r="867" spans="4:13">
      <c r="D867" s="1" t="s">
        <v>190</v>
      </c>
      <c r="E867" s="1" t="s">
        <v>55</v>
      </c>
      <c r="F867" s="1" t="s">
        <v>56</v>
      </c>
      <c r="G867" s="1" t="s">
        <v>57</v>
      </c>
      <c r="H867" s="1" t="s">
        <v>22</v>
      </c>
      <c r="I867" s="1" t="s">
        <v>23</v>
      </c>
      <c r="J867" s="1">
        <v>0</v>
      </c>
      <c r="K867" s="1">
        <v>9427.4529524635982</v>
      </c>
      <c r="L867" s="1">
        <v>50.713895374744951</v>
      </c>
      <c r="M867" s="1">
        <v>50.763208205573221</v>
      </c>
    </row>
    <row r="868" spans="4:13">
      <c r="D868" s="1" t="s">
        <v>190</v>
      </c>
      <c r="E868" s="1" t="s">
        <v>58</v>
      </c>
      <c r="H868" s="1" t="s">
        <v>25</v>
      </c>
      <c r="I868" s="1" t="s">
        <v>23</v>
      </c>
      <c r="M868" s="1" t="b">
        <v>0</v>
      </c>
    </row>
    <row r="869" spans="4:13">
      <c r="D869" s="1" t="s">
        <v>190</v>
      </c>
      <c r="E869" s="1" t="s">
        <v>59</v>
      </c>
      <c r="F869" s="1" t="s">
        <v>60</v>
      </c>
      <c r="G869" s="1" t="s">
        <v>61</v>
      </c>
      <c r="H869" s="1" t="s">
        <v>22</v>
      </c>
      <c r="I869" s="1" t="s">
        <v>23</v>
      </c>
      <c r="J869" s="1">
        <v>-9.5538358650799999</v>
      </c>
      <c r="K869" s="1">
        <v>9.5538358650799999</v>
      </c>
      <c r="L869" s="1">
        <v>0.23884589662700001</v>
      </c>
      <c r="M869" s="1">
        <v>0.23884589662700001</v>
      </c>
    </row>
    <row r="870" spans="4:13">
      <c r="D870" s="1" t="s">
        <v>190</v>
      </c>
      <c r="E870" s="1" t="s">
        <v>62</v>
      </c>
      <c r="H870" s="1" t="s">
        <v>63</v>
      </c>
      <c r="I870" s="1" t="s">
        <v>23</v>
      </c>
      <c r="M870" s="1">
        <v>1</v>
      </c>
    </row>
    <row r="871" spans="4:13">
      <c r="D871" s="1" t="s">
        <v>190</v>
      </c>
      <c r="E871" s="1" t="s">
        <v>64</v>
      </c>
      <c r="F871" s="1" t="s">
        <v>35</v>
      </c>
      <c r="G871" s="1" t="s">
        <v>36</v>
      </c>
      <c r="H871" s="1" t="s">
        <v>22</v>
      </c>
      <c r="I871" s="1" t="s">
        <v>65</v>
      </c>
      <c r="J871" s="1">
        <v>-459.67</v>
      </c>
      <c r="L871" s="1">
        <v>80.329999999999984</v>
      </c>
    </row>
    <row r="872" spans="4:13">
      <c r="D872" s="1" t="s">
        <v>190</v>
      </c>
      <c r="E872" s="1" t="s">
        <v>66</v>
      </c>
      <c r="F872" s="1" t="s">
        <v>35</v>
      </c>
      <c r="G872" s="1" t="s">
        <v>36</v>
      </c>
      <c r="H872" s="1" t="s">
        <v>22</v>
      </c>
      <c r="I872" s="1" t="s">
        <v>65</v>
      </c>
      <c r="J872" s="1">
        <v>-459.67</v>
      </c>
      <c r="L872" s="1">
        <v>80.329999999999984</v>
      </c>
    </row>
    <row r="873" spans="4:13">
      <c r="D873" s="1" t="s">
        <v>190</v>
      </c>
      <c r="E873" s="1" t="s">
        <v>67</v>
      </c>
      <c r="F873" s="1" t="s">
        <v>41</v>
      </c>
      <c r="G873" s="1" t="s">
        <v>42</v>
      </c>
      <c r="H873" s="1" t="s">
        <v>22</v>
      </c>
      <c r="I873" s="1" t="s">
        <v>65</v>
      </c>
      <c r="L873" s="1">
        <v>1.8</v>
      </c>
    </row>
    <row r="874" spans="4:13">
      <c r="D874" s="1" t="s">
        <v>190</v>
      </c>
      <c r="E874" s="1" t="s">
        <v>68</v>
      </c>
      <c r="F874" s="1" t="s">
        <v>45</v>
      </c>
      <c r="G874" s="1" t="s">
        <v>46</v>
      </c>
      <c r="H874" s="1" t="s">
        <v>22</v>
      </c>
      <c r="I874" s="1" t="s">
        <v>65</v>
      </c>
      <c r="L874" s="1">
        <v>4.2992261378713571E-4</v>
      </c>
    </row>
    <row r="875" spans="4:13">
      <c r="D875" s="1" t="s">
        <v>190</v>
      </c>
      <c r="E875" s="1" t="s">
        <v>69</v>
      </c>
      <c r="H875" s="1" t="s">
        <v>25</v>
      </c>
      <c r="I875" s="1" t="s">
        <v>70</v>
      </c>
    </row>
    <row r="876" spans="4:13">
      <c r="D876" s="1" t="s">
        <v>190</v>
      </c>
      <c r="E876" s="1" t="s">
        <v>71</v>
      </c>
      <c r="F876" s="1" t="s">
        <v>52</v>
      </c>
      <c r="G876" s="1" t="s">
        <v>53</v>
      </c>
      <c r="H876" s="1" t="s">
        <v>22</v>
      </c>
      <c r="I876" s="1" t="s">
        <v>65</v>
      </c>
      <c r="L876" s="1">
        <v>7936.6414386555998</v>
      </c>
    </row>
    <row r="877" spans="4:13">
      <c r="D877" s="1" t="s">
        <v>190</v>
      </c>
      <c r="E877" s="1" t="s">
        <v>72</v>
      </c>
      <c r="F877" s="1" t="s">
        <v>56</v>
      </c>
      <c r="G877" s="1" t="s">
        <v>57</v>
      </c>
      <c r="H877" s="1" t="s">
        <v>22</v>
      </c>
      <c r="I877" s="1" t="s">
        <v>65</v>
      </c>
      <c r="J877" s="1">
        <v>0</v>
      </c>
      <c r="L877" s="1">
        <v>14.503773773020921</v>
      </c>
    </row>
    <row r="878" spans="4:13">
      <c r="D878" s="1" t="s">
        <v>190</v>
      </c>
      <c r="E878" s="1" t="s">
        <v>73</v>
      </c>
      <c r="F878" s="1" t="s">
        <v>60</v>
      </c>
      <c r="G878" s="1" t="s">
        <v>61</v>
      </c>
      <c r="H878" s="1" t="s">
        <v>22</v>
      </c>
      <c r="I878" s="1" t="s">
        <v>65</v>
      </c>
      <c r="L878" s="1">
        <v>2.38845896627E-4</v>
      </c>
    </row>
    <row r="879" spans="4:13">
      <c r="D879" s="1" t="s">
        <v>190</v>
      </c>
      <c r="E879" s="1" t="s">
        <v>74</v>
      </c>
      <c r="F879" s="1" t="s">
        <v>75</v>
      </c>
      <c r="G879" s="1" t="s">
        <v>76</v>
      </c>
      <c r="H879" s="1" t="s">
        <v>22</v>
      </c>
      <c r="I879" s="1" t="s">
        <v>65</v>
      </c>
      <c r="J879" s="1">
        <v>0</v>
      </c>
      <c r="L879" s="1">
        <v>16.018463521800001</v>
      </c>
    </row>
    <row r="880" spans="4:13">
      <c r="D880" s="1" t="s">
        <v>190</v>
      </c>
      <c r="E880" s="1" t="s">
        <v>77</v>
      </c>
      <c r="H880" s="1" t="s">
        <v>22</v>
      </c>
      <c r="I880" s="1" t="s">
        <v>65</v>
      </c>
      <c r="L880" s="1">
        <v>1</v>
      </c>
    </row>
    <row r="881" spans="4:13">
      <c r="D881" s="1" t="s">
        <v>190</v>
      </c>
      <c r="E881" s="1" t="s">
        <v>78</v>
      </c>
      <c r="H881" s="1" t="s">
        <v>25</v>
      </c>
      <c r="I881" s="1" t="s">
        <v>23</v>
      </c>
      <c r="M881" s="1" t="b">
        <v>0</v>
      </c>
    </row>
    <row r="882" spans="4:13">
      <c r="D882" s="1" t="s">
        <v>190</v>
      </c>
      <c r="E882" s="1" t="s">
        <v>79</v>
      </c>
      <c r="F882" s="1" t="s">
        <v>75</v>
      </c>
      <c r="G882" s="1" t="s">
        <v>76</v>
      </c>
      <c r="H882" s="1" t="s">
        <v>22</v>
      </c>
      <c r="I882" s="1" t="s">
        <v>23</v>
      </c>
      <c r="J882" s="1">
        <v>0</v>
      </c>
      <c r="K882" s="1">
        <v>96.110781130800007</v>
      </c>
      <c r="L882" s="1">
        <v>16.018463521800001</v>
      </c>
      <c r="M882" s="1">
        <v>1.6018463521800002</v>
      </c>
    </row>
    <row r="883" spans="4:13">
      <c r="D883" s="1" t="s">
        <v>190</v>
      </c>
      <c r="E883" s="1" t="s">
        <v>80</v>
      </c>
      <c r="H883" s="1" t="s">
        <v>25</v>
      </c>
      <c r="I883" s="1" t="s">
        <v>23</v>
      </c>
      <c r="M883" s="1" t="b">
        <v>0</v>
      </c>
    </row>
    <row r="884" spans="4:13">
      <c r="D884" s="1" t="s">
        <v>190</v>
      </c>
      <c r="E884" s="1" t="s">
        <v>81</v>
      </c>
      <c r="H884" s="1" t="s">
        <v>25</v>
      </c>
      <c r="I884" s="1" t="s">
        <v>23</v>
      </c>
      <c r="M884" s="1" t="b">
        <v>0</v>
      </c>
    </row>
    <row r="885" spans="4:13">
      <c r="D885" s="1" t="s">
        <v>190</v>
      </c>
      <c r="E885" s="1" t="s">
        <v>82</v>
      </c>
      <c r="H885" s="1" t="s">
        <v>22</v>
      </c>
      <c r="I885" s="1" t="s">
        <v>23</v>
      </c>
      <c r="J885" s="1">
        <v>-1</v>
      </c>
      <c r="K885" s="1">
        <v>3</v>
      </c>
      <c r="L885" s="1">
        <v>1</v>
      </c>
      <c r="M885" s="1">
        <v>1.01</v>
      </c>
    </row>
    <row r="886" spans="4:13">
      <c r="D886" s="1" t="s">
        <v>191</v>
      </c>
      <c r="E886" s="1" t="s">
        <v>28</v>
      </c>
      <c r="H886" s="1" t="s">
        <v>22</v>
      </c>
      <c r="I886" s="1" t="s">
        <v>29</v>
      </c>
      <c r="J886" s="1">
        <v>34000</v>
      </c>
      <c r="K886" s="1">
        <v>4300000</v>
      </c>
      <c r="L886" s="1">
        <v>349660</v>
      </c>
    </row>
    <row r="887" spans="4:13">
      <c r="D887" s="1" t="s">
        <v>191</v>
      </c>
      <c r="E887" s="1" t="s">
        <v>30</v>
      </c>
      <c r="H887" s="1" t="s">
        <v>22</v>
      </c>
      <c r="I887" s="1" t="s">
        <v>29</v>
      </c>
      <c r="J887" s="1">
        <v>-3.94</v>
      </c>
      <c r="K887" s="1">
        <v>3.66</v>
      </c>
      <c r="L887" s="1">
        <v>1</v>
      </c>
    </row>
    <row r="888" spans="4:13">
      <c r="D888" s="1" t="s">
        <v>191</v>
      </c>
      <c r="E888" s="1" t="s">
        <v>31</v>
      </c>
      <c r="H888" s="1" t="s">
        <v>22</v>
      </c>
      <c r="I888" s="1" t="s">
        <v>29</v>
      </c>
      <c r="J888" s="1">
        <v>0</v>
      </c>
      <c r="K888" s="1">
        <v>100</v>
      </c>
      <c r="L888" s="1">
        <v>1</v>
      </c>
    </row>
    <row r="889" spans="4:13">
      <c r="D889" s="1" t="s">
        <v>191</v>
      </c>
      <c r="E889" s="1" t="s">
        <v>32</v>
      </c>
      <c r="H889" s="1" t="s">
        <v>22</v>
      </c>
      <c r="I889" s="1" t="s">
        <v>29</v>
      </c>
      <c r="J889" s="1">
        <v>-3.94</v>
      </c>
      <c r="K889" s="1">
        <v>3.66</v>
      </c>
      <c r="L889" s="1">
        <v>1</v>
      </c>
    </row>
    <row r="890" spans="4:13">
      <c r="D890" s="1" t="s">
        <v>191</v>
      </c>
      <c r="E890" s="1" t="s">
        <v>33</v>
      </c>
      <c r="H890" s="1" t="s">
        <v>25</v>
      </c>
      <c r="I890" s="1" t="s">
        <v>23</v>
      </c>
      <c r="M890" s="1" t="b">
        <v>0</v>
      </c>
    </row>
    <row r="891" spans="4:13">
      <c r="D891" s="1" t="s">
        <v>191</v>
      </c>
      <c r="E891" s="1" t="s">
        <v>34</v>
      </c>
      <c r="F891" s="1" t="s">
        <v>35</v>
      </c>
      <c r="G891" s="1" t="s">
        <v>36</v>
      </c>
      <c r="H891" s="1" t="s">
        <v>22</v>
      </c>
      <c r="I891" s="1" t="s">
        <v>23</v>
      </c>
      <c r="J891" s="1">
        <v>-459.67</v>
      </c>
      <c r="K891" s="1">
        <v>980.32999999999993</v>
      </c>
      <c r="L891" s="1">
        <v>80.329999999999984</v>
      </c>
      <c r="M891" s="1">
        <v>67.999999999999943</v>
      </c>
    </row>
    <row r="892" spans="4:13">
      <c r="D892" s="1" t="s">
        <v>191</v>
      </c>
      <c r="E892" s="1" t="s">
        <v>37</v>
      </c>
      <c r="H892" s="1" t="s">
        <v>25</v>
      </c>
      <c r="I892" s="1" t="s">
        <v>23</v>
      </c>
      <c r="M892" s="1" t="b">
        <v>0</v>
      </c>
    </row>
    <row r="893" spans="4:13">
      <c r="D893" s="1" t="s">
        <v>191</v>
      </c>
      <c r="E893" s="1" t="s">
        <v>38</v>
      </c>
      <c r="F893" s="1" t="s">
        <v>35</v>
      </c>
      <c r="G893" s="1" t="s">
        <v>36</v>
      </c>
      <c r="H893" s="1" t="s">
        <v>22</v>
      </c>
      <c r="I893" s="1" t="s">
        <v>23</v>
      </c>
      <c r="J893" s="1">
        <v>-99.670000000000016</v>
      </c>
      <c r="K893" s="1">
        <v>980.32999999999993</v>
      </c>
      <c r="L893" s="1">
        <v>80.329999999999984</v>
      </c>
      <c r="M893" s="1">
        <v>13.999999999999943</v>
      </c>
    </row>
    <row r="894" spans="4:13">
      <c r="D894" s="1" t="s">
        <v>191</v>
      </c>
      <c r="E894" s="1" t="s">
        <v>39</v>
      </c>
      <c r="H894" s="1" t="s">
        <v>25</v>
      </c>
      <c r="I894" s="1" t="s">
        <v>23</v>
      </c>
      <c r="M894" s="1" t="b">
        <v>0</v>
      </c>
    </row>
    <row r="895" spans="4:13">
      <c r="D895" s="1" t="s">
        <v>191</v>
      </c>
      <c r="E895" s="1" t="s">
        <v>40</v>
      </c>
      <c r="F895" s="1" t="s">
        <v>41</v>
      </c>
      <c r="G895" s="1" t="s">
        <v>42</v>
      </c>
      <c r="H895" s="1" t="s">
        <v>22</v>
      </c>
      <c r="I895" s="1" t="s">
        <v>23</v>
      </c>
      <c r="J895" s="1">
        <v>-900</v>
      </c>
      <c r="K895" s="1">
        <v>900</v>
      </c>
      <c r="L895" s="1">
        <v>1.8</v>
      </c>
      <c r="M895" s="1">
        <v>9</v>
      </c>
    </row>
    <row r="896" spans="4:13">
      <c r="D896" s="1" t="s">
        <v>191</v>
      </c>
      <c r="E896" s="1" t="s">
        <v>43</v>
      </c>
      <c r="H896" s="1" t="s">
        <v>25</v>
      </c>
      <c r="I896" s="1" t="s">
        <v>23</v>
      </c>
      <c r="M896" s="1" t="b">
        <v>0</v>
      </c>
    </row>
    <row r="897" spans="4:13">
      <c r="D897" s="1" t="s">
        <v>191</v>
      </c>
      <c r="E897" s="1" t="s">
        <v>44</v>
      </c>
      <c r="F897" s="1" t="s">
        <v>45</v>
      </c>
      <c r="G897" s="1" t="s">
        <v>46</v>
      </c>
      <c r="H897" s="1" t="s">
        <v>22</v>
      </c>
      <c r="I897" s="1" t="s">
        <v>23</v>
      </c>
      <c r="J897" s="1">
        <v>-85.984522757427143</v>
      </c>
      <c r="K897" s="1">
        <v>8598.4522757427148</v>
      </c>
      <c r="L897" s="1">
        <v>114.79148749423418</v>
      </c>
      <c r="M897" s="1">
        <v>128.97678413614071</v>
      </c>
    </row>
    <row r="898" spans="4:13">
      <c r="D898" s="1" t="s">
        <v>191</v>
      </c>
      <c r="E898" s="1" t="s">
        <v>47</v>
      </c>
      <c r="H898" s="1" t="s">
        <v>25</v>
      </c>
      <c r="I898" s="1" t="s">
        <v>23</v>
      </c>
      <c r="M898" s="1" t="b">
        <v>0</v>
      </c>
    </row>
    <row r="899" spans="4:13">
      <c r="D899" s="1" t="s">
        <v>191</v>
      </c>
      <c r="E899" s="1" t="s">
        <v>48</v>
      </c>
      <c r="H899" s="1" t="s">
        <v>25</v>
      </c>
      <c r="I899" s="1" t="s">
        <v>23</v>
      </c>
      <c r="M899" s="1" t="b">
        <v>0</v>
      </c>
    </row>
    <row r="900" spans="4:13">
      <c r="D900" s="1" t="s">
        <v>191</v>
      </c>
      <c r="E900" s="1" t="s">
        <v>49</v>
      </c>
      <c r="H900" s="1" t="s">
        <v>25</v>
      </c>
      <c r="I900" s="1" t="s">
        <v>23</v>
      </c>
      <c r="M900" s="1" t="b">
        <v>0</v>
      </c>
    </row>
    <row r="901" spans="4:13">
      <c r="D901" s="1" t="s">
        <v>191</v>
      </c>
      <c r="E901" s="1" t="s">
        <v>50</v>
      </c>
      <c r="H901" s="1" t="s">
        <v>25</v>
      </c>
      <c r="I901" s="1" t="s">
        <v>23</v>
      </c>
      <c r="M901" s="1" t="b">
        <v>0</v>
      </c>
    </row>
    <row r="902" spans="4:13">
      <c r="D902" s="1" t="s">
        <v>191</v>
      </c>
      <c r="E902" s="1" t="s">
        <v>51</v>
      </c>
      <c r="F902" s="1" t="s">
        <v>52</v>
      </c>
      <c r="G902" s="1" t="s">
        <v>53</v>
      </c>
      <c r="H902" s="1" t="s">
        <v>22</v>
      </c>
      <c r="I902" s="1" t="s">
        <v>23</v>
      </c>
      <c r="J902" s="1">
        <v>0</v>
      </c>
      <c r="K902" s="1">
        <v>7936641438.6555996</v>
      </c>
      <c r="L902" s="1">
        <v>7936.6414386555998</v>
      </c>
      <c r="M902" s="1">
        <v>7936.6414386555998</v>
      </c>
    </row>
    <row r="903" spans="4:13">
      <c r="D903" s="1" t="s">
        <v>191</v>
      </c>
      <c r="E903" s="1" t="s">
        <v>54</v>
      </c>
      <c r="H903" s="1" t="s">
        <v>25</v>
      </c>
      <c r="I903" s="1" t="s">
        <v>23</v>
      </c>
      <c r="M903" s="1" t="b">
        <v>0</v>
      </c>
    </row>
    <row r="904" spans="4:13">
      <c r="D904" s="1" t="s">
        <v>191</v>
      </c>
      <c r="E904" s="1" t="s">
        <v>55</v>
      </c>
      <c r="F904" s="1" t="s">
        <v>56</v>
      </c>
      <c r="G904" s="1" t="s">
        <v>57</v>
      </c>
      <c r="H904" s="1" t="s">
        <v>22</v>
      </c>
      <c r="I904" s="1" t="s">
        <v>23</v>
      </c>
      <c r="J904" s="1">
        <v>0</v>
      </c>
      <c r="K904" s="1">
        <v>9427.4529524635982</v>
      </c>
      <c r="L904" s="1">
        <v>50.713895374744951</v>
      </c>
      <c r="M904" s="1">
        <v>50.763208205573221</v>
      </c>
    </row>
    <row r="905" spans="4:13">
      <c r="D905" s="1" t="s">
        <v>191</v>
      </c>
      <c r="E905" s="1" t="s">
        <v>58</v>
      </c>
      <c r="H905" s="1" t="s">
        <v>25</v>
      </c>
      <c r="I905" s="1" t="s">
        <v>23</v>
      </c>
      <c r="M905" s="1" t="b">
        <v>0</v>
      </c>
    </row>
    <row r="906" spans="4:13">
      <c r="D906" s="1" t="s">
        <v>191</v>
      </c>
      <c r="E906" s="1" t="s">
        <v>59</v>
      </c>
      <c r="F906" s="1" t="s">
        <v>60</v>
      </c>
      <c r="G906" s="1" t="s">
        <v>61</v>
      </c>
      <c r="H906" s="1" t="s">
        <v>22</v>
      </c>
      <c r="I906" s="1" t="s">
        <v>23</v>
      </c>
      <c r="J906" s="1">
        <v>-9.5538358650799999</v>
      </c>
      <c r="K906" s="1">
        <v>9.5538358650799999</v>
      </c>
      <c r="L906" s="1">
        <v>0.23884589662700001</v>
      </c>
      <c r="M906" s="1">
        <v>0.23884589662700001</v>
      </c>
    </row>
    <row r="907" spans="4:13">
      <c r="D907" s="1" t="s">
        <v>191</v>
      </c>
      <c r="E907" s="1" t="s">
        <v>62</v>
      </c>
      <c r="H907" s="1" t="s">
        <v>63</v>
      </c>
      <c r="I907" s="1" t="s">
        <v>23</v>
      </c>
      <c r="M907" s="1">
        <v>1</v>
      </c>
    </row>
    <row r="908" spans="4:13">
      <c r="D908" s="1" t="s">
        <v>191</v>
      </c>
      <c r="E908" s="1" t="s">
        <v>64</v>
      </c>
      <c r="F908" s="1" t="s">
        <v>35</v>
      </c>
      <c r="G908" s="1" t="s">
        <v>36</v>
      </c>
      <c r="H908" s="1" t="s">
        <v>22</v>
      </c>
      <c r="I908" s="1" t="s">
        <v>65</v>
      </c>
      <c r="J908" s="1">
        <v>-459.67</v>
      </c>
      <c r="L908" s="1">
        <v>80.329999999999984</v>
      </c>
    </row>
    <row r="909" spans="4:13">
      <c r="D909" s="1" t="s">
        <v>191</v>
      </c>
      <c r="E909" s="1" t="s">
        <v>66</v>
      </c>
      <c r="F909" s="1" t="s">
        <v>35</v>
      </c>
      <c r="G909" s="1" t="s">
        <v>36</v>
      </c>
      <c r="H909" s="1" t="s">
        <v>22</v>
      </c>
      <c r="I909" s="1" t="s">
        <v>65</v>
      </c>
      <c r="J909" s="1">
        <v>-459.67</v>
      </c>
      <c r="L909" s="1">
        <v>80.329999999999984</v>
      </c>
    </row>
    <row r="910" spans="4:13">
      <c r="D910" s="1" t="s">
        <v>191</v>
      </c>
      <c r="E910" s="1" t="s">
        <v>67</v>
      </c>
      <c r="F910" s="1" t="s">
        <v>41</v>
      </c>
      <c r="G910" s="1" t="s">
        <v>42</v>
      </c>
      <c r="H910" s="1" t="s">
        <v>22</v>
      </c>
      <c r="I910" s="1" t="s">
        <v>65</v>
      </c>
      <c r="L910" s="1">
        <v>1.8</v>
      </c>
    </row>
    <row r="911" spans="4:13">
      <c r="D911" s="1" t="s">
        <v>191</v>
      </c>
      <c r="E911" s="1" t="s">
        <v>68</v>
      </c>
      <c r="F911" s="1" t="s">
        <v>45</v>
      </c>
      <c r="G911" s="1" t="s">
        <v>46</v>
      </c>
      <c r="H911" s="1" t="s">
        <v>22</v>
      </c>
      <c r="I911" s="1" t="s">
        <v>65</v>
      </c>
      <c r="L911" s="1">
        <v>4.2992261378713571E-4</v>
      </c>
    </row>
    <row r="912" spans="4:13">
      <c r="D912" s="1" t="s">
        <v>191</v>
      </c>
      <c r="E912" s="1" t="s">
        <v>69</v>
      </c>
      <c r="H912" s="1" t="s">
        <v>25</v>
      </c>
      <c r="I912" s="1" t="s">
        <v>70</v>
      </c>
    </row>
    <row r="913" spans="4:13">
      <c r="D913" s="1" t="s">
        <v>191</v>
      </c>
      <c r="E913" s="1" t="s">
        <v>71</v>
      </c>
      <c r="F913" s="1" t="s">
        <v>52</v>
      </c>
      <c r="G913" s="1" t="s">
        <v>53</v>
      </c>
      <c r="H913" s="1" t="s">
        <v>22</v>
      </c>
      <c r="I913" s="1" t="s">
        <v>65</v>
      </c>
      <c r="L913" s="1">
        <v>7936.6414386555998</v>
      </c>
    </row>
    <row r="914" spans="4:13">
      <c r="D914" s="1" t="s">
        <v>191</v>
      </c>
      <c r="E914" s="1" t="s">
        <v>72</v>
      </c>
      <c r="F914" s="1" t="s">
        <v>56</v>
      </c>
      <c r="G914" s="1" t="s">
        <v>57</v>
      </c>
      <c r="H914" s="1" t="s">
        <v>22</v>
      </c>
      <c r="I914" s="1" t="s">
        <v>65</v>
      </c>
      <c r="J914" s="1">
        <v>0</v>
      </c>
      <c r="L914" s="1">
        <v>14.503773773020921</v>
      </c>
    </row>
    <row r="915" spans="4:13">
      <c r="D915" s="1" t="s">
        <v>191</v>
      </c>
      <c r="E915" s="1" t="s">
        <v>73</v>
      </c>
      <c r="F915" s="1" t="s">
        <v>60</v>
      </c>
      <c r="G915" s="1" t="s">
        <v>61</v>
      </c>
      <c r="H915" s="1" t="s">
        <v>22</v>
      </c>
      <c r="I915" s="1" t="s">
        <v>65</v>
      </c>
      <c r="L915" s="1">
        <v>2.38845896627E-4</v>
      </c>
    </row>
    <row r="916" spans="4:13">
      <c r="D916" s="1" t="s">
        <v>191</v>
      </c>
      <c r="E916" s="1" t="s">
        <v>74</v>
      </c>
      <c r="F916" s="1" t="s">
        <v>75</v>
      </c>
      <c r="G916" s="1" t="s">
        <v>76</v>
      </c>
      <c r="H916" s="1" t="s">
        <v>22</v>
      </c>
      <c r="I916" s="1" t="s">
        <v>65</v>
      </c>
      <c r="J916" s="1">
        <v>0</v>
      </c>
      <c r="L916" s="1">
        <v>16.018463521800001</v>
      </c>
    </row>
    <row r="917" spans="4:13">
      <c r="D917" s="1" t="s">
        <v>191</v>
      </c>
      <c r="E917" s="1" t="s">
        <v>77</v>
      </c>
      <c r="H917" s="1" t="s">
        <v>22</v>
      </c>
      <c r="I917" s="1" t="s">
        <v>65</v>
      </c>
      <c r="L917" s="1">
        <v>1</v>
      </c>
    </row>
    <row r="918" spans="4:13">
      <c r="D918" s="1" t="s">
        <v>191</v>
      </c>
      <c r="E918" s="1" t="s">
        <v>78</v>
      </c>
      <c r="H918" s="1" t="s">
        <v>25</v>
      </c>
      <c r="I918" s="1" t="s">
        <v>23</v>
      </c>
      <c r="M918" s="1" t="b">
        <v>0</v>
      </c>
    </row>
    <row r="919" spans="4:13">
      <c r="D919" s="1" t="s">
        <v>191</v>
      </c>
      <c r="E919" s="1" t="s">
        <v>79</v>
      </c>
      <c r="F919" s="1" t="s">
        <v>75</v>
      </c>
      <c r="G919" s="1" t="s">
        <v>76</v>
      </c>
      <c r="H919" s="1" t="s">
        <v>22</v>
      </c>
      <c r="I919" s="1" t="s">
        <v>23</v>
      </c>
      <c r="J919" s="1">
        <v>0</v>
      </c>
      <c r="K919" s="1">
        <v>96.110781130800007</v>
      </c>
      <c r="L919" s="1">
        <v>16.018463521800001</v>
      </c>
      <c r="M919" s="1">
        <v>1.6018463521800002</v>
      </c>
    </row>
    <row r="920" spans="4:13">
      <c r="D920" s="1" t="s">
        <v>191</v>
      </c>
      <c r="E920" s="1" t="s">
        <v>80</v>
      </c>
      <c r="H920" s="1" t="s">
        <v>25</v>
      </c>
      <c r="I920" s="1" t="s">
        <v>23</v>
      </c>
      <c r="M920" s="1" t="b">
        <v>0</v>
      </c>
    </row>
    <row r="921" spans="4:13">
      <c r="D921" s="1" t="s">
        <v>191</v>
      </c>
      <c r="E921" s="1" t="s">
        <v>81</v>
      </c>
      <c r="H921" s="1" t="s">
        <v>25</v>
      </c>
      <c r="I921" s="1" t="s">
        <v>23</v>
      </c>
      <c r="M921" s="1" t="b">
        <v>0</v>
      </c>
    </row>
    <row r="922" spans="4:13">
      <c r="D922" s="1" t="s">
        <v>191</v>
      </c>
      <c r="E922" s="1" t="s">
        <v>82</v>
      </c>
      <c r="H922" s="1" t="s">
        <v>22</v>
      </c>
      <c r="I922" s="1" t="s">
        <v>23</v>
      </c>
      <c r="J922" s="1">
        <v>-1</v>
      </c>
      <c r="K922" s="1">
        <v>3</v>
      </c>
      <c r="L922" s="1">
        <v>1</v>
      </c>
      <c r="M922" s="1">
        <v>1.01</v>
      </c>
    </row>
    <row r="923" spans="4:13">
      <c r="D923" s="1" t="s">
        <v>192</v>
      </c>
      <c r="E923" s="1" t="s">
        <v>171</v>
      </c>
      <c r="H923" s="1" t="s">
        <v>22</v>
      </c>
      <c r="I923" s="1" t="s">
        <v>23</v>
      </c>
      <c r="L923" s="1">
        <v>1</v>
      </c>
      <c r="M923" s="1">
        <v>3.0558000000000001</v>
      </c>
    </row>
    <row r="924" spans="4:13">
      <c r="D924" s="1" t="s">
        <v>192</v>
      </c>
      <c r="E924" s="1" t="s">
        <v>172</v>
      </c>
      <c r="H924" s="1" t="s">
        <v>22</v>
      </c>
      <c r="I924" s="1" t="s">
        <v>29</v>
      </c>
      <c r="J924" s="1">
        <v>0</v>
      </c>
      <c r="K924" s="1">
        <v>10000</v>
      </c>
      <c r="L924" s="1">
        <v>5000</v>
      </c>
    </row>
    <row r="925" spans="4:13">
      <c r="D925" s="1" t="s">
        <v>192</v>
      </c>
      <c r="E925" s="1" t="s">
        <v>173</v>
      </c>
      <c r="H925" s="1" t="s">
        <v>22</v>
      </c>
      <c r="I925" s="1" t="s">
        <v>29</v>
      </c>
      <c r="J925" s="1">
        <v>9.9999999999999995E-7</v>
      </c>
      <c r="K925" s="1">
        <v>0.01</v>
      </c>
      <c r="L925" s="1">
        <v>5.0004999999999997E-3</v>
      </c>
    </row>
    <row r="926" spans="4:13">
      <c r="D926" s="1" t="s">
        <v>192</v>
      </c>
      <c r="E926" s="1" t="s">
        <v>174</v>
      </c>
      <c r="H926" s="1" t="s">
        <v>25</v>
      </c>
      <c r="I926" s="1" t="s">
        <v>23</v>
      </c>
      <c r="M926" s="1" t="b">
        <v>1</v>
      </c>
    </row>
    <row r="927" spans="4:13">
      <c r="D927" s="1" t="s">
        <v>192</v>
      </c>
      <c r="E927" s="1" t="s">
        <v>175</v>
      </c>
      <c r="F927" s="1" t="s">
        <v>176</v>
      </c>
      <c r="G927" s="1" t="s">
        <v>177</v>
      </c>
      <c r="H927" s="1" t="s">
        <v>22</v>
      </c>
      <c r="I927" s="1" t="s">
        <v>23</v>
      </c>
      <c r="L927" s="1">
        <v>39.370078740157467</v>
      </c>
      <c r="M927" s="1">
        <v>2.4349999999999992</v>
      </c>
    </row>
    <row r="928" spans="4:13">
      <c r="D928" s="1" t="s">
        <v>192</v>
      </c>
      <c r="E928" s="1" t="s">
        <v>178</v>
      </c>
      <c r="H928" s="1" t="s">
        <v>25</v>
      </c>
      <c r="I928" s="1" t="s">
        <v>23</v>
      </c>
      <c r="M928" s="1" t="b">
        <v>0</v>
      </c>
    </row>
    <row r="929" spans="4:13">
      <c r="D929" s="1" t="s">
        <v>192</v>
      </c>
      <c r="E929" s="1" t="s">
        <v>111</v>
      </c>
      <c r="F929" s="1" t="s">
        <v>56</v>
      </c>
      <c r="G929" s="1" t="s">
        <v>57</v>
      </c>
      <c r="H929" s="1" t="s">
        <v>22</v>
      </c>
      <c r="I929" s="1" t="s">
        <v>23</v>
      </c>
      <c r="L929" s="1">
        <v>1.4503773773020921E-4</v>
      </c>
      <c r="M929" s="1">
        <v>7.2518868865104604E-3</v>
      </c>
    </row>
    <row r="930" spans="4:13">
      <c r="D930" s="1" t="s">
        <v>192</v>
      </c>
      <c r="E930" s="1" t="s">
        <v>179</v>
      </c>
      <c r="H930" s="1" t="s">
        <v>22</v>
      </c>
      <c r="I930" s="1" t="s">
        <v>23</v>
      </c>
      <c r="L930" s="1">
        <v>1</v>
      </c>
      <c r="M930" s="1">
        <v>10000</v>
      </c>
    </row>
    <row r="931" spans="4:13">
      <c r="D931" s="1" t="s">
        <v>192</v>
      </c>
      <c r="E931" s="1" t="s">
        <v>180</v>
      </c>
      <c r="H931" s="1" t="s">
        <v>181</v>
      </c>
      <c r="I931" s="1" t="s">
        <v>23</v>
      </c>
      <c r="J931" s="1">
        <v>1</v>
      </c>
      <c r="K931" s="1">
        <v>3</v>
      </c>
      <c r="M931" s="1" t="s">
        <v>182</v>
      </c>
    </row>
    <row r="932" spans="4:13">
      <c r="D932" s="1" t="s">
        <v>192</v>
      </c>
      <c r="E932" s="1" t="s">
        <v>47</v>
      </c>
      <c r="H932" s="1" t="s">
        <v>25</v>
      </c>
      <c r="I932" s="1" t="s">
        <v>23</v>
      </c>
      <c r="M932" s="1" t="b">
        <v>0</v>
      </c>
    </row>
    <row r="933" spans="4:13">
      <c r="D933" s="1" t="s">
        <v>192</v>
      </c>
      <c r="E933" s="1" t="s">
        <v>183</v>
      </c>
      <c r="H933" s="1" t="s">
        <v>25</v>
      </c>
      <c r="I933" s="1" t="s">
        <v>23</v>
      </c>
      <c r="M933" s="1" t="b">
        <v>1</v>
      </c>
    </row>
    <row r="934" spans="4:13">
      <c r="D934" s="1" t="s">
        <v>192</v>
      </c>
      <c r="E934" s="1" t="s">
        <v>189</v>
      </c>
      <c r="H934" s="1" t="s">
        <v>22</v>
      </c>
      <c r="I934" s="1" t="s">
        <v>23</v>
      </c>
      <c r="L934" s="1">
        <v>1</v>
      </c>
      <c r="M934" s="1">
        <v>3.2400000000000001E-4</v>
      </c>
    </row>
    <row r="935" spans="4:13">
      <c r="D935" s="1" t="s">
        <v>192</v>
      </c>
      <c r="E935" s="1" t="s">
        <v>112</v>
      </c>
      <c r="F935" s="1" t="s">
        <v>56</v>
      </c>
      <c r="G935" s="1" t="s">
        <v>57</v>
      </c>
      <c r="H935" s="1" t="s">
        <v>22</v>
      </c>
      <c r="I935" s="1" t="s">
        <v>29</v>
      </c>
      <c r="J935" s="1">
        <v>4.9312830828271128</v>
      </c>
      <c r="K935" s="1">
        <v>623.66227223989961</v>
      </c>
      <c r="L935" s="1">
        <v>50.713895374744951</v>
      </c>
    </row>
    <row r="936" spans="4:13">
      <c r="D936" s="1" t="s">
        <v>192</v>
      </c>
      <c r="E936" s="1" t="s">
        <v>62</v>
      </c>
      <c r="H936" s="1" t="s">
        <v>63</v>
      </c>
      <c r="I936" s="1" t="s">
        <v>23</v>
      </c>
      <c r="M936" s="1">
        <v>1</v>
      </c>
    </row>
    <row r="937" spans="4:13">
      <c r="D937" s="1" t="s">
        <v>192</v>
      </c>
      <c r="E937" s="1" t="s">
        <v>184</v>
      </c>
      <c r="H937" s="1" t="s">
        <v>22</v>
      </c>
      <c r="I937" s="1" t="s">
        <v>120</v>
      </c>
      <c r="L937" s="1">
        <v>1</v>
      </c>
    </row>
    <row r="938" spans="4:13">
      <c r="D938" s="1" t="s">
        <v>192</v>
      </c>
      <c r="E938" s="1" t="s">
        <v>185</v>
      </c>
      <c r="F938" s="1" t="s">
        <v>176</v>
      </c>
      <c r="G938" s="1" t="s">
        <v>177</v>
      </c>
      <c r="H938" s="1" t="s">
        <v>22</v>
      </c>
      <c r="I938" s="1" t="s">
        <v>65</v>
      </c>
      <c r="L938" s="1">
        <v>39.370078740157467</v>
      </c>
    </row>
    <row r="939" spans="4:13">
      <c r="D939" s="1" t="s">
        <v>192</v>
      </c>
      <c r="E939" s="1" t="s">
        <v>115</v>
      </c>
      <c r="F939" s="1" t="s">
        <v>56</v>
      </c>
      <c r="G939" s="1" t="s">
        <v>57</v>
      </c>
      <c r="H939" s="1" t="s">
        <v>22</v>
      </c>
      <c r="I939" s="1" t="s">
        <v>65</v>
      </c>
      <c r="L939" s="1">
        <v>1.4503773773020921E-4</v>
      </c>
    </row>
    <row r="940" spans="4:13">
      <c r="D940" s="1" t="s">
        <v>192</v>
      </c>
      <c r="E940" s="1" t="s">
        <v>69</v>
      </c>
      <c r="H940" s="1" t="s">
        <v>25</v>
      </c>
      <c r="I940" s="1" t="s">
        <v>70</v>
      </c>
    </row>
    <row r="941" spans="4:13">
      <c r="D941" s="1" t="s">
        <v>192</v>
      </c>
      <c r="E941" s="1" t="s">
        <v>186</v>
      </c>
      <c r="H941" s="1" t="s">
        <v>22</v>
      </c>
      <c r="I941" s="1" t="s">
        <v>65</v>
      </c>
      <c r="L941" s="1">
        <v>1</v>
      </c>
    </row>
    <row r="942" spans="4:13">
      <c r="D942" s="1" t="s">
        <v>192</v>
      </c>
      <c r="E942" s="1" t="s">
        <v>71</v>
      </c>
      <c r="F942" s="1" t="s">
        <v>52</v>
      </c>
      <c r="G942" s="1" t="s">
        <v>53</v>
      </c>
      <c r="H942" s="1" t="s">
        <v>22</v>
      </c>
      <c r="I942" s="1" t="s">
        <v>65</v>
      </c>
      <c r="L942" s="1">
        <v>7936.6414386555998</v>
      </c>
    </row>
    <row r="943" spans="4:13">
      <c r="D943" s="1" t="s">
        <v>192</v>
      </c>
      <c r="E943" s="1" t="s">
        <v>117</v>
      </c>
      <c r="F943" s="1" t="s">
        <v>118</v>
      </c>
      <c r="G943" s="1" t="s">
        <v>119</v>
      </c>
      <c r="H943" s="1" t="s">
        <v>22</v>
      </c>
      <c r="I943" s="1" t="s">
        <v>120</v>
      </c>
      <c r="J943" s="1">
        <v>0</v>
      </c>
      <c r="L943" s="1">
        <v>2.20462262185</v>
      </c>
    </row>
    <row r="944" spans="4:13">
      <c r="D944" s="1" t="s">
        <v>192</v>
      </c>
      <c r="E944" s="1" t="s">
        <v>123</v>
      </c>
      <c r="F944" s="1" t="s">
        <v>124</v>
      </c>
      <c r="G944" s="1" t="s">
        <v>125</v>
      </c>
      <c r="H944" s="1" t="s">
        <v>22</v>
      </c>
      <c r="I944" s="1" t="s">
        <v>120</v>
      </c>
      <c r="L944" s="1">
        <v>35.314666699999997</v>
      </c>
    </row>
    <row r="945" spans="4:13">
      <c r="D945" s="1" t="s">
        <v>192</v>
      </c>
      <c r="E945" s="1" t="s">
        <v>126</v>
      </c>
      <c r="H945" s="1" t="s">
        <v>22</v>
      </c>
      <c r="I945" s="1" t="s">
        <v>65</v>
      </c>
      <c r="L945" s="1">
        <v>1</v>
      </c>
    </row>
    <row r="946" spans="4:13">
      <c r="D946" s="1" t="s">
        <v>193</v>
      </c>
      <c r="E946" s="1" t="s">
        <v>28</v>
      </c>
      <c r="H946" s="1" t="s">
        <v>22</v>
      </c>
      <c r="I946" s="1" t="s">
        <v>29</v>
      </c>
      <c r="J946" s="1">
        <v>34000</v>
      </c>
      <c r="K946" s="1">
        <v>4300000</v>
      </c>
      <c r="L946" s="1">
        <v>349660</v>
      </c>
    </row>
    <row r="947" spans="4:13">
      <c r="D947" s="1" t="s">
        <v>193</v>
      </c>
      <c r="E947" s="1" t="s">
        <v>30</v>
      </c>
      <c r="H947" s="1" t="s">
        <v>22</v>
      </c>
      <c r="I947" s="1" t="s">
        <v>29</v>
      </c>
      <c r="J947" s="1">
        <v>-3.94</v>
      </c>
      <c r="K947" s="1">
        <v>3.66</v>
      </c>
      <c r="L947" s="1">
        <v>1</v>
      </c>
    </row>
    <row r="948" spans="4:13">
      <c r="D948" s="1" t="s">
        <v>193</v>
      </c>
      <c r="E948" s="1" t="s">
        <v>31</v>
      </c>
      <c r="H948" s="1" t="s">
        <v>22</v>
      </c>
      <c r="I948" s="1" t="s">
        <v>29</v>
      </c>
      <c r="J948" s="1">
        <v>0</v>
      </c>
      <c r="K948" s="1">
        <v>100</v>
      </c>
      <c r="L948" s="1">
        <v>1</v>
      </c>
    </row>
    <row r="949" spans="4:13">
      <c r="D949" s="1" t="s">
        <v>193</v>
      </c>
      <c r="E949" s="1" t="s">
        <v>32</v>
      </c>
      <c r="H949" s="1" t="s">
        <v>22</v>
      </c>
      <c r="I949" s="1" t="s">
        <v>29</v>
      </c>
      <c r="J949" s="1">
        <v>-3.94</v>
      </c>
      <c r="K949" s="1">
        <v>3.66</v>
      </c>
      <c r="L949" s="1">
        <v>1</v>
      </c>
    </row>
    <row r="950" spans="4:13">
      <c r="D950" s="1" t="s">
        <v>193</v>
      </c>
      <c r="E950" s="1" t="s">
        <v>33</v>
      </c>
      <c r="H950" s="1" t="s">
        <v>25</v>
      </c>
      <c r="I950" s="1" t="s">
        <v>23</v>
      </c>
      <c r="M950" s="1" t="b">
        <v>0</v>
      </c>
    </row>
    <row r="951" spans="4:13">
      <c r="D951" s="1" t="s">
        <v>193</v>
      </c>
      <c r="E951" s="1" t="s">
        <v>34</v>
      </c>
      <c r="F951" s="1" t="s">
        <v>35</v>
      </c>
      <c r="G951" s="1" t="s">
        <v>36</v>
      </c>
      <c r="H951" s="1" t="s">
        <v>22</v>
      </c>
      <c r="I951" s="1" t="s">
        <v>23</v>
      </c>
      <c r="J951" s="1">
        <v>-459.67</v>
      </c>
      <c r="K951" s="1">
        <v>980.32999999999993</v>
      </c>
      <c r="L951" s="1">
        <v>80.329999999999984</v>
      </c>
      <c r="M951" s="1">
        <v>67.999999999999943</v>
      </c>
    </row>
    <row r="952" spans="4:13">
      <c r="D952" s="1" t="s">
        <v>193</v>
      </c>
      <c r="E952" s="1" t="s">
        <v>37</v>
      </c>
      <c r="H952" s="1" t="s">
        <v>25</v>
      </c>
      <c r="I952" s="1" t="s">
        <v>23</v>
      </c>
      <c r="M952" s="1" t="b">
        <v>0</v>
      </c>
    </row>
    <row r="953" spans="4:13">
      <c r="D953" s="1" t="s">
        <v>193</v>
      </c>
      <c r="E953" s="1" t="s">
        <v>38</v>
      </c>
      <c r="F953" s="1" t="s">
        <v>35</v>
      </c>
      <c r="G953" s="1" t="s">
        <v>36</v>
      </c>
      <c r="H953" s="1" t="s">
        <v>22</v>
      </c>
      <c r="I953" s="1" t="s">
        <v>23</v>
      </c>
      <c r="J953" s="1">
        <v>-99.670000000000016</v>
      </c>
      <c r="K953" s="1">
        <v>980.32999999999993</v>
      </c>
      <c r="L953" s="1">
        <v>80.329999999999984</v>
      </c>
      <c r="M953" s="1">
        <v>13.999999999999943</v>
      </c>
    </row>
    <row r="954" spans="4:13">
      <c r="D954" s="1" t="s">
        <v>193</v>
      </c>
      <c r="E954" s="1" t="s">
        <v>39</v>
      </c>
      <c r="H954" s="1" t="s">
        <v>25</v>
      </c>
      <c r="I954" s="1" t="s">
        <v>23</v>
      </c>
      <c r="M954" s="1" t="b">
        <v>0</v>
      </c>
    </row>
    <row r="955" spans="4:13">
      <c r="D955" s="1" t="s">
        <v>193</v>
      </c>
      <c r="E955" s="1" t="s">
        <v>40</v>
      </c>
      <c r="F955" s="1" t="s">
        <v>41</v>
      </c>
      <c r="G955" s="1" t="s">
        <v>42</v>
      </c>
      <c r="H955" s="1" t="s">
        <v>22</v>
      </c>
      <c r="I955" s="1" t="s">
        <v>23</v>
      </c>
      <c r="J955" s="1">
        <v>-900</v>
      </c>
      <c r="K955" s="1">
        <v>900</v>
      </c>
      <c r="L955" s="1">
        <v>1.8</v>
      </c>
      <c r="M955" s="1">
        <v>9</v>
      </c>
    </row>
    <row r="956" spans="4:13">
      <c r="D956" s="1" t="s">
        <v>193</v>
      </c>
      <c r="E956" s="1" t="s">
        <v>43</v>
      </c>
      <c r="H956" s="1" t="s">
        <v>25</v>
      </c>
      <c r="I956" s="1" t="s">
        <v>23</v>
      </c>
      <c r="M956" s="1" t="b">
        <v>0</v>
      </c>
    </row>
    <row r="957" spans="4:13">
      <c r="D957" s="1" t="s">
        <v>193</v>
      </c>
      <c r="E957" s="1" t="s">
        <v>44</v>
      </c>
      <c r="F957" s="1" t="s">
        <v>45</v>
      </c>
      <c r="G957" s="1" t="s">
        <v>46</v>
      </c>
      <c r="H957" s="1" t="s">
        <v>22</v>
      </c>
      <c r="I957" s="1" t="s">
        <v>23</v>
      </c>
      <c r="J957" s="1">
        <v>-85.984522757427143</v>
      </c>
      <c r="K957" s="1">
        <v>8598.4522757427148</v>
      </c>
      <c r="L957" s="1">
        <v>114.79148749423418</v>
      </c>
      <c r="M957" s="1">
        <v>128.97678413614071</v>
      </c>
    </row>
    <row r="958" spans="4:13">
      <c r="D958" s="1" t="s">
        <v>193</v>
      </c>
      <c r="E958" s="1" t="s">
        <v>47</v>
      </c>
      <c r="H958" s="1" t="s">
        <v>25</v>
      </c>
      <c r="I958" s="1" t="s">
        <v>23</v>
      </c>
      <c r="M958" s="1" t="b">
        <v>0</v>
      </c>
    </row>
    <row r="959" spans="4:13">
      <c r="D959" s="1" t="s">
        <v>193</v>
      </c>
      <c r="E959" s="1" t="s">
        <v>48</v>
      </c>
      <c r="H959" s="1" t="s">
        <v>25</v>
      </c>
      <c r="I959" s="1" t="s">
        <v>23</v>
      </c>
      <c r="M959" s="1" t="b">
        <v>0</v>
      </c>
    </row>
    <row r="960" spans="4:13">
      <c r="D960" s="1" t="s">
        <v>193</v>
      </c>
      <c r="E960" s="1" t="s">
        <v>49</v>
      </c>
      <c r="H960" s="1" t="s">
        <v>25</v>
      </c>
      <c r="I960" s="1" t="s">
        <v>23</v>
      </c>
      <c r="M960" s="1" t="b">
        <v>0</v>
      </c>
    </row>
    <row r="961" spans="4:13">
      <c r="D961" s="1" t="s">
        <v>193</v>
      </c>
      <c r="E961" s="1" t="s">
        <v>50</v>
      </c>
      <c r="H961" s="1" t="s">
        <v>25</v>
      </c>
      <c r="I961" s="1" t="s">
        <v>23</v>
      </c>
      <c r="M961" s="1" t="b">
        <v>0</v>
      </c>
    </row>
    <row r="962" spans="4:13">
      <c r="D962" s="1" t="s">
        <v>193</v>
      </c>
      <c r="E962" s="1" t="s">
        <v>51</v>
      </c>
      <c r="F962" s="1" t="s">
        <v>52</v>
      </c>
      <c r="G962" s="1" t="s">
        <v>53</v>
      </c>
      <c r="H962" s="1" t="s">
        <v>22</v>
      </c>
      <c r="I962" s="1" t="s">
        <v>23</v>
      </c>
      <c r="J962" s="1">
        <v>0</v>
      </c>
      <c r="K962" s="1">
        <v>7936641438.6555996</v>
      </c>
      <c r="L962" s="1">
        <v>7936.6414386555998</v>
      </c>
      <c r="M962" s="1">
        <v>7936.6414386555998</v>
      </c>
    </row>
    <row r="963" spans="4:13">
      <c r="D963" s="1" t="s">
        <v>193</v>
      </c>
      <c r="E963" s="1" t="s">
        <v>54</v>
      </c>
      <c r="H963" s="1" t="s">
        <v>25</v>
      </c>
      <c r="I963" s="1" t="s">
        <v>23</v>
      </c>
      <c r="M963" s="1" t="b">
        <v>0</v>
      </c>
    </row>
    <row r="964" spans="4:13">
      <c r="D964" s="1" t="s">
        <v>193</v>
      </c>
      <c r="E964" s="1" t="s">
        <v>55</v>
      </c>
      <c r="F964" s="1" t="s">
        <v>56</v>
      </c>
      <c r="G964" s="1" t="s">
        <v>57</v>
      </c>
      <c r="H964" s="1" t="s">
        <v>22</v>
      </c>
      <c r="I964" s="1" t="s">
        <v>23</v>
      </c>
      <c r="J964" s="1">
        <v>0</v>
      </c>
      <c r="K964" s="1">
        <v>9427.4529524635982</v>
      </c>
      <c r="L964" s="1">
        <v>50.713895374744951</v>
      </c>
      <c r="M964" s="1">
        <v>50.763208205573221</v>
      </c>
    </row>
    <row r="965" spans="4:13">
      <c r="D965" s="1" t="s">
        <v>193</v>
      </c>
      <c r="E965" s="1" t="s">
        <v>58</v>
      </c>
      <c r="H965" s="1" t="s">
        <v>25</v>
      </c>
      <c r="I965" s="1" t="s">
        <v>23</v>
      </c>
      <c r="M965" s="1" t="b">
        <v>0</v>
      </c>
    </row>
    <row r="966" spans="4:13">
      <c r="D966" s="1" t="s">
        <v>193</v>
      </c>
      <c r="E966" s="1" t="s">
        <v>59</v>
      </c>
      <c r="F966" s="1" t="s">
        <v>60</v>
      </c>
      <c r="G966" s="1" t="s">
        <v>61</v>
      </c>
      <c r="H966" s="1" t="s">
        <v>22</v>
      </c>
      <c r="I966" s="1" t="s">
        <v>23</v>
      </c>
      <c r="J966" s="1">
        <v>-9.5538358650799999</v>
      </c>
      <c r="K966" s="1">
        <v>9.5538358650799999</v>
      </c>
      <c r="L966" s="1">
        <v>0.23884589662700001</v>
      </c>
      <c r="M966" s="1">
        <v>0.23884589662700001</v>
      </c>
    </row>
    <row r="967" spans="4:13">
      <c r="D967" s="1" t="s">
        <v>193</v>
      </c>
      <c r="E967" s="1" t="s">
        <v>62</v>
      </c>
      <c r="H967" s="1" t="s">
        <v>63</v>
      </c>
      <c r="I967" s="1" t="s">
        <v>23</v>
      </c>
      <c r="M967" s="1">
        <v>1</v>
      </c>
    </row>
    <row r="968" spans="4:13">
      <c r="D968" s="1" t="s">
        <v>193</v>
      </c>
      <c r="E968" s="1" t="s">
        <v>64</v>
      </c>
      <c r="F968" s="1" t="s">
        <v>35</v>
      </c>
      <c r="G968" s="1" t="s">
        <v>36</v>
      </c>
      <c r="H968" s="1" t="s">
        <v>22</v>
      </c>
      <c r="I968" s="1" t="s">
        <v>65</v>
      </c>
      <c r="J968" s="1">
        <v>-459.67</v>
      </c>
      <c r="L968" s="1">
        <v>80.329999999999984</v>
      </c>
    </row>
    <row r="969" spans="4:13">
      <c r="D969" s="1" t="s">
        <v>193</v>
      </c>
      <c r="E969" s="1" t="s">
        <v>66</v>
      </c>
      <c r="F969" s="1" t="s">
        <v>35</v>
      </c>
      <c r="G969" s="1" t="s">
        <v>36</v>
      </c>
      <c r="H969" s="1" t="s">
        <v>22</v>
      </c>
      <c r="I969" s="1" t="s">
        <v>65</v>
      </c>
      <c r="J969" s="1">
        <v>-459.67</v>
      </c>
      <c r="L969" s="1">
        <v>80.329999999999984</v>
      </c>
    </row>
    <row r="970" spans="4:13">
      <c r="D970" s="1" t="s">
        <v>193</v>
      </c>
      <c r="E970" s="1" t="s">
        <v>67</v>
      </c>
      <c r="F970" s="1" t="s">
        <v>41</v>
      </c>
      <c r="G970" s="1" t="s">
        <v>42</v>
      </c>
      <c r="H970" s="1" t="s">
        <v>22</v>
      </c>
      <c r="I970" s="1" t="s">
        <v>65</v>
      </c>
      <c r="L970" s="1">
        <v>1.8</v>
      </c>
    </row>
    <row r="971" spans="4:13">
      <c r="D971" s="1" t="s">
        <v>193</v>
      </c>
      <c r="E971" s="1" t="s">
        <v>68</v>
      </c>
      <c r="F971" s="1" t="s">
        <v>45</v>
      </c>
      <c r="G971" s="1" t="s">
        <v>46</v>
      </c>
      <c r="H971" s="1" t="s">
        <v>22</v>
      </c>
      <c r="I971" s="1" t="s">
        <v>65</v>
      </c>
      <c r="L971" s="1">
        <v>4.2992261378713571E-4</v>
      </c>
    </row>
    <row r="972" spans="4:13">
      <c r="D972" s="1" t="s">
        <v>193</v>
      </c>
      <c r="E972" s="1" t="s">
        <v>69</v>
      </c>
      <c r="H972" s="1" t="s">
        <v>25</v>
      </c>
      <c r="I972" s="1" t="s">
        <v>70</v>
      </c>
    </row>
    <row r="973" spans="4:13">
      <c r="D973" s="1" t="s">
        <v>193</v>
      </c>
      <c r="E973" s="1" t="s">
        <v>71</v>
      </c>
      <c r="F973" s="1" t="s">
        <v>52</v>
      </c>
      <c r="G973" s="1" t="s">
        <v>53</v>
      </c>
      <c r="H973" s="1" t="s">
        <v>22</v>
      </c>
      <c r="I973" s="1" t="s">
        <v>65</v>
      </c>
      <c r="L973" s="1">
        <v>7936.6414386555998</v>
      </c>
    </row>
    <row r="974" spans="4:13">
      <c r="D974" s="1" t="s">
        <v>193</v>
      </c>
      <c r="E974" s="1" t="s">
        <v>72</v>
      </c>
      <c r="F974" s="1" t="s">
        <v>56</v>
      </c>
      <c r="G974" s="1" t="s">
        <v>57</v>
      </c>
      <c r="H974" s="1" t="s">
        <v>22</v>
      </c>
      <c r="I974" s="1" t="s">
        <v>65</v>
      </c>
      <c r="J974" s="1">
        <v>0</v>
      </c>
      <c r="L974" s="1">
        <v>14.503773773020921</v>
      </c>
    </row>
    <row r="975" spans="4:13">
      <c r="D975" s="1" t="s">
        <v>193</v>
      </c>
      <c r="E975" s="1" t="s">
        <v>73</v>
      </c>
      <c r="F975" s="1" t="s">
        <v>60</v>
      </c>
      <c r="G975" s="1" t="s">
        <v>61</v>
      </c>
      <c r="H975" s="1" t="s">
        <v>22</v>
      </c>
      <c r="I975" s="1" t="s">
        <v>65</v>
      </c>
      <c r="L975" s="1">
        <v>2.38845896627E-4</v>
      </c>
    </row>
    <row r="976" spans="4:13">
      <c r="D976" s="1" t="s">
        <v>193</v>
      </c>
      <c r="E976" s="1" t="s">
        <v>74</v>
      </c>
      <c r="F976" s="1" t="s">
        <v>75</v>
      </c>
      <c r="G976" s="1" t="s">
        <v>76</v>
      </c>
      <c r="H976" s="1" t="s">
        <v>22</v>
      </c>
      <c r="I976" s="1" t="s">
        <v>65</v>
      </c>
      <c r="J976" s="1">
        <v>0</v>
      </c>
      <c r="L976" s="1">
        <v>16.018463521800001</v>
      </c>
    </row>
    <row r="977" spans="4:13">
      <c r="D977" s="1" t="s">
        <v>193</v>
      </c>
      <c r="E977" s="1" t="s">
        <v>77</v>
      </c>
      <c r="H977" s="1" t="s">
        <v>22</v>
      </c>
      <c r="I977" s="1" t="s">
        <v>65</v>
      </c>
      <c r="L977" s="1">
        <v>1</v>
      </c>
    </row>
    <row r="978" spans="4:13">
      <c r="D978" s="1" t="s">
        <v>193</v>
      </c>
      <c r="E978" s="1" t="s">
        <v>78</v>
      </c>
      <c r="H978" s="1" t="s">
        <v>25</v>
      </c>
      <c r="I978" s="1" t="s">
        <v>23</v>
      </c>
      <c r="M978" s="1" t="b">
        <v>0</v>
      </c>
    </row>
    <row r="979" spans="4:13">
      <c r="D979" s="1" t="s">
        <v>193</v>
      </c>
      <c r="E979" s="1" t="s">
        <v>79</v>
      </c>
      <c r="F979" s="1" t="s">
        <v>75</v>
      </c>
      <c r="G979" s="1" t="s">
        <v>76</v>
      </c>
      <c r="H979" s="1" t="s">
        <v>22</v>
      </c>
      <c r="I979" s="1" t="s">
        <v>23</v>
      </c>
      <c r="J979" s="1">
        <v>0</v>
      </c>
      <c r="K979" s="1">
        <v>96.110781130800007</v>
      </c>
      <c r="L979" s="1">
        <v>16.018463521800001</v>
      </c>
      <c r="M979" s="1">
        <v>1.6018463521800002</v>
      </c>
    </row>
    <row r="980" spans="4:13">
      <c r="D980" s="1" t="s">
        <v>193</v>
      </c>
      <c r="E980" s="1" t="s">
        <v>80</v>
      </c>
      <c r="H980" s="1" t="s">
        <v>25</v>
      </c>
      <c r="I980" s="1" t="s">
        <v>23</v>
      </c>
      <c r="M980" s="1" t="b">
        <v>0</v>
      </c>
    </row>
    <row r="981" spans="4:13">
      <c r="D981" s="1" t="s">
        <v>193</v>
      </c>
      <c r="E981" s="1" t="s">
        <v>81</v>
      </c>
      <c r="H981" s="1" t="s">
        <v>25</v>
      </c>
      <c r="I981" s="1" t="s">
        <v>23</v>
      </c>
      <c r="M981" s="1" t="b">
        <v>0</v>
      </c>
    </row>
    <row r="982" spans="4:13">
      <c r="D982" s="1" t="s">
        <v>193</v>
      </c>
      <c r="E982" s="1" t="s">
        <v>82</v>
      </c>
      <c r="H982" s="1" t="s">
        <v>22</v>
      </c>
      <c r="I982" s="1" t="s">
        <v>23</v>
      </c>
      <c r="J982" s="1">
        <v>-1</v>
      </c>
      <c r="K982" s="1">
        <v>3</v>
      </c>
      <c r="L982" s="1">
        <v>1</v>
      </c>
      <c r="M982" s="1">
        <v>1.01</v>
      </c>
    </row>
    <row r="983" spans="4:13">
      <c r="D983" s="1" t="s">
        <v>194</v>
      </c>
      <c r="E983" s="1" t="s">
        <v>171</v>
      </c>
      <c r="H983" s="1" t="s">
        <v>22</v>
      </c>
      <c r="I983" s="1" t="s">
        <v>23</v>
      </c>
      <c r="L983" s="1">
        <v>1</v>
      </c>
      <c r="M983" s="1">
        <v>3.0558000000000001</v>
      </c>
    </row>
    <row r="984" spans="4:13">
      <c r="D984" s="1" t="s">
        <v>194</v>
      </c>
      <c r="E984" s="1" t="s">
        <v>172</v>
      </c>
      <c r="H984" s="1" t="s">
        <v>22</v>
      </c>
      <c r="I984" s="1" t="s">
        <v>29</v>
      </c>
      <c r="J984" s="1">
        <v>0</v>
      </c>
      <c r="K984" s="1">
        <v>10000</v>
      </c>
      <c r="L984" s="1">
        <v>5000</v>
      </c>
    </row>
    <row r="985" spans="4:13">
      <c r="D985" s="1" t="s">
        <v>194</v>
      </c>
      <c r="E985" s="1" t="s">
        <v>173</v>
      </c>
      <c r="H985" s="1" t="s">
        <v>22</v>
      </c>
      <c r="I985" s="1" t="s">
        <v>29</v>
      </c>
      <c r="J985" s="1">
        <v>9.9999999999999995E-7</v>
      </c>
      <c r="K985" s="1">
        <v>0.01</v>
      </c>
      <c r="L985" s="1">
        <v>5.0004999999999997E-3</v>
      </c>
    </row>
    <row r="986" spans="4:13">
      <c r="D986" s="1" t="s">
        <v>194</v>
      </c>
      <c r="E986" s="1" t="s">
        <v>174</v>
      </c>
      <c r="H986" s="1" t="s">
        <v>25</v>
      </c>
      <c r="I986" s="1" t="s">
        <v>23</v>
      </c>
      <c r="M986" s="1" t="b">
        <v>1</v>
      </c>
    </row>
    <row r="987" spans="4:13">
      <c r="D987" s="1" t="s">
        <v>194</v>
      </c>
      <c r="E987" s="1" t="s">
        <v>175</v>
      </c>
      <c r="F987" s="1" t="s">
        <v>176</v>
      </c>
      <c r="G987" s="1" t="s">
        <v>177</v>
      </c>
      <c r="H987" s="1" t="s">
        <v>22</v>
      </c>
      <c r="I987" s="1" t="s">
        <v>23</v>
      </c>
      <c r="L987" s="1">
        <v>39.370078740157467</v>
      </c>
      <c r="M987" s="1">
        <v>7.9809999999999972</v>
      </c>
    </row>
    <row r="988" spans="4:13">
      <c r="D988" s="1" t="s">
        <v>194</v>
      </c>
      <c r="E988" s="1" t="s">
        <v>178</v>
      </c>
      <c r="H988" s="1" t="s">
        <v>25</v>
      </c>
      <c r="I988" s="1" t="s">
        <v>23</v>
      </c>
      <c r="M988" s="1" t="b">
        <v>0</v>
      </c>
    </row>
    <row r="989" spans="4:13">
      <c r="D989" s="1" t="s">
        <v>194</v>
      </c>
      <c r="E989" s="1" t="s">
        <v>111</v>
      </c>
      <c r="F989" s="1" t="s">
        <v>56</v>
      </c>
      <c r="G989" s="1" t="s">
        <v>57</v>
      </c>
      <c r="H989" s="1" t="s">
        <v>22</v>
      </c>
      <c r="I989" s="1" t="s">
        <v>23</v>
      </c>
      <c r="L989" s="1">
        <v>1.4503773773020921E-4</v>
      </c>
      <c r="M989" s="1">
        <v>7.2518868865104604E-3</v>
      </c>
    </row>
    <row r="990" spans="4:13">
      <c r="D990" s="1" t="s">
        <v>194</v>
      </c>
      <c r="E990" s="1" t="s">
        <v>179</v>
      </c>
      <c r="H990" s="1" t="s">
        <v>22</v>
      </c>
      <c r="I990" s="1" t="s">
        <v>23</v>
      </c>
      <c r="L990" s="1">
        <v>1</v>
      </c>
      <c r="M990" s="1">
        <v>10000</v>
      </c>
    </row>
    <row r="991" spans="4:13">
      <c r="D991" s="1" t="s">
        <v>194</v>
      </c>
      <c r="E991" s="1" t="s">
        <v>180</v>
      </c>
      <c r="H991" s="1" t="s">
        <v>181</v>
      </c>
      <c r="I991" s="1" t="s">
        <v>23</v>
      </c>
      <c r="J991" s="1">
        <v>1</v>
      </c>
      <c r="K991" s="1">
        <v>3</v>
      </c>
      <c r="M991" s="1" t="s">
        <v>182</v>
      </c>
    </row>
    <row r="992" spans="4:13">
      <c r="D992" s="1" t="s">
        <v>194</v>
      </c>
      <c r="E992" s="1" t="s">
        <v>47</v>
      </c>
      <c r="H992" s="1" t="s">
        <v>25</v>
      </c>
      <c r="I992" s="1" t="s">
        <v>23</v>
      </c>
      <c r="M992" s="1" t="b">
        <v>0</v>
      </c>
    </row>
    <row r="993" spans="4:13">
      <c r="D993" s="1" t="s">
        <v>194</v>
      </c>
      <c r="E993" s="1" t="s">
        <v>183</v>
      </c>
      <c r="H993" s="1" t="s">
        <v>25</v>
      </c>
      <c r="I993" s="1" t="s">
        <v>23</v>
      </c>
      <c r="M993" s="1" t="b">
        <v>1</v>
      </c>
    </row>
    <row r="994" spans="4:13">
      <c r="D994" s="1" t="s">
        <v>194</v>
      </c>
      <c r="E994" s="1" t="s">
        <v>189</v>
      </c>
      <c r="H994" s="1" t="s">
        <v>22</v>
      </c>
      <c r="I994" s="1" t="s">
        <v>23</v>
      </c>
      <c r="L994" s="1">
        <v>1</v>
      </c>
      <c r="M994" s="1">
        <v>3.5599999999999998E-4</v>
      </c>
    </row>
    <row r="995" spans="4:13">
      <c r="D995" s="1" t="s">
        <v>194</v>
      </c>
      <c r="E995" s="1" t="s">
        <v>112</v>
      </c>
      <c r="F995" s="1" t="s">
        <v>56</v>
      </c>
      <c r="G995" s="1" t="s">
        <v>57</v>
      </c>
      <c r="H995" s="1" t="s">
        <v>22</v>
      </c>
      <c r="I995" s="1" t="s">
        <v>29</v>
      </c>
      <c r="J995" s="1">
        <v>4.9312830828271128</v>
      </c>
      <c r="K995" s="1">
        <v>623.66227223989961</v>
      </c>
      <c r="L995" s="1">
        <v>50.713895374744951</v>
      </c>
    </row>
    <row r="996" spans="4:13">
      <c r="D996" s="1" t="s">
        <v>194</v>
      </c>
      <c r="E996" s="1" t="s">
        <v>62</v>
      </c>
      <c r="H996" s="1" t="s">
        <v>63</v>
      </c>
      <c r="I996" s="1" t="s">
        <v>23</v>
      </c>
      <c r="M996" s="1">
        <v>1</v>
      </c>
    </row>
    <row r="997" spans="4:13">
      <c r="D997" s="1" t="s">
        <v>194</v>
      </c>
      <c r="E997" s="1" t="s">
        <v>184</v>
      </c>
      <c r="H997" s="1" t="s">
        <v>22</v>
      </c>
      <c r="I997" s="1" t="s">
        <v>120</v>
      </c>
      <c r="L997" s="1">
        <v>1</v>
      </c>
    </row>
    <row r="998" spans="4:13">
      <c r="D998" s="1" t="s">
        <v>194</v>
      </c>
      <c r="E998" s="1" t="s">
        <v>185</v>
      </c>
      <c r="F998" s="1" t="s">
        <v>176</v>
      </c>
      <c r="G998" s="1" t="s">
        <v>177</v>
      </c>
      <c r="H998" s="1" t="s">
        <v>22</v>
      </c>
      <c r="I998" s="1" t="s">
        <v>65</v>
      </c>
      <c r="L998" s="1">
        <v>39.370078740157467</v>
      </c>
    </row>
    <row r="999" spans="4:13">
      <c r="D999" s="1" t="s">
        <v>194</v>
      </c>
      <c r="E999" s="1" t="s">
        <v>115</v>
      </c>
      <c r="F999" s="1" t="s">
        <v>56</v>
      </c>
      <c r="G999" s="1" t="s">
        <v>57</v>
      </c>
      <c r="H999" s="1" t="s">
        <v>22</v>
      </c>
      <c r="I999" s="1" t="s">
        <v>65</v>
      </c>
      <c r="L999" s="1">
        <v>1.4503773773020921E-4</v>
      </c>
    </row>
    <row r="1000" spans="4:13">
      <c r="D1000" s="1" t="s">
        <v>194</v>
      </c>
      <c r="E1000" s="1" t="s">
        <v>69</v>
      </c>
      <c r="H1000" s="1" t="s">
        <v>25</v>
      </c>
      <c r="I1000" s="1" t="s">
        <v>70</v>
      </c>
    </row>
    <row r="1001" spans="4:13">
      <c r="D1001" s="1" t="s">
        <v>194</v>
      </c>
      <c r="E1001" s="1" t="s">
        <v>186</v>
      </c>
      <c r="H1001" s="1" t="s">
        <v>22</v>
      </c>
      <c r="I1001" s="1" t="s">
        <v>65</v>
      </c>
      <c r="L1001" s="1">
        <v>1</v>
      </c>
    </row>
    <row r="1002" spans="4:13">
      <c r="D1002" s="1" t="s">
        <v>194</v>
      </c>
      <c r="E1002" s="1" t="s">
        <v>71</v>
      </c>
      <c r="F1002" s="1" t="s">
        <v>52</v>
      </c>
      <c r="G1002" s="1" t="s">
        <v>53</v>
      </c>
      <c r="H1002" s="1" t="s">
        <v>22</v>
      </c>
      <c r="I1002" s="1" t="s">
        <v>65</v>
      </c>
      <c r="L1002" s="1">
        <v>7936.6414386555998</v>
      </c>
    </row>
    <row r="1003" spans="4:13">
      <c r="D1003" s="1" t="s">
        <v>194</v>
      </c>
      <c r="E1003" s="1" t="s">
        <v>117</v>
      </c>
      <c r="F1003" s="1" t="s">
        <v>118</v>
      </c>
      <c r="G1003" s="1" t="s">
        <v>119</v>
      </c>
      <c r="H1003" s="1" t="s">
        <v>22</v>
      </c>
      <c r="I1003" s="1" t="s">
        <v>120</v>
      </c>
      <c r="J1003" s="1">
        <v>0</v>
      </c>
      <c r="L1003" s="1">
        <v>2.20462262185</v>
      </c>
    </row>
    <row r="1004" spans="4:13">
      <c r="D1004" s="1" t="s">
        <v>194</v>
      </c>
      <c r="E1004" s="1" t="s">
        <v>123</v>
      </c>
      <c r="F1004" s="1" t="s">
        <v>124</v>
      </c>
      <c r="G1004" s="1" t="s">
        <v>125</v>
      </c>
      <c r="H1004" s="1" t="s">
        <v>22</v>
      </c>
      <c r="I1004" s="1" t="s">
        <v>120</v>
      </c>
      <c r="L1004" s="1">
        <v>35.314666699999997</v>
      </c>
    </row>
    <row r="1005" spans="4:13">
      <c r="D1005" s="1" t="s">
        <v>194</v>
      </c>
      <c r="E1005" s="1" t="s">
        <v>126</v>
      </c>
      <c r="H1005" s="1" t="s">
        <v>22</v>
      </c>
      <c r="I1005" s="1" t="s">
        <v>65</v>
      </c>
      <c r="L1005" s="1">
        <v>1</v>
      </c>
    </row>
    <row r="1006" spans="4:13">
      <c r="D1006" s="1" t="s">
        <v>195</v>
      </c>
      <c r="E1006" s="1" t="s">
        <v>28</v>
      </c>
      <c r="H1006" s="1" t="s">
        <v>22</v>
      </c>
      <c r="I1006" s="1" t="s">
        <v>29</v>
      </c>
      <c r="J1006" s="1">
        <v>34000</v>
      </c>
      <c r="K1006" s="1">
        <v>4300000</v>
      </c>
      <c r="L1006" s="1">
        <v>349660</v>
      </c>
    </row>
    <row r="1007" spans="4:13">
      <c r="D1007" s="1" t="s">
        <v>195</v>
      </c>
      <c r="E1007" s="1" t="s">
        <v>30</v>
      </c>
      <c r="H1007" s="1" t="s">
        <v>22</v>
      </c>
      <c r="I1007" s="1" t="s">
        <v>29</v>
      </c>
      <c r="J1007" s="1">
        <v>-3.94</v>
      </c>
      <c r="K1007" s="1">
        <v>3.66</v>
      </c>
      <c r="L1007" s="1">
        <v>1</v>
      </c>
    </row>
    <row r="1008" spans="4:13">
      <c r="D1008" s="1" t="s">
        <v>195</v>
      </c>
      <c r="E1008" s="1" t="s">
        <v>31</v>
      </c>
      <c r="H1008" s="1" t="s">
        <v>22</v>
      </c>
      <c r="I1008" s="1" t="s">
        <v>29</v>
      </c>
      <c r="J1008" s="1">
        <v>0</v>
      </c>
      <c r="K1008" s="1">
        <v>100</v>
      </c>
      <c r="L1008" s="1">
        <v>1</v>
      </c>
    </row>
    <row r="1009" spans="4:13">
      <c r="D1009" s="1" t="s">
        <v>195</v>
      </c>
      <c r="E1009" s="1" t="s">
        <v>32</v>
      </c>
      <c r="H1009" s="1" t="s">
        <v>22</v>
      </c>
      <c r="I1009" s="1" t="s">
        <v>29</v>
      </c>
      <c r="J1009" s="1">
        <v>-3.94</v>
      </c>
      <c r="K1009" s="1">
        <v>3.66</v>
      </c>
      <c r="L1009" s="1">
        <v>1</v>
      </c>
    </row>
    <row r="1010" spans="4:13">
      <c r="D1010" s="1" t="s">
        <v>195</v>
      </c>
      <c r="E1010" s="1" t="s">
        <v>33</v>
      </c>
      <c r="H1010" s="1" t="s">
        <v>25</v>
      </c>
      <c r="I1010" s="1" t="s">
        <v>23</v>
      </c>
      <c r="M1010" s="1" t="b">
        <v>0</v>
      </c>
    </row>
    <row r="1011" spans="4:13">
      <c r="D1011" s="1" t="s">
        <v>195</v>
      </c>
      <c r="E1011" s="1" t="s">
        <v>34</v>
      </c>
      <c r="F1011" s="1" t="s">
        <v>35</v>
      </c>
      <c r="G1011" s="1" t="s">
        <v>36</v>
      </c>
      <c r="H1011" s="1" t="s">
        <v>22</v>
      </c>
      <c r="I1011" s="1" t="s">
        <v>23</v>
      </c>
      <c r="J1011" s="1">
        <v>-459.67</v>
      </c>
      <c r="K1011" s="1">
        <v>980.32999999999993</v>
      </c>
      <c r="L1011" s="1">
        <v>80.329999999999984</v>
      </c>
      <c r="M1011" s="1">
        <v>67.999999999999943</v>
      </c>
    </row>
    <row r="1012" spans="4:13">
      <c r="D1012" s="1" t="s">
        <v>195</v>
      </c>
      <c r="E1012" s="1" t="s">
        <v>37</v>
      </c>
      <c r="H1012" s="1" t="s">
        <v>25</v>
      </c>
      <c r="I1012" s="1" t="s">
        <v>23</v>
      </c>
      <c r="M1012" s="1" t="b">
        <v>0</v>
      </c>
    </row>
    <row r="1013" spans="4:13">
      <c r="D1013" s="1" t="s">
        <v>195</v>
      </c>
      <c r="E1013" s="1" t="s">
        <v>38</v>
      </c>
      <c r="F1013" s="1" t="s">
        <v>35</v>
      </c>
      <c r="G1013" s="1" t="s">
        <v>36</v>
      </c>
      <c r="H1013" s="1" t="s">
        <v>22</v>
      </c>
      <c r="I1013" s="1" t="s">
        <v>23</v>
      </c>
      <c r="J1013" s="1">
        <v>-99.670000000000016</v>
      </c>
      <c r="K1013" s="1">
        <v>980.32999999999993</v>
      </c>
      <c r="L1013" s="1">
        <v>80.329999999999984</v>
      </c>
      <c r="M1013" s="1">
        <v>13.999999999999943</v>
      </c>
    </row>
    <row r="1014" spans="4:13">
      <c r="D1014" s="1" t="s">
        <v>195</v>
      </c>
      <c r="E1014" s="1" t="s">
        <v>39</v>
      </c>
      <c r="H1014" s="1" t="s">
        <v>25</v>
      </c>
      <c r="I1014" s="1" t="s">
        <v>23</v>
      </c>
      <c r="M1014" s="1" t="b">
        <v>0</v>
      </c>
    </row>
    <row r="1015" spans="4:13">
      <c r="D1015" s="1" t="s">
        <v>195</v>
      </c>
      <c r="E1015" s="1" t="s">
        <v>40</v>
      </c>
      <c r="F1015" s="1" t="s">
        <v>41</v>
      </c>
      <c r="G1015" s="1" t="s">
        <v>42</v>
      </c>
      <c r="H1015" s="1" t="s">
        <v>22</v>
      </c>
      <c r="I1015" s="1" t="s">
        <v>23</v>
      </c>
      <c r="J1015" s="1">
        <v>-900</v>
      </c>
      <c r="K1015" s="1">
        <v>900</v>
      </c>
      <c r="L1015" s="1">
        <v>1.8</v>
      </c>
      <c r="M1015" s="1">
        <v>9</v>
      </c>
    </row>
    <row r="1016" spans="4:13">
      <c r="D1016" s="1" t="s">
        <v>195</v>
      </c>
      <c r="E1016" s="1" t="s">
        <v>43</v>
      </c>
      <c r="H1016" s="1" t="s">
        <v>25</v>
      </c>
      <c r="I1016" s="1" t="s">
        <v>23</v>
      </c>
      <c r="M1016" s="1" t="b">
        <v>0</v>
      </c>
    </row>
    <row r="1017" spans="4:13">
      <c r="D1017" s="1" t="s">
        <v>195</v>
      </c>
      <c r="E1017" s="1" t="s">
        <v>44</v>
      </c>
      <c r="F1017" s="1" t="s">
        <v>45</v>
      </c>
      <c r="G1017" s="1" t="s">
        <v>46</v>
      </c>
      <c r="H1017" s="1" t="s">
        <v>22</v>
      </c>
      <c r="I1017" s="1" t="s">
        <v>23</v>
      </c>
      <c r="J1017" s="1">
        <v>-85.984522757427143</v>
      </c>
      <c r="K1017" s="1">
        <v>8598.4522757427148</v>
      </c>
      <c r="L1017" s="1">
        <v>114.79148749423418</v>
      </c>
      <c r="M1017" s="1">
        <v>128.97678413614071</v>
      </c>
    </row>
    <row r="1018" spans="4:13">
      <c r="D1018" s="1" t="s">
        <v>195</v>
      </c>
      <c r="E1018" s="1" t="s">
        <v>47</v>
      </c>
      <c r="H1018" s="1" t="s">
        <v>25</v>
      </c>
      <c r="I1018" s="1" t="s">
        <v>23</v>
      </c>
      <c r="M1018" s="1" t="b">
        <v>0</v>
      </c>
    </row>
    <row r="1019" spans="4:13">
      <c r="D1019" s="1" t="s">
        <v>195</v>
      </c>
      <c r="E1019" s="1" t="s">
        <v>48</v>
      </c>
      <c r="H1019" s="1" t="s">
        <v>25</v>
      </c>
      <c r="I1019" s="1" t="s">
        <v>23</v>
      </c>
      <c r="M1019" s="1" t="b">
        <v>0</v>
      </c>
    </row>
    <row r="1020" spans="4:13">
      <c r="D1020" s="1" t="s">
        <v>195</v>
      </c>
      <c r="E1020" s="1" t="s">
        <v>49</v>
      </c>
      <c r="H1020" s="1" t="s">
        <v>25</v>
      </c>
      <c r="I1020" s="1" t="s">
        <v>23</v>
      </c>
      <c r="M1020" s="1" t="b">
        <v>0</v>
      </c>
    </row>
    <row r="1021" spans="4:13">
      <c r="D1021" s="1" t="s">
        <v>195</v>
      </c>
      <c r="E1021" s="1" t="s">
        <v>50</v>
      </c>
      <c r="H1021" s="1" t="s">
        <v>25</v>
      </c>
      <c r="I1021" s="1" t="s">
        <v>23</v>
      </c>
      <c r="M1021" s="1" t="b">
        <v>0</v>
      </c>
    </row>
    <row r="1022" spans="4:13">
      <c r="D1022" s="1" t="s">
        <v>195</v>
      </c>
      <c r="E1022" s="1" t="s">
        <v>51</v>
      </c>
      <c r="F1022" s="1" t="s">
        <v>52</v>
      </c>
      <c r="G1022" s="1" t="s">
        <v>53</v>
      </c>
      <c r="H1022" s="1" t="s">
        <v>22</v>
      </c>
      <c r="I1022" s="1" t="s">
        <v>23</v>
      </c>
      <c r="J1022" s="1">
        <v>0</v>
      </c>
      <c r="K1022" s="1">
        <v>7936641438.6555996</v>
      </c>
      <c r="L1022" s="1">
        <v>7936.6414386555998</v>
      </c>
      <c r="M1022" s="1">
        <v>7936.6414386555998</v>
      </c>
    </row>
    <row r="1023" spans="4:13">
      <c r="D1023" s="1" t="s">
        <v>195</v>
      </c>
      <c r="E1023" s="1" t="s">
        <v>54</v>
      </c>
      <c r="H1023" s="1" t="s">
        <v>25</v>
      </c>
      <c r="I1023" s="1" t="s">
        <v>23</v>
      </c>
      <c r="M1023" s="1" t="b">
        <v>0</v>
      </c>
    </row>
    <row r="1024" spans="4:13">
      <c r="D1024" s="1" t="s">
        <v>195</v>
      </c>
      <c r="E1024" s="1" t="s">
        <v>55</v>
      </c>
      <c r="F1024" s="1" t="s">
        <v>56</v>
      </c>
      <c r="G1024" s="1" t="s">
        <v>57</v>
      </c>
      <c r="H1024" s="1" t="s">
        <v>22</v>
      </c>
      <c r="I1024" s="1" t="s">
        <v>23</v>
      </c>
      <c r="J1024" s="1">
        <v>0</v>
      </c>
      <c r="K1024" s="1">
        <v>9427.4529524635982</v>
      </c>
      <c r="L1024" s="1">
        <v>50.713895374744951</v>
      </c>
      <c r="M1024" s="1">
        <v>50.763208205573221</v>
      </c>
    </row>
    <row r="1025" spans="4:13">
      <c r="D1025" s="1" t="s">
        <v>195</v>
      </c>
      <c r="E1025" s="1" t="s">
        <v>58</v>
      </c>
      <c r="H1025" s="1" t="s">
        <v>25</v>
      </c>
      <c r="I1025" s="1" t="s">
        <v>23</v>
      </c>
      <c r="M1025" s="1" t="b">
        <v>0</v>
      </c>
    </row>
    <row r="1026" spans="4:13">
      <c r="D1026" s="1" t="s">
        <v>195</v>
      </c>
      <c r="E1026" s="1" t="s">
        <v>59</v>
      </c>
      <c r="F1026" s="1" t="s">
        <v>60</v>
      </c>
      <c r="G1026" s="1" t="s">
        <v>61</v>
      </c>
      <c r="H1026" s="1" t="s">
        <v>22</v>
      </c>
      <c r="I1026" s="1" t="s">
        <v>23</v>
      </c>
      <c r="J1026" s="1">
        <v>-9.5538358650799999</v>
      </c>
      <c r="K1026" s="1">
        <v>9.5538358650799999</v>
      </c>
      <c r="L1026" s="1">
        <v>0.23884589662700001</v>
      </c>
      <c r="M1026" s="1">
        <v>0.23884589662700001</v>
      </c>
    </row>
    <row r="1027" spans="4:13">
      <c r="D1027" s="1" t="s">
        <v>195</v>
      </c>
      <c r="E1027" s="1" t="s">
        <v>62</v>
      </c>
      <c r="H1027" s="1" t="s">
        <v>63</v>
      </c>
      <c r="I1027" s="1" t="s">
        <v>23</v>
      </c>
      <c r="M1027" s="1">
        <v>1</v>
      </c>
    </row>
    <row r="1028" spans="4:13">
      <c r="D1028" s="1" t="s">
        <v>195</v>
      </c>
      <c r="E1028" s="1" t="s">
        <v>64</v>
      </c>
      <c r="F1028" s="1" t="s">
        <v>35</v>
      </c>
      <c r="G1028" s="1" t="s">
        <v>36</v>
      </c>
      <c r="H1028" s="1" t="s">
        <v>22</v>
      </c>
      <c r="I1028" s="1" t="s">
        <v>65</v>
      </c>
      <c r="J1028" s="1">
        <v>-459.67</v>
      </c>
      <c r="L1028" s="1">
        <v>80.329999999999984</v>
      </c>
    </row>
    <row r="1029" spans="4:13">
      <c r="D1029" s="1" t="s">
        <v>195</v>
      </c>
      <c r="E1029" s="1" t="s">
        <v>66</v>
      </c>
      <c r="F1029" s="1" t="s">
        <v>35</v>
      </c>
      <c r="G1029" s="1" t="s">
        <v>36</v>
      </c>
      <c r="H1029" s="1" t="s">
        <v>22</v>
      </c>
      <c r="I1029" s="1" t="s">
        <v>65</v>
      </c>
      <c r="J1029" s="1">
        <v>-459.67</v>
      </c>
      <c r="L1029" s="1">
        <v>80.329999999999984</v>
      </c>
    </row>
    <row r="1030" spans="4:13">
      <c r="D1030" s="1" t="s">
        <v>195</v>
      </c>
      <c r="E1030" s="1" t="s">
        <v>67</v>
      </c>
      <c r="F1030" s="1" t="s">
        <v>41</v>
      </c>
      <c r="G1030" s="1" t="s">
        <v>42</v>
      </c>
      <c r="H1030" s="1" t="s">
        <v>22</v>
      </c>
      <c r="I1030" s="1" t="s">
        <v>65</v>
      </c>
      <c r="L1030" s="1">
        <v>1.8</v>
      </c>
    </row>
    <row r="1031" spans="4:13">
      <c r="D1031" s="1" t="s">
        <v>195</v>
      </c>
      <c r="E1031" s="1" t="s">
        <v>68</v>
      </c>
      <c r="F1031" s="1" t="s">
        <v>45</v>
      </c>
      <c r="G1031" s="1" t="s">
        <v>46</v>
      </c>
      <c r="H1031" s="1" t="s">
        <v>22</v>
      </c>
      <c r="I1031" s="1" t="s">
        <v>65</v>
      </c>
      <c r="L1031" s="1">
        <v>4.2992261378713571E-4</v>
      </c>
    </row>
    <row r="1032" spans="4:13">
      <c r="D1032" s="1" t="s">
        <v>195</v>
      </c>
      <c r="E1032" s="1" t="s">
        <v>69</v>
      </c>
      <c r="H1032" s="1" t="s">
        <v>25</v>
      </c>
      <c r="I1032" s="1" t="s">
        <v>70</v>
      </c>
    </row>
    <row r="1033" spans="4:13">
      <c r="D1033" s="1" t="s">
        <v>195</v>
      </c>
      <c r="E1033" s="1" t="s">
        <v>71</v>
      </c>
      <c r="F1033" s="1" t="s">
        <v>52</v>
      </c>
      <c r="G1033" s="1" t="s">
        <v>53</v>
      </c>
      <c r="H1033" s="1" t="s">
        <v>22</v>
      </c>
      <c r="I1033" s="1" t="s">
        <v>65</v>
      </c>
      <c r="L1033" s="1">
        <v>7936.6414386555998</v>
      </c>
    </row>
    <row r="1034" spans="4:13">
      <c r="D1034" s="1" t="s">
        <v>195</v>
      </c>
      <c r="E1034" s="1" t="s">
        <v>72</v>
      </c>
      <c r="F1034" s="1" t="s">
        <v>56</v>
      </c>
      <c r="G1034" s="1" t="s">
        <v>57</v>
      </c>
      <c r="H1034" s="1" t="s">
        <v>22</v>
      </c>
      <c r="I1034" s="1" t="s">
        <v>65</v>
      </c>
      <c r="J1034" s="1">
        <v>0</v>
      </c>
      <c r="L1034" s="1">
        <v>14.503773773020921</v>
      </c>
    </row>
    <row r="1035" spans="4:13">
      <c r="D1035" s="1" t="s">
        <v>195</v>
      </c>
      <c r="E1035" s="1" t="s">
        <v>73</v>
      </c>
      <c r="F1035" s="1" t="s">
        <v>60</v>
      </c>
      <c r="G1035" s="1" t="s">
        <v>61</v>
      </c>
      <c r="H1035" s="1" t="s">
        <v>22</v>
      </c>
      <c r="I1035" s="1" t="s">
        <v>65</v>
      </c>
      <c r="L1035" s="1">
        <v>2.38845896627E-4</v>
      </c>
    </row>
    <row r="1036" spans="4:13">
      <c r="D1036" s="1" t="s">
        <v>195</v>
      </c>
      <c r="E1036" s="1" t="s">
        <v>74</v>
      </c>
      <c r="F1036" s="1" t="s">
        <v>75</v>
      </c>
      <c r="G1036" s="1" t="s">
        <v>76</v>
      </c>
      <c r="H1036" s="1" t="s">
        <v>22</v>
      </c>
      <c r="I1036" s="1" t="s">
        <v>65</v>
      </c>
      <c r="J1036" s="1">
        <v>0</v>
      </c>
      <c r="L1036" s="1">
        <v>16.018463521800001</v>
      </c>
    </row>
    <row r="1037" spans="4:13">
      <c r="D1037" s="1" t="s">
        <v>195</v>
      </c>
      <c r="E1037" s="1" t="s">
        <v>77</v>
      </c>
      <c r="H1037" s="1" t="s">
        <v>22</v>
      </c>
      <c r="I1037" s="1" t="s">
        <v>65</v>
      </c>
      <c r="L1037" s="1">
        <v>1</v>
      </c>
    </row>
    <row r="1038" spans="4:13">
      <c r="D1038" s="1" t="s">
        <v>195</v>
      </c>
      <c r="E1038" s="1" t="s">
        <v>78</v>
      </c>
      <c r="H1038" s="1" t="s">
        <v>25</v>
      </c>
      <c r="I1038" s="1" t="s">
        <v>23</v>
      </c>
      <c r="M1038" s="1" t="b">
        <v>0</v>
      </c>
    </row>
    <row r="1039" spans="4:13">
      <c r="D1039" s="1" t="s">
        <v>195</v>
      </c>
      <c r="E1039" s="1" t="s">
        <v>79</v>
      </c>
      <c r="F1039" s="1" t="s">
        <v>75</v>
      </c>
      <c r="G1039" s="1" t="s">
        <v>76</v>
      </c>
      <c r="H1039" s="1" t="s">
        <v>22</v>
      </c>
      <c r="I1039" s="1" t="s">
        <v>23</v>
      </c>
      <c r="J1039" s="1">
        <v>0</v>
      </c>
      <c r="K1039" s="1">
        <v>96.110781130800007</v>
      </c>
      <c r="L1039" s="1">
        <v>16.018463521800001</v>
      </c>
      <c r="M1039" s="1">
        <v>1.6018463521800002</v>
      </c>
    </row>
    <row r="1040" spans="4:13">
      <c r="D1040" s="1" t="s">
        <v>195</v>
      </c>
      <c r="E1040" s="1" t="s">
        <v>80</v>
      </c>
      <c r="H1040" s="1" t="s">
        <v>25</v>
      </c>
      <c r="I1040" s="1" t="s">
        <v>23</v>
      </c>
      <c r="M1040" s="1" t="b">
        <v>0</v>
      </c>
    </row>
    <row r="1041" spans="4:13">
      <c r="D1041" s="1" t="s">
        <v>195</v>
      </c>
      <c r="E1041" s="1" t="s">
        <v>81</v>
      </c>
      <c r="H1041" s="1" t="s">
        <v>25</v>
      </c>
      <c r="I1041" s="1" t="s">
        <v>23</v>
      </c>
      <c r="M1041" s="1" t="b">
        <v>0</v>
      </c>
    </row>
    <row r="1042" spans="4:13">
      <c r="D1042" s="1" t="s">
        <v>195</v>
      </c>
      <c r="E1042" s="1" t="s">
        <v>82</v>
      </c>
      <c r="H1042" s="1" t="s">
        <v>22</v>
      </c>
      <c r="I1042" s="1" t="s">
        <v>23</v>
      </c>
      <c r="J1042" s="1">
        <v>-1</v>
      </c>
      <c r="K1042" s="1">
        <v>3</v>
      </c>
      <c r="L1042" s="1">
        <v>1</v>
      </c>
      <c r="M1042" s="1">
        <v>1.01</v>
      </c>
    </row>
    <row r="1043" spans="4:13">
      <c r="D1043" s="1" t="s">
        <v>196</v>
      </c>
      <c r="E1043" s="1" t="s">
        <v>171</v>
      </c>
      <c r="H1043" s="1" t="s">
        <v>22</v>
      </c>
      <c r="I1043" s="1" t="s">
        <v>23</v>
      </c>
      <c r="L1043" s="1">
        <v>1</v>
      </c>
      <c r="M1043" s="1">
        <v>3.0558000000000001</v>
      </c>
    </row>
    <row r="1044" spans="4:13">
      <c r="D1044" s="1" t="s">
        <v>196</v>
      </c>
      <c r="E1044" s="1" t="s">
        <v>172</v>
      </c>
      <c r="H1044" s="1" t="s">
        <v>22</v>
      </c>
      <c r="I1044" s="1" t="s">
        <v>29</v>
      </c>
      <c r="J1044" s="1">
        <v>0</v>
      </c>
      <c r="K1044" s="1">
        <v>10000</v>
      </c>
      <c r="L1044" s="1">
        <v>5000</v>
      </c>
    </row>
    <row r="1045" spans="4:13">
      <c r="D1045" s="1" t="s">
        <v>196</v>
      </c>
      <c r="E1045" s="1" t="s">
        <v>173</v>
      </c>
      <c r="H1045" s="1" t="s">
        <v>22</v>
      </c>
      <c r="I1045" s="1" t="s">
        <v>29</v>
      </c>
      <c r="J1045" s="1">
        <v>9.9999999999999995E-7</v>
      </c>
      <c r="K1045" s="1">
        <v>0.01</v>
      </c>
      <c r="L1045" s="1">
        <v>5.0004999999999997E-3</v>
      </c>
    </row>
    <row r="1046" spans="4:13">
      <c r="D1046" s="1" t="s">
        <v>196</v>
      </c>
      <c r="E1046" s="1" t="s">
        <v>174</v>
      </c>
      <c r="H1046" s="1" t="s">
        <v>25</v>
      </c>
      <c r="I1046" s="1" t="s">
        <v>23</v>
      </c>
      <c r="M1046" s="1" t="b">
        <v>1</v>
      </c>
    </row>
    <row r="1047" spans="4:13">
      <c r="D1047" s="1" t="s">
        <v>196</v>
      </c>
      <c r="E1047" s="1" t="s">
        <v>175</v>
      </c>
      <c r="F1047" s="1" t="s">
        <v>176</v>
      </c>
      <c r="G1047" s="1" t="s">
        <v>177</v>
      </c>
      <c r="H1047" s="1" t="s">
        <v>22</v>
      </c>
      <c r="I1047" s="1" t="s">
        <v>23</v>
      </c>
      <c r="L1047" s="1">
        <v>39.370078740157467</v>
      </c>
      <c r="M1047" s="1">
        <v>6.0649999999999977</v>
      </c>
    </row>
    <row r="1048" spans="4:13">
      <c r="D1048" s="1" t="s">
        <v>196</v>
      </c>
      <c r="E1048" s="1" t="s">
        <v>178</v>
      </c>
      <c r="H1048" s="1" t="s">
        <v>25</v>
      </c>
      <c r="I1048" s="1" t="s">
        <v>23</v>
      </c>
      <c r="M1048" s="1" t="b">
        <v>0</v>
      </c>
    </row>
    <row r="1049" spans="4:13">
      <c r="D1049" s="1" t="s">
        <v>196</v>
      </c>
      <c r="E1049" s="1" t="s">
        <v>111</v>
      </c>
      <c r="F1049" s="1" t="s">
        <v>56</v>
      </c>
      <c r="G1049" s="1" t="s">
        <v>57</v>
      </c>
      <c r="H1049" s="1" t="s">
        <v>22</v>
      </c>
      <c r="I1049" s="1" t="s">
        <v>23</v>
      </c>
      <c r="L1049" s="1">
        <v>1.4503773773020921E-4</v>
      </c>
      <c r="M1049" s="1">
        <v>7.2518868865104604E-3</v>
      </c>
    </row>
    <row r="1050" spans="4:13">
      <c r="D1050" s="1" t="s">
        <v>196</v>
      </c>
      <c r="E1050" s="1" t="s">
        <v>179</v>
      </c>
      <c r="H1050" s="1" t="s">
        <v>22</v>
      </c>
      <c r="I1050" s="1" t="s">
        <v>23</v>
      </c>
      <c r="L1050" s="1">
        <v>1</v>
      </c>
      <c r="M1050" s="1">
        <v>10000</v>
      </c>
    </row>
    <row r="1051" spans="4:13">
      <c r="D1051" s="1" t="s">
        <v>196</v>
      </c>
      <c r="E1051" s="1" t="s">
        <v>180</v>
      </c>
      <c r="H1051" s="1" t="s">
        <v>181</v>
      </c>
      <c r="I1051" s="1" t="s">
        <v>23</v>
      </c>
      <c r="J1051" s="1">
        <v>1</v>
      </c>
      <c r="K1051" s="1">
        <v>3</v>
      </c>
      <c r="M1051" s="1" t="s">
        <v>182</v>
      </c>
    </row>
    <row r="1052" spans="4:13">
      <c r="D1052" s="1" t="s">
        <v>196</v>
      </c>
      <c r="E1052" s="1" t="s">
        <v>47</v>
      </c>
      <c r="H1052" s="1" t="s">
        <v>25</v>
      </c>
      <c r="I1052" s="1" t="s">
        <v>23</v>
      </c>
      <c r="M1052" s="1" t="b">
        <v>0</v>
      </c>
    </row>
    <row r="1053" spans="4:13">
      <c r="D1053" s="1" t="s">
        <v>196</v>
      </c>
      <c r="E1053" s="1" t="s">
        <v>183</v>
      </c>
      <c r="H1053" s="1" t="s">
        <v>25</v>
      </c>
      <c r="I1053" s="1" t="s">
        <v>23</v>
      </c>
      <c r="M1053" s="1" t="b">
        <v>1</v>
      </c>
    </row>
    <row r="1054" spans="4:13">
      <c r="D1054" s="1" t="s">
        <v>196</v>
      </c>
      <c r="E1054" s="1" t="s">
        <v>112</v>
      </c>
      <c r="F1054" s="1" t="s">
        <v>56</v>
      </c>
      <c r="G1054" s="1" t="s">
        <v>57</v>
      </c>
      <c r="H1054" s="1" t="s">
        <v>22</v>
      </c>
      <c r="I1054" s="1" t="s">
        <v>29</v>
      </c>
      <c r="J1054" s="1">
        <v>4.9312830828271128</v>
      </c>
      <c r="K1054" s="1">
        <v>623.66227223989961</v>
      </c>
      <c r="L1054" s="1">
        <v>50.713895374744951</v>
      </c>
    </row>
    <row r="1055" spans="4:13">
      <c r="D1055" s="1" t="s">
        <v>196</v>
      </c>
      <c r="E1055" s="1" t="s">
        <v>62</v>
      </c>
      <c r="H1055" s="1" t="s">
        <v>63</v>
      </c>
      <c r="I1055" s="1" t="s">
        <v>23</v>
      </c>
      <c r="M1055" s="1">
        <v>1</v>
      </c>
    </row>
    <row r="1056" spans="4:13">
      <c r="D1056" s="1" t="s">
        <v>196</v>
      </c>
      <c r="E1056" s="1" t="s">
        <v>184</v>
      </c>
      <c r="H1056" s="1" t="s">
        <v>22</v>
      </c>
      <c r="I1056" s="1" t="s">
        <v>120</v>
      </c>
      <c r="L1056" s="1">
        <v>1</v>
      </c>
    </row>
    <row r="1057" spans="4:13">
      <c r="D1057" s="1" t="s">
        <v>196</v>
      </c>
      <c r="E1057" s="1" t="s">
        <v>185</v>
      </c>
      <c r="F1057" s="1" t="s">
        <v>176</v>
      </c>
      <c r="G1057" s="1" t="s">
        <v>177</v>
      </c>
      <c r="H1057" s="1" t="s">
        <v>22</v>
      </c>
      <c r="I1057" s="1" t="s">
        <v>65</v>
      </c>
      <c r="L1057" s="1">
        <v>39.370078740157467</v>
      </c>
    </row>
    <row r="1058" spans="4:13">
      <c r="D1058" s="1" t="s">
        <v>196</v>
      </c>
      <c r="E1058" s="1" t="s">
        <v>115</v>
      </c>
      <c r="F1058" s="1" t="s">
        <v>56</v>
      </c>
      <c r="G1058" s="1" t="s">
        <v>57</v>
      </c>
      <c r="H1058" s="1" t="s">
        <v>22</v>
      </c>
      <c r="I1058" s="1" t="s">
        <v>65</v>
      </c>
      <c r="L1058" s="1">
        <v>1.4503773773020921E-4</v>
      </c>
    </row>
    <row r="1059" spans="4:13">
      <c r="D1059" s="1" t="s">
        <v>196</v>
      </c>
      <c r="E1059" s="1" t="s">
        <v>69</v>
      </c>
      <c r="H1059" s="1" t="s">
        <v>25</v>
      </c>
      <c r="I1059" s="1" t="s">
        <v>70</v>
      </c>
    </row>
    <row r="1060" spans="4:13">
      <c r="D1060" s="1" t="s">
        <v>196</v>
      </c>
      <c r="E1060" s="1" t="s">
        <v>186</v>
      </c>
      <c r="H1060" s="1" t="s">
        <v>22</v>
      </c>
      <c r="I1060" s="1" t="s">
        <v>65</v>
      </c>
      <c r="L1060" s="1">
        <v>1</v>
      </c>
    </row>
    <row r="1061" spans="4:13">
      <c r="D1061" s="1" t="s">
        <v>196</v>
      </c>
      <c r="E1061" s="1" t="s">
        <v>71</v>
      </c>
      <c r="F1061" s="1" t="s">
        <v>52</v>
      </c>
      <c r="G1061" s="1" t="s">
        <v>53</v>
      </c>
      <c r="H1061" s="1" t="s">
        <v>22</v>
      </c>
      <c r="I1061" s="1" t="s">
        <v>65</v>
      </c>
      <c r="L1061" s="1">
        <v>7936.6414386555998</v>
      </c>
    </row>
    <row r="1062" spans="4:13">
      <c r="D1062" s="1" t="s">
        <v>196</v>
      </c>
      <c r="E1062" s="1" t="s">
        <v>117</v>
      </c>
      <c r="F1062" s="1" t="s">
        <v>118</v>
      </c>
      <c r="G1062" s="1" t="s">
        <v>119</v>
      </c>
      <c r="H1062" s="1" t="s">
        <v>22</v>
      </c>
      <c r="I1062" s="1" t="s">
        <v>120</v>
      </c>
      <c r="J1062" s="1">
        <v>0</v>
      </c>
      <c r="L1062" s="1">
        <v>2.20462262185</v>
      </c>
    </row>
    <row r="1063" spans="4:13">
      <c r="D1063" s="1" t="s">
        <v>196</v>
      </c>
      <c r="E1063" s="1" t="s">
        <v>123</v>
      </c>
      <c r="F1063" s="1" t="s">
        <v>124</v>
      </c>
      <c r="G1063" s="1" t="s">
        <v>125</v>
      </c>
      <c r="H1063" s="1" t="s">
        <v>22</v>
      </c>
      <c r="I1063" s="1" t="s">
        <v>120</v>
      </c>
      <c r="L1063" s="1">
        <v>35.314666699999997</v>
      </c>
    </row>
    <row r="1064" spans="4:13">
      <c r="D1064" s="1" t="s">
        <v>196</v>
      </c>
      <c r="E1064" s="1" t="s">
        <v>126</v>
      </c>
      <c r="H1064" s="1" t="s">
        <v>22</v>
      </c>
      <c r="I1064" s="1" t="s">
        <v>65</v>
      </c>
      <c r="L1064" s="1">
        <v>1</v>
      </c>
    </row>
    <row r="1065" spans="4:13">
      <c r="D1065" s="1" t="s">
        <v>197</v>
      </c>
      <c r="E1065" s="1" t="s">
        <v>171</v>
      </c>
      <c r="H1065" s="1" t="s">
        <v>22</v>
      </c>
      <c r="I1065" s="1" t="s">
        <v>23</v>
      </c>
      <c r="L1065" s="1">
        <v>1</v>
      </c>
      <c r="M1065" s="1">
        <v>3.0558000000000001</v>
      </c>
    </row>
    <row r="1066" spans="4:13">
      <c r="D1066" s="1" t="s">
        <v>197</v>
      </c>
      <c r="E1066" s="1" t="s">
        <v>172</v>
      </c>
      <c r="H1066" s="1" t="s">
        <v>22</v>
      </c>
      <c r="I1066" s="1" t="s">
        <v>29</v>
      </c>
      <c r="J1066" s="1">
        <v>0</v>
      </c>
      <c r="K1066" s="1">
        <v>10000</v>
      </c>
      <c r="L1066" s="1">
        <v>5000</v>
      </c>
    </row>
    <row r="1067" spans="4:13">
      <c r="D1067" s="1" t="s">
        <v>197</v>
      </c>
      <c r="E1067" s="1" t="s">
        <v>173</v>
      </c>
      <c r="H1067" s="1" t="s">
        <v>22</v>
      </c>
      <c r="I1067" s="1" t="s">
        <v>29</v>
      </c>
      <c r="J1067" s="1">
        <v>9.9999999999999995E-7</v>
      </c>
      <c r="K1067" s="1">
        <v>0.01</v>
      </c>
      <c r="L1067" s="1">
        <v>5.0004999999999997E-3</v>
      </c>
    </row>
    <row r="1068" spans="4:13">
      <c r="D1068" s="1" t="s">
        <v>197</v>
      </c>
      <c r="E1068" s="1" t="s">
        <v>174</v>
      </c>
      <c r="H1068" s="1" t="s">
        <v>25</v>
      </c>
      <c r="I1068" s="1" t="s">
        <v>23</v>
      </c>
      <c r="M1068" s="1" t="b">
        <v>1</v>
      </c>
    </row>
    <row r="1069" spans="4:13">
      <c r="D1069" s="1" t="s">
        <v>197</v>
      </c>
      <c r="E1069" s="1" t="s">
        <v>175</v>
      </c>
      <c r="F1069" s="1" t="s">
        <v>176</v>
      </c>
      <c r="G1069" s="1" t="s">
        <v>177</v>
      </c>
      <c r="H1069" s="1" t="s">
        <v>22</v>
      </c>
      <c r="I1069" s="1" t="s">
        <v>23</v>
      </c>
      <c r="L1069" s="1">
        <v>39.370078740157467</v>
      </c>
      <c r="M1069" s="1">
        <v>7.9809999999999972</v>
      </c>
    </row>
    <row r="1070" spans="4:13">
      <c r="D1070" s="1" t="s">
        <v>197</v>
      </c>
      <c r="E1070" s="1" t="s">
        <v>178</v>
      </c>
      <c r="H1070" s="1" t="s">
        <v>25</v>
      </c>
      <c r="I1070" s="1" t="s">
        <v>23</v>
      </c>
      <c r="M1070" s="1" t="b">
        <v>0</v>
      </c>
    </row>
    <row r="1071" spans="4:13">
      <c r="D1071" s="1" t="s">
        <v>197</v>
      </c>
      <c r="E1071" s="1" t="s">
        <v>111</v>
      </c>
      <c r="F1071" s="1" t="s">
        <v>56</v>
      </c>
      <c r="G1071" s="1" t="s">
        <v>57</v>
      </c>
      <c r="H1071" s="1" t="s">
        <v>22</v>
      </c>
      <c r="I1071" s="1" t="s">
        <v>23</v>
      </c>
      <c r="L1071" s="1">
        <v>1.4503773773020921E-4</v>
      </c>
      <c r="M1071" s="1">
        <v>7.2518868865104604E-3</v>
      </c>
    </row>
    <row r="1072" spans="4:13">
      <c r="D1072" s="1" t="s">
        <v>197</v>
      </c>
      <c r="E1072" s="1" t="s">
        <v>179</v>
      </c>
      <c r="H1072" s="1" t="s">
        <v>22</v>
      </c>
      <c r="I1072" s="1" t="s">
        <v>23</v>
      </c>
      <c r="L1072" s="1">
        <v>1</v>
      </c>
      <c r="M1072" s="1">
        <v>10000</v>
      </c>
    </row>
    <row r="1073" spans="4:13">
      <c r="D1073" s="1" t="s">
        <v>197</v>
      </c>
      <c r="E1073" s="1" t="s">
        <v>180</v>
      </c>
      <c r="H1073" s="1" t="s">
        <v>181</v>
      </c>
      <c r="I1073" s="1" t="s">
        <v>23</v>
      </c>
      <c r="J1073" s="1">
        <v>1</v>
      </c>
      <c r="K1073" s="1">
        <v>3</v>
      </c>
      <c r="M1073" s="1" t="s">
        <v>182</v>
      </c>
    </row>
    <row r="1074" spans="4:13">
      <c r="D1074" s="1" t="s">
        <v>197</v>
      </c>
      <c r="E1074" s="1" t="s">
        <v>47</v>
      </c>
      <c r="H1074" s="1" t="s">
        <v>25</v>
      </c>
      <c r="I1074" s="1" t="s">
        <v>23</v>
      </c>
      <c r="M1074" s="1" t="b">
        <v>0</v>
      </c>
    </row>
    <row r="1075" spans="4:13">
      <c r="D1075" s="1" t="s">
        <v>197</v>
      </c>
      <c r="E1075" s="1" t="s">
        <v>183</v>
      </c>
      <c r="H1075" s="1" t="s">
        <v>25</v>
      </c>
      <c r="I1075" s="1" t="s">
        <v>23</v>
      </c>
      <c r="M1075" s="1" t="b">
        <v>1</v>
      </c>
    </row>
    <row r="1076" spans="4:13">
      <c r="D1076" s="1" t="s">
        <v>197</v>
      </c>
      <c r="E1076" s="1" t="s">
        <v>189</v>
      </c>
      <c r="H1076" s="1" t="s">
        <v>22</v>
      </c>
      <c r="I1076" s="1" t="s">
        <v>23</v>
      </c>
      <c r="L1076" s="1">
        <v>1</v>
      </c>
      <c r="M1076" s="1">
        <v>1.15E-4</v>
      </c>
    </row>
    <row r="1077" spans="4:13">
      <c r="D1077" s="1" t="s">
        <v>197</v>
      </c>
      <c r="E1077" s="1" t="s">
        <v>112</v>
      </c>
      <c r="F1077" s="1" t="s">
        <v>56</v>
      </c>
      <c r="G1077" s="1" t="s">
        <v>57</v>
      </c>
      <c r="H1077" s="1" t="s">
        <v>22</v>
      </c>
      <c r="I1077" s="1" t="s">
        <v>29</v>
      </c>
      <c r="J1077" s="1">
        <v>4.9312830828271128</v>
      </c>
      <c r="K1077" s="1">
        <v>623.66227223989961</v>
      </c>
      <c r="L1077" s="1">
        <v>50.713895374744951</v>
      </c>
    </row>
    <row r="1078" spans="4:13">
      <c r="D1078" s="1" t="s">
        <v>197</v>
      </c>
      <c r="E1078" s="1" t="s">
        <v>62</v>
      </c>
      <c r="H1078" s="1" t="s">
        <v>63</v>
      </c>
      <c r="I1078" s="1" t="s">
        <v>23</v>
      </c>
      <c r="M1078" s="1">
        <v>1</v>
      </c>
    </row>
    <row r="1079" spans="4:13">
      <c r="D1079" s="1" t="s">
        <v>197</v>
      </c>
      <c r="E1079" s="1" t="s">
        <v>184</v>
      </c>
      <c r="H1079" s="1" t="s">
        <v>22</v>
      </c>
      <c r="I1079" s="1" t="s">
        <v>120</v>
      </c>
      <c r="L1079" s="1">
        <v>1</v>
      </c>
    </row>
    <row r="1080" spans="4:13">
      <c r="D1080" s="1" t="s">
        <v>197</v>
      </c>
      <c r="E1080" s="1" t="s">
        <v>185</v>
      </c>
      <c r="F1080" s="1" t="s">
        <v>176</v>
      </c>
      <c r="G1080" s="1" t="s">
        <v>177</v>
      </c>
      <c r="H1080" s="1" t="s">
        <v>22</v>
      </c>
      <c r="I1080" s="1" t="s">
        <v>65</v>
      </c>
      <c r="L1080" s="1">
        <v>39.370078740157467</v>
      </c>
    </row>
    <row r="1081" spans="4:13">
      <c r="D1081" s="1" t="s">
        <v>197</v>
      </c>
      <c r="E1081" s="1" t="s">
        <v>115</v>
      </c>
      <c r="F1081" s="1" t="s">
        <v>56</v>
      </c>
      <c r="G1081" s="1" t="s">
        <v>57</v>
      </c>
      <c r="H1081" s="1" t="s">
        <v>22</v>
      </c>
      <c r="I1081" s="1" t="s">
        <v>65</v>
      </c>
      <c r="L1081" s="1">
        <v>1.4503773773020921E-4</v>
      </c>
    </row>
    <row r="1082" spans="4:13">
      <c r="D1082" s="1" t="s">
        <v>197</v>
      </c>
      <c r="E1082" s="1" t="s">
        <v>69</v>
      </c>
      <c r="H1082" s="1" t="s">
        <v>25</v>
      </c>
      <c r="I1082" s="1" t="s">
        <v>70</v>
      </c>
    </row>
    <row r="1083" spans="4:13">
      <c r="D1083" s="1" t="s">
        <v>197</v>
      </c>
      <c r="E1083" s="1" t="s">
        <v>186</v>
      </c>
      <c r="H1083" s="1" t="s">
        <v>22</v>
      </c>
      <c r="I1083" s="1" t="s">
        <v>65</v>
      </c>
      <c r="L1083" s="1">
        <v>1</v>
      </c>
    </row>
    <row r="1084" spans="4:13">
      <c r="D1084" s="1" t="s">
        <v>197</v>
      </c>
      <c r="E1084" s="1" t="s">
        <v>71</v>
      </c>
      <c r="F1084" s="1" t="s">
        <v>52</v>
      </c>
      <c r="G1084" s="1" t="s">
        <v>53</v>
      </c>
      <c r="H1084" s="1" t="s">
        <v>22</v>
      </c>
      <c r="I1084" s="1" t="s">
        <v>65</v>
      </c>
      <c r="L1084" s="1">
        <v>7936.6414386555998</v>
      </c>
    </row>
    <row r="1085" spans="4:13">
      <c r="D1085" s="1" t="s">
        <v>197</v>
      </c>
      <c r="E1085" s="1" t="s">
        <v>117</v>
      </c>
      <c r="F1085" s="1" t="s">
        <v>118</v>
      </c>
      <c r="G1085" s="1" t="s">
        <v>119</v>
      </c>
      <c r="H1085" s="1" t="s">
        <v>22</v>
      </c>
      <c r="I1085" s="1" t="s">
        <v>120</v>
      </c>
      <c r="J1085" s="1">
        <v>0</v>
      </c>
      <c r="L1085" s="1">
        <v>2.20462262185</v>
      </c>
    </row>
    <row r="1086" spans="4:13">
      <c r="D1086" s="1" t="s">
        <v>197</v>
      </c>
      <c r="E1086" s="1" t="s">
        <v>123</v>
      </c>
      <c r="F1086" s="1" t="s">
        <v>124</v>
      </c>
      <c r="G1086" s="1" t="s">
        <v>125</v>
      </c>
      <c r="H1086" s="1" t="s">
        <v>22</v>
      </c>
      <c r="I1086" s="1" t="s">
        <v>120</v>
      </c>
      <c r="L1086" s="1">
        <v>35.314666699999997</v>
      </c>
    </row>
    <row r="1087" spans="4:13">
      <c r="D1087" s="1" t="s">
        <v>197</v>
      </c>
      <c r="E1087" s="1" t="s">
        <v>126</v>
      </c>
      <c r="H1087" s="1" t="s">
        <v>22</v>
      </c>
      <c r="I1087" s="1" t="s">
        <v>65</v>
      </c>
      <c r="L1087" s="1">
        <v>1</v>
      </c>
    </row>
    <row r="1088" spans="4:13">
      <c r="D1088" s="1" t="s">
        <v>198</v>
      </c>
      <c r="E1088" s="1" t="s">
        <v>28</v>
      </c>
      <c r="H1088" s="1" t="s">
        <v>22</v>
      </c>
      <c r="I1088" s="1" t="s">
        <v>29</v>
      </c>
      <c r="J1088" s="1">
        <v>34000</v>
      </c>
      <c r="K1088" s="1">
        <v>4300000</v>
      </c>
      <c r="L1088" s="1">
        <v>349660</v>
      </c>
    </row>
    <row r="1089" spans="4:13">
      <c r="D1089" s="1" t="s">
        <v>198</v>
      </c>
      <c r="E1089" s="1" t="s">
        <v>30</v>
      </c>
      <c r="H1089" s="1" t="s">
        <v>22</v>
      </c>
      <c r="I1089" s="1" t="s">
        <v>29</v>
      </c>
      <c r="J1089" s="1">
        <v>-3.94</v>
      </c>
      <c r="K1089" s="1">
        <v>3.66</v>
      </c>
      <c r="L1089" s="1">
        <v>1</v>
      </c>
    </row>
    <row r="1090" spans="4:13">
      <c r="D1090" s="1" t="s">
        <v>198</v>
      </c>
      <c r="E1090" s="1" t="s">
        <v>31</v>
      </c>
      <c r="H1090" s="1" t="s">
        <v>22</v>
      </c>
      <c r="I1090" s="1" t="s">
        <v>29</v>
      </c>
      <c r="J1090" s="1">
        <v>0</v>
      </c>
      <c r="K1090" s="1">
        <v>100</v>
      </c>
      <c r="L1090" s="1">
        <v>1</v>
      </c>
    </row>
    <row r="1091" spans="4:13">
      <c r="D1091" s="1" t="s">
        <v>198</v>
      </c>
      <c r="E1091" s="1" t="s">
        <v>32</v>
      </c>
      <c r="H1091" s="1" t="s">
        <v>22</v>
      </c>
      <c r="I1091" s="1" t="s">
        <v>29</v>
      </c>
      <c r="J1091" s="1">
        <v>-3.94</v>
      </c>
      <c r="K1091" s="1">
        <v>3.66</v>
      </c>
      <c r="L1091" s="1">
        <v>1</v>
      </c>
    </row>
    <row r="1092" spans="4:13">
      <c r="D1092" s="1" t="s">
        <v>198</v>
      </c>
      <c r="E1092" s="1" t="s">
        <v>33</v>
      </c>
      <c r="H1092" s="1" t="s">
        <v>25</v>
      </c>
      <c r="I1092" s="1" t="s">
        <v>23</v>
      </c>
      <c r="M1092" s="1" t="b">
        <v>0</v>
      </c>
    </row>
    <row r="1093" spans="4:13">
      <c r="D1093" s="1" t="s">
        <v>198</v>
      </c>
      <c r="E1093" s="1" t="s">
        <v>34</v>
      </c>
      <c r="F1093" s="1" t="s">
        <v>35</v>
      </c>
      <c r="G1093" s="1" t="s">
        <v>36</v>
      </c>
      <c r="H1093" s="1" t="s">
        <v>22</v>
      </c>
      <c r="I1093" s="1" t="s">
        <v>23</v>
      </c>
      <c r="J1093" s="1">
        <v>-459.67</v>
      </c>
      <c r="K1093" s="1">
        <v>980.32999999999993</v>
      </c>
      <c r="L1093" s="1">
        <v>80.329999999999984</v>
      </c>
      <c r="M1093" s="1">
        <v>67.999999999999943</v>
      </c>
    </row>
    <row r="1094" spans="4:13">
      <c r="D1094" s="1" t="s">
        <v>198</v>
      </c>
      <c r="E1094" s="1" t="s">
        <v>37</v>
      </c>
      <c r="H1094" s="1" t="s">
        <v>25</v>
      </c>
      <c r="I1094" s="1" t="s">
        <v>23</v>
      </c>
      <c r="M1094" s="1" t="b">
        <v>0</v>
      </c>
    </row>
    <row r="1095" spans="4:13">
      <c r="D1095" s="1" t="s">
        <v>198</v>
      </c>
      <c r="E1095" s="1" t="s">
        <v>38</v>
      </c>
      <c r="F1095" s="1" t="s">
        <v>35</v>
      </c>
      <c r="G1095" s="1" t="s">
        <v>36</v>
      </c>
      <c r="H1095" s="1" t="s">
        <v>22</v>
      </c>
      <c r="I1095" s="1" t="s">
        <v>23</v>
      </c>
      <c r="J1095" s="1">
        <v>-99.670000000000016</v>
      </c>
      <c r="K1095" s="1">
        <v>980.32999999999993</v>
      </c>
      <c r="L1095" s="1">
        <v>80.329999999999984</v>
      </c>
      <c r="M1095" s="1">
        <v>13.999999999999943</v>
      </c>
    </row>
    <row r="1096" spans="4:13">
      <c r="D1096" s="1" t="s">
        <v>198</v>
      </c>
      <c r="E1096" s="1" t="s">
        <v>39</v>
      </c>
      <c r="H1096" s="1" t="s">
        <v>25</v>
      </c>
      <c r="I1096" s="1" t="s">
        <v>23</v>
      </c>
      <c r="M1096" s="1" t="b">
        <v>0</v>
      </c>
    </row>
    <row r="1097" spans="4:13">
      <c r="D1097" s="1" t="s">
        <v>198</v>
      </c>
      <c r="E1097" s="1" t="s">
        <v>40</v>
      </c>
      <c r="F1097" s="1" t="s">
        <v>41</v>
      </c>
      <c r="G1097" s="1" t="s">
        <v>42</v>
      </c>
      <c r="H1097" s="1" t="s">
        <v>22</v>
      </c>
      <c r="I1097" s="1" t="s">
        <v>23</v>
      </c>
      <c r="J1097" s="1">
        <v>-900</v>
      </c>
      <c r="K1097" s="1">
        <v>900</v>
      </c>
      <c r="L1097" s="1">
        <v>1.8</v>
      </c>
      <c r="M1097" s="1">
        <v>9</v>
      </c>
    </row>
    <row r="1098" spans="4:13">
      <c r="D1098" s="1" t="s">
        <v>198</v>
      </c>
      <c r="E1098" s="1" t="s">
        <v>43</v>
      </c>
      <c r="H1098" s="1" t="s">
        <v>25</v>
      </c>
      <c r="I1098" s="1" t="s">
        <v>23</v>
      </c>
      <c r="M1098" s="1" t="b">
        <v>0</v>
      </c>
    </row>
    <row r="1099" spans="4:13">
      <c r="D1099" s="1" t="s">
        <v>198</v>
      </c>
      <c r="E1099" s="1" t="s">
        <v>44</v>
      </c>
      <c r="F1099" s="1" t="s">
        <v>45</v>
      </c>
      <c r="G1099" s="1" t="s">
        <v>46</v>
      </c>
      <c r="H1099" s="1" t="s">
        <v>22</v>
      </c>
      <c r="I1099" s="1" t="s">
        <v>23</v>
      </c>
      <c r="J1099" s="1">
        <v>-85.984522757427143</v>
      </c>
      <c r="K1099" s="1">
        <v>8598.4522757427148</v>
      </c>
      <c r="L1099" s="1">
        <v>114.79148749423418</v>
      </c>
      <c r="M1099" s="1">
        <v>128.97678413614071</v>
      </c>
    </row>
    <row r="1100" spans="4:13">
      <c r="D1100" s="1" t="s">
        <v>198</v>
      </c>
      <c r="E1100" s="1" t="s">
        <v>47</v>
      </c>
      <c r="H1100" s="1" t="s">
        <v>25</v>
      </c>
      <c r="I1100" s="1" t="s">
        <v>23</v>
      </c>
      <c r="M1100" s="1" t="b">
        <v>0</v>
      </c>
    </row>
    <row r="1101" spans="4:13">
      <c r="D1101" s="1" t="s">
        <v>198</v>
      </c>
      <c r="E1101" s="1" t="s">
        <v>48</v>
      </c>
      <c r="H1101" s="1" t="s">
        <v>25</v>
      </c>
      <c r="I1101" s="1" t="s">
        <v>23</v>
      </c>
      <c r="M1101" s="1" t="b">
        <v>0</v>
      </c>
    </row>
    <row r="1102" spans="4:13">
      <c r="D1102" s="1" t="s">
        <v>198</v>
      </c>
      <c r="E1102" s="1" t="s">
        <v>49</v>
      </c>
      <c r="H1102" s="1" t="s">
        <v>25</v>
      </c>
      <c r="I1102" s="1" t="s">
        <v>23</v>
      </c>
      <c r="M1102" s="1" t="b">
        <v>0</v>
      </c>
    </row>
    <row r="1103" spans="4:13">
      <c r="D1103" s="1" t="s">
        <v>198</v>
      </c>
      <c r="E1103" s="1" t="s">
        <v>50</v>
      </c>
      <c r="H1103" s="1" t="s">
        <v>25</v>
      </c>
      <c r="I1103" s="1" t="s">
        <v>23</v>
      </c>
      <c r="M1103" s="1" t="b">
        <v>0</v>
      </c>
    </row>
    <row r="1104" spans="4:13">
      <c r="D1104" s="1" t="s">
        <v>198</v>
      </c>
      <c r="E1104" s="1" t="s">
        <v>51</v>
      </c>
      <c r="F1104" s="1" t="s">
        <v>52</v>
      </c>
      <c r="G1104" s="1" t="s">
        <v>53</v>
      </c>
      <c r="H1104" s="1" t="s">
        <v>22</v>
      </c>
      <c r="I1104" s="1" t="s">
        <v>23</v>
      </c>
      <c r="J1104" s="1">
        <v>0</v>
      </c>
      <c r="K1104" s="1">
        <v>7936641438.6555996</v>
      </c>
      <c r="L1104" s="1">
        <v>7936.6414386555998</v>
      </c>
      <c r="M1104" s="1">
        <v>7936.6414386555998</v>
      </c>
    </row>
    <row r="1105" spans="4:13">
      <c r="D1105" s="1" t="s">
        <v>198</v>
      </c>
      <c r="E1105" s="1" t="s">
        <v>54</v>
      </c>
      <c r="H1105" s="1" t="s">
        <v>25</v>
      </c>
      <c r="I1105" s="1" t="s">
        <v>23</v>
      </c>
      <c r="M1105" s="1" t="b">
        <v>0</v>
      </c>
    </row>
    <row r="1106" spans="4:13">
      <c r="D1106" s="1" t="s">
        <v>198</v>
      </c>
      <c r="E1106" s="1" t="s">
        <v>55</v>
      </c>
      <c r="F1106" s="1" t="s">
        <v>56</v>
      </c>
      <c r="G1106" s="1" t="s">
        <v>57</v>
      </c>
      <c r="H1106" s="1" t="s">
        <v>22</v>
      </c>
      <c r="I1106" s="1" t="s">
        <v>23</v>
      </c>
      <c r="J1106" s="1">
        <v>0</v>
      </c>
      <c r="K1106" s="1">
        <v>9427.4529524635982</v>
      </c>
      <c r="L1106" s="1">
        <v>50.713895374744951</v>
      </c>
      <c r="M1106" s="1">
        <v>50.763208205573221</v>
      </c>
    </row>
    <row r="1107" spans="4:13">
      <c r="D1107" s="1" t="s">
        <v>198</v>
      </c>
      <c r="E1107" s="1" t="s">
        <v>58</v>
      </c>
      <c r="H1107" s="1" t="s">
        <v>25</v>
      </c>
      <c r="I1107" s="1" t="s">
        <v>23</v>
      </c>
      <c r="M1107" s="1" t="b">
        <v>0</v>
      </c>
    </row>
    <row r="1108" spans="4:13">
      <c r="D1108" s="1" t="s">
        <v>198</v>
      </c>
      <c r="E1108" s="1" t="s">
        <v>59</v>
      </c>
      <c r="F1108" s="1" t="s">
        <v>60</v>
      </c>
      <c r="G1108" s="1" t="s">
        <v>61</v>
      </c>
      <c r="H1108" s="1" t="s">
        <v>22</v>
      </c>
      <c r="I1108" s="1" t="s">
        <v>23</v>
      </c>
      <c r="J1108" s="1">
        <v>-9.5538358650799999</v>
      </c>
      <c r="K1108" s="1">
        <v>9.5538358650799999</v>
      </c>
      <c r="L1108" s="1">
        <v>0.23884589662700001</v>
      </c>
      <c r="M1108" s="1">
        <v>0.23884589662700001</v>
      </c>
    </row>
    <row r="1109" spans="4:13">
      <c r="D1109" s="1" t="s">
        <v>198</v>
      </c>
      <c r="E1109" s="1" t="s">
        <v>62</v>
      </c>
      <c r="H1109" s="1" t="s">
        <v>63</v>
      </c>
      <c r="I1109" s="1" t="s">
        <v>23</v>
      </c>
      <c r="M1109" s="1">
        <v>1</v>
      </c>
    </row>
    <row r="1110" spans="4:13">
      <c r="D1110" s="1" t="s">
        <v>198</v>
      </c>
      <c r="E1110" s="1" t="s">
        <v>64</v>
      </c>
      <c r="F1110" s="1" t="s">
        <v>35</v>
      </c>
      <c r="G1110" s="1" t="s">
        <v>36</v>
      </c>
      <c r="H1110" s="1" t="s">
        <v>22</v>
      </c>
      <c r="I1110" s="1" t="s">
        <v>65</v>
      </c>
      <c r="J1110" s="1">
        <v>-459.67</v>
      </c>
      <c r="L1110" s="1">
        <v>80.329999999999984</v>
      </c>
    </row>
    <row r="1111" spans="4:13">
      <c r="D1111" s="1" t="s">
        <v>198</v>
      </c>
      <c r="E1111" s="1" t="s">
        <v>66</v>
      </c>
      <c r="F1111" s="1" t="s">
        <v>35</v>
      </c>
      <c r="G1111" s="1" t="s">
        <v>36</v>
      </c>
      <c r="H1111" s="1" t="s">
        <v>22</v>
      </c>
      <c r="I1111" s="1" t="s">
        <v>65</v>
      </c>
      <c r="J1111" s="1">
        <v>-459.67</v>
      </c>
      <c r="L1111" s="1">
        <v>80.329999999999984</v>
      </c>
    </row>
    <row r="1112" spans="4:13">
      <c r="D1112" s="1" t="s">
        <v>198</v>
      </c>
      <c r="E1112" s="1" t="s">
        <v>67</v>
      </c>
      <c r="F1112" s="1" t="s">
        <v>41</v>
      </c>
      <c r="G1112" s="1" t="s">
        <v>42</v>
      </c>
      <c r="H1112" s="1" t="s">
        <v>22</v>
      </c>
      <c r="I1112" s="1" t="s">
        <v>65</v>
      </c>
      <c r="L1112" s="1">
        <v>1.8</v>
      </c>
    </row>
    <row r="1113" spans="4:13">
      <c r="D1113" s="1" t="s">
        <v>198</v>
      </c>
      <c r="E1113" s="1" t="s">
        <v>68</v>
      </c>
      <c r="F1113" s="1" t="s">
        <v>45</v>
      </c>
      <c r="G1113" s="1" t="s">
        <v>46</v>
      </c>
      <c r="H1113" s="1" t="s">
        <v>22</v>
      </c>
      <c r="I1113" s="1" t="s">
        <v>65</v>
      </c>
      <c r="L1113" s="1">
        <v>4.2992261378713571E-4</v>
      </c>
    </row>
    <row r="1114" spans="4:13">
      <c r="D1114" s="1" t="s">
        <v>198</v>
      </c>
      <c r="E1114" s="1" t="s">
        <v>69</v>
      </c>
      <c r="H1114" s="1" t="s">
        <v>25</v>
      </c>
      <c r="I1114" s="1" t="s">
        <v>70</v>
      </c>
    </row>
    <row r="1115" spans="4:13">
      <c r="D1115" s="1" t="s">
        <v>198</v>
      </c>
      <c r="E1115" s="1" t="s">
        <v>71</v>
      </c>
      <c r="F1115" s="1" t="s">
        <v>52</v>
      </c>
      <c r="G1115" s="1" t="s">
        <v>53</v>
      </c>
      <c r="H1115" s="1" t="s">
        <v>22</v>
      </c>
      <c r="I1115" s="1" t="s">
        <v>65</v>
      </c>
      <c r="L1115" s="1">
        <v>7936.6414386555998</v>
      </c>
    </row>
    <row r="1116" spans="4:13">
      <c r="D1116" s="1" t="s">
        <v>198</v>
      </c>
      <c r="E1116" s="1" t="s">
        <v>72</v>
      </c>
      <c r="F1116" s="1" t="s">
        <v>56</v>
      </c>
      <c r="G1116" s="1" t="s">
        <v>57</v>
      </c>
      <c r="H1116" s="1" t="s">
        <v>22</v>
      </c>
      <c r="I1116" s="1" t="s">
        <v>65</v>
      </c>
      <c r="J1116" s="1">
        <v>0</v>
      </c>
      <c r="L1116" s="1">
        <v>14.503773773020921</v>
      </c>
    </row>
    <row r="1117" spans="4:13">
      <c r="D1117" s="1" t="s">
        <v>198</v>
      </c>
      <c r="E1117" s="1" t="s">
        <v>73</v>
      </c>
      <c r="F1117" s="1" t="s">
        <v>60</v>
      </c>
      <c r="G1117" s="1" t="s">
        <v>61</v>
      </c>
      <c r="H1117" s="1" t="s">
        <v>22</v>
      </c>
      <c r="I1117" s="1" t="s">
        <v>65</v>
      </c>
      <c r="L1117" s="1">
        <v>2.38845896627E-4</v>
      </c>
    </row>
    <row r="1118" spans="4:13">
      <c r="D1118" s="1" t="s">
        <v>198</v>
      </c>
      <c r="E1118" s="1" t="s">
        <v>74</v>
      </c>
      <c r="F1118" s="1" t="s">
        <v>75</v>
      </c>
      <c r="G1118" s="1" t="s">
        <v>76</v>
      </c>
      <c r="H1118" s="1" t="s">
        <v>22</v>
      </c>
      <c r="I1118" s="1" t="s">
        <v>65</v>
      </c>
      <c r="J1118" s="1">
        <v>0</v>
      </c>
      <c r="L1118" s="1">
        <v>16.018463521800001</v>
      </c>
    </row>
    <row r="1119" spans="4:13">
      <c r="D1119" s="1" t="s">
        <v>198</v>
      </c>
      <c r="E1119" s="1" t="s">
        <v>77</v>
      </c>
      <c r="H1119" s="1" t="s">
        <v>22</v>
      </c>
      <c r="I1119" s="1" t="s">
        <v>65</v>
      </c>
      <c r="L1119" s="1">
        <v>1</v>
      </c>
    </row>
    <row r="1120" spans="4:13">
      <c r="D1120" s="1" t="s">
        <v>198</v>
      </c>
      <c r="E1120" s="1" t="s">
        <v>78</v>
      </c>
      <c r="H1120" s="1" t="s">
        <v>25</v>
      </c>
      <c r="I1120" s="1" t="s">
        <v>23</v>
      </c>
      <c r="M1120" s="1" t="b">
        <v>0</v>
      </c>
    </row>
    <row r="1121" spans="4:13">
      <c r="D1121" s="1" t="s">
        <v>198</v>
      </c>
      <c r="E1121" s="1" t="s">
        <v>79</v>
      </c>
      <c r="F1121" s="1" t="s">
        <v>75</v>
      </c>
      <c r="G1121" s="1" t="s">
        <v>76</v>
      </c>
      <c r="H1121" s="1" t="s">
        <v>22</v>
      </c>
      <c r="I1121" s="1" t="s">
        <v>23</v>
      </c>
      <c r="J1121" s="1">
        <v>0</v>
      </c>
      <c r="K1121" s="1">
        <v>96.110781130800007</v>
      </c>
      <c r="L1121" s="1">
        <v>16.018463521800001</v>
      </c>
      <c r="M1121" s="1">
        <v>1.6018463521800002</v>
      </c>
    </row>
    <row r="1122" spans="4:13">
      <c r="D1122" s="1" t="s">
        <v>198</v>
      </c>
      <c r="E1122" s="1" t="s">
        <v>80</v>
      </c>
      <c r="H1122" s="1" t="s">
        <v>25</v>
      </c>
      <c r="I1122" s="1" t="s">
        <v>23</v>
      </c>
      <c r="M1122" s="1" t="b">
        <v>0</v>
      </c>
    </row>
    <row r="1123" spans="4:13">
      <c r="D1123" s="1" t="s">
        <v>198</v>
      </c>
      <c r="E1123" s="1" t="s">
        <v>81</v>
      </c>
      <c r="H1123" s="1" t="s">
        <v>25</v>
      </c>
      <c r="I1123" s="1" t="s">
        <v>23</v>
      </c>
      <c r="M1123" s="1" t="b">
        <v>0</v>
      </c>
    </row>
    <row r="1124" spans="4:13">
      <c r="D1124" s="1" t="s">
        <v>198</v>
      </c>
      <c r="E1124" s="1" t="s">
        <v>82</v>
      </c>
      <c r="H1124" s="1" t="s">
        <v>22</v>
      </c>
      <c r="I1124" s="1" t="s">
        <v>23</v>
      </c>
      <c r="J1124" s="1">
        <v>-1</v>
      </c>
      <c r="K1124" s="1">
        <v>3</v>
      </c>
      <c r="L1124" s="1">
        <v>1</v>
      </c>
      <c r="M1124" s="1">
        <v>1.01</v>
      </c>
    </row>
    <row r="1125" spans="4:13">
      <c r="D1125" s="1" t="s">
        <v>199</v>
      </c>
      <c r="E1125" s="1" t="s">
        <v>200</v>
      </c>
      <c r="H1125" s="1" t="s">
        <v>22</v>
      </c>
      <c r="I1125" s="1" t="s">
        <v>23</v>
      </c>
      <c r="L1125" s="1">
        <v>1</v>
      </c>
      <c r="M1125" s="1">
        <v>2</v>
      </c>
    </row>
    <row r="1126" spans="4:13">
      <c r="D1126" s="1" t="s">
        <v>199</v>
      </c>
      <c r="E1126" s="1" t="s">
        <v>201</v>
      </c>
      <c r="H1126" s="1" t="s">
        <v>22</v>
      </c>
      <c r="I1126" s="1" t="s">
        <v>23</v>
      </c>
      <c r="L1126" s="1">
        <v>1</v>
      </c>
      <c r="M1126" s="1">
        <v>1.6</v>
      </c>
    </row>
    <row r="1127" spans="4:13">
      <c r="D1127" s="1" t="s">
        <v>199</v>
      </c>
      <c r="E1127" s="1" t="s">
        <v>202</v>
      </c>
      <c r="H1127" s="1" t="s">
        <v>22</v>
      </c>
      <c r="I1127" s="1" t="s">
        <v>23</v>
      </c>
      <c r="L1127" s="1">
        <v>1</v>
      </c>
      <c r="M1127" s="1">
        <v>0.6002885</v>
      </c>
    </row>
    <row r="1128" spans="4:13">
      <c r="D1128" s="1" t="s">
        <v>199</v>
      </c>
      <c r="E1128" s="1" t="s">
        <v>203</v>
      </c>
      <c r="H1128" s="1" t="s">
        <v>22</v>
      </c>
      <c r="I1128" s="1" t="s">
        <v>23</v>
      </c>
      <c r="L1128" s="1">
        <v>1</v>
      </c>
      <c r="M1128" s="1">
        <v>0.8629445</v>
      </c>
    </row>
    <row r="1129" spans="4:13">
      <c r="D1129" s="1" t="s">
        <v>199</v>
      </c>
      <c r="E1129" s="1" t="s">
        <v>204</v>
      </c>
      <c r="H1129" s="1" t="s">
        <v>22</v>
      </c>
      <c r="I1129" s="1" t="s">
        <v>23</v>
      </c>
      <c r="L1129" s="1">
        <v>1</v>
      </c>
      <c r="M1129" s="1">
        <v>-12.42056193</v>
      </c>
    </row>
    <row r="1130" spans="4:13">
      <c r="D1130" s="1" t="s">
        <v>199</v>
      </c>
      <c r="E1130" s="1" t="s">
        <v>205</v>
      </c>
      <c r="H1130" s="1" t="s">
        <v>22</v>
      </c>
      <c r="I1130" s="1" t="s">
        <v>23</v>
      </c>
      <c r="L1130" s="1">
        <v>1</v>
      </c>
      <c r="M1130" s="1">
        <v>2.783438039</v>
      </c>
    </row>
    <row r="1131" spans="4:13">
      <c r="D1131" s="1" t="s">
        <v>199</v>
      </c>
      <c r="E1131" s="1" t="s">
        <v>206</v>
      </c>
      <c r="H1131" s="1" t="s">
        <v>22</v>
      </c>
      <c r="I1131" s="1" t="s">
        <v>23</v>
      </c>
      <c r="L1131" s="1">
        <v>1</v>
      </c>
      <c r="M1131" s="1">
        <v>0.17545599100000001</v>
      </c>
    </row>
    <row r="1132" spans="4:13">
      <c r="D1132" s="1" t="s">
        <v>199</v>
      </c>
      <c r="E1132" s="1" t="s">
        <v>207</v>
      </c>
      <c r="H1132" s="1" t="s">
        <v>22</v>
      </c>
      <c r="I1132" s="1" t="s">
        <v>23</v>
      </c>
      <c r="L1132" s="1">
        <v>1</v>
      </c>
      <c r="M1132" s="1">
        <v>-3.6437408740000001</v>
      </c>
    </row>
    <row r="1133" spans="4:13">
      <c r="D1133" s="1" t="s">
        <v>199</v>
      </c>
      <c r="E1133" s="1" t="s">
        <v>208</v>
      </c>
      <c r="H1133" s="1" t="s">
        <v>22</v>
      </c>
      <c r="I1133" s="1" t="s">
        <v>23</v>
      </c>
      <c r="L1133" s="1">
        <v>1</v>
      </c>
      <c r="M1133" s="1">
        <v>6.5598567509999999</v>
      </c>
    </row>
    <row r="1134" spans="4:13">
      <c r="D1134" s="1" t="s">
        <v>199</v>
      </c>
      <c r="E1134" s="1" t="s">
        <v>209</v>
      </c>
      <c r="H1134" s="1" t="s">
        <v>22</v>
      </c>
      <c r="I1134" s="1" t="s">
        <v>23</v>
      </c>
      <c r="L1134" s="1">
        <v>1</v>
      </c>
      <c r="M1134" s="1">
        <v>-3.9243080429999999</v>
      </c>
    </row>
    <row r="1135" spans="4:13">
      <c r="D1135" s="1" t="s">
        <v>199</v>
      </c>
      <c r="E1135" s="1" t="s">
        <v>210</v>
      </c>
      <c r="H1135" s="1" t="s">
        <v>22</v>
      </c>
      <c r="I1135" s="1" t="s">
        <v>23</v>
      </c>
      <c r="L1135" s="1">
        <v>1</v>
      </c>
      <c r="M1135" s="1">
        <v>-0.48861480299999999</v>
      </c>
    </row>
    <row r="1136" spans="4:13">
      <c r="D1136" s="1" t="s">
        <v>199</v>
      </c>
      <c r="E1136" s="1" t="s">
        <v>211</v>
      </c>
      <c r="H1136" s="1" t="s">
        <v>22</v>
      </c>
      <c r="I1136" s="1" t="s">
        <v>23</v>
      </c>
      <c r="L1136" s="1">
        <v>1</v>
      </c>
      <c r="M1136" s="1">
        <v>-11.605562819999999</v>
      </c>
    </row>
    <row r="1137" spans="4:13">
      <c r="D1137" s="1" t="s">
        <v>199</v>
      </c>
      <c r="E1137" s="1" t="s">
        <v>212</v>
      </c>
      <c r="H1137" s="1" t="s">
        <v>22</v>
      </c>
      <c r="I1137" s="1" t="s">
        <v>23</v>
      </c>
      <c r="L1137" s="1">
        <v>1</v>
      </c>
      <c r="M1137" s="1">
        <v>-3.6979091359999998</v>
      </c>
    </row>
    <row r="1138" spans="4:13">
      <c r="D1138" s="1" t="s">
        <v>199</v>
      </c>
      <c r="E1138" s="1" t="s">
        <v>213</v>
      </c>
      <c r="H1138" s="1" t="s">
        <v>22</v>
      </c>
      <c r="I1138" s="1" t="s">
        <v>23</v>
      </c>
      <c r="L1138" s="1">
        <v>1</v>
      </c>
      <c r="M1138" s="1">
        <v>53.152108370000001</v>
      </c>
    </row>
    <row r="1139" spans="4:13">
      <c r="D1139" s="1" t="s">
        <v>199</v>
      </c>
      <c r="E1139" s="1" t="s">
        <v>214</v>
      </c>
      <c r="H1139" s="1" t="s">
        <v>22</v>
      </c>
      <c r="I1139" s="1" t="s">
        <v>23</v>
      </c>
      <c r="L1139" s="1">
        <v>1</v>
      </c>
      <c r="M1139" s="1">
        <v>-10.309110649999999</v>
      </c>
    </row>
    <row r="1140" spans="4:13">
      <c r="D1140" s="1" t="s">
        <v>199</v>
      </c>
      <c r="E1140" s="1" t="s">
        <v>215</v>
      </c>
      <c r="H1140" s="1" t="s">
        <v>22</v>
      </c>
      <c r="I1140" s="1" t="s">
        <v>23</v>
      </c>
      <c r="L1140" s="1">
        <v>1</v>
      </c>
      <c r="M1140" s="1">
        <v>12.46470045</v>
      </c>
    </row>
    <row r="1141" spans="4:13">
      <c r="D1141" s="1" t="s">
        <v>199</v>
      </c>
      <c r="E1141" s="1" t="s">
        <v>216</v>
      </c>
      <c r="H1141" s="1" t="s">
        <v>22</v>
      </c>
      <c r="I1141" s="1" t="s">
        <v>23</v>
      </c>
      <c r="L1141" s="1">
        <v>1</v>
      </c>
      <c r="M1141" s="1">
        <v>-19.904975109999999</v>
      </c>
    </row>
    <row r="1142" spans="4:13">
      <c r="D1142" s="1" t="s">
        <v>199</v>
      </c>
      <c r="E1142" s="1" t="s">
        <v>217</v>
      </c>
      <c r="H1142" s="1" t="s">
        <v>22</v>
      </c>
      <c r="I1142" s="1" t="s">
        <v>23</v>
      </c>
      <c r="L1142" s="1">
        <v>1</v>
      </c>
      <c r="M1142" s="1">
        <v>2.693104988</v>
      </c>
    </row>
    <row r="1143" spans="4:13">
      <c r="D1143" s="1" t="s">
        <v>199</v>
      </c>
      <c r="E1143" s="1" t="s">
        <v>218</v>
      </c>
      <c r="H1143" s="1" t="s">
        <v>22</v>
      </c>
      <c r="I1143" s="1" t="s">
        <v>23</v>
      </c>
      <c r="L1143" s="1">
        <v>1</v>
      </c>
      <c r="M1143" s="1">
        <v>-3.3397345189999998</v>
      </c>
    </row>
    <row r="1144" spans="4:13">
      <c r="D1144" s="1" t="s">
        <v>199</v>
      </c>
      <c r="E1144" s="1" t="s">
        <v>219</v>
      </c>
      <c r="H1144" s="1" t="s">
        <v>22</v>
      </c>
      <c r="I1144" s="1" t="s">
        <v>23</v>
      </c>
      <c r="L1144" s="1">
        <v>1</v>
      </c>
      <c r="M1144" s="1">
        <v>56.024511269999998</v>
      </c>
    </row>
    <row r="1145" spans="4:13">
      <c r="D1145" s="1" t="s">
        <v>199</v>
      </c>
      <c r="E1145" s="1" t="s">
        <v>220</v>
      </c>
      <c r="H1145" s="1" t="s">
        <v>22</v>
      </c>
      <c r="I1145" s="1" t="s">
        <v>23</v>
      </c>
      <c r="L1145" s="1">
        <v>1</v>
      </c>
      <c r="M1145" s="1">
        <v>12.4162404</v>
      </c>
    </row>
    <row r="1146" spans="4:13">
      <c r="D1146" s="1" t="s">
        <v>199</v>
      </c>
      <c r="E1146" s="1" t="s">
        <v>221</v>
      </c>
      <c r="H1146" s="1" t="s">
        <v>22</v>
      </c>
      <c r="I1146" s="1" t="s">
        <v>23</v>
      </c>
      <c r="L1146" s="1">
        <v>1</v>
      </c>
      <c r="M1146" s="1">
        <v>-0.37074144399999998</v>
      </c>
    </row>
    <row r="1147" spans="4:13">
      <c r="D1147" s="1" t="s">
        <v>199</v>
      </c>
      <c r="E1147" s="1" t="s">
        <v>222</v>
      </c>
      <c r="H1147" s="1" t="s">
        <v>22</v>
      </c>
      <c r="I1147" s="1" t="s">
        <v>23</v>
      </c>
      <c r="L1147" s="1">
        <v>1</v>
      </c>
      <c r="M1147" s="1">
        <v>-4.853899126</v>
      </c>
    </row>
    <row r="1148" spans="4:13">
      <c r="D1148" s="1" t="s">
        <v>199</v>
      </c>
      <c r="E1148" s="1" t="s">
        <v>223</v>
      </c>
      <c r="H1148" s="1" t="s">
        <v>22</v>
      </c>
      <c r="I1148" s="1" t="s">
        <v>23</v>
      </c>
      <c r="L1148" s="1">
        <v>1</v>
      </c>
      <c r="M1148" s="1">
        <v>-131.75246519999999</v>
      </c>
    </row>
    <row r="1149" spans="4:13">
      <c r="D1149" s="1" t="s">
        <v>199</v>
      </c>
      <c r="E1149" s="1" t="s">
        <v>224</v>
      </c>
      <c r="H1149" s="1" t="s">
        <v>22</v>
      </c>
      <c r="I1149" s="1" t="s">
        <v>23</v>
      </c>
      <c r="L1149" s="1">
        <v>1</v>
      </c>
      <c r="M1149" s="1">
        <v>5.8939846310000004</v>
      </c>
    </row>
    <row r="1150" spans="4:13">
      <c r="D1150" s="1" t="s">
        <v>199</v>
      </c>
      <c r="E1150" s="1" t="s">
        <v>225</v>
      </c>
      <c r="H1150" s="1" t="s">
        <v>22</v>
      </c>
      <c r="I1150" s="1" t="s">
        <v>23</v>
      </c>
      <c r="L1150" s="1">
        <v>1</v>
      </c>
      <c r="M1150" s="1">
        <v>16.722669719999999</v>
      </c>
    </row>
    <row r="1151" spans="4:13">
      <c r="D1151" s="1" t="s">
        <v>199</v>
      </c>
      <c r="E1151" s="1" t="s">
        <v>226</v>
      </c>
      <c r="H1151" s="1" t="s">
        <v>22</v>
      </c>
      <c r="I1151" s="1" t="s">
        <v>23</v>
      </c>
      <c r="L1151" s="1">
        <v>1</v>
      </c>
      <c r="M1151" s="1">
        <v>36.919691919999998</v>
      </c>
    </row>
    <row r="1152" spans="4:13">
      <c r="D1152" s="1" t="s">
        <v>199</v>
      </c>
      <c r="E1152" s="1" t="s">
        <v>227</v>
      </c>
      <c r="H1152" s="1" t="s">
        <v>22</v>
      </c>
      <c r="I1152" s="1" t="s">
        <v>23</v>
      </c>
      <c r="L1152" s="1">
        <v>1</v>
      </c>
      <c r="M1152" s="1">
        <v>15.51352453</v>
      </c>
    </row>
    <row r="1153" spans="4:13">
      <c r="D1153" s="1" t="s">
        <v>199</v>
      </c>
      <c r="E1153" s="1" t="s">
        <v>228</v>
      </c>
      <c r="H1153" s="1" t="s">
        <v>22</v>
      </c>
      <c r="I1153" s="1" t="s">
        <v>23</v>
      </c>
      <c r="L1153" s="1">
        <v>1</v>
      </c>
      <c r="M1153" s="1">
        <v>-136.27810500000001</v>
      </c>
    </row>
    <row r="1154" spans="4:13">
      <c r="D1154" s="1" t="s">
        <v>199</v>
      </c>
      <c r="E1154" s="1" t="s">
        <v>229</v>
      </c>
      <c r="H1154" s="1" t="s">
        <v>22</v>
      </c>
      <c r="I1154" s="1" t="s">
        <v>23</v>
      </c>
      <c r="L1154" s="1">
        <v>1</v>
      </c>
      <c r="M1154" s="1">
        <v>-22.550678550000001</v>
      </c>
    </row>
    <row r="1155" spans="4:13">
      <c r="D1155" s="1" t="s">
        <v>199</v>
      </c>
      <c r="E1155" s="1" t="s">
        <v>230</v>
      </c>
      <c r="H1155" s="1" t="s">
        <v>22</v>
      </c>
      <c r="I1155" s="1" t="s">
        <v>23</v>
      </c>
      <c r="L1155" s="1">
        <v>1</v>
      </c>
      <c r="M1155" s="1">
        <v>9.0278701730000002</v>
      </c>
    </row>
    <row r="1156" spans="4:13">
      <c r="D1156" s="1" t="s">
        <v>199</v>
      </c>
      <c r="E1156" s="1" t="s">
        <v>231</v>
      </c>
      <c r="H1156" s="1" t="s">
        <v>22</v>
      </c>
      <c r="I1156" s="1" t="s">
        <v>23</v>
      </c>
      <c r="L1156" s="1">
        <v>1</v>
      </c>
      <c r="M1156" s="1">
        <v>24.594299190000001</v>
      </c>
    </row>
    <row r="1157" spans="4:13">
      <c r="D1157" s="1" t="s">
        <v>199</v>
      </c>
      <c r="E1157" s="1" t="s">
        <v>232</v>
      </c>
      <c r="H1157" s="1" t="s">
        <v>22</v>
      </c>
      <c r="I1157" s="1" t="s">
        <v>23</v>
      </c>
      <c r="L1157" s="1">
        <v>1</v>
      </c>
      <c r="M1157" s="1">
        <v>277.41246580000001</v>
      </c>
    </row>
    <row r="1158" spans="4:13">
      <c r="D1158" s="1" t="s">
        <v>199</v>
      </c>
      <c r="E1158" s="1" t="s">
        <v>233</v>
      </c>
      <c r="H1158" s="1" t="s">
        <v>22</v>
      </c>
      <c r="I1158" s="1" t="s">
        <v>23</v>
      </c>
      <c r="L1158" s="1">
        <v>1</v>
      </c>
      <c r="M1158" s="1">
        <v>-58.230071729999999</v>
      </c>
    </row>
    <row r="1159" spans="4:13">
      <c r="D1159" s="1" t="s">
        <v>199</v>
      </c>
      <c r="E1159" s="1" t="s">
        <v>234</v>
      </c>
      <c r="H1159" s="1" t="s">
        <v>22</v>
      </c>
      <c r="I1159" s="1" t="s">
        <v>23</v>
      </c>
      <c r="L1159" s="1">
        <v>1</v>
      </c>
      <c r="M1159" s="1">
        <v>-80.460904540000001</v>
      </c>
    </row>
    <row r="1160" spans="4:13">
      <c r="D1160" s="1" t="s">
        <v>199</v>
      </c>
      <c r="E1160" s="1" t="s">
        <v>235</v>
      </c>
      <c r="H1160" s="1" t="s">
        <v>22</v>
      </c>
      <c r="I1160" s="1" t="s">
        <v>23</v>
      </c>
      <c r="L1160" s="1">
        <v>1</v>
      </c>
      <c r="M1160" s="1">
        <v>-94.893821509999995</v>
      </c>
    </row>
    <row r="1161" spans="4:13">
      <c r="D1161" s="1" t="s">
        <v>199</v>
      </c>
      <c r="E1161" s="1" t="s">
        <v>236</v>
      </c>
      <c r="H1161" s="1" t="s">
        <v>22</v>
      </c>
      <c r="I1161" s="1" t="s">
        <v>23</v>
      </c>
      <c r="L1161" s="1">
        <v>1</v>
      </c>
      <c r="M1161" s="1">
        <v>259.0144267</v>
      </c>
    </row>
    <row r="1162" spans="4:13">
      <c r="D1162" s="1" t="s">
        <v>199</v>
      </c>
      <c r="E1162" s="1" t="s">
        <v>237</v>
      </c>
      <c r="H1162" s="1" t="s">
        <v>22</v>
      </c>
      <c r="I1162" s="1" t="s">
        <v>23</v>
      </c>
      <c r="L1162" s="1">
        <v>1</v>
      </c>
      <c r="M1162" s="1">
        <v>16.922274900000001</v>
      </c>
    </row>
    <row r="1163" spans="4:13">
      <c r="D1163" s="1" t="s">
        <v>199</v>
      </c>
      <c r="E1163" s="1" t="s">
        <v>238</v>
      </c>
      <c r="H1163" s="1" t="s">
        <v>22</v>
      </c>
      <c r="I1163" s="1" t="s">
        <v>23</v>
      </c>
      <c r="L1163" s="1">
        <v>1</v>
      </c>
      <c r="M1163" s="1">
        <v>-31.407204199999999</v>
      </c>
    </row>
    <row r="1164" spans="4:13">
      <c r="D1164" s="1" t="s">
        <v>199</v>
      </c>
      <c r="E1164" s="1" t="s">
        <v>239</v>
      </c>
      <c r="H1164" s="1" t="s">
        <v>22</v>
      </c>
      <c r="I1164" s="1" t="s">
        <v>23</v>
      </c>
      <c r="L1164" s="1">
        <v>1</v>
      </c>
      <c r="M1164" s="1">
        <v>-8.3447858670000006</v>
      </c>
    </row>
    <row r="1165" spans="4:13">
      <c r="D1165" s="1" t="s">
        <v>199</v>
      </c>
      <c r="E1165" s="1" t="s">
        <v>240</v>
      </c>
      <c r="H1165" s="1" t="s">
        <v>22</v>
      </c>
      <c r="I1165" s="1" t="s">
        <v>23</v>
      </c>
      <c r="L1165" s="1">
        <v>1</v>
      </c>
      <c r="M1165" s="1">
        <v>-3.9747991649999999</v>
      </c>
    </row>
    <row r="1166" spans="4:13">
      <c r="D1166" s="1" t="s">
        <v>199</v>
      </c>
      <c r="E1166" s="1" t="s">
        <v>241</v>
      </c>
      <c r="H1166" s="1" t="s">
        <v>22</v>
      </c>
      <c r="I1166" s="1" t="s">
        <v>23</v>
      </c>
      <c r="L1166" s="1">
        <v>1</v>
      </c>
      <c r="M1166" s="1">
        <v>-103.190184</v>
      </c>
    </row>
    <row r="1167" spans="4:13">
      <c r="D1167" s="1" t="s">
        <v>199</v>
      </c>
      <c r="E1167" s="1" t="s">
        <v>242</v>
      </c>
      <c r="H1167" s="1" t="s">
        <v>22</v>
      </c>
      <c r="I1167" s="1" t="s">
        <v>23</v>
      </c>
      <c r="L1167" s="1">
        <v>1</v>
      </c>
      <c r="M1167" s="1">
        <v>-400.463347</v>
      </c>
    </row>
    <row r="1168" spans="4:13">
      <c r="D1168" s="1" t="s">
        <v>199</v>
      </c>
      <c r="E1168" s="1" t="s">
        <v>243</v>
      </c>
      <c r="H1168" s="1" t="s">
        <v>22</v>
      </c>
      <c r="I1168" s="1" t="s">
        <v>23</v>
      </c>
      <c r="L1168" s="1">
        <v>1</v>
      </c>
      <c r="M1168" s="1">
        <v>205.150226</v>
      </c>
    </row>
    <row r="1169" spans="4:13">
      <c r="D1169" s="1" t="s">
        <v>199</v>
      </c>
      <c r="E1169" s="1" t="s">
        <v>244</v>
      </c>
      <c r="H1169" s="1" t="s">
        <v>22</v>
      </c>
      <c r="I1169" s="1" t="s">
        <v>23</v>
      </c>
      <c r="L1169" s="1">
        <v>1</v>
      </c>
      <c r="M1169" s="1">
        <v>221.3667519</v>
      </c>
    </row>
    <row r="1170" spans="4:13">
      <c r="D1170" s="1" t="s">
        <v>199</v>
      </c>
      <c r="E1170" s="1" t="s">
        <v>245</v>
      </c>
      <c r="H1170" s="1" t="s">
        <v>22</v>
      </c>
      <c r="I1170" s="1" t="s">
        <v>23</v>
      </c>
      <c r="L1170" s="1">
        <v>1</v>
      </c>
      <c r="M1170" s="1">
        <v>-350.82168130000002</v>
      </c>
    </row>
    <row r="1171" spans="4:13">
      <c r="D1171" s="1" t="s">
        <v>199</v>
      </c>
      <c r="E1171" s="1" t="s">
        <v>246</v>
      </c>
      <c r="H1171" s="1" t="s">
        <v>22</v>
      </c>
      <c r="I1171" s="1" t="s">
        <v>23</v>
      </c>
      <c r="L1171" s="1">
        <v>1</v>
      </c>
      <c r="M1171" s="1">
        <v>4.3645905200000001</v>
      </c>
    </row>
    <row r="1172" spans="4:13">
      <c r="D1172" s="1" t="s">
        <v>199</v>
      </c>
      <c r="E1172" s="1" t="s">
        <v>247</v>
      </c>
      <c r="H1172" s="1" t="s">
        <v>22</v>
      </c>
      <c r="I1172" s="1" t="s">
        <v>23</v>
      </c>
      <c r="L1172" s="1">
        <v>1</v>
      </c>
      <c r="M1172" s="1">
        <v>63.353113569999998</v>
      </c>
    </row>
    <row r="1173" spans="4:13">
      <c r="D1173" s="1" t="s">
        <v>199</v>
      </c>
      <c r="E1173" s="1" t="s">
        <v>248</v>
      </c>
      <c r="H1173" s="1" t="s">
        <v>22</v>
      </c>
      <c r="I1173" s="1" t="s">
        <v>23</v>
      </c>
      <c r="L1173" s="1">
        <v>1</v>
      </c>
      <c r="M1173" s="1">
        <v>36.909636480000003</v>
      </c>
    </row>
    <row r="1174" spans="4:13">
      <c r="D1174" s="1" t="s">
        <v>199</v>
      </c>
      <c r="E1174" s="1" t="s">
        <v>249</v>
      </c>
      <c r="H1174" s="1" t="s">
        <v>22</v>
      </c>
      <c r="I1174" s="1" t="s">
        <v>23</v>
      </c>
      <c r="L1174" s="1">
        <v>1</v>
      </c>
      <c r="M1174" s="1">
        <v>41.061025010000002</v>
      </c>
    </row>
    <row r="1175" spans="4:13">
      <c r="D1175" s="1" t="s">
        <v>199</v>
      </c>
      <c r="E1175" s="1" t="s">
        <v>250</v>
      </c>
      <c r="H1175" s="1" t="s">
        <v>22</v>
      </c>
      <c r="I1175" s="1" t="s">
        <v>23</v>
      </c>
      <c r="L1175" s="1">
        <v>1</v>
      </c>
      <c r="M1175" s="1">
        <v>182.56317490000001</v>
      </c>
    </row>
    <row r="1176" spans="4:13">
      <c r="D1176" s="1" t="s">
        <v>199</v>
      </c>
      <c r="E1176" s="1" t="s">
        <v>251</v>
      </c>
      <c r="H1176" s="1" t="s">
        <v>22</v>
      </c>
      <c r="I1176" s="1" t="s">
        <v>23</v>
      </c>
      <c r="L1176" s="1">
        <v>1</v>
      </c>
      <c r="M1176" s="1">
        <v>396.31889669999998</v>
      </c>
    </row>
    <row r="1177" spans="4:13">
      <c r="D1177" s="1" t="s">
        <v>199</v>
      </c>
      <c r="E1177" s="1" t="s">
        <v>252</v>
      </c>
      <c r="H1177" s="1" t="s">
        <v>22</v>
      </c>
      <c r="I1177" s="1" t="s">
        <v>23</v>
      </c>
      <c r="L1177" s="1">
        <v>1</v>
      </c>
      <c r="M1177" s="1">
        <v>-493.16641870000001</v>
      </c>
    </row>
    <row r="1178" spans="4:13">
      <c r="D1178" s="1" t="s">
        <v>199</v>
      </c>
      <c r="E1178" s="1" t="s">
        <v>253</v>
      </c>
      <c r="H1178" s="1" t="s">
        <v>22</v>
      </c>
      <c r="I1178" s="1" t="s">
        <v>23</v>
      </c>
      <c r="L1178" s="1">
        <v>1</v>
      </c>
      <c r="M1178" s="1">
        <v>368.91798390000002</v>
      </c>
    </row>
    <row r="1179" spans="4:13">
      <c r="D1179" s="1" t="s">
        <v>199</v>
      </c>
      <c r="E1179" s="1" t="s">
        <v>254</v>
      </c>
      <c r="H1179" s="1" t="s">
        <v>22</v>
      </c>
      <c r="I1179" s="1" t="s">
        <v>23</v>
      </c>
      <c r="L1179" s="1">
        <v>1</v>
      </c>
      <c r="M1179" s="1">
        <v>-77.030740679999994</v>
      </c>
    </row>
    <row r="1180" spans="4:13">
      <c r="D1180" s="1" t="s">
        <v>199</v>
      </c>
      <c r="E1180" s="1" t="s">
        <v>255</v>
      </c>
      <c r="H1180" s="1" t="s">
        <v>22</v>
      </c>
      <c r="I1180" s="1" t="s">
        <v>23</v>
      </c>
      <c r="L1180" s="1">
        <v>1</v>
      </c>
      <c r="M1180" s="1">
        <v>-75.54827847</v>
      </c>
    </row>
    <row r="1181" spans="4:13">
      <c r="D1181" s="1" t="s">
        <v>199</v>
      </c>
      <c r="E1181" s="1" t="s">
        <v>256</v>
      </c>
      <c r="H1181" s="1" t="s">
        <v>22</v>
      </c>
      <c r="I1181" s="1" t="s">
        <v>23</v>
      </c>
      <c r="L1181" s="1">
        <v>1</v>
      </c>
      <c r="M1181" s="1">
        <v>-84.493516130000003</v>
      </c>
    </row>
    <row r="1182" spans="4:13">
      <c r="D1182" s="1" t="s">
        <v>199</v>
      </c>
      <c r="E1182" s="1" t="s">
        <v>257</v>
      </c>
      <c r="H1182" s="1" t="s">
        <v>22</v>
      </c>
      <c r="I1182" s="1" t="s">
        <v>23</v>
      </c>
      <c r="L1182" s="1">
        <v>1</v>
      </c>
      <c r="M1182" s="1">
        <v>-3.7813646369999998</v>
      </c>
    </row>
    <row r="1183" spans="4:13">
      <c r="D1183" s="1" t="s">
        <v>199</v>
      </c>
      <c r="E1183" s="1" t="s">
        <v>258</v>
      </c>
      <c r="H1183" s="1" t="s">
        <v>22</v>
      </c>
      <c r="I1183" s="1" t="s">
        <v>23</v>
      </c>
      <c r="L1183" s="1">
        <v>1</v>
      </c>
      <c r="M1183" s="1">
        <v>-10.63279651</v>
      </c>
    </row>
    <row r="1184" spans="4:13">
      <c r="D1184" s="1" t="s">
        <v>199</v>
      </c>
      <c r="E1184" s="1" t="s">
        <v>259</v>
      </c>
      <c r="H1184" s="1" t="s">
        <v>22</v>
      </c>
      <c r="I1184" s="1" t="s">
        <v>23</v>
      </c>
      <c r="L1184" s="1">
        <v>1</v>
      </c>
      <c r="M1184" s="1">
        <v>-93.361319949999995</v>
      </c>
    </row>
    <row r="1185" spans="4:13">
      <c r="D1185" s="1" t="s">
        <v>199</v>
      </c>
      <c r="E1185" s="1" t="s">
        <v>260</v>
      </c>
      <c r="H1185" s="1" t="s">
        <v>22</v>
      </c>
      <c r="I1185" s="1" t="s">
        <v>23</v>
      </c>
      <c r="L1185" s="1">
        <v>1</v>
      </c>
      <c r="M1185" s="1">
        <v>-170.49056529999999</v>
      </c>
    </row>
    <row r="1186" spans="4:13">
      <c r="D1186" s="1" t="s">
        <v>199</v>
      </c>
      <c r="E1186" s="1" t="s">
        <v>261</v>
      </c>
      <c r="H1186" s="1" t="s">
        <v>22</v>
      </c>
      <c r="I1186" s="1" t="s">
        <v>23</v>
      </c>
      <c r="L1186" s="1">
        <v>1</v>
      </c>
      <c r="M1186" s="1">
        <v>-150.4916863</v>
      </c>
    </row>
    <row r="1187" spans="4:13">
      <c r="D1187" s="1" t="s">
        <v>199</v>
      </c>
      <c r="E1187" s="1" t="s">
        <v>262</v>
      </c>
      <c r="H1187" s="1" t="s">
        <v>22</v>
      </c>
      <c r="I1187" s="1" t="s">
        <v>23</v>
      </c>
      <c r="L1187" s="1">
        <v>1</v>
      </c>
      <c r="M1187" s="1">
        <v>-116.06465439999999</v>
      </c>
    </row>
    <row r="1188" spans="4:13">
      <c r="D1188" s="1" t="s">
        <v>199</v>
      </c>
      <c r="E1188" s="1" t="s">
        <v>263</v>
      </c>
      <c r="H1188" s="1" t="s">
        <v>22</v>
      </c>
      <c r="I1188" s="1" t="s">
        <v>23</v>
      </c>
      <c r="L1188" s="1">
        <v>1</v>
      </c>
      <c r="M1188" s="1">
        <v>238.43280240000001</v>
      </c>
    </row>
    <row r="1189" spans="4:13">
      <c r="D1189" s="1" t="s">
        <v>199</v>
      </c>
      <c r="E1189" s="1" t="s">
        <v>264</v>
      </c>
      <c r="H1189" s="1" t="s">
        <v>22</v>
      </c>
      <c r="I1189" s="1" t="s">
        <v>23</v>
      </c>
      <c r="L1189" s="1">
        <v>1</v>
      </c>
      <c r="M1189" s="1">
        <v>36.213737770000002</v>
      </c>
    </row>
    <row r="1190" spans="4:13">
      <c r="D1190" s="1" t="s">
        <v>199</v>
      </c>
      <c r="E1190" s="1" t="s">
        <v>265</v>
      </c>
      <c r="H1190" s="1" t="s">
        <v>22</v>
      </c>
      <c r="I1190" s="1" t="s">
        <v>23</v>
      </c>
      <c r="L1190" s="1">
        <v>1</v>
      </c>
      <c r="M1190" s="1">
        <v>118.7226658</v>
      </c>
    </row>
    <row r="1191" spans="4:13">
      <c r="D1191" s="1" t="s">
        <v>199</v>
      </c>
      <c r="E1191" s="1" t="s">
        <v>266</v>
      </c>
      <c r="H1191" s="1" t="s">
        <v>22</v>
      </c>
      <c r="I1191" s="1" t="s">
        <v>23</v>
      </c>
      <c r="L1191" s="1">
        <v>1</v>
      </c>
      <c r="M1191" s="1">
        <v>15.10199843</v>
      </c>
    </row>
    <row r="1192" spans="4:13">
      <c r="D1192" s="1" t="s">
        <v>199</v>
      </c>
      <c r="E1192" s="1" t="s">
        <v>267</v>
      </c>
      <c r="H1192" s="1" t="s">
        <v>22</v>
      </c>
      <c r="I1192" s="1" t="s">
        <v>23</v>
      </c>
      <c r="L1192" s="1">
        <v>1</v>
      </c>
      <c r="M1192" s="1">
        <v>42.514370139999997</v>
      </c>
    </row>
    <row r="1193" spans="4:13">
      <c r="D1193" s="1" t="s">
        <v>199</v>
      </c>
      <c r="E1193" s="1" t="s">
        <v>268</v>
      </c>
      <c r="H1193" s="1" t="s">
        <v>22</v>
      </c>
      <c r="I1193" s="1" t="s">
        <v>23</v>
      </c>
      <c r="L1193" s="1">
        <v>1</v>
      </c>
      <c r="M1193" s="1">
        <v>107.5914464</v>
      </c>
    </row>
    <row r="1194" spans="4:13">
      <c r="D1194" s="1" t="s">
        <v>199</v>
      </c>
      <c r="E1194" s="1" t="s">
        <v>269</v>
      </c>
      <c r="H1194" s="1" t="s">
        <v>22</v>
      </c>
      <c r="I1194" s="1" t="s">
        <v>23</v>
      </c>
      <c r="L1194" s="1">
        <v>1</v>
      </c>
      <c r="M1194" s="1">
        <v>-51.049708600000002</v>
      </c>
    </row>
    <row r="1195" spans="4:13">
      <c r="D1195" s="1" t="s">
        <v>199</v>
      </c>
      <c r="E1195" s="1" t="s">
        <v>270</v>
      </c>
      <c r="H1195" s="1" t="s">
        <v>22</v>
      </c>
      <c r="I1195" s="1" t="s">
        <v>23</v>
      </c>
      <c r="L1195" s="1">
        <v>1</v>
      </c>
      <c r="M1195" s="1">
        <v>744.45374149999998</v>
      </c>
    </row>
    <row r="1196" spans="4:13">
      <c r="D1196" s="1" t="s">
        <v>199</v>
      </c>
      <c r="E1196" s="1" t="s">
        <v>271</v>
      </c>
      <c r="H1196" s="1" t="s">
        <v>22</v>
      </c>
      <c r="I1196" s="1" t="s">
        <v>23</v>
      </c>
      <c r="L1196" s="1">
        <v>1</v>
      </c>
      <c r="M1196" s="1">
        <v>-714.5962207</v>
      </c>
    </row>
    <row r="1197" spans="4:13">
      <c r="D1197" s="1" t="s">
        <v>199</v>
      </c>
      <c r="E1197" s="1" t="s">
        <v>272</v>
      </c>
      <c r="H1197" s="1" t="s">
        <v>22</v>
      </c>
      <c r="I1197" s="1" t="s">
        <v>23</v>
      </c>
      <c r="L1197" s="1">
        <v>1</v>
      </c>
      <c r="M1197" s="1">
        <v>22.525111880000001</v>
      </c>
    </row>
    <row r="1198" spans="4:13">
      <c r="D1198" s="1" t="s">
        <v>199</v>
      </c>
      <c r="E1198" s="1" t="s">
        <v>273</v>
      </c>
      <c r="H1198" s="1" t="s">
        <v>22</v>
      </c>
      <c r="I1198" s="1" t="s">
        <v>23</v>
      </c>
      <c r="L1198" s="1">
        <v>1</v>
      </c>
      <c r="M1198" s="1">
        <v>-83.576441439999996</v>
      </c>
    </row>
    <row r="1199" spans="4:13">
      <c r="D1199" s="1" t="s">
        <v>199</v>
      </c>
      <c r="E1199" s="1" t="s">
        <v>274</v>
      </c>
      <c r="H1199" s="1" t="s">
        <v>22</v>
      </c>
      <c r="I1199" s="1" t="s">
        <v>23</v>
      </c>
      <c r="L1199" s="1">
        <v>1</v>
      </c>
      <c r="M1199" s="1">
        <v>-12.98305794</v>
      </c>
    </row>
    <row r="1200" spans="4:13">
      <c r="D1200" s="1" t="s">
        <v>199</v>
      </c>
      <c r="E1200" s="1" t="s">
        <v>275</v>
      </c>
      <c r="H1200" s="1" t="s">
        <v>22</v>
      </c>
      <c r="I1200" s="1" t="s">
        <v>23</v>
      </c>
      <c r="L1200" s="1">
        <v>1</v>
      </c>
      <c r="M1200" s="1">
        <v>-2.5960788340000001</v>
      </c>
    </row>
    <row r="1201" spans="4:13">
      <c r="D1201" s="1" t="s">
        <v>199</v>
      </c>
      <c r="E1201" s="1" t="s">
        <v>276</v>
      </c>
      <c r="H1201" s="1" t="s">
        <v>22</v>
      </c>
      <c r="I1201" s="1" t="s">
        <v>23</v>
      </c>
      <c r="L1201" s="1">
        <v>1</v>
      </c>
      <c r="M1201" s="1">
        <v>-9.9775272729999998</v>
      </c>
    </row>
    <row r="1202" spans="4:13">
      <c r="D1202" s="1" t="s">
        <v>199</v>
      </c>
      <c r="E1202" s="1" t="s">
        <v>277</v>
      </c>
      <c r="H1202" s="1" t="s">
        <v>22</v>
      </c>
      <c r="I1202" s="1" t="s">
        <v>23</v>
      </c>
      <c r="L1202" s="1">
        <v>1</v>
      </c>
      <c r="M1202" s="1">
        <v>-76.519942319999998</v>
      </c>
    </row>
    <row r="1203" spans="4:13">
      <c r="D1203" s="1" t="s">
        <v>199</v>
      </c>
      <c r="E1203" s="1" t="s">
        <v>278</v>
      </c>
      <c r="H1203" s="1" t="s">
        <v>22</v>
      </c>
      <c r="I1203" s="1" t="s">
        <v>23</v>
      </c>
      <c r="L1203" s="1">
        <v>1</v>
      </c>
      <c r="M1203" s="1">
        <v>13.208672679999999</v>
      </c>
    </row>
    <row r="1204" spans="4:13">
      <c r="D1204" s="1" t="s">
        <v>199</v>
      </c>
      <c r="E1204" s="1" t="s">
        <v>279</v>
      </c>
      <c r="H1204" s="1" t="s">
        <v>22</v>
      </c>
      <c r="I1204" s="1" t="s">
        <v>23</v>
      </c>
      <c r="L1204" s="1">
        <v>1</v>
      </c>
      <c r="M1204" s="1">
        <v>-493.60278440000002</v>
      </c>
    </row>
    <row r="1205" spans="4:13">
      <c r="D1205" s="1" t="s">
        <v>199</v>
      </c>
      <c r="E1205" s="1" t="s">
        <v>280</v>
      </c>
      <c r="H1205" s="1" t="s">
        <v>22</v>
      </c>
      <c r="I1205" s="1" t="s">
        <v>23</v>
      </c>
      <c r="L1205" s="1">
        <v>1</v>
      </c>
      <c r="M1205" s="1">
        <v>359.44746800000001</v>
      </c>
    </row>
    <row r="1206" spans="4:13">
      <c r="D1206" s="1" t="s">
        <v>199</v>
      </c>
      <c r="E1206" s="1" t="s">
        <v>281</v>
      </c>
      <c r="H1206" s="1" t="s">
        <v>22</v>
      </c>
      <c r="I1206" s="1" t="s">
        <v>23</v>
      </c>
      <c r="L1206" s="1">
        <v>1</v>
      </c>
      <c r="M1206" s="1">
        <v>203.8431616</v>
      </c>
    </row>
    <row r="1207" spans="4:13">
      <c r="D1207" s="1" t="s">
        <v>199</v>
      </c>
      <c r="E1207" s="1" t="s">
        <v>282</v>
      </c>
      <c r="H1207" s="1" t="s">
        <v>22</v>
      </c>
      <c r="I1207" s="1" t="s">
        <v>23</v>
      </c>
      <c r="L1207" s="1">
        <v>1</v>
      </c>
      <c r="M1207" s="1">
        <v>-8.0153048309999999</v>
      </c>
    </row>
    <row r="1208" spans="4:13">
      <c r="D1208" s="1" t="s">
        <v>199</v>
      </c>
      <c r="E1208" s="1" t="s">
        <v>283</v>
      </c>
      <c r="H1208" s="1" t="s">
        <v>22</v>
      </c>
      <c r="I1208" s="1" t="s">
        <v>23</v>
      </c>
      <c r="L1208" s="1">
        <v>1</v>
      </c>
      <c r="M1208" s="1">
        <v>-39.255992280000001</v>
      </c>
    </row>
    <row r="1209" spans="4:13">
      <c r="D1209" s="1" t="s">
        <v>199</v>
      </c>
      <c r="E1209" s="1" t="s">
        <v>284</v>
      </c>
      <c r="H1209" s="1" t="s">
        <v>22</v>
      </c>
      <c r="I1209" s="1" t="s">
        <v>23</v>
      </c>
      <c r="L1209" s="1">
        <v>1</v>
      </c>
      <c r="M1209" s="1">
        <v>0.14376508499999999</v>
      </c>
    </row>
    <row r="1210" spans="4:13">
      <c r="D1210" s="1" t="s">
        <v>199</v>
      </c>
      <c r="E1210" s="1" t="s">
        <v>285</v>
      </c>
      <c r="H1210" s="1" t="s">
        <v>22</v>
      </c>
      <c r="I1210" s="1" t="s">
        <v>23</v>
      </c>
      <c r="L1210" s="1">
        <v>1</v>
      </c>
      <c r="M1210" s="1">
        <v>31.511118150000001</v>
      </c>
    </row>
    <row r="1211" spans="4:13">
      <c r="D1211" s="1" t="s">
        <v>199</v>
      </c>
      <c r="E1211" s="1" t="s">
        <v>286</v>
      </c>
      <c r="H1211" s="1" t="s">
        <v>22</v>
      </c>
      <c r="I1211" s="1" t="s">
        <v>23</v>
      </c>
      <c r="L1211" s="1">
        <v>1</v>
      </c>
      <c r="M1211" s="1">
        <v>51.612682110000002</v>
      </c>
    </row>
    <row r="1212" spans="4:13">
      <c r="D1212" s="1" t="s">
        <v>199</v>
      </c>
      <c r="E1212" s="1" t="s">
        <v>287</v>
      </c>
      <c r="H1212" s="1" t="s">
        <v>22</v>
      </c>
      <c r="I1212" s="1" t="s">
        <v>23</v>
      </c>
      <c r="L1212" s="1">
        <v>1</v>
      </c>
      <c r="M1212" s="1">
        <v>476.26315010000002</v>
      </c>
    </row>
    <row r="1213" spans="4:13">
      <c r="D1213" s="1" t="s">
        <v>199</v>
      </c>
      <c r="E1213" s="1" t="s">
        <v>288</v>
      </c>
      <c r="H1213" s="1" t="s">
        <v>22</v>
      </c>
      <c r="I1213" s="1" t="s">
        <v>23</v>
      </c>
      <c r="L1213" s="1">
        <v>1</v>
      </c>
      <c r="M1213" s="1">
        <v>-677.71774679999999</v>
      </c>
    </row>
    <row r="1214" spans="4:13">
      <c r="D1214" s="1" t="s">
        <v>199</v>
      </c>
      <c r="E1214" s="1" t="s">
        <v>289</v>
      </c>
      <c r="H1214" s="1" t="s">
        <v>22</v>
      </c>
      <c r="I1214" s="1" t="s">
        <v>23</v>
      </c>
      <c r="L1214" s="1">
        <v>1</v>
      </c>
      <c r="M1214" s="1">
        <v>168.4614938</v>
      </c>
    </row>
    <row r="1215" spans="4:13">
      <c r="D1215" s="1" t="s">
        <v>199</v>
      </c>
      <c r="E1215" s="1" t="s">
        <v>290</v>
      </c>
      <c r="H1215" s="1" t="s">
        <v>22</v>
      </c>
      <c r="I1215" s="1" t="s">
        <v>23</v>
      </c>
      <c r="L1215" s="1">
        <v>1</v>
      </c>
      <c r="M1215" s="1">
        <v>-124.3457523</v>
      </c>
    </row>
    <row r="1216" spans="4:13">
      <c r="D1216" s="1" t="s">
        <v>199</v>
      </c>
      <c r="E1216" s="1" t="s">
        <v>291</v>
      </c>
      <c r="H1216" s="1" t="s">
        <v>22</v>
      </c>
      <c r="I1216" s="1" t="s">
        <v>23</v>
      </c>
      <c r="L1216" s="1">
        <v>1</v>
      </c>
      <c r="M1216" s="1">
        <v>131.5600981</v>
      </c>
    </row>
    <row r="1217" spans="4:13">
      <c r="D1217" s="1" t="s">
        <v>199</v>
      </c>
      <c r="E1217" s="1" t="s">
        <v>292</v>
      </c>
      <c r="H1217" s="1" t="s">
        <v>22</v>
      </c>
      <c r="I1217" s="1" t="s">
        <v>23</v>
      </c>
      <c r="L1217" s="1">
        <v>1</v>
      </c>
      <c r="M1217" s="1">
        <v>24.317312569999999</v>
      </c>
    </row>
    <row r="1218" spans="4:13">
      <c r="D1218" s="1" t="s">
        <v>199</v>
      </c>
      <c r="E1218" s="1" t="s">
        <v>293</v>
      </c>
      <c r="H1218" s="1" t="s">
        <v>22</v>
      </c>
      <c r="I1218" s="1" t="s">
        <v>23</v>
      </c>
      <c r="L1218" s="1">
        <v>1</v>
      </c>
      <c r="M1218" s="1">
        <v>0.74103766999999998</v>
      </c>
    </row>
    <row r="1219" spans="4:13">
      <c r="D1219" s="1" t="s">
        <v>199</v>
      </c>
      <c r="E1219" s="1" t="s">
        <v>294</v>
      </c>
      <c r="H1219" s="1" t="s">
        <v>22</v>
      </c>
      <c r="I1219" s="1" t="s">
        <v>23</v>
      </c>
      <c r="L1219" s="1">
        <v>1</v>
      </c>
      <c r="M1219" s="1">
        <v>-4.0320341519999996</v>
      </c>
    </row>
    <row r="1220" spans="4:13">
      <c r="D1220" s="1" t="s">
        <v>199</v>
      </c>
      <c r="E1220" s="1" t="s">
        <v>295</v>
      </c>
      <c r="H1220" s="1" t="s">
        <v>22</v>
      </c>
      <c r="I1220" s="1" t="s">
        <v>23</v>
      </c>
      <c r="L1220" s="1">
        <v>1</v>
      </c>
      <c r="M1220" s="1">
        <v>-40.666454590000001</v>
      </c>
    </row>
    <row r="1221" spans="4:13">
      <c r="D1221" s="1" t="s">
        <v>199</v>
      </c>
      <c r="E1221" s="1" t="s">
        <v>296</v>
      </c>
      <c r="H1221" s="1" t="s">
        <v>22</v>
      </c>
      <c r="I1221" s="1" t="s">
        <v>23</v>
      </c>
      <c r="L1221" s="1">
        <v>1</v>
      </c>
      <c r="M1221" s="1">
        <v>-461.83214980000002</v>
      </c>
    </row>
    <row r="1222" spans="4:13">
      <c r="D1222" s="1" t="s">
        <v>199</v>
      </c>
      <c r="E1222" s="1" t="s">
        <v>297</v>
      </c>
      <c r="H1222" s="1" t="s">
        <v>22</v>
      </c>
      <c r="I1222" s="1" t="s">
        <v>23</v>
      </c>
      <c r="L1222" s="1">
        <v>1</v>
      </c>
      <c r="M1222" s="1">
        <v>607.21877549999999</v>
      </c>
    </row>
    <row r="1223" spans="4:13">
      <c r="D1223" s="1" t="s">
        <v>199</v>
      </c>
      <c r="E1223" s="1" t="s">
        <v>298</v>
      </c>
      <c r="H1223" s="1" t="s">
        <v>22</v>
      </c>
      <c r="I1223" s="1" t="s">
        <v>23</v>
      </c>
      <c r="L1223" s="1">
        <v>1</v>
      </c>
      <c r="M1223" s="1">
        <v>94.007734139999997</v>
      </c>
    </row>
    <row r="1224" spans="4:13">
      <c r="D1224" s="1" t="s">
        <v>199</v>
      </c>
      <c r="E1224" s="1" t="s">
        <v>299</v>
      </c>
      <c r="H1224" s="1" t="s">
        <v>22</v>
      </c>
      <c r="I1224" s="1" t="s">
        <v>23</v>
      </c>
      <c r="L1224" s="1">
        <v>1</v>
      </c>
      <c r="M1224" s="1">
        <v>-148.75361609999999</v>
      </c>
    </row>
    <row r="1225" spans="4:13">
      <c r="D1225" s="1" t="s">
        <v>199</v>
      </c>
      <c r="E1225" s="1" t="s">
        <v>300</v>
      </c>
      <c r="H1225" s="1" t="s">
        <v>22</v>
      </c>
      <c r="I1225" s="1" t="s">
        <v>23</v>
      </c>
      <c r="L1225" s="1">
        <v>1</v>
      </c>
      <c r="M1225" s="1">
        <v>-57.154009170000002</v>
      </c>
    </row>
    <row r="1226" spans="4:13">
      <c r="D1226" s="1" t="s">
        <v>199</v>
      </c>
      <c r="E1226" s="1" t="s">
        <v>301</v>
      </c>
      <c r="H1226" s="1" t="s">
        <v>22</v>
      </c>
      <c r="I1226" s="1" t="s">
        <v>23</v>
      </c>
      <c r="L1226" s="1">
        <v>1</v>
      </c>
      <c r="M1226" s="1">
        <v>-65.994916669999995</v>
      </c>
    </row>
    <row r="1227" spans="4:13">
      <c r="D1227" s="1" t="s">
        <v>199</v>
      </c>
      <c r="E1227" s="1" t="s">
        <v>302</v>
      </c>
      <c r="H1227" s="1" t="s">
        <v>22</v>
      </c>
      <c r="I1227" s="1" t="s">
        <v>23</v>
      </c>
      <c r="L1227" s="1">
        <v>1</v>
      </c>
      <c r="M1227" s="1">
        <v>-7.7566634509999997</v>
      </c>
    </row>
    <row r="1228" spans="4:13">
      <c r="D1228" s="1" t="s">
        <v>199</v>
      </c>
      <c r="E1228" s="1" t="s">
        <v>303</v>
      </c>
      <c r="H1228" s="1" t="s">
        <v>22</v>
      </c>
      <c r="I1228" s="1" t="s">
        <v>23</v>
      </c>
      <c r="L1228" s="1">
        <v>1</v>
      </c>
      <c r="M1228" s="1">
        <v>11.86050234</v>
      </c>
    </row>
    <row r="1229" spans="4:13">
      <c r="D1229" s="1" t="s">
        <v>199</v>
      </c>
      <c r="E1229" s="1" t="s">
        <v>304</v>
      </c>
      <c r="H1229" s="1" t="s">
        <v>22</v>
      </c>
      <c r="I1229" s="1" t="s">
        <v>23</v>
      </c>
      <c r="L1229" s="1">
        <v>1</v>
      </c>
      <c r="M1229" s="1">
        <v>318.51040890000002</v>
      </c>
    </row>
    <row r="1230" spans="4:13">
      <c r="D1230" s="1" t="s">
        <v>199</v>
      </c>
      <c r="E1230" s="1" t="s">
        <v>305</v>
      </c>
      <c r="H1230" s="1" t="s">
        <v>22</v>
      </c>
      <c r="I1230" s="1" t="s">
        <v>23</v>
      </c>
      <c r="L1230" s="1">
        <v>1</v>
      </c>
      <c r="M1230" s="1">
        <v>-377.2452467</v>
      </c>
    </row>
    <row r="1231" spans="4:13">
      <c r="D1231" s="1" t="s">
        <v>199</v>
      </c>
      <c r="E1231" s="1" t="s">
        <v>306</v>
      </c>
      <c r="H1231" s="1" t="s">
        <v>22</v>
      </c>
      <c r="I1231" s="1" t="s">
        <v>23</v>
      </c>
      <c r="L1231" s="1">
        <v>1</v>
      </c>
      <c r="M1231" s="1">
        <v>-104.4268855</v>
      </c>
    </row>
    <row r="1232" spans="4:13">
      <c r="D1232" s="1" t="s">
        <v>199</v>
      </c>
      <c r="E1232" s="1" t="s">
        <v>307</v>
      </c>
      <c r="H1232" s="1" t="s">
        <v>22</v>
      </c>
      <c r="I1232" s="1" t="s">
        <v>23</v>
      </c>
      <c r="L1232" s="1">
        <v>1</v>
      </c>
      <c r="M1232" s="1">
        <v>-65.635006419999996</v>
      </c>
    </row>
    <row r="1233" spans="4:13">
      <c r="D1233" s="1" t="s">
        <v>199</v>
      </c>
      <c r="E1233" s="1" t="s">
        <v>308</v>
      </c>
      <c r="H1233" s="1" t="s">
        <v>22</v>
      </c>
      <c r="I1233" s="1" t="s">
        <v>23</v>
      </c>
      <c r="L1233" s="1">
        <v>1</v>
      </c>
      <c r="M1233" s="1">
        <v>228.38567380000001</v>
      </c>
    </row>
    <row r="1234" spans="4:13">
      <c r="D1234" s="1" t="s">
        <v>199</v>
      </c>
      <c r="E1234" s="1" t="s">
        <v>309</v>
      </c>
      <c r="H1234" s="1" t="s">
        <v>22</v>
      </c>
      <c r="I1234" s="1" t="s">
        <v>23</v>
      </c>
      <c r="L1234" s="1">
        <v>1</v>
      </c>
      <c r="M1234" s="1">
        <v>14.29200309</v>
      </c>
    </row>
    <row r="1235" spans="4:13">
      <c r="D1235" s="1" t="s">
        <v>199</v>
      </c>
      <c r="E1235" s="1" t="s">
        <v>310</v>
      </c>
      <c r="H1235" s="1" t="s">
        <v>22</v>
      </c>
      <c r="I1235" s="1" t="s">
        <v>23</v>
      </c>
      <c r="L1235" s="1">
        <v>1</v>
      </c>
      <c r="M1235" s="1">
        <v>17.443689639999999</v>
      </c>
    </row>
    <row r="1236" spans="4:13">
      <c r="D1236" s="1" t="s">
        <v>199</v>
      </c>
      <c r="E1236" s="1" t="s">
        <v>311</v>
      </c>
      <c r="H1236" s="1" t="s">
        <v>22</v>
      </c>
      <c r="I1236" s="1" t="s">
        <v>23</v>
      </c>
      <c r="L1236" s="1">
        <v>1</v>
      </c>
      <c r="M1236" s="1">
        <v>0.84165598600000002</v>
      </c>
    </row>
    <row r="1237" spans="4:13">
      <c r="D1237" s="1" t="s">
        <v>199</v>
      </c>
      <c r="E1237" s="1" t="s">
        <v>312</v>
      </c>
      <c r="H1237" s="1" t="s">
        <v>22</v>
      </c>
      <c r="I1237" s="1" t="s">
        <v>23</v>
      </c>
      <c r="L1237" s="1">
        <v>1</v>
      </c>
      <c r="M1237" s="1">
        <v>-3.4751676480000002</v>
      </c>
    </row>
    <row r="1238" spans="4:13">
      <c r="D1238" s="1" t="s">
        <v>199</v>
      </c>
      <c r="E1238" s="1" t="s">
        <v>313</v>
      </c>
      <c r="H1238" s="1" t="s">
        <v>22</v>
      </c>
      <c r="I1238" s="1" t="s">
        <v>23</v>
      </c>
      <c r="L1238" s="1">
        <v>1</v>
      </c>
      <c r="M1238" s="1">
        <v>-152.88875329999999</v>
      </c>
    </row>
    <row r="1239" spans="4:13">
      <c r="D1239" s="1" t="s">
        <v>199</v>
      </c>
      <c r="E1239" s="1" t="s">
        <v>314</v>
      </c>
      <c r="H1239" s="1" t="s">
        <v>22</v>
      </c>
      <c r="I1239" s="1" t="s">
        <v>23</v>
      </c>
      <c r="L1239" s="1">
        <v>1</v>
      </c>
      <c r="M1239" s="1">
        <v>227.2729866</v>
      </c>
    </row>
    <row r="1240" spans="4:13">
      <c r="D1240" s="1" t="s">
        <v>199</v>
      </c>
      <c r="E1240" s="1" t="s">
        <v>315</v>
      </c>
      <c r="H1240" s="1" t="s">
        <v>22</v>
      </c>
      <c r="I1240" s="1" t="s">
        <v>23</v>
      </c>
      <c r="L1240" s="1">
        <v>1</v>
      </c>
      <c r="M1240" s="1">
        <v>-1.8019257E-2</v>
      </c>
    </row>
    <row r="1241" spans="4:13">
      <c r="D1241" s="1" t="s">
        <v>199</v>
      </c>
      <c r="E1241" s="1" t="s">
        <v>316</v>
      </c>
      <c r="H1241" s="1" t="s">
        <v>22</v>
      </c>
      <c r="I1241" s="1" t="s">
        <v>23</v>
      </c>
      <c r="L1241" s="1">
        <v>1</v>
      </c>
      <c r="M1241" s="1">
        <v>105.85065280000001</v>
      </c>
    </row>
    <row r="1242" spans="4:13">
      <c r="D1242" s="1" t="s">
        <v>199</v>
      </c>
      <c r="E1242" s="1" t="s">
        <v>317</v>
      </c>
      <c r="H1242" s="1" t="s">
        <v>22</v>
      </c>
      <c r="I1242" s="1" t="s">
        <v>23</v>
      </c>
      <c r="L1242" s="1">
        <v>1</v>
      </c>
      <c r="M1242" s="1">
        <v>-61.176824179999997</v>
      </c>
    </row>
    <row r="1243" spans="4:13">
      <c r="D1243" s="1" t="s">
        <v>199</v>
      </c>
      <c r="E1243" s="1" t="s">
        <v>318</v>
      </c>
      <c r="H1243" s="1" t="s">
        <v>22</v>
      </c>
      <c r="I1243" s="1" t="s">
        <v>23</v>
      </c>
      <c r="L1243" s="1">
        <v>1</v>
      </c>
      <c r="M1243" s="1">
        <v>-119.0621538</v>
      </c>
    </row>
    <row r="1244" spans="4:13">
      <c r="D1244" s="1" t="s">
        <v>199</v>
      </c>
      <c r="E1244" s="1" t="s">
        <v>319</v>
      </c>
      <c r="H1244" s="1" t="s">
        <v>22</v>
      </c>
      <c r="I1244" s="1" t="s">
        <v>23</v>
      </c>
      <c r="L1244" s="1">
        <v>1</v>
      </c>
      <c r="M1244" s="1">
        <v>16.280096700000001</v>
      </c>
    </row>
    <row r="1245" spans="4:13">
      <c r="D1245" s="1" t="s">
        <v>199</v>
      </c>
      <c r="E1245" s="1" t="s">
        <v>320</v>
      </c>
      <c r="H1245" s="1" t="s">
        <v>22</v>
      </c>
      <c r="I1245" s="1" t="s">
        <v>23</v>
      </c>
      <c r="L1245" s="1">
        <v>1</v>
      </c>
      <c r="M1245" s="1">
        <v>-0.364433012</v>
      </c>
    </row>
    <row r="1246" spans="4:13">
      <c r="D1246" s="1" t="s">
        <v>199</v>
      </c>
      <c r="E1246" s="1" t="s">
        <v>321</v>
      </c>
      <c r="H1246" s="1" t="s">
        <v>22</v>
      </c>
      <c r="I1246" s="1" t="s">
        <v>23</v>
      </c>
      <c r="L1246" s="1">
        <v>1</v>
      </c>
      <c r="M1246" s="1">
        <v>55.912370189999997</v>
      </c>
    </row>
    <row r="1247" spans="4:13">
      <c r="D1247" s="1" t="s">
        <v>199</v>
      </c>
      <c r="E1247" s="1" t="s">
        <v>322</v>
      </c>
      <c r="H1247" s="1" t="s">
        <v>22</v>
      </c>
      <c r="I1247" s="1" t="s">
        <v>23</v>
      </c>
      <c r="L1247" s="1">
        <v>1</v>
      </c>
      <c r="M1247" s="1">
        <v>-134.5652126</v>
      </c>
    </row>
    <row r="1248" spans="4:13">
      <c r="D1248" s="1" t="s">
        <v>199</v>
      </c>
      <c r="E1248" s="1" t="s">
        <v>323</v>
      </c>
      <c r="H1248" s="1" t="s">
        <v>22</v>
      </c>
      <c r="I1248" s="1" t="s">
        <v>23</v>
      </c>
      <c r="L1248" s="1">
        <v>1</v>
      </c>
      <c r="M1248" s="1">
        <v>26.37456156</v>
      </c>
    </row>
    <row r="1249" spans="4:13">
      <c r="D1249" s="1" t="s">
        <v>199</v>
      </c>
      <c r="E1249" s="1" t="s">
        <v>324</v>
      </c>
      <c r="H1249" s="1" t="s">
        <v>22</v>
      </c>
      <c r="I1249" s="1" t="s">
        <v>23</v>
      </c>
      <c r="L1249" s="1">
        <v>1</v>
      </c>
      <c r="M1249" s="1">
        <v>-39.448332200000003</v>
      </c>
    </row>
    <row r="1250" spans="4:13">
      <c r="D1250" s="1" t="s">
        <v>199</v>
      </c>
      <c r="E1250" s="1" t="s">
        <v>325</v>
      </c>
      <c r="H1250" s="1" t="s">
        <v>22</v>
      </c>
      <c r="I1250" s="1" t="s">
        <v>23</v>
      </c>
      <c r="L1250" s="1">
        <v>1</v>
      </c>
      <c r="M1250" s="1">
        <v>-8.5617157749999997</v>
      </c>
    </row>
    <row r="1251" spans="4:13">
      <c r="D1251" s="1" t="s">
        <v>199</v>
      </c>
      <c r="E1251" s="1" t="s">
        <v>326</v>
      </c>
      <c r="H1251" s="1" t="s">
        <v>22</v>
      </c>
      <c r="I1251" s="1" t="s">
        <v>23</v>
      </c>
      <c r="L1251" s="1">
        <v>1</v>
      </c>
      <c r="M1251" s="1">
        <v>36.996153110000002</v>
      </c>
    </row>
    <row r="1252" spans="4:13">
      <c r="D1252" s="1" t="s">
        <v>199</v>
      </c>
      <c r="E1252" s="1" t="s">
        <v>327</v>
      </c>
      <c r="H1252" s="1" t="s">
        <v>22</v>
      </c>
      <c r="I1252" s="1" t="s">
        <v>23</v>
      </c>
      <c r="L1252" s="1">
        <v>1</v>
      </c>
      <c r="M1252" s="1">
        <v>36.066391850000002</v>
      </c>
    </row>
    <row r="1253" spans="4:13">
      <c r="D1253" s="1" t="s">
        <v>199</v>
      </c>
      <c r="E1253" s="1" t="s">
        <v>328</v>
      </c>
      <c r="H1253" s="1" t="s">
        <v>22</v>
      </c>
      <c r="I1253" s="1" t="s">
        <v>23</v>
      </c>
      <c r="L1253" s="1">
        <v>1</v>
      </c>
      <c r="M1253" s="1">
        <v>-13.89332338</v>
      </c>
    </row>
    <row r="1254" spans="4:13">
      <c r="D1254" s="1" t="s">
        <v>199</v>
      </c>
      <c r="E1254" s="1" t="s">
        <v>329</v>
      </c>
      <c r="H1254" s="1" t="s">
        <v>22</v>
      </c>
      <c r="I1254" s="1" t="s">
        <v>23</v>
      </c>
      <c r="L1254" s="1">
        <v>1</v>
      </c>
      <c r="M1254" s="1">
        <v>-0.65603491599999997</v>
      </c>
    </row>
    <row r="1255" spans="4:13">
      <c r="D1255" s="1" t="s">
        <v>199</v>
      </c>
      <c r="E1255" s="1" t="s">
        <v>330</v>
      </c>
      <c r="H1255" s="1" t="s">
        <v>22</v>
      </c>
      <c r="I1255" s="1" t="s">
        <v>23</v>
      </c>
      <c r="L1255" s="1">
        <v>1</v>
      </c>
      <c r="M1255" s="1">
        <v>-10.9885372</v>
      </c>
    </row>
    <row r="1256" spans="4:13">
      <c r="D1256" s="1" t="s">
        <v>199</v>
      </c>
      <c r="E1256" s="1" t="s">
        <v>331</v>
      </c>
      <c r="H1256" s="1" t="s">
        <v>22</v>
      </c>
      <c r="I1256" s="1" t="s">
        <v>23</v>
      </c>
      <c r="L1256" s="1">
        <v>1</v>
      </c>
      <c r="M1256" s="1">
        <v>53.003603159999997</v>
      </c>
    </row>
    <row r="1257" spans="4:13">
      <c r="D1257" s="1" t="s">
        <v>199</v>
      </c>
      <c r="E1257" s="1" t="s">
        <v>332</v>
      </c>
      <c r="H1257" s="1" t="s">
        <v>22</v>
      </c>
      <c r="I1257" s="1" t="s">
        <v>23</v>
      </c>
      <c r="L1257" s="1">
        <v>1</v>
      </c>
      <c r="M1257" s="1">
        <v>-7.8117817350000003</v>
      </c>
    </row>
    <row r="1258" spans="4:13">
      <c r="D1258" s="1" t="s">
        <v>199</v>
      </c>
      <c r="E1258" s="1" t="s">
        <v>333</v>
      </c>
      <c r="H1258" s="1" t="s">
        <v>22</v>
      </c>
      <c r="I1258" s="1" t="s">
        <v>23</v>
      </c>
      <c r="L1258" s="1">
        <v>1</v>
      </c>
      <c r="M1258" s="1">
        <v>5.0199583170000004</v>
      </c>
    </row>
    <row r="1259" spans="4:13">
      <c r="D1259" s="1" t="s">
        <v>199</v>
      </c>
      <c r="E1259" s="1" t="s">
        <v>334</v>
      </c>
      <c r="H1259" s="1" t="s">
        <v>22</v>
      </c>
      <c r="I1259" s="1" t="s">
        <v>23</v>
      </c>
      <c r="L1259" s="1">
        <v>1</v>
      </c>
      <c r="M1259" s="1">
        <v>6.1890656289999999</v>
      </c>
    </row>
    <row r="1260" spans="4:13">
      <c r="D1260" s="1" t="s">
        <v>199</v>
      </c>
      <c r="E1260" s="1" t="s">
        <v>335</v>
      </c>
      <c r="H1260" s="1" t="s">
        <v>22</v>
      </c>
      <c r="I1260" s="1" t="s">
        <v>23</v>
      </c>
      <c r="L1260" s="1">
        <v>1</v>
      </c>
      <c r="M1260" s="1">
        <v>-2.328370482</v>
      </c>
    </row>
    <row r="1261" spans="4:13">
      <c r="D1261" s="1" t="s">
        <v>199</v>
      </c>
      <c r="E1261" s="1" t="s">
        <v>336</v>
      </c>
      <c r="H1261" s="1" t="s">
        <v>22</v>
      </c>
      <c r="I1261" s="1" t="s">
        <v>23</v>
      </c>
      <c r="L1261" s="1">
        <v>1</v>
      </c>
      <c r="M1261" s="1">
        <v>-10.17886395</v>
      </c>
    </row>
    <row r="1262" spans="4:13">
      <c r="D1262" s="1" t="s">
        <v>199</v>
      </c>
      <c r="E1262" s="1" t="s">
        <v>337</v>
      </c>
      <c r="H1262" s="1" t="s">
        <v>22</v>
      </c>
      <c r="I1262" s="1" t="s">
        <v>23</v>
      </c>
      <c r="L1262" s="1">
        <v>1</v>
      </c>
      <c r="M1262" s="1">
        <v>-5.2887484039999997</v>
      </c>
    </row>
    <row r="1263" spans="4:13">
      <c r="D1263" s="1" t="s">
        <v>199</v>
      </c>
      <c r="E1263" s="1" t="s">
        <v>338</v>
      </c>
      <c r="H1263" s="1" t="s">
        <v>22</v>
      </c>
      <c r="I1263" s="1" t="s">
        <v>23</v>
      </c>
      <c r="L1263" s="1">
        <v>1</v>
      </c>
      <c r="M1263" s="1">
        <v>4.3945896769999999</v>
      </c>
    </row>
    <row r="1264" spans="4:13">
      <c r="D1264" s="1" t="s">
        <v>199</v>
      </c>
      <c r="E1264" s="1" t="s">
        <v>339</v>
      </c>
      <c r="H1264" s="1" t="s">
        <v>22</v>
      </c>
      <c r="I1264" s="1" t="s">
        <v>23</v>
      </c>
      <c r="L1264" s="1">
        <v>1</v>
      </c>
      <c r="M1264" s="1">
        <v>-11.059626700000001</v>
      </c>
    </row>
    <row r="1265" spans="4:13">
      <c r="D1265" s="1" t="s">
        <v>199</v>
      </c>
      <c r="E1265" s="1" t="s">
        <v>340</v>
      </c>
      <c r="H1265" s="1" t="s">
        <v>22</v>
      </c>
      <c r="I1265" s="1" t="s">
        <v>23</v>
      </c>
      <c r="L1265" s="1">
        <v>1</v>
      </c>
      <c r="M1265" s="1">
        <v>2.2158513590000002</v>
      </c>
    </row>
    <row r="1266" spans="4:13">
      <c r="D1266" s="1" t="s">
        <v>199</v>
      </c>
      <c r="E1266" s="1" t="s">
        <v>341</v>
      </c>
      <c r="H1266" s="1" t="s">
        <v>22</v>
      </c>
      <c r="I1266" s="1" t="s">
        <v>23</v>
      </c>
      <c r="L1266" s="1">
        <v>1</v>
      </c>
      <c r="M1266" s="1">
        <v>-1.478775138</v>
      </c>
    </row>
    <row r="1267" spans="4:13">
      <c r="D1267" s="1" t="s">
        <v>199</v>
      </c>
      <c r="E1267" s="1" t="s">
        <v>342</v>
      </c>
      <c r="H1267" s="1" t="s">
        <v>22</v>
      </c>
      <c r="I1267" s="1" t="s">
        <v>23</v>
      </c>
      <c r="L1267" s="1">
        <v>1</v>
      </c>
      <c r="M1267" s="1">
        <v>0.36305560199999998</v>
      </c>
    </row>
    <row r="1268" spans="4:13">
      <c r="D1268" s="1" t="s">
        <v>199</v>
      </c>
      <c r="E1268" s="1" t="s">
        <v>343</v>
      </c>
      <c r="H1268" s="1" t="s">
        <v>22</v>
      </c>
      <c r="I1268" s="1" t="s">
        <v>23</v>
      </c>
      <c r="L1268" s="1">
        <v>1</v>
      </c>
      <c r="M1268" s="1">
        <v>-1.370538633</v>
      </c>
    </row>
    <row r="1269" spans="4:13">
      <c r="D1269" s="1" t="s">
        <v>199</v>
      </c>
      <c r="E1269" s="1" t="s">
        <v>344</v>
      </c>
      <c r="H1269" s="1" t="s">
        <v>22</v>
      </c>
      <c r="I1269" s="1" t="s">
        <v>23</v>
      </c>
      <c r="L1269" s="1">
        <v>1</v>
      </c>
      <c r="M1269" s="1">
        <v>1.6365981430000001</v>
      </c>
    </row>
    <row r="1270" spans="4:13">
      <c r="D1270" s="1" t="s">
        <v>199</v>
      </c>
      <c r="E1270" s="1" t="s">
        <v>345</v>
      </c>
      <c r="H1270" s="1" t="s">
        <v>22</v>
      </c>
      <c r="I1270" s="1" t="s">
        <v>23</v>
      </c>
      <c r="L1270" s="1">
        <v>1</v>
      </c>
      <c r="M1270" s="1">
        <v>0.99988022099999996</v>
      </c>
    </row>
    <row r="1271" spans="4:13">
      <c r="D1271" s="1" t="s">
        <v>199</v>
      </c>
      <c r="E1271" s="1" t="s">
        <v>346</v>
      </c>
      <c r="H1271" s="1" t="s">
        <v>22</v>
      </c>
      <c r="I1271" s="1" t="s">
        <v>23</v>
      </c>
      <c r="L1271" s="1">
        <v>1</v>
      </c>
      <c r="M1271" s="1">
        <v>0.54629809299999998</v>
      </c>
    </row>
    <row r="1272" spans="4:13">
      <c r="D1272" s="1" t="s">
        <v>199</v>
      </c>
      <c r="E1272" s="1" t="s">
        <v>347</v>
      </c>
      <c r="H1272" s="1" t="s">
        <v>22</v>
      </c>
      <c r="I1272" s="1" t="s">
        <v>23</v>
      </c>
      <c r="L1272" s="1">
        <v>1</v>
      </c>
      <c r="M1272" s="1">
        <v>-0.82105557299999998</v>
      </c>
    </row>
    <row r="1273" spans="4:13">
      <c r="D1273" s="1" t="s">
        <v>199</v>
      </c>
      <c r="E1273" s="1" t="s">
        <v>348</v>
      </c>
      <c r="H1273" s="1" t="s">
        <v>22</v>
      </c>
      <c r="I1273" s="1" t="s">
        <v>23</v>
      </c>
      <c r="L1273" s="1">
        <v>1</v>
      </c>
      <c r="M1273" s="1">
        <v>-5.7979293150000002</v>
      </c>
    </row>
    <row r="1274" spans="4:13">
      <c r="D1274" s="1" t="s">
        <v>199</v>
      </c>
      <c r="E1274" s="1" t="s">
        <v>349</v>
      </c>
      <c r="H1274" s="1" t="s">
        <v>22</v>
      </c>
      <c r="I1274" s="1" t="s">
        <v>23</v>
      </c>
      <c r="L1274" s="1">
        <v>1</v>
      </c>
      <c r="M1274" s="1">
        <v>5.9344295870000003</v>
      </c>
    </row>
    <row r="1275" spans="4:13">
      <c r="D1275" s="1" t="s">
        <v>199</v>
      </c>
      <c r="E1275" s="1" t="s">
        <v>350</v>
      </c>
      <c r="H1275" s="1" t="s">
        <v>22</v>
      </c>
      <c r="I1275" s="1" t="s">
        <v>23</v>
      </c>
      <c r="L1275" s="1">
        <v>1</v>
      </c>
      <c r="M1275" s="1">
        <v>-1.3620327480000001</v>
      </c>
    </row>
    <row r="1276" spans="4:13">
      <c r="D1276" s="1" t="s">
        <v>199</v>
      </c>
      <c r="E1276" s="1" t="s">
        <v>351</v>
      </c>
      <c r="H1276" s="1" t="s">
        <v>22</v>
      </c>
      <c r="I1276" s="1" t="s">
        <v>23</v>
      </c>
      <c r="L1276" s="1">
        <v>1</v>
      </c>
      <c r="M1276" s="1">
        <v>-2.901002525</v>
      </c>
    </row>
    <row r="1277" spans="4:13">
      <c r="D1277" s="1" t="s">
        <v>199</v>
      </c>
      <c r="E1277" s="1" t="s">
        <v>352</v>
      </c>
      <c r="H1277" s="1" t="s">
        <v>22</v>
      </c>
      <c r="I1277" s="1" t="s">
        <v>23</v>
      </c>
      <c r="L1277" s="1">
        <v>1</v>
      </c>
      <c r="M1277" s="1">
        <v>3.0385366650000001</v>
      </c>
    </row>
    <row r="1278" spans="4:13">
      <c r="D1278" s="1" t="s">
        <v>199</v>
      </c>
      <c r="E1278" s="1" t="s">
        <v>353</v>
      </c>
      <c r="H1278" s="1" t="s">
        <v>22</v>
      </c>
      <c r="I1278" s="1" t="s">
        <v>23</v>
      </c>
      <c r="L1278" s="1">
        <v>1</v>
      </c>
      <c r="M1278" s="1">
        <v>-6.2111069360000002</v>
      </c>
    </row>
    <row r="1279" spans="4:13">
      <c r="D1279" s="1" t="s">
        <v>199</v>
      </c>
      <c r="E1279" s="1" t="s">
        <v>354</v>
      </c>
      <c r="H1279" s="1" t="s">
        <v>22</v>
      </c>
      <c r="I1279" s="1" t="s">
        <v>23</v>
      </c>
      <c r="L1279" s="1">
        <v>1</v>
      </c>
      <c r="M1279" s="1">
        <v>2.1886335200000002</v>
      </c>
    </row>
    <row r="1280" spans="4:13">
      <c r="D1280" s="1" t="s">
        <v>199</v>
      </c>
      <c r="E1280" s="1" t="s">
        <v>355</v>
      </c>
      <c r="H1280" s="1" t="s">
        <v>22</v>
      </c>
      <c r="I1280" s="1" t="s">
        <v>23</v>
      </c>
      <c r="L1280" s="1">
        <v>1</v>
      </c>
      <c r="M1280" s="1">
        <v>2.9845017189999998</v>
      </c>
    </row>
    <row r="1281" spans="4:13">
      <c r="D1281" s="1" t="s">
        <v>199</v>
      </c>
      <c r="E1281" s="1" t="s">
        <v>356</v>
      </c>
      <c r="H1281" s="1" t="s">
        <v>22</v>
      </c>
      <c r="I1281" s="1" t="s">
        <v>23</v>
      </c>
      <c r="L1281" s="1">
        <v>1</v>
      </c>
      <c r="M1281" s="1">
        <v>-6.5912793379999997</v>
      </c>
    </row>
    <row r="1282" spans="4:13">
      <c r="D1282" s="1" t="s">
        <v>199</v>
      </c>
      <c r="E1282" s="1" t="s">
        <v>357</v>
      </c>
      <c r="H1282" s="1" t="s">
        <v>22</v>
      </c>
      <c r="I1282" s="1" t="s">
        <v>23</v>
      </c>
      <c r="L1282" s="1">
        <v>1</v>
      </c>
      <c r="M1282" s="1">
        <v>-1.3890406230000001</v>
      </c>
    </row>
    <row r="1283" spans="4:13">
      <c r="D1283" s="1" t="s">
        <v>199</v>
      </c>
      <c r="E1283" s="1" t="s">
        <v>358</v>
      </c>
      <c r="H1283" s="1" t="s">
        <v>22</v>
      </c>
      <c r="I1283" s="1" t="s">
        <v>23</v>
      </c>
      <c r="L1283" s="1">
        <v>1</v>
      </c>
      <c r="M1283" s="1">
        <v>4.6278114099999996</v>
      </c>
    </row>
    <row r="1284" spans="4:13">
      <c r="D1284" s="1" t="s">
        <v>199</v>
      </c>
      <c r="E1284" s="1" t="s">
        <v>359</v>
      </c>
      <c r="H1284" s="1" t="s">
        <v>22</v>
      </c>
      <c r="I1284" s="1" t="s">
        <v>23</v>
      </c>
      <c r="L1284" s="1">
        <v>1</v>
      </c>
      <c r="M1284" s="1">
        <v>6.8638224389999998</v>
      </c>
    </row>
    <row r="1285" spans="4:13">
      <c r="D1285" s="1" t="s">
        <v>199</v>
      </c>
      <c r="E1285" s="1" t="s">
        <v>360</v>
      </c>
      <c r="H1285" s="1" t="s">
        <v>22</v>
      </c>
      <c r="I1285" s="1" t="s">
        <v>23</v>
      </c>
      <c r="L1285" s="1">
        <v>1</v>
      </c>
      <c r="M1285" s="1">
        <v>-9.1978944679999994</v>
      </c>
    </row>
    <row r="1286" spans="4:13">
      <c r="D1286" s="1" t="s">
        <v>199</v>
      </c>
      <c r="E1286" s="1" t="s">
        <v>361</v>
      </c>
      <c r="H1286" s="1" t="s">
        <v>22</v>
      </c>
      <c r="I1286" s="1" t="s">
        <v>23</v>
      </c>
      <c r="L1286" s="1">
        <v>1</v>
      </c>
      <c r="M1286" s="1">
        <v>8.7907856160000009</v>
      </c>
    </row>
    <row r="1287" spans="4:13">
      <c r="D1287" s="1" t="s">
        <v>199</v>
      </c>
      <c r="E1287" s="1" t="s">
        <v>362</v>
      </c>
      <c r="H1287" s="1" t="s">
        <v>22</v>
      </c>
      <c r="I1287" s="1" t="s">
        <v>23</v>
      </c>
      <c r="L1287" s="1">
        <v>1</v>
      </c>
      <c r="M1287" s="1">
        <v>-3.4629850609999999</v>
      </c>
    </row>
    <row r="1288" spans="4:13">
      <c r="D1288" s="1" t="s">
        <v>199</v>
      </c>
      <c r="E1288" s="1" t="s">
        <v>363</v>
      </c>
      <c r="H1288" s="1" t="s">
        <v>22</v>
      </c>
      <c r="I1288" s="1" t="s">
        <v>23</v>
      </c>
      <c r="L1288" s="1">
        <v>1</v>
      </c>
      <c r="M1288" s="1">
        <v>14.846356910000001</v>
      </c>
    </row>
    <row r="1289" spans="4:13">
      <c r="D1289" s="1" t="s">
        <v>199</v>
      </c>
      <c r="E1289" s="1" t="s">
        <v>364</v>
      </c>
      <c r="H1289" s="1" t="s">
        <v>22</v>
      </c>
      <c r="I1289" s="1" t="s">
        <v>23</v>
      </c>
      <c r="L1289" s="1">
        <v>1</v>
      </c>
      <c r="M1289" s="1">
        <v>7.6540139409999997</v>
      </c>
    </row>
    <row r="1290" spans="4:13">
      <c r="D1290" s="1" t="s">
        <v>199</v>
      </c>
      <c r="E1290" s="1" t="s">
        <v>365</v>
      </c>
      <c r="H1290" s="1" t="s">
        <v>22</v>
      </c>
      <c r="I1290" s="1" t="s">
        <v>23</v>
      </c>
      <c r="L1290" s="1">
        <v>1</v>
      </c>
      <c r="M1290" s="1">
        <v>-7.5028089720000004</v>
      </c>
    </row>
    <row r="1291" spans="4:13">
      <c r="D1291" s="1" t="s">
        <v>199</v>
      </c>
      <c r="E1291" s="1" t="s">
        <v>366</v>
      </c>
      <c r="H1291" s="1" t="s">
        <v>22</v>
      </c>
      <c r="I1291" s="1" t="s">
        <v>23</v>
      </c>
      <c r="L1291" s="1">
        <v>1</v>
      </c>
      <c r="M1291" s="1">
        <v>-10.087701490000001</v>
      </c>
    </row>
    <row r="1292" spans="4:13">
      <c r="D1292" s="1" t="s">
        <v>199</v>
      </c>
      <c r="E1292" s="1" t="s">
        <v>367</v>
      </c>
      <c r="H1292" s="1" t="s">
        <v>22</v>
      </c>
      <c r="I1292" s="1" t="s">
        <v>23</v>
      </c>
      <c r="L1292" s="1">
        <v>1</v>
      </c>
      <c r="M1292" s="1">
        <v>-2.9511915389999999</v>
      </c>
    </row>
    <row r="1293" spans="4:13">
      <c r="D1293" s="1" t="s">
        <v>199</v>
      </c>
      <c r="E1293" s="1" t="s">
        <v>368</v>
      </c>
      <c r="H1293" s="1" t="s">
        <v>22</v>
      </c>
      <c r="I1293" s="1" t="s">
        <v>23</v>
      </c>
      <c r="L1293" s="1">
        <v>1</v>
      </c>
      <c r="M1293" s="1">
        <v>-12.017104229999999</v>
      </c>
    </row>
    <row r="1294" spans="4:13">
      <c r="D1294" s="1" t="s">
        <v>199</v>
      </c>
      <c r="E1294" s="1" t="s">
        <v>369</v>
      </c>
      <c r="H1294" s="1" t="s">
        <v>22</v>
      </c>
      <c r="I1294" s="1" t="s">
        <v>23</v>
      </c>
      <c r="L1294" s="1">
        <v>1</v>
      </c>
      <c r="M1294" s="1">
        <v>15.168351530000001</v>
      </c>
    </row>
    <row r="1295" spans="4:13">
      <c r="D1295" s="1" t="s">
        <v>199</v>
      </c>
      <c r="E1295" s="1" t="s">
        <v>370</v>
      </c>
      <c r="H1295" s="1" t="s">
        <v>22</v>
      </c>
      <c r="I1295" s="1" t="s">
        <v>23</v>
      </c>
      <c r="L1295" s="1">
        <v>1</v>
      </c>
      <c r="M1295" s="1">
        <v>-7.1734563160000002</v>
      </c>
    </row>
    <row r="1296" spans="4:13">
      <c r="D1296" s="1" t="s">
        <v>199</v>
      </c>
      <c r="E1296" s="1" t="s">
        <v>371</v>
      </c>
      <c r="H1296" s="1" t="s">
        <v>22</v>
      </c>
      <c r="I1296" s="1" t="s">
        <v>23</v>
      </c>
      <c r="L1296" s="1">
        <v>1</v>
      </c>
      <c r="M1296" s="1">
        <v>-4.9889181159999998</v>
      </c>
    </row>
    <row r="1297" spans="4:13">
      <c r="D1297" s="1" t="s">
        <v>199</v>
      </c>
      <c r="E1297" s="1" t="s">
        <v>372</v>
      </c>
      <c r="H1297" s="1" t="s">
        <v>22</v>
      </c>
      <c r="I1297" s="1" t="s">
        <v>23</v>
      </c>
      <c r="L1297" s="1">
        <v>1</v>
      </c>
      <c r="M1297" s="1">
        <v>35.036991360000002</v>
      </c>
    </row>
    <row r="1298" spans="4:13">
      <c r="D1298" s="1" t="s">
        <v>199</v>
      </c>
      <c r="E1298" s="1" t="s">
        <v>373</v>
      </c>
      <c r="H1298" s="1" t="s">
        <v>22</v>
      </c>
      <c r="I1298" s="1" t="s">
        <v>23</v>
      </c>
      <c r="L1298" s="1">
        <v>1</v>
      </c>
      <c r="M1298" s="1">
        <v>-38.466651300000002</v>
      </c>
    </row>
    <row r="1299" spans="4:13">
      <c r="D1299" s="1" t="s">
        <v>199</v>
      </c>
      <c r="E1299" s="1" t="s">
        <v>374</v>
      </c>
      <c r="H1299" s="1" t="s">
        <v>22</v>
      </c>
      <c r="I1299" s="1" t="s">
        <v>23</v>
      </c>
      <c r="L1299" s="1">
        <v>1</v>
      </c>
      <c r="M1299" s="1">
        <v>-0.93129283299999999</v>
      </c>
    </row>
    <row r="1300" spans="4:13">
      <c r="D1300" s="1" t="s">
        <v>199</v>
      </c>
      <c r="E1300" s="1" t="s">
        <v>375</v>
      </c>
      <c r="H1300" s="1" t="s">
        <v>22</v>
      </c>
      <c r="I1300" s="1" t="s">
        <v>23</v>
      </c>
      <c r="L1300" s="1">
        <v>1</v>
      </c>
      <c r="M1300" s="1">
        <v>-4.1092902039999997</v>
      </c>
    </row>
    <row r="1301" spans="4:13">
      <c r="D1301" s="1" t="s">
        <v>199</v>
      </c>
      <c r="E1301" s="1" t="s">
        <v>376</v>
      </c>
      <c r="H1301" s="1" t="s">
        <v>22</v>
      </c>
      <c r="I1301" s="1" t="s">
        <v>23</v>
      </c>
      <c r="L1301" s="1">
        <v>1</v>
      </c>
      <c r="M1301" s="1">
        <v>11.366104310000001</v>
      </c>
    </row>
    <row r="1302" spans="4:13">
      <c r="D1302" s="1" t="s">
        <v>199</v>
      </c>
      <c r="E1302" s="1" t="s">
        <v>377</v>
      </c>
      <c r="H1302" s="1" t="s">
        <v>22</v>
      </c>
      <c r="I1302" s="1" t="s">
        <v>23</v>
      </c>
      <c r="L1302" s="1">
        <v>1</v>
      </c>
      <c r="M1302" s="1">
        <v>1.998744651</v>
      </c>
    </row>
    <row r="1303" spans="4:13">
      <c r="D1303" s="1" t="s">
        <v>199</v>
      </c>
      <c r="E1303" s="1" t="s">
        <v>378</v>
      </c>
      <c r="H1303" s="1" t="s">
        <v>22</v>
      </c>
      <c r="I1303" s="1" t="s">
        <v>23</v>
      </c>
      <c r="L1303" s="1">
        <v>1</v>
      </c>
      <c r="M1303" s="1">
        <v>9.0022712889999994</v>
      </c>
    </row>
    <row r="1304" spans="4:13">
      <c r="D1304" s="1" t="s">
        <v>199</v>
      </c>
      <c r="E1304" s="1" t="s">
        <v>379</v>
      </c>
      <c r="H1304" s="1" t="s">
        <v>22</v>
      </c>
      <c r="I1304" s="1" t="s">
        <v>23</v>
      </c>
      <c r="L1304" s="1">
        <v>1</v>
      </c>
      <c r="M1304" s="1">
        <v>11.90821852</v>
      </c>
    </row>
    <row r="1305" spans="4:13">
      <c r="D1305" s="1" t="s">
        <v>199</v>
      </c>
      <c r="E1305" s="1" t="s">
        <v>380</v>
      </c>
      <c r="H1305" s="1" t="s">
        <v>22</v>
      </c>
      <c r="I1305" s="1" t="s">
        <v>23</v>
      </c>
      <c r="L1305" s="1">
        <v>1</v>
      </c>
      <c r="M1305" s="1">
        <v>-67.842141920000003</v>
      </c>
    </row>
    <row r="1306" spans="4:13">
      <c r="D1306" s="1" t="s">
        <v>199</v>
      </c>
      <c r="E1306" s="1" t="s">
        <v>381</v>
      </c>
      <c r="H1306" s="1" t="s">
        <v>22</v>
      </c>
      <c r="I1306" s="1" t="s">
        <v>23</v>
      </c>
      <c r="L1306" s="1">
        <v>1</v>
      </c>
      <c r="M1306" s="1">
        <v>72.736494260000001</v>
      </c>
    </row>
    <row r="1307" spans="4:13">
      <c r="D1307" s="1" t="s">
        <v>199</v>
      </c>
      <c r="E1307" s="1" t="s">
        <v>382</v>
      </c>
      <c r="H1307" s="1" t="s">
        <v>22</v>
      </c>
      <c r="I1307" s="1" t="s">
        <v>23</v>
      </c>
      <c r="L1307" s="1">
        <v>1</v>
      </c>
      <c r="M1307" s="1">
        <v>2.3695938499999998</v>
      </c>
    </row>
    <row r="1308" spans="4:13">
      <c r="D1308" s="1" t="s">
        <v>199</v>
      </c>
      <c r="E1308" s="1" t="s">
        <v>383</v>
      </c>
      <c r="H1308" s="1" t="s">
        <v>22</v>
      </c>
      <c r="I1308" s="1" t="s">
        <v>23</v>
      </c>
      <c r="L1308" s="1">
        <v>1</v>
      </c>
      <c r="M1308" s="1">
        <v>-38.40681051</v>
      </c>
    </row>
    <row r="1309" spans="4:13">
      <c r="D1309" s="1" t="s">
        <v>199</v>
      </c>
      <c r="E1309" s="1" t="s">
        <v>384</v>
      </c>
      <c r="H1309" s="1" t="s">
        <v>22</v>
      </c>
      <c r="I1309" s="1" t="s">
        <v>23</v>
      </c>
      <c r="L1309" s="1">
        <v>1</v>
      </c>
      <c r="M1309" s="1">
        <v>25.01954783</v>
      </c>
    </row>
    <row r="1310" spans="4:13">
      <c r="D1310" s="1" t="s">
        <v>199</v>
      </c>
      <c r="E1310" s="1" t="s">
        <v>385</v>
      </c>
      <c r="H1310" s="1" t="s">
        <v>22</v>
      </c>
      <c r="I1310" s="1" t="s">
        <v>23</v>
      </c>
      <c r="L1310" s="1">
        <v>1</v>
      </c>
      <c r="M1310" s="1">
        <v>-15.814114160000001</v>
      </c>
    </row>
    <row r="1311" spans="4:13">
      <c r="D1311" s="1" t="s">
        <v>199</v>
      </c>
      <c r="E1311" s="1" t="s">
        <v>386</v>
      </c>
      <c r="H1311" s="1" t="s">
        <v>22</v>
      </c>
      <c r="I1311" s="1" t="s">
        <v>23</v>
      </c>
      <c r="L1311" s="1">
        <v>1</v>
      </c>
      <c r="M1311" s="1">
        <v>0.53387741</v>
      </c>
    </row>
    <row r="1312" spans="4:13">
      <c r="D1312" s="1" t="s">
        <v>199</v>
      </c>
      <c r="E1312" s="1" t="s">
        <v>387</v>
      </c>
      <c r="H1312" s="1" t="s">
        <v>22</v>
      </c>
      <c r="I1312" s="1" t="s">
        <v>23</v>
      </c>
      <c r="L1312" s="1">
        <v>1</v>
      </c>
      <c r="M1312" s="1">
        <v>1.9682590550000001</v>
      </c>
    </row>
    <row r="1313" spans="4:13">
      <c r="D1313" s="1" t="s">
        <v>199</v>
      </c>
      <c r="E1313" s="1" t="s">
        <v>388</v>
      </c>
      <c r="H1313" s="1" t="s">
        <v>22</v>
      </c>
      <c r="I1313" s="1" t="s">
        <v>23</v>
      </c>
      <c r="L1313" s="1">
        <v>1</v>
      </c>
      <c r="M1313" s="1">
        <v>33.16894181</v>
      </c>
    </row>
    <row r="1314" spans="4:13">
      <c r="D1314" s="1" t="s">
        <v>199</v>
      </c>
      <c r="E1314" s="1" t="s">
        <v>389</v>
      </c>
      <c r="H1314" s="1" t="s">
        <v>22</v>
      </c>
      <c r="I1314" s="1" t="s">
        <v>23</v>
      </c>
      <c r="L1314" s="1">
        <v>1</v>
      </c>
      <c r="M1314" s="1">
        <v>-35.070252310000001</v>
      </c>
    </row>
    <row r="1315" spans="4:13">
      <c r="D1315" s="1" t="s">
        <v>199</v>
      </c>
      <c r="E1315" s="1" t="s">
        <v>390</v>
      </c>
      <c r="H1315" s="1" t="s">
        <v>22</v>
      </c>
      <c r="I1315" s="1" t="s">
        <v>23</v>
      </c>
      <c r="L1315" s="1">
        <v>1</v>
      </c>
      <c r="M1315" s="1">
        <v>38.802101690000001</v>
      </c>
    </row>
    <row r="1316" spans="4:13">
      <c r="D1316" s="1" t="s">
        <v>199</v>
      </c>
      <c r="E1316" s="1" t="s">
        <v>391</v>
      </c>
      <c r="H1316" s="1" t="s">
        <v>22</v>
      </c>
      <c r="I1316" s="1" t="s">
        <v>23</v>
      </c>
      <c r="L1316" s="1">
        <v>1</v>
      </c>
      <c r="M1316" s="1">
        <v>-18.356781460000001</v>
      </c>
    </row>
    <row r="1317" spans="4:13">
      <c r="D1317" s="1" t="s">
        <v>199</v>
      </c>
      <c r="E1317" s="1" t="s">
        <v>392</v>
      </c>
      <c r="H1317" s="1" t="s">
        <v>22</v>
      </c>
      <c r="I1317" s="1" t="s">
        <v>23</v>
      </c>
      <c r="L1317" s="1">
        <v>1</v>
      </c>
      <c r="M1317" s="1">
        <v>-14.076914349999999</v>
      </c>
    </row>
    <row r="1318" spans="4:13">
      <c r="D1318" s="1" t="s">
        <v>199</v>
      </c>
      <c r="E1318" s="1" t="s">
        <v>393</v>
      </c>
      <c r="H1318" s="1" t="s">
        <v>22</v>
      </c>
      <c r="I1318" s="1" t="s">
        <v>23</v>
      </c>
      <c r="L1318" s="1">
        <v>1</v>
      </c>
      <c r="M1318" s="1">
        <v>-19.18804188</v>
      </c>
    </row>
    <row r="1319" spans="4:13">
      <c r="D1319" s="1" t="s">
        <v>199</v>
      </c>
      <c r="E1319" s="1" t="s">
        <v>394</v>
      </c>
      <c r="H1319" s="1" t="s">
        <v>22</v>
      </c>
      <c r="I1319" s="1" t="s">
        <v>23</v>
      </c>
      <c r="L1319" s="1">
        <v>1</v>
      </c>
      <c r="M1319" s="1">
        <v>7.6068626630000002</v>
      </c>
    </row>
    <row r="1320" spans="4:13">
      <c r="D1320" s="1" t="s">
        <v>199</v>
      </c>
      <c r="E1320" s="1" t="s">
        <v>395</v>
      </c>
      <c r="H1320" s="1" t="s">
        <v>22</v>
      </c>
      <c r="I1320" s="1" t="s">
        <v>23</v>
      </c>
      <c r="L1320" s="1">
        <v>1</v>
      </c>
      <c r="M1320" s="1">
        <v>2.6518080089999998</v>
      </c>
    </row>
    <row r="1321" spans="4:13">
      <c r="D1321" s="1" t="s">
        <v>199</v>
      </c>
      <c r="E1321" s="1" t="s">
        <v>396</v>
      </c>
      <c r="H1321" s="1" t="s">
        <v>22</v>
      </c>
      <c r="I1321" s="1" t="s">
        <v>23</v>
      </c>
      <c r="L1321" s="1">
        <v>1</v>
      </c>
      <c r="M1321" s="1">
        <v>11.985189930000001</v>
      </c>
    </row>
    <row r="1322" spans="4:13">
      <c r="D1322" s="1" t="s">
        <v>199</v>
      </c>
      <c r="E1322" s="1" t="s">
        <v>397</v>
      </c>
      <c r="H1322" s="1" t="s">
        <v>22</v>
      </c>
      <c r="I1322" s="1" t="s">
        <v>23</v>
      </c>
      <c r="L1322" s="1">
        <v>1</v>
      </c>
      <c r="M1322" s="1">
        <v>-26.617806959999999</v>
      </c>
    </row>
    <row r="1323" spans="4:13">
      <c r="D1323" s="1" t="s">
        <v>199</v>
      </c>
      <c r="E1323" s="1" t="s">
        <v>398</v>
      </c>
      <c r="H1323" s="1" t="s">
        <v>22</v>
      </c>
      <c r="I1323" s="1" t="s">
        <v>23</v>
      </c>
      <c r="L1323" s="1">
        <v>1</v>
      </c>
      <c r="M1323" s="1">
        <v>39.997402450000003</v>
      </c>
    </row>
    <row r="1324" spans="4:13">
      <c r="D1324" s="1" t="s">
        <v>199</v>
      </c>
      <c r="E1324" s="1" t="s">
        <v>399</v>
      </c>
      <c r="H1324" s="1" t="s">
        <v>22</v>
      </c>
      <c r="I1324" s="1" t="s">
        <v>23</v>
      </c>
      <c r="L1324" s="1">
        <v>1</v>
      </c>
      <c r="M1324" s="1">
        <v>7.978213373</v>
      </c>
    </row>
    <row r="1325" spans="4:13">
      <c r="D1325" s="1" t="s">
        <v>199</v>
      </c>
      <c r="E1325" s="1" t="s">
        <v>400</v>
      </c>
      <c r="H1325" s="1" t="s">
        <v>22</v>
      </c>
      <c r="I1325" s="1" t="s">
        <v>23</v>
      </c>
      <c r="L1325" s="1">
        <v>1</v>
      </c>
      <c r="M1325" s="1">
        <v>-31.21164263</v>
      </c>
    </row>
    <row r="1326" spans="4:13">
      <c r="D1326" s="1" t="s">
        <v>199</v>
      </c>
      <c r="E1326" s="1" t="s">
        <v>401</v>
      </c>
      <c r="H1326" s="1" t="s">
        <v>22</v>
      </c>
      <c r="I1326" s="1" t="s">
        <v>23</v>
      </c>
      <c r="L1326" s="1">
        <v>1</v>
      </c>
      <c r="M1326" s="1">
        <v>0.233394507</v>
      </c>
    </row>
    <row r="1327" spans="4:13">
      <c r="D1327" s="1" t="s">
        <v>199</v>
      </c>
      <c r="E1327" s="1" t="s">
        <v>402</v>
      </c>
      <c r="H1327" s="1" t="s">
        <v>22</v>
      </c>
      <c r="I1327" s="1" t="s">
        <v>23</v>
      </c>
      <c r="L1327" s="1">
        <v>1</v>
      </c>
      <c r="M1327" s="1">
        <v>10.853596659999999</v>
      </c>
    </row>
    <row r="1328" spans="4:13">
      <c r="D1328" s="1" t="s">
        <v>199</v>
      </c>
      <c r="E1328" s="1" t="s">
        <v>403</v>
      </c>
      <c r="H1328" s="1" t="s">
        <v>22</v>
      </c>
      <c r="I1328" s="1" t="s">
        <v>23</v>
      </c>
      <c r="L1328" s="1">
        <v>1</v>
      </c>
      <c r="M1328" s="1">
        <v>-17.475379329999999</v>
      </c>
    </row>
    <row r="1329" spans="4:13">
      <c r="D1329" s="1" t="s">
        <v>199</v>
      </c>
      <c r="E1329" s="1" t="s">
        <v>404</v>
      </c>
      <c r="H1329" s="1" t="s">
        <v>22</v>
      </c>
      <c r="I1329" s="1" t="s">
        <v>23</v>
      </c>
      <c r="L1329" s="1">
        <v>1</v>
      </c>
      <c r="M1329" s="1">
        <v>17.4159538</v>
      </c>
    </row>
    <row r="1330" spans="4:13">
      <c r="D1330" s="1" t="s">
        <v>199</v>
      </c>
      <c r="E1330" s="1" t="s">
        <v>405</v>
      </c>
      <c r="H1330" s="1" t="s">
        <v>22</v>
      </c>
      <c r="I1330" s="1" t="s">
        <v>23</v>
      </c>
      <c r="L1330" s="1">
        <v>1</v>
      </c>
      <c r="M1330" s="1">
        <v>4.8382064409999996</v>
      </c>
    </row>
    <row r="1331" spans="4:13">
      <c r="D1331" s="1" t="s">
        <v>199</v>
      </c>
      <c r="E1331" s="1" t="s">
        <v>406</v>
      </c>
      <c r="H1331" s="1" t="s">
        <v>22</v>
      </c>
      <c r="I1331" s="1" t="s">
        <v>23</v>
      </c>
      <c r="L1331" s="1">
        <v>1</v>
      </c>
      <c r="M1331" s="1">
        <v>-3.933182714</v>
      </c>
    </row>
    <row r="1332" spans="4:13">
      <c r="D1332" s="1" t="s">
        <v>199</v>
      </c>
      <c r="E1332" s="1" t="s">
        <v>407</v>
      </c>
      <c r="H1332" s="1" t="s">
        <v>22</v>
      </c>
      <c r="I1332" s="1" t="s">
        <v>23</v>
      </c>
      <c r="L1332" s="1">
        <v>1</v>
      </c>
      <c r="M1332" s="1">
        <v>0.54147974499999996</v>
      </c>
    </row>
    <row r="1333" spans="4:13">
      <c r="D1333" s="1" t="s">
        <v>199</v>
      </c>
      <c r="E1333" s="1" t="s">
        <v>408</v>
      </c>
      <c r="H1333" s="1" t="s">
        <v>22</v>
      </c>
      <c r="I1333" s="1" t="s">
        <v>23</v>
      </c>
      <c r="L1333" s="1">
        <v>1</v>
      </c>
      <c r="M1333" s="1">
        <v>-1.020785179</v>
      </c>
    </row>
    <row r="1334" spans="4:13">
      <c r="D1334" s="1" t="s">
        <v>199</v>
      </c>
      <c r="E1334" s="1" t="s">
        <v>409</v>
      </c>
      <c r="H1334" s="1" t="s">
        <v>22</v>
      </c>
      <c r="I1334" s="1" t="s">
        <v>23</v>
      </c>
      <c r="L1334" s="1">
        <v>1</v>
      </c>
      <c r="M1334" s="1">
        <v>-8.133917555</v>
      </c>
    </row>
    <row r="1335" spans="4:13">
      <c r="D1335" s="1" t="s">
        <v>199</v>
      </c>
      <c r="E1335" s="1" t="s">
        <v>410</v>
      </c>
      <c r="H1335" s="1" t="s">
        <v>22</v>
      </c>
      <c r="I1335" s="1" t="s">
        <v>23</v>
      </c>
      <c r="L1335" s="1">
        <v>1</v>
      </c>
      <c r="M1335" s="1">
        <v>1.2142200000000001E-2</v>
      </c>
    </row>
    <row r="1336" spans="4:13">
      <c r="D1336" s="1" t="s">
        <v>199</v>
      </c>
      <c r="E1336" s="1" t="s">
        <v>411</v>
      </c>
      <c r="H1336" s="1" t="s">
        <v>22</v>
      </c>
      <c r="I1336" s="1" t="s">
        <v>23</v>
      </c>
      <c r="L1336" s="1">
        <v>1</v>
      </c>
      <c r="M1336" s="1">
        <v>12.829166799999999</v>
      </c>
    </row>
    <row r="1337" spans="4:13">
      <c r="D1337" s="1" t="s">
        <v>199</v>
      </c>
      <c r="E1337" s="1" t="s">
        <v>412</v>
      </c>
      <c r="H1337" s="1" t="s">
        <v>22</v>
      </c>
      <c r="I1337" s="1" t="s">
        <v>23</v>
      </c>
      <c r="L1337" s="1">
        <v>1</v>
      </c>
      <c r="M1337" s="1">
        <v>-31.95608687</v>
      </c>
    </row>
    <row r="1338" spans="4:13">
      <c r="D1338" s="1" t="s">
        <v>199</v>
      </c>
      <c r="E1338" s="1" t="s">
        <v>413</v>
      </c>
      <c r="H1338" s="1" t="s">
        <v>22</v>
      </c>
      <c r="I1338" s="1" t="s">
        <v>23</v>
      </c>
      <c r="L1338" s="1">
        <v>1</v>
      </c>
      <c r="M1338" s="1">
        <v>28.361256940000001</v>
      </c>
    </row>
    <row r="1339" spans="4:13">
      <c r="D1339" s="1" t="s">
        <v>199</v>
      </c>
      <c r="E1339" s="1" t="s">
        <v>414</v>
      </c>
      <c r="H1339" s="1" t="s">
        <v>22</v>
      </c>
      <c r="I1339" s="1" t="s">
        <v>23</v>
      </c>
      <c r="L1339" s="1">
        <v>1</v>
      </c>
      <c r="M1339" s="1">
        <v>-18.543151179999999</v>
      </c>
    </row>
    <row r="1340" spans="4:13">
      <c r="D1340" s="1" t="s">
        <v>199</v>
      </c>
      <c r="E1340" s="1" t="s">
        <v>415</v>
      </c>
      <c r="H1340" s="1" t="s">
        <v>22</v>
      </c>
      <c r="I1340" s="1" t="s">
        <v>23</v>
      </c>
      <c r="L1340" s="1">
        <v>1</v>
      </c>
      <c r="M1340" s="1">
        <v>8.2768472150000001</v>
      </c>
    </row>
    <row r="1341" spans="4:13">
      <c r="D1341" s="1" t="s">
        <v>199</v>
      </c>
      <c r="E1341" s="1" t="s">
        <v>416</v>
      </c>
      <c r="H1341" s="1" t="s">
        <v>22</v>
      </c>
      <c r="I1341" s="1" t="s">
        <v>23</v>
      </c>
      <c r="L1341" s="1">
        <v>1</v>
      </c>
      <c r="M1341" s="1">
        <v>0.96325570999999999</v>
      </c>
    </row>
    <row r="1342" spans="4:13">
      <c r="D1342" s="1" t="s">
        <v>199</v>
      </c>
      <c r="E1342" s="1" t="s">
        <v>417</v>
      </c>
      <c r="H1342" s="1" t="s">
        <v>22</v>
      </c>
      <c r="I1342" s="1" t="s">
        <v>23</v>
      </c>
      <c r="L1342" s="1">
        <v>1</v>
      </c>
      <c r="M1342" s="1">
        <v>7.0808506109999998</v>
      </c>
    </row>
    <row r="1343" spans="4:13">
      <c r="D1343" s="1" t="s">
        <v>199</v>
      </c>
      <c r="E1343" s="1" t="s">
        <v>418</v>
      </c>
      <c r="H1343" s="1" t="s">
        <v>22</v>
      </c>
      <c r="I1343" s="1" t="s">
        <v>23</v>
      </c>
      <c r="L1343" s="1">
        <v>1</v>
      </c>
      <c r="M1343" s="1">
        <v>-7.6273007210000001</v>
      </c>
    </row>
    <row r="1344" spans="4:13">
      <c r="D1344" s="1" t="s">
        <v>199</v>
      </c>
      <c r="E1344" s="1" t="s">
        <v>419</v>
      </c>
      <c r="H1344" s="1" t="s">
        <v>22</v>
      </c>
      <c r="I1344" s="1" t="s">
        <v>23</v>
      </c>
      <c r="L1344" s="1">
        <v>1</v>
      </c>
      <c r="M1344" s="1">
        <v>7.5537147070000001</v>
      </c>
    </row>
    <row r="1345" spans="4:13">
      <c r="D1345" s="1" t="s">
        <v>199</v>
      </c>
      <c r="E1345" s="1" t="s">
        <v>420</v>
      </c>
      <c r="H1345" s="1" t="s">
        <v>22</v>
      </c>
      <c r="I1345" s="1" t="s">
        <v>23</v>
      </c>
      <c r="L1345" s="1">
        <v>1</v>
      </c>
      <c r="M1345" s="1">
        <v>-3.109847426</v>
      </c>
    </row>
    <row r="1346" spans="4:13">
      <c r="D1346" s="1" t="s">
        <v>199</v>
      </c>
      <c r="E1346" s="1" t="s">
        <v>421</v>
      </c>
      <c r="H1346" s="1" t="s">
        <v>22</v>
      </c>
      <c r="I1346" s="1" t="s">
        <v>23</v>
      </c>
      <c r="L1346" s="1">
        <v>1</v>
      </c>
      <c r="M1346" s="1">
        <v>2.3237722729999999</v>
      </c>
    </row>
    <row r="1347" spans="4:13">
      <c r="D1347" s="1" t="s">
        <v>199</v>
      </c>
      <c r="E1347" s="1" t="s">
        <v>422</v>
      </c>
      <c r="H1347" s="1" t="s">
        <v>22</v>
      </c>
      <c r="I1347" s="1" t="s">
        <v>23</v>
      </c>
      <c r="L1347" s="1">
        <v>1</v>
      </c>
      <c r="M1347" s="1">
        <v>-2.2025023080000001</v>
      </c>
    </row>
    <row r="1348" spans="4:13">
      <c r="D1348" s="1" t="s">
        <v>199</v>
      </c>
      <c r="E1348" s="1" t="s">
        <v>423</v>
      </c>
      <c r="H1348" s="1" t="s">
        <v>22</v>
      </c>
      <c r="I1348" s="1" t="s">
        <v>23</v>
      </c>
      <c r="L1348" s="1">
        <v>1</v>
      </c>
      <c r="M1348" s="1">
        <v>-0.10750120000000001</v>
      </c>
    </row>
    <row r="1349" spans="4:13">
      <c r="D1349" s="1" t="s">
        <v>199</v>
      </c>
      <c r="E1349" s="1" t="s">
        <v>424</v>
      </c>
      <c r="H1349" s="1" t="s">
        <v>22</v>
      </c>
      <c r="I1349" s="1" t="s">
        <v>23</v>
      </c>
      <c r="L1349" s="1">
        <v>1</v>
      </c>
      <c r="M1349" s="1">
        <v>-0.42469770000000001</v>
      </c>
    </row>
    <row r="1350" spans="4:13">
      <c r="D1350" s="1" t="s">
        <v>199</v>
      </c>
      <c r="E1350" s="1" t="s">
        <v>425</v>
      </c>
      <c r="F1350" s="1" t="s">
        <v>176</v>
      </c>
      <c r="G1350" s="1" t="s">
        <v>177</v>
      </c>
      <c r="H1350" s="1" t="s">
        <v>22</v>
      </c>
      <c r="I1350" s="1" t="s">
        <v>23</v>
      </c>
      <c r="J1350" s="1">
        <v>0</v>
      </c>
      <c r="L1350" s="1">
        <v>39.370078740157467</v>
      </c>
      <c r="M1350" s="1">
        <v>7.9809999999999972</v>
      </c>
    </row>
    <row r="1351" spans="4:13">
      <c r="D1351" s="1" t="s">
        <v>199</v>
      </c>
      <c r="E1351" s="1" t="s">
        <v>426</v>
      </c>
      <c r="H1351" s="1" t="s">
        <v>25</v>
      </c>
      <c r="I1351" s="1" t="s">
        <v>23</v>
      </c>
      <c r="M1351" s="1" t="b">
        <v>1</v>
      </c>
    </row>
    <row r="1352" spans="4:13">
      <c r="D1352" s="1" t="s">
        <v>199</v>
      </c>
      <c r="E1352" s="1" t="s">
        <v>427</v>
      </c>
      <c r="F1352" s="1">
        <v>1</v>
      </c>
      <c r="G1352" s="1">
        <v>1</v>
      </c>
      <c r="H1352" s="1" t="s">
        <v>22</v>
      </c>
      <c r="I1352" s="1" t="s">
        <v>23</v>
      </c>
      <c r="J1352" s="1">
        <v>0</v>
      </c>
      <c r="K1352" s="1">
        <v>1</v>
      </c>
      <c r="L1352" s="1">
        <v>1</v>
      </c>
      <c r="M1352" s="1">
        <v>0.83379999999999999</v>
      </c>
    </row>
    <row r="1353" spans="4:13">
      <c r="D1353" s="1" t="s">
        <v>199</v>
      </c>
      <c r="E1353" s="1" t="s">
        <v>428</v>
      </c>
      <c r="H1353" s="1" t="s">
        <v>25</v>
      </c>
      <c r="I1353" s="1" t="s">
        <v>23</v>
      </c>
      <c r="M1353" s="1" t="b">
        <v>1</v>
      </c>
    </row>
    <row r="1354" spans="4:13">
      <c r="D1354" s="1" t="s">
        <v>199</v>
      </c>
      <c r="E1354" s="1" t="s">
        <v>429</v>
      </c>
      <c r="F1354" s="1">
        <v>1</v>
      </c>
      <c r="G1354" s="1">
        <v>1</v>
      </c>
      <c r="H1354" s="1" t="s">
        <v>22</v>
      </c>
      <c r="I1354" s="1" t="s">
        <v>23</v>
      </c>
      <c r="J1354" s="1">
        <v>0</v>
      </c>
      <c r="K1354" s="1">
        <v>1</v>
      </c>
      <c r="L1354" s="1">
        <v>1</v>
      </c>
      <c r="M1354" s="1">
        <v>0.83379999999999999</v>
      </c>
    </row>
    <row r="1355" spans="4:13">
      <c r="D1355" s="1" t="s">
        <v>199</v>
      </c>
      <c r="E1355" s="1" t="s">
        <v>430</v>
      </c>
      <c r="H1355" s="1" t="s">
        <v>22</v>
      </c>
      <c r="I1355" s="1" t="s">
        <v>23</v>
      </c>
      <c r="L1355" s="1">
        <v>1</v>
      </c>
      <c r="M1355" s="1">
        <v>0</v>
      </c>
    </row>
    <row r="1356" spans="4:13">
      <c r="D1356" s="1" t="s">
        <v>199</v>
      </c>
      <c r="E1356" s="1" t="s">
        <v>431</v>
      </c>
      <c r="H1356" s="1" t="s">
        <v>22</v>
      </c>
      <c r="I1356" s="1" t="s">
        <v>23</v>
      </c>
      <c r="L1356" s="1">
        <v>1</v>
      </c>
      <c r="M1356" s="1">
        <v>0.2</v>
      </c>
    </row>
    <row r="1357" spans="4:13">
      <c r="D1357" s="1" t="s">
        <v>199</v>
      </c>
      <c r="E1357" s="1" t="s">
        <v>432</v>
      </c>
      <c r="H1357" s="1" t="s">
        <v>22</v>
      </c>
      <c r="I1357" s="1" t="s">
        <v>23</v>
      </c>
      <c r="L1357" s="1">
        <v>1</v>
      </c>
      <c r="M1357" s="1">
        <v>0.4</v>
      </c>
    </row>
    <row r="1358" spans="4:13">
      <c r="D1358" s="1" t="s">
        <v>199</v>
      </c>
      <c r="E1358" s="1" t="s">
        <v>433</v>
      </c>
      <c r="H1358" s="1" t="s">
        <v>22</v>
      </c>
      <c r="I1358" s="1" t="s">
        <v>23</v>
      </c>
      <c r="L1358" s="1">
        <v>1</v>
      </c>
      <c r="M1358" s="1">
        <v>0.6</v>
      </c>
    </row>
    <row r="1359" spans="4:13">
      <c r="D1359" s="1" t="s">
        <v>199</v>
      </c>
      <c r="E1359" s="1" t="s">
        <v>434</v>
      </c>
      <c r="H1359" s="1" t="s">
        <v>22</v>
      </c>
      <c r="I1359" s="1" t="s">
        <v>23</v>
      </c>
      <c r="L1359" s="1">
        <v>1</v>
      </c>
      <c r="M1359" s="1">
        <v>0.8</v>
      </c>
    </row>
    <row r="1360" spans="4:13">
      <c r="D1360" s="1" t="s">
        <v>199</v>
      </c>
      <c r="E1360" s="1" t="s">
        <v>435</v>
      </c>
      <c r="H1360" s="1" t="s">
        <v>22</v>
      </c>
      <c r="I1360" s="1" t="s">
        <v>23</v>
      </c>
      <c r="L1360" s="1">
        <v>1</v>
      </c>
      <c r="M1360" s="1">
        <v>1</v>
      </c>
    </row>
    <row r="1361" spans="4:13">
      <c r="D1361" s="1" t="s">
        <v>199</v>
      </c>
      <c r="E1361" s="1" t="s">
        <v>436</v>
      </c>
      <c r="H1361" s="1" t="s">
        <v>22</v>
      </c>
      <c r="I1361" s="1" t="s">
        <v>23</v>
      </c>
      <c r="L1361" s="1">
        <v>1</v>
      </c>
      <c r="M1361" s="1">
        <v>1.2</v>
      </c>
    </row>
    <row r="1362" spans="4:13">
      <c r="D1362" s="1" t="s">
        <v>199</v>
      </c>
      <c r="E1362" s="1" t="s">
        <v>437</v>
      </c>
      <c r="H1362" s="1" t="s">
        <v>22</v>
      </c>
      <c r="I1362" s="1" t="s">
        <v>23</v>
      </c>
      <c r="L1362" s="1">
        <v>1</v>
      </c>
      <c r="M1362" s="1">
        <v>1.4</v>
      </c>
    </row>
    <row r="1363" spans="4:13">
      <c r="D1363" s="1" t="s">
        <v>199</v>
      </c>
      <c r="E1363" s="1" t="s">
        <v>438</v>
      </c>
      <c r="H1363" s="1" t="s">
        <v>22</v>
      </c>
      <c r="I1363" s="1" t="s">
        <v>23</v>
      </c>
      <c r="L1363" s="1">
        <v>1</v>
      </c>
      <c r="M1363" s="1">
        <v>1.6</v>
      </c>
    </row>
    <row r="1364" spans="4:13">
      <c r="D1364" s="1" t="s">
        <v>199</v>
      </c>
      <c r="E1364" s="1" t="s">
        <v>439</v>
      </c>
      <c r="H1364" s="1" t="s">
        <v>22</v>
      </c>
      <c r="I1364" s="1" t="s">
        <v>23</v>
      </c>
      <c r="L1364" s="1">
        <v>1</v>
      </c>
      <c r="M1364" s="1">
        <v>0.1</v>
      </c>
    </row>
    <row r="1365" spans="4:13">
      <c r="D1365" s="1" t="s">
        <v>199</v>
      </c>
      <c r="E1365" s="1" t="s">
        <v>440</v>
      </c>
      <c r="H1365" s="1" t="s">
        <v>22</v>
      </c>
      <c r="I1365" s="1" t="s">
        <v>23</v>
      </c>
      <c r="L1365" s="1">
        <v>1</v>
      </c>
      <c r="M1365" s="1">
        <v>0.3</v>
      </c>
    </row>
    <row r="1366" spans="4:13">
      <c r="D1366" s="1" t="s">
        <v>199</v>
      </c>
      <c r="E1366" s="1" t="s">
        <v>441</v>
      </c>
      <c r="H1366" s="1" t="s">
        <v>22</v>
      </c>
      <c r="I1366" s="1" t="s">
        <v>23</v>
      </c>
      <c r="L1366" s="1">
        <v>1</v>
      </c>
      <c r="M1366" s="1">
        <v>0.5</v>
      </c>
    </row>
    <row r="1367" spans="4:13">
      <c r="D1367" s="1" t="s">
        <v>199</v>
      </c>
      <c r="E1367" s="1" t="s">
        <v>442</v>
      </c>
      <c r="H1367" s="1" t="s">
        <v>22</v>
      </c>
      <c r="I1367" s="1" t="s">
        <v>23</v>
      </c>
      <c r="L1367" s="1">
        <v>1</v>
      </c>
      <c r="M1367" s="1">
        <v>0.7</v>
      </c>
    </row>
    <row r="1368" spans="4:13">
      <c r="D1368" s="1" t="s">
        <v>199</v>
      </c>
      <c r="E1368" s="1" t="s">
        <v>443</v>
      </c>
      <c r="H1368" s="1" t="s">
        <v>22</v>
      </c>
      <c r="I1368" s="1" t="s">
        <v>23</v>
      </c>
      <c r="L1368" s="1">
        <v>1</v>
      </c>
      <c r="M1368" s="1">
        <v>0.9</v>
      </c>
    </row>
    <row r="1369" spans="4:13">
      <c r="D1369" s="1" t="s">
        <v>199</v>
      </c>
      <c r="E1369" s="1" t="s">
        <v>444</v>
      </c>
      <c r="H1369" s="1" t="s">
        <v>22</v>
      </c>
      <c r="I1369" s="1" t="s">
        <v>23</v>
      </c>
      <c r="L1369" s="1">
        <v>1</v>
      </c>
      <c r="M1369" s="1">
        <v>1.1000000000000001</v>
      </c>
    </row>
    <row r="1370" spans="4:13">
      <c r="D1370" s="1" t="s">
        <v>199</v>
      </c>
      <c r="E1370" s="1" t="s">
        <v>445</v>
      </c>
      <c r="H1370" s="1" t="s">
        <v>22</v>
      </c>
      <c r="I1370" s="1" t="s">
        <v>23</v>
      </c>
      <c r="L1370" s="1">
        <v>1</v>
      </c>
      <c r="M1370" s="1">
        <v>1.3</v>
      </c>
    </row>
    <row r="1371" spans="4:13">
      <c r="D1371" s="1" t="s">
        <v>199</v>
      </c>
      <c r="E1371" s="1" t="s">
        <v>446</v>
      </c>
      <c r="H1371" s="1" t="s">
        <v>22</v>
      </c>
      <c r="I1371" s="1" t="s">
        <v>23</v>
      </c>
      <c r="L1371" s="1">
        <v>1</v>
      </c>
      <c r="M1371" s="1">
        <v>1.5</v>
      </c>
    </row>
    <row r="1372" spans="4:13">
      <c r="D1372" s="1" t="s">
        <v>199</v>
      </c>
      <c r="E1372" s="1" t="s">
        <v>447</v>
      </c>
      <c r="H1372" s="1" t="s">
        <v>22</v>
      </c>
      <c r="I1372" s="1" t="s">
        <v>23</v>
      </c>
      <c r="L1372" s="1">
        <v>1</v>
      </c>
      <c r="M1372" s="1">
        <v>1.7</v>
      </c>
    </row>
    <row r="1373" spans="4:13">
      <c r="D1373" s="1" t="s">
        <v>199</v>
      </c>
      <c r="E1373" s="1" t="s">
        <v>448</v>
      </c>
      <c r="H1373" s="1" t="s">
        <v>22</v>
      </c>
      <c r="I1373" s="1" t="s">
        <v>23</v>
      </c>
      <c r="L1373" s="1">
        <v>1</v>
      </c>
      <c r="M1373" s="1">
        <v>0</v>
      </c>
    </row>
    <row r="1374" spans="4:13">
      <c r="D1374" s="1" t="s">
        <v>199</v>
      </c>
      <c r="E1374" s="1" t="s">
        <v>449</v>
      </c>
      <c r="H1374" s="1" t="s">
        <v>22</v>
      </c>
      <c r="I1374" s="1" t="s">
        <v>23</v>
      </c>
      <c r="L1374" s="1">
        <v>1</v>
      </c>
      <c r="M1374" s="1">
        <v>0.2</v>
      </c>
    </row>
    <row r="1375" spans="4:13">
      <c r="D1375" s="1" t="s">
        <v>199</v>
      </c>
      <c r="E1375" s="1" t="s">
        <v>450</v>
      </c>
      <c r="H1375" s="1" t="s">
        <v>22</v>
      </c>
      <c r="I1375" s="1" t="s">
        <v>23</v>
      </c>
      <c r="L1375" s="1">
        <v>1</v>
      </c>
      <c r="M1375" s="1">
        <v>0.4</v>
      </c>
    </row>
    <row r="1376" spans="4:13">
      <c r="D1376" s="1" t="s">
        <v>199</v>
      </c>
      <c r="E1376" s="1" t="s">
        <v>451</v>
      </c>
      <c r="H1376" s="1" t="s">
        <v>22</v>
      </c>
      <c r="I1376" s="1" t="s">
        <v>23</v>
      </c>
      <c r="L1376" s="1">
        <v>1</v>
      </c>
      <c r="M1376" s="1">
        <v>0.6</v>
      </c>
    </row>
    <row r="1377" spans="4:13">
      <c r="D1377" s="1" t="s">
        <v>199</v>
      </c>
      <c r="E1377" s="1" t="s">
        <v>452</v>
      </c>
      <c r="H1377" s="1" t="s">
        <v>22</v>
      </c>
      <c r="I1377" s="1" t="s">
        <v>23</v>
      </c>
      <c r="L1377" s="1">
        <v>1</v>
      </c>
      <c r="M1377" s="1">
        <v>0.8</v>
      </c>
    </row>
    <row r="1378" spans="4:13">
      <c r="D1378" s="1" t="s">
        <v>199</v>
      </c>
      <c r="E1378" s="1" t="s">
        <v>453</v>
      </c>
      <c r="H1378" s="1" t="s">
        <v>22</v>
      </c>
      <c r="I1378" s="1" t="s">
        <v>23</v>
      </c>
      <c r="L1378" s="1">
        <v>1</v>
      </c>
      <c r="M1378" s="1">
        <v>1</v>
      </c>
    </row>
    <row r="1379" spans="4:13">
      <c r="D1379" s="1" t="s">
        <v>199</v>
      </c>
      <c r="E1379" s="1" t="s">
        <v>454</v>
      </c>
      <c r="H1379" s="1" t="s">
        <v>22</v>
      </c>
      <c r="I1379" s="1" t="s">
        <v>23</v>
      </c>
      <c r="L1379" s="1">
        <v>1</v>
      </c>
      <c r="M1379" s="1">
        <v>1.2</v>
      </c>
    </row>
    <row r="1380" spans="4:13">
      <c r="D1380" s="1" t="s">
        <v>199</v>
      </c>
      <c r="E1380" s="1" t="s">
        <v>455</v>
      </c>
      <c r="H1380" s="1" t="s">
        <v>22</v>
      </c>
      <c r="I1380" s="1" t="s">
        <v>23</v>
      </c>
      <c r="L1380" s="1">
        <v>1</v>
      </c>
      <c r="M1380" s="1">
        <v>1.4</v>
      </c>
    </row>
    <row r="1381" spans="4:13">
      <c r="D1381" s="1" t="s">
        <v>199</v>
      </c>
      <c r="E1381" s="1" t="s">
        <v>456</v>
      </c>
      <c r="H1381" s="1" t="s">
        <v>22</v>
      </c>
      <c r="I1381" s="1" t="s">
        <v>23</v>
      </c>
      <c r="L1381" s="1">
        <v>1</v>
      </c>
      <c r="M1381" s="1">
        <v>1.6</v>
      </c>
    </row>
    <row r="1382" spans="4:13">
      <c r="D1382" s="1" t="s">
        <v>199</v>
      </c>
      <c r="E1382" s="1" t="s">
        <v>457</v>
      </c>
      <c r="H1382" s="1" t="s">
        <v>22</v>
      </c>
      <c r="I1382" s="1" t="s">
        <v>23</v>
      </c>
      <c r="L1382" s="1">
        <v>1</v>
      </c>
      <c r="M1382" s="1">
        <v>0.1</v>
      </c>
    </row>
    <row r="1383" spans="4:13">
      <c r="D1383" s="1" t="s">
        <v>199</v>
      </c>
      <c r="E1383" s="1" t="s">
        <v>458</v>
      </c>
      <c r="H1383" s="1" t="s">
        <v>22</v>
      </c>
      <c r="I1383" s="1" t="s">
        <v>23</v>
      </c>
      <c r="L1383" s="1">
        <v>1</v>
      </c>
      <c r="M1383" s="1">
        <v>0.3</v>
      </c>
    </row>
    <row r="1384" spans="4:13">
      <c r="D1384" s="1" t="s">
        <v>199</v>
      </c>
      <c r="E1384" s="1" t="s">
        <v>459</v>
      </c>
      <c r="H1384" s="1" t="s">
        <v>22</v>
      </c>
      <c r="I1384" s="1" t="s">
        <v>23</v>
      </c>
      <c r="L1384" s="1">
        <v>1</v>
      </c>
      <c r="M1384" s="1">
        <v>0.5</v>
      </c>
    </row>
    <row r="1385" spans="4:13">
      <c r="D1385" s="1" t="s">
        <v>199</v>
      </c>
      <c r="E1385" s="1" t="s">
        <v>460</v>
      </c>
      <c r="H1385" s="1" t="s">
        <v>22</v>
      </c>
      <c r="I1385" s="1" t="s">
        <v>23</v>
      </c>
      <c r="L1385" s="1">
        <v>1</v>
      </c>
      <c r="M1385" s="1">
        <v>0.7</v>
      </c>
    </row>
    <row r="1386" spans="4:13">
      <c r="D1386" s="1" t="s">
        <v>199</v>
      </c>
      <c r="E1386" s="1" t="s">
        <v>461</v>
      </c>
      <c r="H1386" s="1" t="s">
        <v>22</v>
      </c>
      <c r="I1386" s="1" t="s">
        <v>23</v>
      </c>
      <c r="L1386" s="1">
        <v>1</v>
      </c>
      <c r="M1386" s="1">
        <v>0.9</v>
      </c>
    </row>
    <row r="1387" spans="4:13">
      <c r="D1387" s="1" t="s">
        <v>199</v>
      </c>
      <c r="E1387" s="1" t="s">
        <v>462</v>
      </c>
      <c r="H1387" s="1" t="s">
        <v>22</v>
      </c>
      <c r="I1387" s="1" t="s">
        <v>23</v>
      </c>
      <c r="L1387" s="1">
        <v>1</v>
      </c>
      <c r="M1387" s="1">
        <v>1.1000000000000001</v>
      </c>
    </row>
    <row r="1388" spans="4:13">
      <c r="D1388" s="1" t="s">
        <v>199</v>
      </c>
      <c r="E1388" s="1" t="s">
        <v>463</v>
      </c>
      <c r="H1388" s="1" t="s">
        <v>22</v>
      </c>
      <c r="I1388" s="1" t="s">
        <v>23</v>
      </c>
      <c r="L1388" s="1">
        <v>1</v>
      </c>
      <c r="M1388" s="1">
        <v>1.3</v>
      </c>
    </row>
    <row r="1389" spans="4:13">
      <c r="D1389" s="1" t="s">
        <v>199</v>
      </c>
      <c r="E1389" s="1" t="s">
        <v>464</v>
      </c>
      <c r="H1389" s="1" t="s">
        <v>22</v>
      </c>
      <c r="I1389" s="1" t="s">
        <v>23</v>
      </c>
      <c r="L1389" s="1">
        <v>1</v>
      </c>
      <c r="M1389" s="1">
        <v>1.5</v>
      </c>
    </row>
    <row r="1390" spans="4:13">
      <c r="D1390" s="1" t="s">
        <v>199</v>
      </c>
      <c r="E1390" s="1" t="s">
        <v>465</v>
      </c>
      <c r="H1390" s="1" t="s">
        <v>22</v>
      </c>
      <c r="I1390" s="1" t="s">
        <v>23</v>
      </c>
      <c r="L1390" s="1">
        <v>1</v>
      </c>
      <c r="M1390" s="1">
        <v>1.7</v>
      </c>
    </row>
    <row r="1391" spans="4:13">
      <c r="D1391" s="1" t="s">
        <v>199</v>
      </c>
      <c r="E1391" s="1" t="s">
        <v>466</v>
      </c>
      <c r="H1391" s="1" t="s">
        <v>22</v>
      </c>
      <c r="I1391" s="1" t="s">
        <v>23</v>
      </c>
      <c r="L1391" s="1">
        <v>1</v>
      </c>
      <c r="M1391" s="1">
        <v>0</v>
      </c>
    </row>
    <row r="1392" spans="4:13">
      <c r="D1392" s="1" t="s">
        <v>199</v>
      </c>
      <c r="E1392" s="1" t="s">
        <v>467</v>
      </c>
      <c r="H1392" s="1" t="s">
        <v>22</v>
      </c>
      <c r="I1392" s="1" t="s">
        <v>23</v>
      </c>
      <c r="L1392" s="1">
        <v>1</v>
      </c>
      <c r="M1392" s="1">
        <v>0.2</v>
      </c>
    </row>
    <row r="1393" spans="4:13">
      <c r="D1393" s="1" t="s">
        <v>199</v>
      </c>
      <c r="E1393" s="1" t="s">
        <v>468</v>
      </c>
      <c r="H1393" s="1" t="s">
        <v>22</v>
      </c>
      <c r="I1393" s="1" t="s">
        <v>23</v>
      </c>
      <c r="L1393" s="1">
        <v>1</v>
      </c>
      <c r="M1393" s="1">
        <v>0.4</v>
      </c>
    </row>
    <row r="1394" spans="4:13">
      <c r="D1394" s="1" t="s">
        <v>199</v>
      </c>
      <c r="E1394" s="1" t="s">
        <v>469</v>
      </c>
      <c r="H1394" s="1" t="s">
        <v>22</v>
      </c>
      <c r="I1394" s="1" t="s">
        <v>23</v>
      </c>
      <c r="L1394" s="1">
        <v>1</v>
      </c>
      <c r="M1394" s="1">
        <v>0.6</v>
      </c>
    </row>
    <row r="1395" spans="4:13">
      <c r="D1395" s="1" t="s">
        <v>199</v>
      </c>
      <c r="E1395" s="1" t="s">
        <v>470</v>
      </c>
      <c r="H1395" s="1" t="s">
        <v>22</v>
      </c>
      <c r="I1395" s="1" t="s">
        <v>23</v>
      </c>
      <c r="L1395" s="1">
        <v>1</v>
      </c>
      <c r="M1395" s="1">
        <v>0.8</v>
      </c>
    </row>
    <row r="1396" spans="4:13">
      <c r="D1396" s="1" t="s">
        <v>199</v>
      </c>
      <c r="E1396" s="1" t="s">
        <v>471</v>
      </c>
      <c r="H1396" s="1" t="s">
        <v>22</v>
      </c>
      <c r="I1396" s="1" t="s">
        <v>23</v>
      </c>
      <c r="L1396" s="1">
        <v>1</v>
      </c>
      <c r="M1396" s="1">
        <v>1</v>
      </c>
    </row>
    <row r="1397" spans="4:13">
      <c r="D1397" s="1" t="s">
        <v>199</v>
      </c>
      <c r="E1397" s="1" t="s">
        <v>472</v>
      </c>
      <c r="H1397" s="1" t="s">
        <v>22</v>
      </c>
      <c r="I1397" s="1" t="s">
        <v>23</v>
      </c>
      <c r="L1397" s="1">
        <v>1</v>
      </c>
      <c r="M1397" s="1">
        <v>1.2</v>
      </c>
    </row>
    <row r="1398" spans="4:13">
      <c r="D1398" s="1" t="s">
        <v>199</v>
      </c>
      <c r="E1398" s="1" t="s">
        <v>473</v>
      </c>
      <c r="H1398" s="1" t="s">
        <v>22</v>
      </c>
      <c r="I1398" s="1" t="s">
        <v>23</v>
      </c>
      <c r="L1398" s="1">
        <v>1</v>
      </c>
      <c r="M1398" s="1">
        <v>1.4</v>
      </c>
    </row>
    <row r="1399" spans="4:13">
      <c r="D1399" s="1" t="s">
        <v>199</v>
      </c>
      <c r="E1399" s="1" t="s">
        <v>474</v>
      </c>
      <c r="H1399" s="1" t="s">
        <v>22</v>
      </c>
      <c r="I1399" s="1" t="s">
        <v>23</v>
      </c>
      <c r="L1399" s="1">
        <v>1</v>
      </c>
      <c r="M1399" s="1">
        <v>1.6</v>
      </c>
    </row>
    <row r="1400" spans="4:13">
      <c r="D1400" s="1" t="s">
        <v>199</v>
      </c>
      <c r="E1400" s="1" t="s">
        <v>475</v>
      </c>
      <c r="H1400" s="1" t="s">
        <v>22</v>
      </c>
      <c r="I1400" s="1" t="s">
        <v>23</v>
      </c>
      <c r="L1400" s="1">
        <v>1</v>
      </c>
      <c r="M1400" s="1">
        <v>0.1</v>
      </c>
    </row>
    <row r="1401" spans="4:13">
      <c r="D1401" s="1" t="s">
        <v>199</v>
      </c>
      <c r="E1401" s="1" t="s">
        <v>476</v>
      </c>
      <c r="H1401" s="1" t="s">
        <v>22</v>
      </c>
      <c r="I1401" s="1" t="s">
        <v>23</v>
      </c>
      <c r="L1401" s="1">
        <v>1</v>
      </c>
      <c r="M1401" s="1">
        <v>0.3</v>
      </c>
    </row>
    <row r="1402" spans="4:13">
      <c r="D1402" s="1" t="s">
        <v>199</v>
      </c>
      <c r="E1402" s="1" t="s">
        <v>477</v>
      </c>
      <c r="H1402" s="1" t="s">
        <v>22</v>
      </c>
      <c r="I1402" s="1" t="s">
        <v>23</v>
      </c>
      <c r="L1402" s="1">
        <v>1</v>
      </c>
      <c r="M1402" s="1">
        <v>0.5</v>
      </c>
    </row>
    <row r="1403" spans="4:13">
      <c r="D1403" s="1" t="s">
        <v>199</v>
      </c>
      <c r="E1403" s="1" t="s">
        <v>478</v>
      </c>
      <c r="H1403" s="1" t="s">
        <v>22</v>
      </c>
      <c r="I1403" s="1" t="s">
        <v>23</v>
      </c>
      <c r="L1403" s="1">
        <v>1</v>
      </c>
      <c r="M1403" s="1">
        <v>0.7</v>
      </c>
    </row>
    <row r="1404" spans="4:13">
      <c r="D1404" s="1" t="s">
        <v>199</v>
      </c>
      <c r="E1404" s="1" t="s">
        <v>479</v>
      </c>
      <c r="H1404" s="1" t="s">
        <v>22</v>
      </c>
      <c r="I1404" s="1" t="s">
        <v>23</v>
      </c>
      <c r="L1404" s="1">
        <v>1</v>
      </c>
      <c r="M1404" s="1">
        <v>0.9</v>
      </c>
    </row>
    <row r="1405" spans="4:13">
      <c r="D1405" s="1" t="s">
        <v>199</v>
      </c>
      <c r="E1405" s="1" t="s">
        <v>480</v>
      </c>
      <c r="H1405" s="1" t="s">
        <v>22</v>
      </c>
      <c r="I1405" s="1" t="s">
        <v>23</v>
      </c>
      <c r="L1405" s="1">
        <v>1</v>
      </c>
      <c r="M1405" s="1">
        <v>1.1000000000000001</v>
      </c>
    </row>
    <row r="1406" spans="4:13">
      <c r="D1406" s="1" t="s">
        <v>199</v>
      </c>
      <c r="E1406" s="1" t="s">
        <v>481</v>
      </c>
      <c r="H1406" s="1" t="s">
        <v>22</v>
      </c>
      <c r="I1406" s="1" t="s">
        <v>23</v>
      </c>
      <c r="L1406" s="1">
        <v>1</v>
      </c>
      <c r="M1406" s="1">
        <v>1.3</v>
      </c>
    </row>
    <row r="1407" spans="4:13">
      <c r="D1407" s="1" t="s">
        <v>199</v>
      </c>
      <c r="E1407" s="1" t="s">
        <v>482</v>
      </c>
      <c r="H1407" s="1" t="s">
        <v>22</v>
      </c>
      <c r="I1407" s="1" t="s">
        <v>23</v>
      </c>
      <c r="L1407" s="1">
        <v>1</v>
      </c>
      <c r="M1407" s="1">
        <v>1.5</v>
      </c>
    </row>
    <row r="1408" spans="4:13">
      <c r="D1408" s="1" t="s">
        <v>199</v>
      </c>
      <c r="E1408" s="1" t="s">
        <v>483</v>
      </c>
      <c r="H1408" s="1" t="s">
        <v>22</v>
      </c>
      <c r="I1408" s="1" t="s">
        <v>23</v>
      </c>
      <c r="L1408" s="1">
        <v>1</v>
      </c>
      <c r="M1408" s="1">
        <v>1.7</v>
      </c>
    </row>
    <row r="1409" spans="4:13">
      <c r="D1409" s="1" t="s">
        <v>199</v>
      </c>
      <c r="E1409" s="1" t="s">
        <v>484</v>
      </c>
      <c r="H1409" s="1" t="s">
        <v>22</v>
      </c>
      <c r="I1409" s="1" t="s">
        <v>23</v>
      </c>
      <c r="L1409" s="1">
        <v>1</v>
      </c>
      <c r="M1409" s="1">
        <v>0</v>
      </c>
    </row>
    <row r="1410" spans="4:13">
      <c r="D1410" s="1" t="s">
        <v>199</v>
      </c>
      <c r="E1410" s="1" t="s">
        <v>485</v>
      </c>
      <c r="H1410" s="1" t="s">
        <v>22</v>
      </c>
      <c r="I1410" s="1" t="s">
        <v>23</v>
      </c>
      <c r="L1410" s="1">
        <v>1</v>
      </c>
      <c r="M1410" s="1">
        <v>0.2</v>
      </c>
    </row>
    <row r="1411" spans="4:13">
      <c r="D1411" s="1" t="s">
        <v>199</v>
      </c>
      <c r="E1411" s="1" t="s">
        <v>486</v>
      </c>
      <c r="H1411" s="1" t="s">
        <v>22</v>
      </c>
      <c r="I1411" s="1" t="s">
        <v>23</v>
      </c>
      <c r="L1411" s="1">
        <v>1</v>
      </c>
      <c r="M1411" s="1">
        <v>0.4</v>
      </c>
    </row>
    <row r="1412" spans="4:13">
      <c r="D1412" s="1" t="s">
        <v>199</v>
      </c>
      <c r="E1412" s="1" t="s">
        <v>487</v>
      </c>
      <c r="H1412" s="1" t="s">
        <v>22</v>
      </c>
      <c r="I1412" s="1" t="s">
        <v>23</v>
      </c>
      <c r="L1412" s="1">
        <v>1</v>
      </c>
      <c r="M1412" s="1">
        <v>0.6</v>
      </c>
    </row>
    <row r="1413" spans="4:13">
      <c r="D1413" s="1" t="s">
        <v>199</v>
      </c>
      <c r="E1413" s="1" t="s">
        <v>488</v>
      </c>
      <c r="H1413" s="1" t="s">
        <v>22</v>
      </c>
      <c r="I1413" s="1" t="s">
        <v>23</v>
      </c>
      <c r="L1413" s="1">
        <v>1</v>
      </c>
      <c r="M1413" s="1">
        <v>0.8</v>
      </c>
    </row>
    <row r="1414" spans="4:13">
      <c r="D1414" s="1" t="s">
        <v>199</v>
      </c>
      <c r="E1414" s="1" t="s">
        <v>489</v>
      </c>
      <c r="H1414" s="1" t="s">
        <v>22</v>
      </c>
      <c r="I1414" s="1" t="s">
        <v>23</v>
      </c>
      <c r="L1414" s="1">
        <v>1</v>
      </c>
      <c r="M1414" s="1">
        <v>1</v>
      </c>
    </row>
    <row r="1415" spans="4:13">
      <c r="D1415" s="1" t="s">
        <v>199</v>
      </c>
      <c r="E1415" s="1" t="s">
        <v>490</v>
      </c>
      <c r="H1415" s="1" t="s">
        <v>22</v>
      </c>
      <c r="I1415" s="1" t="s">
        <v>23</v>
      </c>
      <c r="L1415" s="1">
        <v>1</v>
      </c>
      <c r="M1415" s="1">
        <v>1.2</v>
      </c>
    </row>
    <row r="1416" spans="4:13">
      <c r="D1416" s="1" t="s">
        <v>199</v>
      </c>
      <c r="E1416" s="1" t="s">
        <v>491</v>
      </c>
      <c r="H1416" s="1" t="s">
        <v>22</v>
      </c>
      <c r="I1416" s="1" t="s">
        <v>23</v>
      </c>
      <c r="L1416" s="1">
        <v>1</v>
      </c>
      <c r="M1416" s="1">
        <v>1.4</v>
      </c>
    </row>
    <row r="1417" spans="4:13">
      <c r="D1417" s="1" t="s">
        <v>199</v>
      </c>
      <c r="E1417" s="1" t="s">
        <v>492</v>
      </c>
      <c r="H1417" s="1" t="s">
        <v>22</v>
      </c>
      <c r="I1417" s="1" t="s">
        <v>23</v>
      </c>
      <c r="L1417" s="1">
        <v>1</v>
      </c>
      <c r="M1417" s="1">
        <v>1.6</v>
      </c>
    </row>
    <row r="1418" spans="4:13">
      <c r="D1418" s="1" t="s">
        <v>199</v>
      </c>
      <c r="E1418" s="1" t="s">
        <v>493</v>
      </c>
      <c r="H1418" s="1" t="s">
        <v>22</v>
      </c>
      <c r="I1418" s="1" t="s">
        <v>23</v>
      </c>
      <c r="L1418" s="1">
        <v>1</v>
      </c>
      <c r="M1418" s="1">
        <v>0.1</v>
      </c>
    </row>
    <row r="1419" spans="4:13">
      <c r="D1419" s="1" t="s">
        <v>199</v>
      </c>
      <c r="E1419" s="1" t="s">
        <v>494</v>
      </c>
      <c r="H1419" s="1" t="s">
        <v>22</v>
      </c>
      <c r="I1419" s="1" t="s">
        <v>23</v>
      </c>
      <c r="L1419" s="1">
        <v>1</v>
      </c>
      <c r="M1419" s="1">
        <v>0.3</v>
      </c>
    </row>
    <row r="1420" spans="4:13">
      <c r="D1420" s="1" t="s">
        <v>199</v>
      </c>
      <c r="E1420" s="1" t="s">
        <v>495</v>
      </c>
      <c r="H1420" s="1" t="s">
        <v>22</v>
      </c>
      <c r="I1420" s="1" t="s">
        <v>23</v>
      </c>
      <c r="L1420" s="1">
        <v>1</v>
      </c>
      <c r="M1420" s="1">
        <v>0.5</v>
      </c>
    </row>
    <row r="1421" spans="4:13">
      <c r="D1421" s="1" t="s">
        <v>199</v>
      </c>
      <c r="E1421" s="1" t="s">
        <v>496</v>
      </c>
      <c r="H1421" s="1" t="s">
        <v>22</v>
      </c>
      <c r="I1421" s="1" t="s">
        <v>23</v>
      </c>
      <c r="L1421" s="1">
        <v>1</v>
      </c>
      <c r="M1421" s="1">
        <v>0.7</v>
      </c>
    </row>
    <row r="1422" spans="4:13">
      <c r="D1422" s="1" t="s">
        <v>199</v>
      </c>
      <c r="E1422" s="1" t="s">
        <v>497</v>
      </c>
      <c r="H1422" s="1" t="s">
        <v>22</v>
      </c>
      <c r="I1422" s="1" t="s">
        <v>23</v>
      </c>
      <c r="L1422" s="1">
        <v>1</v>
      </c>
      <c r="M1422" s="1">
        <v>0.9</v>
      </c>
    </row>
    <row r="1423" spans="4:13">
      <c r="D1423" s="1" t="s">
        <v>199</v>
      </c>
      <c r="E1423" s="1" t="s">
        <v>498</v>
      </c>
      <c r="H1423" s="1" t="s">
        <v>22</v>
      </c>
      <c r="I1423" s="1" t="s">
        <v>23</v>
      </c>
      <c r="L1423" s="1">
        <v>1</v>
      </c>
      <c r="M1423" s="1">
        <v>1.1000000000000001</v>
      </c>
    </row>
    <row r="1424" spans="4:13">
      <c r="D1424" s="1" t="s">
        <v>199</v>
      </c>
      <c r="E1424" s="1" t="s">
        <v>499</v>
      </c>
      <c r="H1424" s="1" t="s">
        <v>22</v>
      </c>
      <c r="I1424" s="1" t="s">
        <v>23</v>
      </c>
      <c r="L1424" s="1">
        <v>1</v>
      </c>
      <c r="M1424" s="1">
        <v>1.3</v>
      </c>
    </row>
    <row r="1425" spans="4:13">
      <c r="D1425" s="1" t="s">
        <v>199</v>
      </c>
      <c r="E1425" s="1" t="s">
        <v>500</v>
      </c>
      <c r="H1425" s="1" t="s">
        <v>22</v>
      </c>
      <c r="I1425" s="1" t="s">
        <v>23</v>
      </c>
      <c r="L1425" s="1">
        <v>1</v>
      </c>
      <c r="M1425" s="1">
        <v>1.5</v>
      </c>
    </row>
    <row r="1426" spans="4:13">
      <c r="D1426" s="1" t="s">
        <v>199</v>
      </c>
      <c r="E1426" s="1" t="s">
        <v>501</v>
      </c>
      <c r="H1426" s="1" t="s">
        <v>22</v>
      </c>
      <c r="I1426" s="1" t="s">
        <v>23</v>
      </c>
      <c r="L1426" s="1">
        <v>1</v>
      </c>
      <c r="M1426" s="1">
        <v>1.7</v>
      </c>
    </row>
    <row r="1427" spans="4:13">
      <c r="D1427" s="1" t="s">
        <v>199</v>
      </c>
      <c r="E1427" s="1" t="s">
        <v>502</v>
      </c>
      <c r="H1427" s="1" t="s">
        <v>22</v>
      </c>
      <c r="I1427" s="1" t="s">
        <v>23</v>
      </c>
      <c r="L1427" s="1">
        <v>1</v>
      </c>
      <c r="M1427" s="1">
        <v>0</v>
      </c>
    </row>
    <row r="1428" spans="4:13">
      <c r="D1428" s="1" t="s">
        <v>199</v>
      </c>
      <c r="E1428" s="1" t="s">
        <v>503</v>
      </c>
      <c r="H1428" s="1" t="s">
        <v>22</v>
      </c>
      <c r="I1428" s="1" t="s">
        <v>23</v>
      </c>
      <c r="L1428" s="1">
        <v>1</v>
      </c>
      <c r="M1428" s="1">
        <v>0.2</v>
      </c>
    </row>
    <row r="1429" spans="4:13">
      <c r="D1429" s="1" t="s">
        <v>199</v>
      </c>
      <c r="E1429" s="1" t="s">
        <v>504</v>
      </c>
      <c r="H1429" s="1" t="s">
        <v>22</v>
      </c>
      <c r="I1429" s="1" t="s">
        <v>23</v>
      </c>
      <c r="L1429" s="1">
        <v>1</v>
      </c>
      <c r="M1429" s="1">
        <v>0.4</v>
      </c>
    </row>
    <row r="1430" spans="4:13">
      <c r="D1430" s="1" t="s">
        <v>199</v>
      </c>
      <c r="E1430" s="1" t="s">
        <v>505</v>
      </c>
      <c r="H1430" s="1" t="s">
        <v>22</v>
      </c>
      <c r="I1430" s="1" t="s">
        <v>23</v>
      </c>
      <c r="L1430" s="1">
        <v>1</v>
      </c>
      <c r="M1430" s="1">
        <v>0.6</v>
      </c>
    </row>
    <row r="1431" spans="4:13">
      <c r="D1431" s="1" t="s">
        <v>199</v>
      </c>
      <c r="E1431" s="1" t="s">
        <v>506</v>
      </c>
      <c r="H1431" s="1" t="s">
        <v>22</v>
      </c>
      <c r="I1431" s="1" t="s">
        <v>23</v>
      </c>
      <c r="L1431" s="1">
        <v>1</v>
      </c>
      <c r="M1431" s="1">
        <v>0.8</v>
      </c>
    </row>
    <row r="1432" spans="4:13">
      <c r="D1432" s="1" t="s">
        <v>199</v>
      </c>
      <c r="E1432" s="1" t="s">
        <v>507</v>
      </c>
      <c r="H1432" s="1" t="s">
        <v>22</v>
      </c>
      <c r="I1432" s="1" t="s">
        <v>23</v>
      </c>
      <c r="L1432" s="1">
        <v>1</v>
      </c>
      <c r="M1432" s="1">
        <v>1</v>
      </c>
    </row>
    <row r="1433" spans="4:13">
      <c r="D1433" s="1" t="s">
        <v>199</v>
      </c>
      <c r="E1433" s="1" t="s">
        <v>508</v>
      </c>
      <c r="H1433" s="1" t="s">
        <v>22</v>
      </c>
      <c r="I1433" s="1" t="s">
        <v>23</v>
      </c>
      <c r="L1433" s="1">
        <v>1</v>
      </c>
      <c r="M1433" s="1">
        <v>1.2</v>
      </c>
    </row>
    <row r="1434" spans="4:13">
      <c r="D1434" s="1" t="s">
        <v>199</v>
      </c>
      <c r="E1434" s="1" t="s">
        <v>509</v>
      </c>
      <c r="H1434" s="1" t="s">
        <v>22</v>
      </c>
      <c r="I1434" s="1" t="s">
        <v>23</v>
      </c>
      <c r="L1434" s="1">
        <v>1</v>
      </c>
      <c r="M1434" s="1">
        <v>1.4</v>
      </c>
    </row>
    <row r="1435" spans="4:13">
      <c r="D1435" s="1" t="s">
        <v>199</v>
      </c>
      <c r="E1435" s="1" t="s">
        <v>510</v>
      </c>
      <c r="H1435" s="1" t="s">
        <v>22</v>
      </c>
      <c r="I1435" s="1" t="s">
        <v>23</v>
      </c>
      <c r="L1435" s="1">
        <v>1</v>
      </c>
      <c r="M1435" s="1">
        <v>1.6</v>
      </c>
    </row>
    <row r="1436" spans="4:13">
      <c r="D1436" s="1" t="s">
        <v>199</v>
      </c>
      <c r="E1436" s="1" t="s">
        <v>511</v>
      </c>
      <c r="H1436" s="1" t="s">
        <v>22</v>
      </c>
      <c r="I1436" s="1" t="s">
        <v>23</v>
      </c>
      <c r="L1436" s="1">
        <v>1</v>
      </c>
      <c r="M1436" s="1">
        <v>0.1</v>
      </c>
    </row>
    <row r="1437" spans="4:13">
      <c r="D1437" s="1" t="s">
        <v>199</v>
      </c>
      <c r="E1437" s="1" t="s">
        <v>512</v>
      </c>
      <c r="H1437" s="1" t="s">
        <v>22</v>
      </c>
      <c r="I1437" s="1" t="s">
        <v>23</v>
      </c>
      <c r="L1437" s="1">
        <v>1</v>
      </c>
      <c r="M1437" s="1">
        <v>0.3</v>
      </c>
    </row>
    <row r="1438" spans="4:13">
      <c r="D1438" s="1" t="s">
        <v>199</v>
      </c>
      <c r="E1438" s="1" t="s">
        <v>513</v>
      </c>
      <c r="H1438" s="1" t="s">
        <v>22</v>
      </c>
      <c r="I1438" s="1" t="s">
        <v>23</v>
      </c>
      <c r="L1438" s="1">
        <v>1</v>
      </c>
      <c r="M1438" s="1">
        <v>0.5</v>
      </c>
    </row>
    <row r="1439" spans="4:13">
      <c r="D1439" s="1" t="s">
        <v>199</v>
      </c>
      <c r="E1439" s="1" t="s">
        <v>514</v>
      </c>
      <c r="H1439" s="1" t="s">
        <v>22</v>
      </c>
      <c r="I1439" s="1" t="s">
        <v>23</v>
      </c>
      <c r="L1439" s="1">
        <v>1</v>
      </c>
      <c r="M1439" s="1">
        <v>0.7</v>
      </c>
    </row>
    <row r="1440" spans="4:13">
      <c r="D1440" s="1" t="s">
        <v>199</v>
      </c>
      <c r="E1440" s="1" t="s">
        <v>515</v>
      </c>
      <c r="H1440" s="1" t="s">
        <v>22</v>
      </c>
      <c r="I1440" s="1" t="s">
        <v>23</v>
      </c>
      <c r="L1440" s="1">
        <v>1</v>
      </c>
      <c r="M1440" s="1">
        <v>0.9</v>
      </c>
    </row>
    <row r="1441" spans="4:13">
      <c r="D1441" s="1" t="s">
        <v>199</v>
      </c>
      <c r="E1441" s="1" t="s">
        <v>516</v>
      </c>
      <c r="H1441" s="1" t="s">
        <v>22</v>
      </c>
      <c r="I1441" s="1" t="s">
        <v>23</v>
      </c>
      <c r="L1441" s="1">
        <v>1</v>
      </c>
      <c r="M1441" s="1">
        <v>1.1000000000000001</v>
      </c>
    </row>
    <row r="1442" spans="4:13">
      <c r="D1442" s="1" t="s">
        <v>199</v>
      </c>
      <c r="E1442" s="1" t="s">
        <v>517</v>
      </c>
      <c r="H1442" s="1" t="s">
        <v>22</v>
      </c>
      <c r="I1442" s="1" t="s">
        <v>23</v>
      </c>
      <c r="L1442" s="1">
        <v>1</v>
      </c>
      <c r="M1442" s="1">
        <v>1.3</v>
      </c>
    </row>
    <row r="1443" spans="4:13">
      <c r="D1443" s="1" t="s">
        <v>199</v>
      </c>
      <c r="E1443" s="1" t="s">
        <v>518</v>
      </c>
      <c r="H1443" s="1" t="s">
        <v>22</v>
      </c>
      <c r="I1443" s="1" t="s">
        <v>23</v>
      </c>
      <c r="L1443" s="1">
        <v>1</v>
      </c>
      <c r="M1443" s="1">
        <v>1.5</v>
      </c>
    </row>
    <row r="1444" spans="4:13">
      <c r="D1444" s="1" t="s">
        <v>199</v>
      </c>
      <c r="E1444" s="1" t="s">
        <v>519</v>
      </c>
      <c r="H1444" s="1" t="s">
        <v>22</v>
      </c>
      <c r="I1444" s="1" t="s">
        <v>23</v>
      </c>
      <c r="L1444" s="1">
        <v>1</v>
      </c>
      <c r="M1444" s="1">
        <v>1.7</v>
      </c>
    </row>
    <row r="1445" spans="4:13">
      <c r="D1445" s="1" t="s">
        <v>199</v>
      </c>
      <c r="E1445" s="1" t="s">
        <v>520</v>
      </c>
      <c r="H1445" s="1" t="s">
        <v>22</v>
      </c>
      <c r="I1445" s="1" t="s">
        <v>23</v>
      </c>
      <c r="L1445" s="1">
        <v>1</v>
      </c>
      <c r="M1445" s="1">
        <v>0</v>
      </c>
    </row>
    <row r="1446" spans="4:13">
      <c r="D1446" s="1" t="s">
        <v>199</v>
      </c>
      <c r="E1446" s="1" t="s">
        <v>521</v>
      </c>
      <c r="H1446" s="1" t="s">
        <v>22</v>
      </c>
      <c r="I1446" s="1" t="s">
        <v>23</v>
      </c>
      <c r="L1446" s="1">
        <v>1</v>
      </c>
      <c r="M1446" s="1">
        <v>0.2</v>
      </c>
    </row>
    <row r="1447" spans="4:13">
      <c r="D1447" s="1" t="s">
        <v>199</v>
      </c>
      <c r="E1447" s="1" t="s">
        <v>522</v>
      </c>
      <c r="H1447" s="1" t="s">
        <v>22</v>
      </c>
      <c r="I1447" s="1" t="s">
        <v>23</v>
      </c>
      <c r="L1447" s="1">
        <v>1</v>
      </c>
      <c r="M1447" s="1">
        <v>0.4</v>
      </c>
    </row>
    <row r="1448" spans="4:13">
      <c r="D1448" s="1" t="s">
        <v>199</v>
      </c>
      <c r="E1448" s="1" t="s">
        <v>523</v>
      </c>
      <c r="H1448" s="1" t="s">
        <v>22</v>
      </c>
      <c r="I1448" s="1" t="s">
        <v>23</v>
      </c>
      <c r="L1448" s="1">
        <v>1</v>
      </c>
      <c r="M1448" s="1">
        <v>0.6</v>
      </c>
    </row>
    <row r="1449" spans="4:13">
      <c r="D1449" s="1" t="s">
        <v>199</v>
      </c>
      <c r="E1449" s="1" t="s">
        <v>524</v>
      </c>
      <c r="H1449" s="1" t="s">
        <v>22</v>
      </c>
      <c r="I1449" s="1" t="s">
        <v>23</v>
      </c>
      <c r="L1449" s="1">
        <v>1</v>
      </c>
      <c r="M1449" s="1">
        <v>0.8</v>
      </c>
    </row>
    <row r="1450" spans="4:13">
      <c r="D1450" s="1" t="s">
        <v>199</v>
      </c>
      <c r="E1450" s="1" t="s">
        <v>525</v>
      </c>
      <c r="H1450" s="1" t="s">
        <v>22</v>
      </c>
      <c r="I1450" s="1" t="s">
        <v>23</v>
      </c>
      <c r="L1450" s="1">
        <v>1</v>
      </c>
      <c r="M1450" s="1">
        <v>1</v>
      </c>
    </row>
    <row r="1451" spans="4:13">
      <c r="D1451" s="1" t="s">
        <v>199</v>
      </c>
      <c r="E1451" s="1" t="s">
        <v>526</v>
      </c>
      <c r="H1451" s="1" t="s">
        <v>22</v>
      </c>
      <c r="I1451" s="1" t="s">
        <v>23</v>
      </c>
      <c r="L1451" s="1">
        <v>1</v>
      </c>
      <c r="M1451" s="1">
        <v>1.2</v>
      </c>
    </row>
    <row r="1452" spans="4:13">
      <c r="D1452" s="1" t="s">
        <v>199</v>
      </c>
      <c r="E1452" s="1" t="s">
        <v>527</v>
      </c>
      <c r="H1452" s="1" t="s">
        <v>22</v>
      </c>
      <c r="I1452" s="1" t="s">
        <v>23</v>
      </c>
      <c r="L1452" s="1">
        <v>1</v>
      </c>
      <c r="M1452" s="1">
        <v>1.4</v>
      </c>
    </row>
    <row r="1453" spans="4:13">
      <c r="D1453" s="1" t="s">
        <v>199</v>
      </c>
      <c r="E1453" s="1" t="s">
        <v>528</v>
      </c>
      <c r="H1453" s="1" t="s">
        <v>22</v>
      </c>
      <c r="I1453" s="1" t="s">
        <v>23</v>
      </c>
      <c r="L1453" s="1">
        <v>1</v>
      </c>
      <c r="M1453" s="1">
        <v>1.6</v>
      </c>
    </row>
    <row r="1454" spans="4:13">
      <c r="D1454" s="1" t="s">
        <v>199</v>
      </c>
      <c r="E1454" s="1" t="s">
        <v>529</v>
      </c>
      <c r="H1454" s="1" t="s">
        <v>22</v>
      </c>
      <c r="I1454" s="1" t="s">
        <v>23</v>
      </c>
      <c r="L1454" s="1">
        <v>1</v>
      </c>
      <c r="M1454" s="1">
        <v>0.1</v>
      </c>
    </row>
    <row r="1455" spans="4:13">
      <c r="D1455" s="1" t="s">
        <v>199</v>
      </c>
      <c r="E1455" s="1" t="s">
        <v>530</v>
      </c>
      <c r="H1455" s="1" t="s">
        <v>22</v>
      </c>
      <c r="I1455" s="1" t="s">
        <v>23</v>
      </c>
      <c r="L1455" s="1">
        <v>1</v>
      </c>
      <c r="M1455" s="1">
        <v>0.3</v>
      </c>
    </row>
    <row r="1456" spans="4:13">
      <c r="D1456" s="1" t="s">
        <v>199</v>
      </c>
      <c r="E1456" s="1" t="s">
        <v>531</v>
      </c>
      <c r="H1456" s="1" t="s">
        <v>22</v>
      </c>
      <c r="I1456" s="1" t="s">
        <v>23</v>
      </c>
      <c r="L1456" s="1">
        <v>1</v>
      </c>
      <c r="M1456" s="1">
        <v>0.5</v>
      </c>
    </row>
    <row r="1457" spans="4:13">
      <c r="D1457" s="1" t="s">
        <v>199</v>
      </c>
      <c r="E1457" s="1" t="s">
        <v>532</v>
      </c>
      <c r="H1457" s="1" t="s">
        <v>22</v>
      </c>
      <c r="I1457" s="1" t="s">
        <v>23</v>
      </c>
      <c r="L1457" s="1">
        <v>1</v>
      </c>
      <c r="M1457" s="1">
        <v>0.7</v>
      </c>
    </row>
    <row r="1458" spans="4:13">
      <c r="D1458" s="1" t="s">
        <v>199</v>
      </c>
      <c r="E1458" s="1" t="s">
        <v>533</v>
      </c>
      <c r="H1458" s="1" t="s">
        <v>22</v>
      </c>
      <c r="I1458" s="1" t="s">
        <v>23</v>
      </c>
      <c r="L1458" s="1">
        <v>1</v>
      </c>
      <c r="M1458" s="1">
        <v>0.9</v>
      </c>
    </row>
    <row r="1459" spans="4:13">
      <c r="D1459" s="1" t="s">
        <v>199</v>
      </c>
      <c r="E1459" s="1" t="s">
        <v>534</v>
      </c>
      <c r="H1459" s="1" t="s">
        <v>22</v>
      </c>
      <c r="I1459" s="1" t="s">
        <v>23</v>
      </c>
      <c r="L1459" s="1">
        <v>1</v>
      </c>
      <c r="M1459" s="1">
        <v>1.1000000000000001</v>
      </c>
    </row>
    <row r="1460" spans="4:13">
      <c r="D1460" s="1" t="s">
        <v>199</v>
      </c>
      <c r="E1460" s="1" t="s">
        <v>535</v>
      </c>
      <c r="H1460" s="1" t="s">
        <v>22</v>
      </c>
      <c r="I1460" s="1" t="s">
        <v>23</v>
      </c>
      <c r="L1460" s="1">
        <v>1</v>
      </c>
      <c r="M1460" s="1">
        <v>1.3</v>
      </c>
    </row>
    <row r="1461" spans="4:13">
      <c r="D1461" s="1" t="s">
        <v>199</v>
      </c>
      <c r="E1461" s="1" t="s">
        <v>536</v>
      </c>
      <c r="H1461" s="1" t="s">
        <v>22</v>
      </c>
      <c r="I1461" s="1" t="s">
        <v>23</v>
      </c>
      <c r="L1461" s="1">
        <v>1</v>
      </c>
      <c r="M1461" s="1">
        <v>1.5</v>
      </c>
    </row>
    <row r="1462" spans="4:13">
      <c r="D1462" s="1" t="s">
        <v>199</v>
      </c>
      <c r="E1462" s="1" t="s">
        <v>537</v>
      </c>
      <c r="H1462" s="1" t="s">
        <v>22</v>
      </c>
      <c r="I1462" s="1" t="s">
        <v>23</v>
      </c>
      <c r="L1462" s="1">
        <v>1</v>
      </c>
      <c r="M1462" s="1">
        <v>1.7</v>
      </c>
    </row>
    <row r="1463" spans="4:13">
      <c r="D1463" s="1" t="s">
        <v>199</v>
      </c>
      <c r="E1463" s="1" t="s">
        <v>538</v>
      </c>
      <c r="H1463" s="1" t="s">
        <v>22</v>
      </c>
      <c r="I1463" s="1" t="s">
        <v>23</v>
      </c>
      <c r="L1463" s="1">
        <v>1</v>
      </c>
      <c r="M1463" s="1">
        <v>0</v>
      </c>
    </row>
    <row r="1464" spans="4:13">
      <c r="D1464" s="1" t="s">
        <v>199</v>
      </c>
      <c r="E1464" s="1" t="s">
        <v>539</v>
      </c>
      <c r="H1464" s="1" t="s">
        <v>22</v>
      </c>
      <c r="I1464" s="1" t="s">
        <v>23</v>
      </c>
      <c r="L1464" s="1">
        <v>1</v>
      </c>
      <c r="M1464" s="1">
        <v>0.2</v>
      </c>
    </row>
    <row r="1465" spans="4:13">
      <c r="D1465" s="1" t="s">
        <v>199</v>
      </c>
      <c r="E1465" s="1" t="s">
        <v>540</v>
      </c>
      <c r="H1465" s="1" t="s">
        <v>22</v>
      </c>
      <c r="I1465" s="1" t="s">
        <v>23</v>
      </c>
      <c r="L1465" s="1">
        <v>1</v>
      </c>
      <c r="M1465" s="1">
        <v>0.4</v>
      </c>
    </row>
    <row r="1466" spans="4:13">
      <c r="D1466" s="1" t="s">
        <v>199</v>
      </c>
      <c r="E1466" s="1" t="s">
        <v>541</v>
      </c>
      <c r="H1466" s="1" t="s">
        <v>22</v>
      </c>
      <c r="I1466" s="1" t="s">
        <v>23</v>
      </c>
      <c r="L1466" s="1">
        <v>1</v>
      </c>
      <c r="M1466" s="1">
        <v>0.6</v>
      </c>
    </row>
    <row r="1467" spans="4:13">
      <c r="D1467" s="1" t="s">
        <v>199</v>
      </c>
      <c r="E1467" s="1" t="s">
        <v>542</v>
      </c>
      <c r="H1467" s="1" t="s">
        <v>22</v>
      </c>
      <c r="I1467" s="1" t="s">
        <v>23</v>
      </c>
      <c r="L1467" s="1">
        <v>1</v>
      </c>
      <c r="M1467" s="1">
        <v>0.8</v>
      </c>
    </row>
    <row r="1468" spans="4:13">
      <c r="D1468" s="1" t="s">
        <v>199</v>
      </c>
      <c r="E1468" s="1" t="s">
        <v>543</v>
      </c>
      <c r="H1468" s="1" t="s">
        <v>22</v>
      </c>
      <c r="I1468" s="1" t="s">
        <v>23</v>
      </c>
      <c r="L1468" s="1">
        <v>1</v>
      </c>
      <c r="M1468" s="1">
        <v>1</v>
      </c>
    </row>
    <row r="1469" spans="4:13">
      <c r="D1469" s="1" t="s">
        <v>199</v>
      </c>
      <c r="E1469" s="1" t="s">
        <v>544</v>
      </c>
      <c r="H1469" s="1" t="s">
        <v>22</v>
      </c>
      <c r="I1469" s="1" t="s">
        <v>23</v>
      </c>
      <c r="L1469" s="1">
        <v>1</v>
      </c>
      <c r="M1469" s="1">
        <v>1.2</v>
      </c>
    </row>
    <row r="1470" spans="4:13">
      <c r="D1470" s="1" t="s">
        <v>199</v>
      </c>
      <c r="E1470" s="1" t="s">
        <v>545</v>
      </c>
      <c r="H1470" s="1" t="s">
        <v>22</v>
      </c>
      <c r="I1470" s="1" t="s">
        <v>23</v>
      </c>
      <c r="L1470" s="1">
        <v>1</v>
      </c>
      <c r="M1470" s="1">
        <v>1.4</v>
      </c>
    </row>
    <row r="1471" spans="4:13">
      <c r="D1471" s="1" t="s">
        <v>199</v>
      </c>
      <c r="E1471" s="1" t="s">
        <v>546</v>
      </c>
      <c r="H1471" s="1" t="s">
        <v>22</v>
      </c>
      <c r="I1471" s="1" t="s">
        <v>23</v>
      </c>
      <c r="L1471" s="1">
        <v>1</v>
      </c>
      <c r="M1471" s="1">
        <v>1.6</v>
      </c>
    </row>
    <row r="1472" spans="4:13">
      <c r="D1472" s="1" t="s">
        <v>199</v>
      </c>
      <c r="E1472" s="1" t="s">
        <v>547</v>
      </c>
      <c r="H1472" s="1" t="s">
        <v>22</v>
      </c>
      <c r="I1472" s="1" t="s">
        <v>23</v>
      </c>
      <c r="L1472" s="1">
        <v>1</v>
      </c>
      <c r="M1472" s="1">
        <v>0.1</v>
      </c>
    </row>
    <row r="1473" spans="4:13">
      <c r="D1473" s="1" t="s">
        <v>199</v>
      </c>
      <c r="E1473" s="1" t="s">
        <v>548</v>
      </c>
      <c r="H1473" s="1" t="s">
        <v>22</v>
      </c>
      <c r="I1473" s="1" t="s">
        <v>23</v>
      </c>
      <c r="L1473" s="1">
        <v>1</v>
      </c>
      <c r="M1473" s="1">
        <v>0.3</v>
      </c>
    </row>
    <row r="1474" spans="4:13">
      <c r="D1474" s="1" t="s">
        <v>199</v>
      </c>
      <c r="E1474" s="1" t="s">
        <v>549</v>
      </c>
      <c r="H1474" s="1" t="s">
        <v>22</v>
      </c>
      <c r="I1474" s="1" t="s">
        <v>23</v>
      </c>
      <c r="L1474" s="1">
        <v>1</v>
      </c>
      <c r="M1474" s="1">
        <v>0.5</v>
      </c>
    </row>
    <row r="1475" spans="4:13">
      <c r="D1475" s="1" t="s">
        <v>199</v>
      </c>
      <c r="E1475" s="1" t="s">
        <v>550</v>
      </c>
      <c r="H1475" s="1" t="s">
        <v>22</v>
      </c>
      <c r="I1475" s="1" t="s">
        <v>23</v>
      </c>
      <c r="L1475" s="1">
        <v>1</v>
      </c>
      <c r="M1475" s="1">
        <v>0.7</v>
      </c>
    </row>
    <row r="1476" spans="4:13">
      <c r="D1476" s="1" t="s">
        <v>199</v>
      </c>
      <c r="E1476" s="1" t="s">
        <v>551</v>
      </c>
      <c r="H1476" s="1" t="s">
        <v>22</v>
      </c>
      <c r="I1476" s="1" t="s">
        <v>23</v>
      </c>
      <c r="L1476" s="1">
        <v>1</v>
      </c>
      <c r="M1476" s="1">
        <v>0.9</v>
      </c>
    </row>
    <row r="1477" spans="4:13">
      <c r="D1477" s="1" t="s">
        <v>199</v>
      </c>
      <c r="E1477" s="1" t="s">
        <v>552</v>
      </c>
      <c r="H1477" s="1" t="s">
        <v>22</v>
      </c>
      <c r="I1477" s="1" t="s">
        <v>23</v>
      </c>
      <c r="L1477" s="1">
        <v>1</v>
      </c>
      <c r="M1477" s="1">
        <v>1.1000000000000001</v>
      </c>
    </row>
    <row r="1478" spans="4:13">
      <c r="D1478" s="1" t="s">
        <v>199</v>
      </c>
      <c r="E1478" s="1" t="s">
        <v>553</v>
      </c>
      <c r="H1478" s="1" t="s">
        <v>22</v>
      </c>
      <c r="I1478" s="1" t="s">
        <v>23</v>
      </c>
      <c r="L1478" s="1">
        <v>1</v>
      </c>
      <c r="M1478" s="1">
        <v>1.3</v>
      </c>
    </row>
    <row r="1479" spans="4:13">
      <c r="D1479" s="1" t="s">
        <v>199</v>
      </c>
      <c r="E1479" s="1" t="s">
        <v>554</v>
      </c>
      <c r="H1479" s="1" t="s">
        <v>22</v>
      </c>
      <c r="I1479" s="1" t="s">
        <v>23</v>
      </c>
      <c r="L1479" s="1">
        <v>1</v>
      </c>
      <c r="M1479" s="1">
        <v>1.5</v>
      </c>
    </row>
    <row r="1480" spans="4:13">
      <c r="D1480" s="1" t="s">
        <v>199</v>
      </c>
      <c r="E1480" s="1" t="s">
        <v>555</v>
      </c>
      <c r="H1480" s="1" t="s">
        <v>22</v>
      </c>
      <c r="I1480" s="1" t="s">
        <v>23</v>
      </c>
      <c r="L1480" s="1">
        <v>1</v>
      </c>
      <c r="M1480" s="1">
        <v>1.7</v>
      </c>
    </row>
    <row r="1481" spans="4:13">
      <c r="D1481" s="1" t="s">
        <v>199</v>
      </c>
      <c r="E1481" s="1" t="s">
        <v>556</v>
      </c>
      <c r="H1481" s="1" t="s">
        <v>22</v>
      </c>
      <c r="I1481" s="1" t="s">
        <v>23</v>
      </c>
      <c r="L1481" s="1">
        <v>1</v>
      </c>
      <c r="M1481" s="1">
        <v>0</v>
      </c>
    </row>
    <row r="1482" spans="4:13">
      <c r="D1482" s="1" t="s">
        <v>199</v>
      </c>
      <c r="E1482" s="1" t="s">
        <v>557</v>
      </c>
      <c r="H1482" s="1" t="s">
        <v>22</v>
      </c>
      <c r="I1482" s="1" t="s">
        <v>23</v>
      </c>
      <c r="L1482" s="1">
        <v>1</v>
      </c>
      <c r="M1482" s="1">
        <v>0.2</v>
      </c>
    </row>
    <row r="1483" spans="4:13">
      <c r="D1483" s="1" t="s">
        <v>199</v>
      </c>
      <c r="E1483" s="1" t="s">
        <v>558</v>
      </c>
      <c r="H1483" s="1" t="s">
        <v>22</v>
      </c>
      <c r="I1483" s="1" t="s">
        <v>23</v>
      </c>
      <c r="L1483" s="1">
        <v>1</v>
      </c>
      <c r="M1483" s="1">
        <v>0.4</v>
      </c>
    </row>
    <row r="1484" spans="4:13">
      <c r="D1484" s="1" t="s">
        <v>199</v>
      </c>
      <c r="E1484" s="1" t="s">
        <v>559</v>
      </c>
      <c r="H1484" s="1" t="s">
        <v>22</v>
      </c>
      <c r="I1484" s="1" t="s">
        <v>23</v>
      </c>
      <c r="L1484" s="1">
        <v>1</v>
      </c>
      <c r="M1484" s="1">
        <v>0.6</v>
      </c>
    </row>
    <row r="1485" spans="4:13">
      <c r="D1485" s="1" t="s">
        <v>199</v>
      </c>
      <c r="E1485" s="1" t="s">
        <v>560</v>
      </c>
      <c r="H1485" s="1" t="s">
        <v>22</v>
      </c>
      <c r="I1485" s="1" t="s">
        <v>23</v>
      </c>
      <c r="L1485" s="1">
        <v>1</v>
      </c>
      <c r="M1485" s="1">
        <v>0.8</v>
      </c>
    </row>
    <row r="1486" spans="4:13">
      <c r="D1486" s="1" t="s">
        <v>199</v>
      </c>
      <c r="E1486" s="1" t="s">
        <v>561</v>
      </c>
      <c r="H1486" s="1" t="s">
        <v>22</v>
      </c>
      <c r="I1486" s="1" t="s">
        <v>23</v>
      </c>
      <c r="L1486" s="1">
        <v>1</v>
      </c>
      <c r="M1486" s="1">
        <v>1</v>
      </c>
    </row>
    <row r="1487" spans="4:13">
      <c r="D1487" s="1" t="s">
        <v>199</v>
      </c>
      <c r="E1487" s="1" t="s">
        <v>562</v>
      </c>
      <c r="H1487" s="1" t="s">
        <v>22</v>
      </c>
      <c r="I1487" s="1" t="s">
        <v>23</v>
      </c>
      <c r="L1487" s="1">
        <v>1</v>
      </c>
      <c r="M1487" s="1">
        <v>1.2</v>
      </c>
    </row>
    <row r="1488" spans="4:13">
      <c r="D1488" s="1" t="s">
        <v>199</v>
      </c>
      <c r="E1488" s="1" t="s">
        <v>563</v>
      </c>
      <c r="H1488" s="1" t="s">
        <v>22</v>
      </c>
      <c r="I1488" s="1" t="s">
        <v>23</v>
      </c>
      <c r="L1488" s="1">
        <v>1</v>
      </c>
      <c r="M1488" s="1">
        <v>1.4</v>
      </c>
    </row>
    <row r="1489" spans="4:13">
      <c r="D1489" s="1" t="s">
        <v>199</v>
      </c>
      <c r="E1489" s="1" t="s">
        <v>564</v>
      </c>
      <c r="H1489" s="1" t="s">
        <v>22</v>
      </c>
      <c r="I1489" s="1" t="s">
        <v>23</v>
      </c>
      <c r="L1489" s="1">
        <v>1</v>
      </c>
      <c r="M1489" s="1">
        <v>1.6</v>
      </c>
    </row>
    <row r="1490" spans="4:13">
      <c r="D1490" s="1" t="s">
        <v>199</v>
      </c>
      <c r="E1490" s="1" t="s">
        <v>565</v>
      </c>
      <c r="H1490" s="1" t="s">
        <v>22</v>
      </c>
      <c r="I1490" s="1" t="s">
        <v>23</v>
      </c>
      <c r="L1490" s="1">
        <v>1</v>
      </c>
      <c r="M1490" s="1">
        <v>0.1</v>
      </c>
    </row>
    <row r="1491" spans="4:13">
      <c r="D1491" s="1" t="s">
        <v>199</v>
      </c>
      <c r="E1491" s="1" t="s">
        <v>566</v>
      </c>
      <c r="H1491" s="1" t="s">
        <v>22</v>
      </c>
      <c r="I1491" s="1" t="s">
        <v>23</v>
      </c>
      <c r="L1491" s="1">
        <v>1</v>
      </c>
      <c r="M1491" s="1">
        <v>0.3</v>
      </c>
    </row>
    <row r="1492" spans="4:13">
      <c r="D1492" s="1" t="s">
        <v>199</v>
      </c>
      <c r="E1492" s="1" t="s">
        <v>567</v>
      </c>
      <c r="H1492" s="1" t="s">
        <v>22</v>
      </c>
      <c r="I1492" s="1" t="s">
        <v>23</v>
      </c>
      <c r="L1492" s="1">
        <v>1</v>
      </c>
      <c r="M1492" s="1">
        <v>0.5</v>
      </c>
    </row>
    <row r="1493" spans="4:13">
      <c r="D1493" s="1" t="s">
        <v>199</v>
      </c>
      <c r="E1493" s="1" t="s">
        <v>568</v>
      </c>
      <c r="H1493" s="1" t="s">
        <v>22</v>
      </c>
      <c r="I1493" s="1" t="s">
        <v>23</v>
      </c>
      <c r="L1493" s="1">
        <v>1</v>
      </c>
      <c r="M1493" s="1">
        <v>0.7</v>
      </c>
    </row>
    <row r="1494" spans="4:13">
      <c r="D1494" s="1" t="s">
        <v>199</v>
      </c>
      <c r="E1494" s="1" t="s">
        <v>569</v>
      </c>
      <c r="H1494" s="1" t="s">
        <v>22</v>
      </c>
      <c r="I1494" s="1" t="s">
        <v>23</v>
      </c>
      <c r="L1494" s="1">
        <v>1</v>
      </c>
      <c r="M1494" s="1">
        <v>0.9</v>
      </c>
    </row>
    <row r="1495" spans="4:13">
      <c r="D1495" s="1" t="s">
        <v>199</v>
      </c>
      <c r="E1495" s="1" t="s">
        <v>570</v>
      </c>
      <c r="H1495" s="1" t="s">
        <v>22</v>
      </c>
      <c r="I1495" s="1" t="s">
        <v>23</v>
      </c>
      <c r="L1495" s="1">
        <v>1</v>
      </c>
      <c r="M1495" s="1">
        <v>1.1000000000000001</v>
      </c>
    </row>
    <row r="1496" spans="4:13">
      <c r="D1496" s="1" t="s">
        <v>199</v>
      </c>
      <c r="E1496" s="1" t="s">
        <v>571</v>
      </c>
      <c r="H1496" s="1" t="s">
        <v>22</v>
      </c>
      <c r="I1496" s="1" t="s">
        <v>23</v>
      </c>
      <c r="L1496" s="1">
        <v>1</v>
      </c>
      <c r="M1496" s="1">
        <v>1.3</v>
      </c>
    </row>
    <row r="1497" spans="4:13">
      <c r="D1497" s="1" t="s">
        <v>199</v>
      </c>
      <c r="E1497" s="1" t="s">
        <v>572</v>
      </c>
      <c r="H1497" s="1" t="s">
        <v>22</v>
      </c>
      <c r="I1497" s="1" t="s">
        <v>23</v>
      </c>
      <c r="L1497" s="1">
        <v>1</v>
      </c>
      <c r="M1497" s="1">
        <v>1.5</v>
      </c>
    </row>
    <row r="1498" spans="4:13">
      <c r="D1498" s="1" t="s">
        <v>199</v>
      </c>
      <c r="E1498" s="1" t="s">
        <v>573</v>
      </c>
      <c r="H1498" s="1" t="s">
        <v>22</v>
      </c>
      <c r="I1498" s="1" t="s">
        <v>23</v>
      </c>
      <c r="L1498" s="1">
        <v>1</v>
      </c>
      <c r="M1498" s="1">
        <v>1.7</v>
      </c>
    </row>
    <row r="1499" spans="4:13">
      <c r="D1499" s="1" t="s">
        <v>199</v>
      </c>
      <c r="E1499" s="1" t="s">
        <v>574</v>
      </c>
      <c r="H1499" s="1" t="s">
        <v>22</v>
      </c>
      <c r="I1499" s="1" t="s">
        <v>23</v>
      </c>
      <c r="L1499" s="1">
        <v>1</v>
      </c>
      <c r="M1499" s="1">
        <v>0</v>
      </c>
    </row>
    <row r="1500" spans="4:13">
      <c r="D1500" s="1" t="s">
        <v>199</v>
      </c>
      <c r="E1500" s="1" t="s">
        <v>575</v>
      </c>
      <c r="H1500" s="1" t="s">
        <v>22</v>
      </c>
      <c r="I1500" s="1" t="s">
        <v>23</v>
      </c>
      <c r="L1500" s="1">
        <v>1</v>
      </c>
      <c r="M1500" s="1">
        <v>0.2</v>
      </c>
    </row>
    <row r="1501" spans="4:13">
      <c r="D1501" s="1" t="s">
        <v>199</v>
      </c>
      <c r="E1501" s="1" t="s">
        <v>576</v>
      </c>
      <c r="H1501" s="1" t="s">
        <v>22</v>
      </c>
      <c r="I1501" s="1" t="s">
        <v>23</v>
      </c>
      <c r="L1501" s="1">
        <v>1</v>
      </c>
      <c r="M1501" s="1">
        <v>0.4</v>
      </c>
    </row>
    <row r="1502" spans="4:13">
      <c r="D1502" s="1" t="s">
        <v>199</v>
      </c>
      <c r="E1502" s="1" t="s">
        <v>577</v>
      </c>
      <c r="H1502" s="1" t="s">
        <v>22</v>
      </c>
      <c r="I1502" s="1" t="s">
        <v>23</v>
      </c>
      <c r="L1502" s="1">
        <v>1</v>
      </c>
      <c r="M1502" s="1">
        <v>0.6</v>
      </c>
    </row>
    <row r="1503" spans="4:13">
      <c r="D1503" s="1" t="s">
        <v>199</v>
      </c>
      <c r="E1503" s="1" t="s">
        <v>578</v>
      </c>
      <c r="H1503" s="1" t="s">
        <v>22</v>
      </c>
      <c r="I1503" s="1" t="s">
        <v>23</v>
      </c>
      <c r="L1503" s="1">
        <v>1</v>
      </c>
      <c r="M1503" s="1">
        <v>0.8</v>
      </c>
    </row>
    <row r="1504" spans="4:13">
      <c r="D1504" s="1" t="s">
        <v>199</v>
      </c>
      <c r="E1504" s="1" t="s">
        <v>579</v>
      </c>
      <c r="H1504" s="1" t="s">
        <v>22</v>
      </c>
      <c r="I1504" s="1" t="s">
        <v>23</v>
      </c>
      <c r="L1504" s="1">
        <v>1</v>
      </c>
      <c r="M1504" s="1">
        <v>1</v>
      </c>
    </row>
    <row r="1505" spans="4:13">
      <c r="D1505" s="1" t="s">
        <v>199</v>
      </c>
      <c r="E1505" s="1" t="s">
        <v>580</v>
      </c>
      <c r="H1505" s="1" t="s">
        <v>22</v>
      </c>
      <c r="I1505" s="1" t="s">
        <v>23</v>
      </c>
      <c r="L1505" s="1">
        <v>1</v>
      </c>
      <c r="M1505" s="1">
        <v>1.2</v>
      </c>
    </row>
    <row r="1506" spans="4:13">
      <c r="D1506" s="1" t="s">
        <v>199</v>
      </c>
      <c r="E1506" s="1" t="s">
        <v>581</v>
      </c>
      <c r="H1506" s="1" t="s">
        <v>22</v>
      </c>
      <c r="I1506" s="1" t="s">
        <v>23</v>
      </c>
      <c r="L1506" s="1">
        <v>1</v>
      </c>
      <c r="M1506" s="1">
        <v>1.4</v>
      </c>
    </row>
    <row r="1507" spans="4:13">
      <c r="D1507" s="1" t="s">
        <v>199</v>
      </c>
      <c r="E1507" s="1" t="s">
        <v>582</v>
      </c>
      <c r="H1507" s="1" t="s">
        <v>22</v>
      </c>
      <c r="I1507" s="1" t="s">
        <v>23</v>
      </c>
      <c r="L1507" s="1">
        <v>1</v>
      </c>
      <c r="M1507" s="1">
        <v>1.6</v>
      </c>
    </row>
    <row r="1508" spans="4:13">
      <c r="D1508" s="1" t="s">
        <v>199</v>
      </c>
      <c r="E1508" s="1" t="s">
        <v>583</v>
      </c>
      <c r="H1508" s="1" t="s">
        <v>22</v>
      </c>
      <c r="I1508" s="1" t="s">
        <v>23</v>
      </c>
      <c r="L1508" s="1">
        <v>1</v>
      </c>
      <c r="M1508" s="1">
        <v>0.3</v>
      </c>
    </row>
    <row r="1509" spans="4:13">
      <c r="D1509" s="1" t="s">
        <v>199</v>
      </c>
      <c r="E1509" s="1" t="s">
        <v>584</v>
      </c>
      <c r="H1509" s="1" t="s">
        <v>22</v>
      </c>
      <c r="I1509" s="1" t="s">
        <v>23</v>
      </c>
      <c r="L1509" s="1">
        <v>1</v>
      </c>
      <c r="M1509" s="1">
        <v>0.9</v>
      </c>
    </row>
    <row r="1510" spans="4:13">
      <c r="D1510" s="1" t="s">
        <v>199</v>
      </c>
      <c r="E1510" s="1" t="s">
        <v>585</v>
      </c>
      <c r="H1510" s="1" t="s">
        <v>22</v>
      </c>
      <c r="I1510" s="1" t="s">
        <v>23</v>
      </c>
      <c r="L1510" s="1">
        <v>1</v>
      </c>
      <c r="M1510" s="1">
        <v>0</v>
      </c>
    </row>
    <row r="1511" spans="4:13">
      <c r="D1511" s="1" t="s">
        <v>199</v>
      </c>
      <c r="E1511" s="1" t="s">
        <v>586</v>
      </c>
      <c r="H1511" s="1" t="s">
        <v>22</v>
      </c>
      <c r="I1511" s="1" t="s">
        <v>23</v>
      </c>
      <c r="L1511" s="1">
        <v>1</v>
      </c>
      <c r="M1511" s="1">
        <v>0.4</v>
      </c>
    </row>
    <row r="1512" spans="4:13">
      <c r="D1512" s="1" t="s">
        <v>199</v>
      </c>
      <c r="E1512" s="1" t="s">
        <v>587</v>
      </c>
      <c r="H1512" s="1" t="s">
        <v>22</v>
      </c>
      <c r="I1512" s="1" t="s">
        <v>23</v>
      </c>
      <c r="L1512" s="1">
        <v>1</v>
      </c>
      <c r="M1512" s="1">
        <v>0.6</v>
      </c>
    </row>
    <row r="1513" spans="4:13">
      <c r="D1513" s="1" t="s">
        <v>199</v>
      </c>
      <c r="E1513" s="1" t="s">
        <v>588</v>
      </c>
      <c r="H1513" s="1" t="s">
        <v>22</v>
      </c>
      <c r="I1513" s="1" t="s">
        <v>23</v>
      </c>
      <c r="L1513" s="1">
        <v>1</v>
      </c>
      <c r="M1513" s="1">
        <v>1.2</v>
      </c>
    </row>
    <row r="1514" spans="4:13">
      <c r="D1514" s="1" t="s">
        <v>199</v>
      </c>
      <c r="E1514" s="1" t="s">
        <v>589</v>
      </c>
      <c r="H1514" s="1" t="s">
        <v>22</v>
      </c>
      <c r="I1514" s="1" t="s">
        <v>23</v>
      </c>
      <c r="L1514" s="1">
        <v>1</v>
      </c>
      <c r="M1514" s="1">
        <v>1.6</v>
      </c>
    </row>
    <row r="1515" spans="4:13">
      <c r="D1515" s="1" t="s">
        <v>199</v>
      </c>
      <c r="E1515" s="1" t="s">
        <v>590</v>
      </c>
      <c r="H1515" s="1" t="s">
        <v>22</v>
      </c>
      <c r="I1515" s="1" t="s">
        <v>23</v>
      </c>
      <c r="L1515" s="1">
        <v>1</v>
      </c>
      <c r="M1515" s="1">
        <v>0.1</v>
      </c>
    </row>
    <row r="1516" spans="4:13">
      <c r="D1516" s="1" t="s">
        <v>199</v>
      </c>
      <c r="E1516" s="1" t="s">
        <v>591</v>
      </c>
      <c r="H1516" s="1" t="s">
        <v>22</v>
      </c>
      <c r="I1516" s="1" t="s">
        <v>23</v>
      </c>
      <c r="L1516" s="1">
        <v>1</v>
      </c>
      <c r="M1516" s="1">
        <v>0.9</v>
      </c>
    </row>
    <row r="1517" spans="4:13">
      <c r="D1517" s="1" t="s">
        <v>199</v>
      </c>
      <c r="E1517" s="1" t="s">
        <v>592</v>
      </c>
      <c r="H1517" s="1" t="s">
        <v>22</v>
      </c>
      <c r="I1517" s="1" t="s">
        <v>23</v>
      </c>
      <c r="L1517" s="1">
        <v>1</v>
      </c>
      <c r="M1517" s="1">
        <v>1.5</v>
      </c>
    </row>
    <row r="1518" spans="4:13">
      <c r="D1518" s="1" t="s">
        <v>199</v>
      </c>
      <c r="E1518" s="1" t="s">
        <v>593</v>
      </c>
      <c r="H1518" s="1" t="s">
        <v>22</v>
      </c>
      <c r="I1518" s="1" t="s">
        <v>23</v>
      </c>
      <c r="L1518" s="1">
        <v>1</v>
      </c>
      <c r="M1518" s="1">
        <v>1.7</v>
      </c>
    </row>
    <row r="1519" spans="4:13">
      <c r="D1519" s="1" t="s">
        <v>199</v>
      </c>
      <c r="E1519" s="1" t="s">
        <v>594</v>
      </c>
      <c r="H1519" s="1" t="s">
        <v>22</v>
      </c>
      <c r="I1519" s="1" t="s">
        <v>23</v>
      </c>
      <c r="L1519" s="1">
        <v>1</v>
      </c>
      <c r="M1519" s="1">
        <v>0</v>
      </c>
    </row>
    <row r="1520" spans="4:13">
      <c r="D1520" s="1" t="s">
        <v>199</v>
      </c>
      <c r="E1520" s="1" t="s">
        <v>595</v>
      </c>
      <c r="H1520" s="1" t="s">
        <v>22</v>
      </c>
      <c r="I1520" s="1" t="s">
        <v>23</v>
      </c>
      <c r="L1520" s="1">
        <v>1</v>
      </c>
      <c r="M1520" s="1">
        <v>1</v>
      </c>
    </row>
    <row r="1521" spans="4:13">
      <c r="D1521" s="1" t="s">
        <v>199</v>
      </c>
      <c r="E1521" s="1" t="s">
        <v>596</v>
      </c>
      <c r="H1521" s="1" t="s">
        <v>22</v>
      </c>
      <c r="I1521" s="1" t="s">
        <v>23</v>
      </c>
      <c r="L1521" s="1">
        <v>1</v>
      </c>
      <c r="M1521" s="1">
        <v>0.1</v>
      </c>
    </row>
    <row r="1522" spans="4:13">
      <c r="D1522" s="1" t="s">
        <v>199</v>
      </c>
      <c r="E1522" s="1" t="s">
        <v>597</v>
      </c>
      <c r="H1522" s="1" t="s">
        <v>22</v>
      </c>
      <c r="I1522" s="1" t="s">
        <v>23</v>
      </c>
      <c r="L1522" s="1">
        <v>1</v>
      </c>
      <c r="M1522" s="1">
        <v>0.3</v>
      </c>
    </row>
    <row r="1523" spans="4:13">
      <c r="D1523" s="1" t="s">
        <v>199</v>
      </c>
      <c r="E1523" s="1" t="s">
        <v>598</v>
      </c>
      <c r="H1523" s="1" t="s">
        <v>22</v>
      </c>
      <c r="I1523" s="1" t="s">
        <v>23</v>
      </c>
      <c r="L1523" s="1">
        <v>1</v>
      </c>
      <c r="M1523" s="1">
        <v>0.5</v>
      </c>
    </row>
    <row r="1524" spans="4:13">
      <c r="D1524" s="1" t="s">
        <v>199</v>
      </c>
      <c r="E1524" s="1" t="s">
        <v>599</v>
      </c>
      <c r="H1524" s="1" t="s">
        <v>22</v>
      </c>
      <c r="I1524" s="1" t="s">
        <v>23</v>
      </c>
      <c r="L1524" s="1">
        <v>1</v>
      </c>
      <c r="M1524" s="1">
        <v>0.7</v>
      </c>
    </row>
    <row r="1525" spans="4:13">
      <c r="D1525" s="1" t="s">
        <v>199</v>
      </c>
      <c r="E1525" s="1" t="s">
        <v>600</v>
      </c>
      <c r="H1525" s="1" t="s">
        <v>22</v>
      </c>
      <c r="I1525" s="1" t="s">
        <v>23</v>
      </c>
      <c r="L1525" s="1">
        <v>1</v>
      </c>
      <c r="M1525" s="1">
        <v>1.3</v>
      </c>
    </row>
    <row r="1526" spans="4:13">
      <c r="D1526" s="1" t="s">
        <v>199</v>
      </c>
      <c r="E1526" s="1" t="s">
        <v>601</v>
      </c>
      <c r="H1526" s="1" t="s">
        <v>22</v>
      </c>
      <c r="I1526" s="1" t="s">
        <v>23</v>
      </c>
      <c r="L1526" s="1">
        <v>1</v>
      </c>
      <c r="M1526" s="1">
        <v>1.7</v>
      </c>
    </row>
    <row r="1527" spans="4:13">
      <c r="D1527" s="1" t="s">
        <v>199</v>
      </c>
      <c r="E1527" s="1" t="s">
        <v>602</v>
      </c>
      <c r="H1527" s="1" t="s">
        <v>22</v>
      </c>
      <c r="I1527" s="1" t="s">
        <v>23</v>
      </c>
      <c r="L1527" s="1">
        <v>1</v>
      </c>
      <c r="M1527" s="1">
        <v>0</v>
      </c>
    </row>
    <row r="1528" spans="4:13">
      <c r="D1528" s="1" t="s">
        <v>199</v>
      </c>
      <c r="E1528" s="1" t="s">
        <v>603</v>
      </c>
      <c r="H1528" s="1" t="s">
        <v>22</v>
      </c>
      <c r="I1528" s="1" t="s">
        <v>23</v>
      </c>
      <c r="L1528" s="1">
        <v>1</v>
      </c>
      <c r="M1528" s="1">
        <v>0.4</v>
      </c>
    </row>
    <row r="1529" spans="4:13">
      <c r="D1529" s="1" t="s">
        <v>199</v>
      </c>
      <c r="E1529" s="1" t="s">
        <v>604</v>
      </c>
      <c r="H1529" s="1" t="s">
        <v>22</v>
      </c>
      <c r="I1529" s="1" t="s">
        <v>23</v>
      </c>
      <c r="L1529" s="1">
        <v>1</v>
      </c>
      <c r="M1529" s="1">
        <v>1</v>
      </c>
    </row>
    <row r="1530" spans="4:13">
      <c r="D1530" s="1" t="s">
        <v>199</v>
      </c>
      <c r="E1530" s="1" t="s">
        <v>605</v>
      </c>
      <c r="H1530" s="1" t="s">
        <v>22</v>
      </c>
      <c r="I1530" s="1" t="s">
        <v>23</v>
      </c>
      <c r="L1530" s="1">
        <v>1</v>
      </c>
      <c r="M1530" s="1">
        <v>1.6</v>
      </c>
    </row>
    <row r="1531" spans="4:13">
      <c r="D1531" s="1" t="s">
        <v>199</v>
      </c>
      <c r="E1531" s="1" t="s">
        <v>606</v>
      </c>
      <c r="H1531" s="1" t="s">
        <v>22</v>
      </c>
      <c r="I1531" s="1" t="s">
        <v>23</v>
      </c>
      <c r="L1531" s="1">
        <v>1</v>
      </c>
      <c r="M1531" s="1">
        <v>0.5</v>
      </c>
    </row>
    <row r="1532" spans="4:13">
      <c r="D1532" s="1" t="s">
        <v>199</v>
      </c>
      <c r="E1532" s="1" t="s">
        <v>607</v>
      </c>
      <c r="H1532" s="1" t="s">
        <v>22</v>
      </c>
      <c r="I1532" s="1" t="s">
        <v>23</v>
      </c>
      <c r="L1532" s="1">
        <v>1</v>
      </c>
      <c r="M1532" s="1">
        <v>0.7</v>
      </c>
    </row>
    <row r="1533" spans="4:13">
      <c r="D1533" s="1" t="s">
        <v>199</v>
      </c>
      <c r="E1533" s="1" t="s">
        <v>608</v>
      </c>
      <c r="H1533" s="1" t="s">
        <v>22</v>
      </c>
      <c r="I1533" s="1" t="s">
        <v>23</v>
      </c>
      <c r="L1533" s="1">
        <v>1</v>
      </c>
      <c r="M1533" s="1">
        <v>0.9</v>
      </c>
    </row>
    <row r="1534" spans="4:13">
      <c r="D1534" s="1" t="s">
        <v>199</v>
      </c>
      <c r="E1534" s="1" t="s">
        <v>609</v>
      </c>
      <c r="H1534" s="1" t="s">
        <v>22</v>
      </c>
      <c r="I1534" s="1" t="s">
        <v>23</v>
      </c>
      <c r="L1534" s="1">
        <v>1</v>
      </c>
      <c r="M1534" s="1">
        <v>1.1000000000000001</v>
      </c>
    </row>
    <row r="1535" spans="4:13">
      <c r="D1535" s="1" t="s">
        <v>199</v>
      </c>
      <c r="E1535" s="1" t="s">
        <v>610</v>
      </c>
      <c r="H1535" s="1" t="s">
        <v>22</v>
      </c>
      <c r="I1535" s="1" t="s">
        <v>23</v>
      </c>
      <c r="L1535" s="1">
        <v>1</v>
      </c>
      <c r="M1535" s="1">
        <v>1.3</v>
      </c>
    </row>
    <row r="1536" spans="4:13">
      <c r="D1536" s="1" t="s">
        <v>199</v>
      </c>
      <c r="E1536" s="1" t="s">
        <v>611</v>
      </c>
      <c r="H1536" s="1" t="s">
        <v>22</v>
      </c>
      <c r="I1536" s="1" t="s">
        <v>23</v>
      </c>
      <c r="L1536" s="1">
        <v>1</v>
      </c>
      <c r="M1536" s="1">
        <v>1.5</v>
      </c>
    </row>
    <row r="1537" spans="4:13">
      <c r="D1537" s="1" t="s">
        <v>199</v>
      </c>
      <c r="E1537" s="1" t="s">
        <v>612</v>
      </c>
      <c r="H1537" s="1" t="s">
        <v>22</v>
      </c>
      <c r="I1537" s="1" t="s">
        <v>23</v>
      </c>
      <c r="L1537" s="1">
        <v>1</v>
      </c>
      <c r="M1537" s="1">
        <v>1.7</v>
      </c>
    </row>
    <row r="1538" spans="4:13">
      <c r="D1538" s="1" t="s">
        <v>199</v>
      </c>
      <c r="E1538" s="1" t="s">
        <v>613</v>
      </c>
      <c r="H1538" s="1" t="s">
        <v>22</v>
      </c>
      <c r="I1538" s="1" t="s">
        <v>23</v>
      </c>
      <c r="L1538" s="1">
        <v>1</v>
      </c>
      <c r="M1538" s="1">
        <v>0.2</v>
      </c>
    </row>
    <row r="1539" spans="4:13">
      <c r="D1539" s="1" t="s">
        <v>199</v>
      </c>
      <c r="E1539" s="1" t="s">
        <v>614</v>
      </c>
      <c r="H1539" s="1" t="s">
        <v>22</v>
      </c>
      <c r="I1539" s="1" t="s">
        <v>23</v>
      </c>
      <c r="L1539" s="1">
        <v>1</v>
      </c>
      <c r="M1539" s="1">
        <v>0.4</v>
      </c>
    </row>
    <row r="1540" spans="4:13">
      <c r="D1540" s="1" t="s">
        <v>199</v>
      </c>
      <c r="E1540" s="1" t="s">
        <v>615</v>
      </c>
      <c r="H1540" s="1" t="s">
        <v>22</v>
      </c>
      <c r="I1540" s="1" t="s">
        <v>23</v>
      </c>
      <c r="L1540" s="1">
        <v>1</v>
      </c>
      <c r="M1540" s="1">
        <v>0.8</v>
      </c>
    </row>
    <row r="1541" spans="4:13">
      <c r="D1541" s="1" t="s">
        <v>199</v>
      </c>
      <c r="E1541" s="1" t="s">
        <v>616</v>
      </c>
      <c r="H1541" s="1" t="s">
        <v>22</v>
      </c>
      <c r="I1541" s="1" t="s">
        <v>23</v>
      </c>
      <c r="L1541" s="1">
        <v>1</v>
      </c>
      <c r="M1541" s="1">
        <v>1.1000000000000001</v>
      </c>
    </row>
    <row r="1542" spans="4:13">
      <c r="D1542" s="1" t="s">
        <v>199</v>
      </c>
      <c r="E1542" s="1" t="s">
        <v>617</v>
      </c>
      <c r="H1542" s="1" t="s">
        <v>22</v>
      </c>
      <c r="I1542" s="1" t="s">
        <v>23</v>
      </c>
      <c r="L1542" s="1">
        <v>1</v>
      </c>
      <c r="M1542" s="1">
        <v>1.3</v>
      </c>
    </row>
    <row r="1543" spans="4:13">
      <c r="D1543" s="1" t="s">
        <v>199</v>
      </c>
      <c r="E1543" s="1" t="s">
        <v>618</v>
      </c>
      <c r="H1543" s="1" t="s">
        <v>22</v>
      </c>
      <c r="I1543" s="1" t="s">
        <v>23</v>
      </c>
      <c r="L1543" s="1">
        <v>1</v>
      </c>
      <c r="M1543" s="1">
        <v>0</v>
      </c>
    </row>
    <row r="1544" spans="4:13">
      <c r="D1544" s="1" t="s">
        <v>199</v>
      </c>
      <c r="E1544" s="1" t="s">
        <v>619</v>
      </c>
      <c r="H1544" s="1" t="s">
        <v>22</v>
      </c>
      <c r="I1544" s="1" t="s">
        <v>23</v>
      </c>
      <c r="L1544" s="1">
        <v>1</v>
      </c>
      <c r="M1544" s="1">
        <v>0.6</v>
      </c>
    </row>
    <row r="1545" spans="4:13">
      <c r="D1545" s="1" t="s">
        <v>199</v>
      </c>
      <c r="E1545" s="1" t="s">
        <v>620</v>
      </c>
      <c r="H1545" s="1" t="s">
        <v>22</v>
      </c>
      <c r="I1545" s="1" t="s">
        <v>23</v>
      </c>
      <c r="L1545" s="1">
        <v>1</v>
      </c>
      <c r="M1545" s="1">
        <v>1.4</v>
      </c>
    </row>
    <row r="1546" spans="4:13">
      <c r="D1546" s="1" t="s">
        <v>199</v>
      </c>
      <c r="E1546" s="1" t="s">
        <v>621</v>
      </c>
      <c r="H1546" s="1" t="s">
        <v>22</v>
      </c>
      <c r="I1546" s="1" t="s">
        <v>23</v>
      </c>
      <c r="L1546" s="1">
        <v>1</v>
      </c>
      <c r="M1546" s="1">
        <v>1.6</v>
      </c>
    </row>
    <row r="1547" spans="4:13">
      <c r="D1547" s="1" t="s">
        <v>199</v>
      </c>
      <c r="E1547" s="1" t="s">
        <v>622</v>
      </c>
      <c r="H1547" s="1" t="s">
        <v>22</v>
      </c>
      <c r="I1547" s="1" t="s">
        <v>23</v>
      </c>
      <c r="L1547" s="1">
        <v>1</v>
      </c>
      <c r="M1547" s="1">
        <v>0.1</v>
      </c>
    </row>
    <row r="1548" spans="4:13">
      <c r="D1548" s="1" t="s">
        <v>199</v>
      </c>
      <c r="E1548" s="1" t="s">
        <v>623</v>
      </c>
      <c r="H1548" s="1" t="s">
        <v>22</v>
      </c>
      <c r="I1548" s="1" t="s">
        <v>23</v>
      </c>
      <c r="L1548" s="1">
        <v>1</v>
      </c>
      <c r="M1548" s="1">
        <v>0.3</v>
      </c>
    </row>
    <row r="1549" spans="4:13">
      <c r="D1549" s="1" t="s">
        <v>199</v>
      </c>
      <c r="E1549" s="1" t="s">
        <v>624</v>
      </c>
      <c r="H1549" s="1" t="s">
        <v>22</v>
      </c>
      <c r="I1549" s="1" t="s">
        <v>23</v>
      </c>
      <c r="L1549" s="1">
        <v>1</v>
      </c>
      <c r="M1549" s="1">
        <v>0.5</v>
      </c>
    </row>
    <row r="1550" spans="4:13">
      <c r="D1550" s="1" t="s">
        <v>199</v>
      </c>
      <c r="E1550" s="1" t="s">
        <v>625</v>
      </c>
      <c r="H1550" s="1" t="s">
        <v>22</v>
      </c>
      <c r="I1550" s="1" t="s">
        <v>23</v>
      </c>
      <c r="L1550" s="1">
        <v>1</v>
      </c>
      <c r="M1550" s="1">
        <v>0.9</v>
      </c>
    </row>
    <row r="1551" spans="4:13">
      <c r="D1551" s="1" t="s">
        <v>199</v>
      </c>
      <c r="E1551" s="1" t="s">
        <v>626</v>
      </c>
      <c r="H1551" s="1" t="s">
        <v>22</v>
      </c>
      <c r="I1551" s="1" t="s">
        <v>23</v>
      </c>
      <c r="L1551" s="1">
        <v>1</v>
      </c>
      <c r="M1551" s="1">
        <v>1.1000000000000001</v>
      </c>
    </row>
    <row r="1552" spans="4:13">
      <c r="D1552" s="1" t="s">
        <v>199</v>
      </c>
      <c r="E1552" s="1" t="s">
        <v>627</v>
      </c>
      <c r="H1552" s="1" t="s">
        <v>22</v>
      </c>
      <c r="I1552" s="1" t="s">
        <v>23</v>
      </c>
      <c r="L1552" s="1">
        <v>1</v>
      </c>
      <c r="M1552" s="1">
        <v>1.7</v>
      </c>
    </row>
    <row r="1553" spans="4:13">
      <c r="D1553" s="1" t="s">
        <v>199</v>
      </c>
      <c r="E1553" s="1" t="s">
        <v>628</v>
      </c>
      <c r="H1553" s="1" t="s">
        <v>22</v>
      </c>
      <c r="I1553" s="1" t="s">
        <v>23</v>
      </c>
      <c r="L1553" s="1">
        <v>1</v>
      </c>
      <c r="M1553" s="1">
        <v>0</v>
      </c>
    </row>
    <row r="1554" spans="4:13">
      <c r="D1554" s="1" t="s">
        <v>199</v>
      </c>
      <c r="E1554" s="1" t="s">
        <v>629</v>
      </c>
      <c r="H1554" s="1" t="s">
        <v>22</v>
      </c>
      <c r="I1554" s="1" t="s">
        <v>23</v>
      </c>
      <c r="L1554" s="1">
        <v>1</v>
      </c>
      <c r="M1554" s="1">
        <v>0.6</v>
      </c>
    </row>
    <row r="1555" spans="4:13">
      <c r="D1555" s="1" t="s">
        <v>199</v>
      </c>
      <c r="E1555" s="1" t="s">
        <v>630</v>
      </c>
      <c r="H1555" s="1" t="s">
        <v>22</v>
      </c>
      <c r="I1555" s="1" t="s">
        <v>23</v>
      </c>
      <c r="L1555" s="1">
        <v>1</v>
      </c>
      <c r="M1555" s="1">
        <v>1</v>
      </c>
    </row>
    <row r="1556" spans="4:13">
      <c r="D1556" s="1" t="s">
        <v>199</v>
      </c>
      <c r="E1556" s="1" t="s">
        <v>631</v>
      </c>
      <c r="H1556" s="1" t="s">
        <v>22</v>
      </c>
      <c r="I1556" s="1" t="s">
        <v>23</v>
      </c>
      <c r="L1556" s="1">
        <v>1</v>
      </c>
      <c r="M1556" s="1">
        <v>1.4</v>
      </c>
    </row>
    <row r="1557" spans="4:13">
      <c r="D1557" s="1" t="s">
        <v>199</v>
      </c>
      <c r="E1557" s="1" t="s">
        <v>632</v>
      </c>
      <c r="H1557" s="1" t="s">
        <v>22</v>
      </c>
      <c r="I1557" s="1" t="s">
        <v>23</v>
      </c>
      <c r="L1557" s="1">
        <v>1</v>
      </c>
      <c r="M1557" s="1">
        <v>1.6</v>
      </c>
    </row>
    <row r="1558" spans="4:13">
      <c r="D1558" s="1" t="s">
        <v>199</v>
      </c>
      <c r="E1558" s="1" t="s">
        <v>633</v>
      </c>
      <c r="H1558" s="1" t="s">
        <v>22</v>
      </c>
      <c r="I1558" s="1" t="s">
        <v>23</v>
      </c>
      <c r="L1558" s="1">
        <v>1</v>
      </c>
      <c r="M1558" s="1">
        <v>0.3</v>
      </c>
    </row>
    <row r="1559" spans="4:13">
      <c r="D1559" s="1" t="s">
        <v>199</v>
      </c>
      <c r="E1559" s="1" t="s">
        <v>634</v>
      </c>
      <c r="H1559" s="1" t="s">
        <v>22</v>
      </c>
      <c r="I1559" s="1" t="s">
        <v>23</v>
      </c>
      <c r="L1559" s="1">
        <v>1</v>
      </c>
      <c r="M1559" s="1">
        <v>1.7</v>
      </c>
    </row>
    <row r="1560" spans="4:13">
      <c r="D1560" s="1" t="s">
        <v>199</v>
      </c>
      <c r="E1560" s="1" t="s">
        <v>635</v>
      </c>
      <c r="H1560" s="1" t="s">
        <v>22</v>
      </c>
      <c r="I1560" s="1" t="s">
        <v>23</v>
      </c>
      <c r="L1560" s="1">
        <v>1</v>
      </c>
      <c r="M1560" s="1">
        <v>0</v>
      </c>
    </row>
    <row r="1561" spans="4:13">
      <c r="D1561" s="1" t="s">
        <v>199</v>
      </c>
      <c r="E1561" s="1" t="s">
        <v>636</v>
      </c>
      <c r="H1561" s="1" t="s">
        <v>22</v>
      </c>
      <c r="I1561" s="1" t="s">
        <v>23</v>
      </c>
      <c r="L1561" s="1">
        <v>1</v>
      </c>
      <c r="M1561" s="1">
        <v>0.6</v>
      </c>
    </row>
    <row r="1562" spans="4:13">
      <c r="D1562" s="1" t="s">
        <v>199</v>
      </c>
      <c r="E1562" s="1" t="s">
        <v>637</v>
      </c>
      <c r="H1562" s="1" t="s">
        <v>22</v>
      </c>
      <c r="I1562" s="1" t="s">
        <v>23</v>
      </c>
      <c r="L1562" s="1">
        <v>1</v>
      </c>
      <c r="M1562" s="1">
        <v>0.8</v>
      </c>
    </row>
    <row r="1563" spans="4:13">
      <c r="D1563" s="1" t="s">
        <v>199</v>
      </c>
      <c r="E1563" s="1" t="s">
        <v>638</v>
      </c>
      <c r="H1563" s="1" t="s">
        <v>22</v>
      </c>
      <c r="I1563" s="1" t="s">
        <v>23</v>
      </c>
      <c r="L1563" s="1">
        <v>1</v>
      </c>
      <c r="M1563" s="1">
        <v>1</v>
      </c>
    </row>
    <row r="1564" spans="4:13">
      <c r="D1564" s="1" t="s">
        <v>199</v>
      </c>
      <c r="E1564" s="1" t="s">
        <v>639</v>
      </c>
      <c r="H1564" s="1" t="s">
        <v>22</v>
      </c>
      <c r="I1564" s="1" t="s">
        <v>23</v>
      </c>
      <c r="L1564" s="1">
        <v>1</v>
      </c>
      <c r="M1564" s="1">
        <v>1.2</v>
      </c>
    </row>
    <row r="1565" spans="4:13">
      <c r="D1565" s="1" t="s">
        <v>199</v>
      </c>
      <c r="E1565" s="1" t="s">
        <v>640</v>
      </c>
      <c r="H1565" s="1" t="s">
        <v>22</v>
      </c>
      <c r="I1565" s="1" t="s">
        <v>23</v>
      </c>
      <c r="L1565" s="1">
        <v>1</v>
      </c>
      <c r="M1565" s="1">
        <v>1.4</v>
      </c>
    </row>
    <row r="1566" spans="4:13">
      <c r="D1566" s="1" t="s">
        <v>199</v>
      </c>
      <c r="E1566" s="1" t="s">
        <v>641</v>
      </c>
      <c r="H1566" s="1" t="s">
        <v>22</v>
      </c>
      <c r="I1566" s="1" t="s">
        <v>23</v>
      </c>
      <c r="L1566" s="1">
        <v>1</v>
      </c>
      <c r="M1566" s="1">
        <v>1.6</v>
      </c>
    </row>
    <row r="1567" spans="4:13">
      <c r="D1567" s="1" t="s">
        <v>199</v>
      </c>
      <c r="E1567" s="1" t="s">
        <v>642</v>
      </c>
      <c r="H1567" s="1" t="s">
        <v>22</v>
      </c>
      <c r="I1567" s="1" t="s">
        <v>23</v>
      </c>
      <c r="L1567" s="1">
        <v>1</v>
      </c>
      <c r="M1567" s="1">
        <v>0.1</v>
      </c>
    </row>
    <row r="1568" spans="4:13">
      <c r="D1568" s="1" t="s">
        <v>199</v>
      </c>
      <c r="E1568" s="1" t="s">
        <v>643</v>
      </c>
      <c r="H1568" s="1" t="s">
        <v>22</v>
      </c>
      <c r="I1568" s="1" t="s">
        <v>23</v>
      </c>
      <c r="L1568" s="1">
        <v>1</v>
      </c>
      <c r="M1568" s="1">
        <v>0.3</v>
      </c>
    </row>
    <row r="1569" spans="4:13">
      <c r="D1569" s="1" t="s">
        <v>199</v>
      </c>
      <c r="E1569" s="1" t="s">
        <v>644</v>
      </c>
      <c r="H1569" s="1" t="s">
        <v>22</v>
      </c>
      <c r="I1569" s="1" t="s">
        <v>23</v>
      </c>
      <c r="L1569" s="1">
        <v>1</v>
      </c>
      <c r="M1569" s="1">
        <v>0.5</v>
      </c>
    </row>
    <row r="1570" spans="4:13">
      <c r="D1570" s="1" t="s">
        <v>199</v>
      </c>
      <c r="E1570" s="1" t="s">
        <v>645</v>
      </c>
      <c r="H1570" s="1" t="s">
        <v>22</v>
      </c>
      <c r="I1570" s="1" t="s">
        <v>23</v>
      </c>
      <c r="L1570" s="1">
        <v>1</v>
      </c>
      <c r="M1570" s="1">
        <v>0.9</v>
      </c>
    </row>
    <row r="1571" spans="4:13">
      <c r="D1571" s="1" t="s">
        <v>199</v>
      </c>
      <c r="E1571" s="1" t="s">
        <v>646</v>
      </c>
      <c r="H1571" s="1" t="s">
        <v>22</v>
      </c>
      <c r="I1571" s="1" t="s">
        <v>23</v>
      </c>
      <c r="L1571" s="1">
        <v>1</v>
      </c>
      <c r="M1571" s="1">
        <v>1.1000000000000001</v>
      </c>
    </row>
    <row r="1572" spans="4:13">
      <c r="D1572" s="1" t="s">
        <v>199</v>
      </c>
      <c r="E1572" s="1" t="s">
        <v>647</v>
      </c>
      <c r="H1572" s="1" t="s">
        <v>22</v>
      </c>
      <c r="I1572" s="1" t="s">
        <v>23</v>
      </c>
      <c r="L1572" s="1">
        <v>1</v>
      </c>
      <c r="M1572" s="1">
        <v>1.5</v>
      </c>
    </row>
    <row r="1573" spans="4:13">
      <c r="D1573" s="1" t="s">
        <v>199</v>
      </c>
      <c r="E1573" s="1" t="s">
        <v>648</v>
      </c>
      <c r="H1573" s="1" t="s">
        <v>22</v>
      </c>
      <c r="I1573" s="1" t="s">
        <v>23</v>
      </c>
      <c r="L1573" s="1">
        <v>1</v>
      </c>
      <c r="M1573" s="1">
        <v>1.7</v>
      </c>
    </row>
    <row r="1574" spans="4:13">
      <c r="D1574" s="1" t="s">
        <v>199</v>
      </c>
      <c r="E1574" s="1" t="s">
        <v>649</v>
      </c>
      <c r="H1574" s="1" t="s">
        <v>22</v>
      </c>
      <c r="I1574" s="1" t="s">
        <v>29</v>
      </c>
      <c r="J1574" s="1">
        <v>0</v>
      </c>
      <c r="K1574" s="1">
        <v>2</v>
      </c>
      <c r="L1574" s="1">
        <v>1</v>
      </c>
    </row>
    <row r="1575" spans="4:13">
      <c r="D1575" s="1" t="s">
        <v>199</v>
      </c>
      <c r="E1575" s="1" t="s">
        <v>650</v>
      </c>
      <c r="H1575" s="1" t="s">
        <v>22</v>
      </c>
      <c r="I1575" s="1" t="s">
        <v>29</v>
      </c>
      <c r="J1575" s="1">
        <v>0</v>
      </c>
      <c r="K1575" s="1">
        <v>10</v>
      </c>
      <c r="L1575" s="1">
        <v>1</v>
      </c>
    </row>
    <row r="1576" spans="4:13">
      <c r="D1576" s="1" t="s">
        <v>199</v>
      </c>
      <c r="E1576" s="1" t="s">
        <v>651</v>
      </c>
      <c r="H1576" s="1" t="s">
        <v>22</v>
      </c>
      <c r="I1576" s="1" t="s">
        <v>29</v>
      </c>
      <c r="J1576" s="1">
        <v>0</v>
      </c>
      <c r="K1576" s="1">
        <v>10</v>
      </c>
      <c r="L1576" s="1">
        <v>1</v>
      </c>
    </row>
    <row r="1577" spans="4:13">
      <c r="D1577" s="1" t="s">
        <v>199</v>
      </c>
      <c r="E1577" s="1" t="s">
        <v>652</v>
      </c>
      <c r="H1577" s="1" t="s">
        <v>22</v>
      </c>
      <c r="I1577" s="1" t="s">
        <v>23</v>
      </c>
      <c r="L1577" s="1">
        <v>1</v>
      </c>
      <c r="M1577" s="1">
        <v>0</v>
      </c>
    </row>
    <row r="1578" spans="4:13">
      <c r="D1578" s="1" t="s">
        <v>199</v>
      </c>
      <c r="E1578" s="1" t="s">
        <v>653</v>
      </c>
      <c r="H1578" s="1" t="s">
        <v>22</v>
      </c>
      <c r="I1578" s="1" t="s">
        <v>23</v>
      </c>
      <c r="L1578" s="1">
        <v>1</v>
      </c>
      <c r="M1578" s="1">
        <v>0</v>
      </c>
    </row>
    <row r="1579" spans="4:13">
      <c r="D1579" s="1" t="s">
        <v>199</v>
      </c>
      <c r="E1579" s="1" t="s">
        <v>654</v>
      </c>
      <c r="H1579" s="1" t="s">
        <v>22</v>
      </c>
      <c r="I1579" s="1" t="s">
        <v>23</v>
      </c>
      <c r="L1579" s="1">
        <v>1</v>
      </c>
      <c r="M1579" s="1">
        <v>0</v>
      </c>
    </row>
    <row r="1580" spans="4:13">
      <c r="D1580" s="1" t="s">
        <v>199</v>
      </c>
      <c r="E1580" s="1" t="s">
        <v>655</v>
      </c>
      <c r="H1580" s="1" t="s">
        <v>22</v>
      </c>
      <c r="I1580" s="1" t="s">
        <v>23</v>
      </c>
      <c r="L1580" s="1">
        <v>1</v>
      </c>
      <c r="M1580" s="1">
        <v>0</v>
      </c>
    </row>
    <row r="1581" spans="4:13">
      <c r="D1581" s="1" t="s">
        <v>199</v>
      </c>
      <c r="E1581" s="1" t="s">
        <v>656</v>
      </c>
      <c r="H1581" s="1" t="s">
        <v>22</v>
      </c>
      <c r="I1581" s="1" t="s">
        <v>23</v>
      </c>
      <c r="L1581" s="1">
        <v>1</v>
      </c>
      <c r="M1581" s="1">
        <v>0</v>
      </c>
    </row>
    <row r="1582" spans="4:13">
      <c r="D1582" s="1" t="s">
        <v>199</v>
      </c>
      <c r="E1582" s="1" t="s">
        <v>657</v>
      </c>
      <c r="H1582" s="1" t="s">
        <v>22</v>
      </c>
      <c r="I1582" s="1" t="s">
        <v>23</v>
      </c>
      <c r="L1582" s="1">
        <v>1</v>
      </c>
      <c r="M1582" s="1">
        <v>0</v>
      </c>
    </row>
    <row r="1583" spans="4:13">
      <c r="D1583" s="1" t="s">
        <v>199</v>
      </c>
      <c r="E1583" s="1" t="s">
        <v>658</v>
      </c>
      <c r="H1583" s="1" t="s">
        <v>22</v>
      </c>
      <c r="I1583" s="1" t="s">
        <v>23</v>
      </c>
      <c r="L1583" s="1">
        <v>1</v>
      </c>
      <c r="M1583" s="1">
        <v>0</v>
      </c>
    </row>
    <row r="1584" spans="4:13">
      <c r="D1584" s="1" t="s">
        <v>199</v>
      </c>
      <c r="E1584" s="1" t="s">
        <v>659</v>
      </c>
      <c r="H1584" s="1" t="s">
        <v>22</v>
      </c>
      <c r="I1584" s="1" t="s">
        <v>23</v>
      </c>
      <c r="L1584" s="1">
        <v>1</v>
      </c>
      <c r="M1584" s="1">
        <v>0</v>
      </c>
    </row>
    <row r="1585" spans="4:13">
      <c r="D1585" s="1" t="s">
        <v>199</v>
      </c>
      <c r="E1585" s="1" t="s">
        <v>660</v>
      </c>
      <c r="H1585" s="1" t="s">
        <v>22</v>
      </c>
      <c r="I1585" s="1" t="s">
        <v>23</v>
      </c>
      <c r="L1585" s="1">
        <v>1</v>
      </c>
      <c r="M1585" s="1">
        <v>0</v>
      </c>
    </row>
    <row r="1586" spans="4:13">
      <c r="D1586" s="1" t="s">
        <v>199</v>
      </c>
      <c r="E1586" s="1" t="s">
        <v>661</v>
      </c>
      <c r="H1586" s="1" t="s">
        <v>22</v>
      </c>
      <c r="I1586" s="1" t="s">
        <v>23</v>
      </c>
      <c r="L1586" s="1">
        <v>1</v>
      </c>
      <c r="M1586" s="1">
        <v>0.1</v>
      </c>
    </row>
    <row r="1587" spans="4:13">
      <c r="D1587" s="1" t="s">
        <v>199</v>
      </c>
      <c r="E1587" s="1" t="s">
        <v>662</v>
      </c>
      <c r="H1587" s="1" t="s">
        <v>22</v>
      </c>
      <c r="I1587" s="1" t="s">
        <v>23</v>
      </c>
      <c r="L1587" s="1">
        <v>1</v>
      </c>
      <c r="M1587" s="1">
        <v>0.1</v>
      </c>
    </row>
    <row r="1588" spans="4:13">
      <c r="D1588" s="1" t="s">
        <v>199</v>
      </c>
      <c r="E1588" s="1" t="s">
        <v>663</v>
      </c>
      <c r="H1588" s="1" t="s">
        <v>22</v>
      </c>
      <c r="I1588" s="1" t="s">
        <v>23</v>
      </c>
      <c r="L1588" s="1">
        <v>1</v>
      </c>
      <c r="M1588" s="1">
        <v>0.1</v>
      </c>
    </row>
    <row r="1589" spans="4:13">
      <c r="D1589" s="1" t="s">
        <v>199</v>
      </c>
      <c r="E1589" s="1" t="s">
        <v>664</v>
      </c>
      <c r="H1589" s="1" t="s">
        <v>22</v>
      </c>
      <c r="I1589" s="1" t="s">
        <v>23</v>
      </c>
      <c r="L1589" s="1">
        <v>1</v>
      </c>
      <c r="M1589" s="1">
        <v>0.1</v>
      </c>
    </row>
    <row r="1590" spans="4:13">
      <c r="D1590" s="1" t="s">
        <v>199</v>
      </c>
      <c r="E1590" s="1" t="s">
        <v>665</v>
      </c>
      <c r="H1590" s="1" t="s">
        <v>22</v>
      </c>
      <c r="I1590" s="1" t="s">
        <v>23</v>
      </c>
      <c r="L1590" s="1">
        <v>1</v>
      </c>
      <c r="M1590" s="1">
        <v>0.1</v>
      </c>
    </row>
    <row r="1591" spans="4:13">
      <c r="D1591" s="1" t="s">
        <v>199</v>
      </c>
      <c r="E1591" s="1" t="s">
        <v>666</v>
      </c>
      <c r="H1591" s="1" t="s">
        <v>22</v>
      </c>
      <c r="I1591" s="1" t="s">
        <v>23</v>
      </c>
      <c r="L1591" s="1">
        <v>1</v>
      </c>
      <c r="M1591" s="1">
        <v>0.1</v>
      </c>
    </row>
    <row r="1592" spans="4:13">
      <c r="D1592" s="1" t="s">
        <v>199</v>
      </c>
      <c r="E1592" s="1" t="s">
        <v>667</v>
      </c>
      <c r="H1592" s="1" t="s">
        <v>22</v>
      </c>
      <c r="I1592" s="1" t="s">
        <v>23</v>
      </c>
      <c r="L1592" s="1">
        <v>1</v>
      </c>
      <c r="M1592" s="1">
        <v>0.1</v>
      </c>
    </row>
    <row r="1593" spans="4:13">
      <c r="D1593" s="1" t="s">
        <v>199</v>
      </c>
      <c r="E1593" s="1" t="s">
        <v>668</v>
      </c>
      <c r="H1593" s="1" t="s">
        <v>22</v>
      </c>
      <c r="I1593" s="1" t="s">
        <v>23</v>
      </c>
      <c r="L1593" s="1">
        <v>1</v>
      </c>
      <c r="M1593" s="1">
        <v>0.1</v>
      </c>
    </row>
    <row r="1594" spans="4:13">
      <c r="D1594" s="1" t="s">
        <v>199</v>
      </c>
      <c r="E1594" s="1" t="s">
        <v>669</v>
      </c>
      <c r="H1594" s="1" t="s">
        <v>22</v>
      </c>
      <c r="I1594" s="1" t="s">
        <v>23</v>
      </c>
      <c r="L1594" s="1">
        <v>1</v>
      </c>
      <c r="M1594" s="1">
        <v>0.1</v>
      </c>
    </row>
    <row r="1595" spans="4:13">
      <c r="D1595" s="1" t="s">
        <v>199</v>
      </c>
      <c r="E1595" s="1" t="s">
        <v>670</v>
      </c>
      <c r="H1595" s="1" t="s">
        <v>22</v>
      </c>
      <c r="I1595" s="1" t="s">
        <v>23</v>
      </c>
      <c r="L1595" s="1">
        <v>1</v>
      </c>
      <c r="M1595" s="1">
        <v>0.2</v>
      </c>
    </row>
    <row r="1596" spans="4:13">
      <c r="D1596" s="1" t="s">
        <v>199</v>
      </c>
      <c r="E1596" s="1" t="s">
        <v>671</v>
      </c>
      <c r="H1596" s="1" t="s">
        <v>22</v>
      </c>
      <c r="I1596" s="1" t="s">
        <v>23</v>
      </c>
      <c r="L1596" s="1">
        <v>1</v>
      </c>
      <c r="M1596" s="1">
        <v>0.2</v>
      </c>
    </row>
    <row r="1597" spans="4:13">
      <c r="D1597" s="1" t="s">
        <v>199</v>
      </c>
      <c r="E1597" s="1" t="s">
        <v>672</v>
      </c>
      <c r="H1597" s="1" t="s">
        <v>22</v>
      </c>
      <c r="I1597" s="1" t="s">
        <v>23</v>
      </c>
      <c r="L1597" s="1">
        <v>1</v>
      </c>
      <c r="M1597" s="1">
        <v>0.2</v>
      </c>
    </row>
    <row r="1598" spans="4:13">
      <c r="D1598" s="1" t="s">
        <v>199</v>
      </c>
      <c r="E1598" s="1" t="s">
        <v>673</v>
      </c>
      <c r="H1598" s="1" t="s">
        <v>22</v>
      </c>
      <c r="I1598" s="1" t="s">
        <v>23</v>
      </c>
      <c r="L1598" s="1">
        <v>1</v>
      </c>
      <c r="M1598" s="1">
        <v>0.2</v>
      </c>
    </row>
    <row r="1599" spans="4:13">
      <c r="D1599" s="1" t="s">
        <v>199</v>
      </c>
      <c r="E1599" s="1" t="s">
        <v>674</v>
      </c>
      <c r="H1599" s="1" t="s">
        <v>22</v>
      </c>
      <c r="I1599" s="1" t="s">
        <v>23</v>
      </c>
      <c r="L1599" s="1">
        <v>1</v>
      </c>
      <c r="M1599" s="1">
        <v>0.2</v>
      </c>
    </row>
    <row r="1600" spans="4:13">
      <c r="D1600" s="1" t="s">
        <v>199</v>
      </c>
      <c r="E1600" s="1" t="s">
        <v>675</v>
      </c>
      <c r="H1600" s="1" t="s">
        <v>22</v>
      </c>
      <c r="I1600" s="1" t="s">
        <v>23</v>
      </c>
      <c r="L1600" s="1">
        <v>1</v>
      </c>
      <c r="M1600" s="1">
        <v>0.2</v>
      </c>
    </row>
    <row r="1601" spans="4:13">
      <c r="D1601" s="1" t="s">
        <v>199</v>
      </c>
      <c r="E1601" s="1" t="s">
        <v>676</v>
      </c>
      <c r="H1601" s="1" t="s">
        <v>22</v>
      </c>
      <c r="I1601" s="1" t="s">
        <v>23</v>
      </c>
      <c r="L1601" s="1">
        <v>1</v>
      </c>
      <c r="M1601" s="1">
        <v>0.2</v>
      </c>
    </row>
    <row r="1602" spans="4:13">
      <c r="D1602" s="1" t="s">
        <v>199</v>
      </c>
      <c r="E1602" s="1" t="s">
        <v>677</v>
      </c>
      <c r="H1602" s="1" t="s">
        <v>22</v>
      </c>
      <c r="I1602" s="1" t="s">
        <v>23</v>
      </c>
      <c r="L1602" s="1">
        <v>1</v>
      </c>
      <c r="M1602" s="1">
        <v>0.2</v>
      </c>
    </row>
    <row r="1603" spans="4:13">
      <c r="D1603" s="1" t="s">
        <v>199</v>
      </c>
      <c r="E1603" s="1" t="s">
        <v>678</v>
      </c>
      <c r="H1603" s="1" t="s">
        <v>22</v>
      </c>
      <c r="I1603" s="1" t="s">
        <v>23</v>
      </c>
      <c r="L1603" s="1">
        <v>1</v>
      </c>
      <c r="M1603" s="1">
        <v>0.2</v>
      </c>
    </row>
    <row r="1604" spans="4:13">
      <c r="D1604" s="1" t="s">
        <v>199</v>
      </c>
      <c r="E1604" s="1" t="s">
        <v>679</v>
      </c>
      <c r="H1604" s="1" t="s">
        <v>22</v>
      </c>
      <c r="I1604" s="1" t="s">
        <v>23</v>
      </c>
      <c r="L1604" s="1">
        <v>1</v>
      </c>
      <c r="M1604" s="1">
        <v>0.3</v>
      </c>
    </row>
    <row r="1605" spans="4:13">
      <c r="D1605" s="1" t="s">
        <v>199</v>
      </c>
      <c r="E1605" s="1" t="s">
        <v>680</v>
      </c>
      <c r="H1605" s="1" t="s">
        <v>22</v>
      </c>
      <c r="I1605" s="1" t="s">
        <v>23</v>
      </c>
      <c r="L1605" s="1">
        <v>1</v>
      </c>
      <c r="M1605" s="1">
        <v>0.3</v>
      </c>
    </row>
    <row r="1606" spans="4:13">
      <c r="D1606" s="1" t="s">
        <v>199</v>
      </c>
      <c r="E1606" s="1" t="s">
        <v>681</v>
      </c>
      <c r="H1606" s="1" t="s">
        <v>22</v>
      </c>
      <c r="I1606" s="1" t="s">
        <v>23</v>
      </c>
      <c r="L1606" s="1">
        <v>1</v>
      </c>
      <c r="M1606" s="1">
        <v>0.3</v>
      </c>
    </row>
    <row r="1607" spans="4:13">
      <c r="D1607" s="1" t="s">
        <v>199</v>
      </c>
      <c r="E1607" s="1" t="s">
        <v>682</v>
      </c>
      <c r="H1607" s="1" t="s">
        <v>22</v>
      </c>
      <c r="I1607" s="1" t="s">
        <v>23</v>
      </c>
      <c r="L1607" s="1">
        <v>1</v>
      </c>
      <c r="M1607" s="1">
        <v>0.3</v>
      </c>
    </row>
    <row r="1608" spans="4:13">
      <c r="D1608" s="1" t="s">
        <v>199</v>
      </c>
      <c r="E1608" s="1" t="s">
        <v>683</v>
      </c>
      <c r="H1608" s="1" t="s">
        <v>22</v>
      </c>
      <c r="I1608" s="1" t="s">
        <v>23</v>
      </c>
      <c r="L1608" s="1">
        <v>1</v>
      </c>
      <c r="M1608" s="1">
        <v>0.3</v>
      </c>
    </row>
    <row r="1609" spans="4:13">
      <c r="D1609" s="1" t="s">
        <v>199</v>
      </c>
      <c r="E1609" s="1" t="s">
        <v>684</v>
      </c>
      <c r="H1609" s="1" t="s">
        <v>22</v>
      </c>
      <c r="I1609" s="1" t="s">
        <v>23</v>
      </c>
      <c r="L1609" s="1">
        <v>1</v>
      </c>
      <c r="M1609" s="1">
        <v>0.3</v>
      </c>
    </row>
    <row r="1610" spans="4:13">
      <c r="D1610" s="1" t="s">
        <v>199</v>
      </c>
      <c r="E1610" s="1" t="s">
        <v>685</v>
      </c>
      <c r="H1610" s="1" t="s">
        <v>22</v>
      </c>
      <c r="I1610" s="1" t="s">
        <v>23</v>
      </c>
      <c r="L1610" s="1">
        <v>1</v>
      </c>
      <c r="M1610" s="1">
        <v>0.3</v>
      </c>
    </row>
    <row r="1611" spans="4:13">
      <c r="D1611" s="1" t="s">
        <v>199</v>
      </c>
      <c r="E1611" s="1" t="s">
        <v>686</v>
      </c>
      <c r="H1611" s="1" t="s">
        <v>22</v>
      </c>
      <c r="I1611" s="1" t="s">
        <v>23</v>
      </c>
      <c r="L1611" s="1">
        <v>1</v>
      </c>
      <c r="M1611" s="1">
        <v>0.3</v>
      </c>
    </row>
    <row r="1612" spans="4:13">
      <c r="D1612" s="1" t="s">
        <v>199</v>
      </c>
      <c r="E1612" s="1" t="s">
        <v>687</v>
      </c>
      <c r="H1612" s="1" t="s">
        <v>22</v>
      </c>
      <c r="I1612" s="1" t="s">
        <v>23</v>
      </c>
      <c r="L1612" s="1">
        <v>1</v>
      </c>
      <c r="M1612" s="1">
        <v>0.3</v>
      </c>
    </row>
    <row r="1613" spans="4:13">
      <c r="D1613" s="1" t="s">
        <v>199</v>
      </c>
      <c r="E1613" s="1" t="s">
        <v>688</v>
      </c>
      <c r="H1613" s="1" t="s">
        <v>22</v>
      </c>
      <c r="I1613" s="1" t="s">
        <v>23</v>
      </c>
      <c r="L1613" s="1">
        <v>1</v>
      </c>
      <c r="M1613" s="1">
        <v>0.4</v>
      </c>
    </row>
    <row r="1614" spans="4:13">
      <c r="D1614" s="1" t="s">
        <v>199</v>
      </c>
      <c r="E1614" s="1" t="s">
        <v>689</v>
      </c>
      <c r="H1614" s="1" t="s">
        <v>22</v>
      </c>
      <c r="I1614" s="1" t="s">
        <v>23</v>
      </c>
      <c r="L1614" s="1">
        <v>1</v>
      </c>
      <c r="M1614" s="1">
        <v>0.4</v>
      </c>
    </row>
    <row r="1615" spans="4:13">
      <c r="D1615" s="1" t="s">
        <v>199</v>
      </c>
      <c r="E1615" s="1" t="s">
        <v>690</v>
      </c>
      <c r="H1615" s="1" t="s">
        <v>22</v>
      </c>
      <c r="I1615" s="1" t="s">
        <v>23</v>
      </c>
      <c r="L1615" s="1">
        <v>1</v>
      </c>
      <c r="M1615" s="1">
        <v>0.4</v>
      </c>
    </row>
    <row r="1616" spans="4:13">
      <c r="D1616" s="1" t="s">
        <v>199</v>
      </c>
      <c r="E1616" s="1" t="s">
        <v>691</v>
      </c>
      <c r="H1616" s="1" t="s">
        <v>22</v>
      </c>
      <c r="I1616" s="1" t="s">
        <v>23</v>
      </c>
      <c r="L1616" s="1">
        <v>1</v>
      </c>
      <c r="M1616" s="1">
        <v>0.4</v>
      </c>
    </row>
    <row r="1617" spans="4:13">
      <c r="D1617" s="1" t="s">
        <v>199</v>
      </c>
      <c r="E1617" s="1" t="s">
        <v>692</v>
      </c>
      <c r="H1617" s="1" t="s">
        <v>22</v>
      </c>
      <c r="I1617" s="1" t="s">
        <v>23</v>
      </c>
      <c r="L1617" s="1">
        <v>1</v>
      </c>
      <c r="M1617" s="1">
        <v>0.4</v>
      </c>
    </row>
    <row r="1618" spans="4:13">
      <c r="D1618" s="1" t="s">
        <v>199</v>
      </c>
      <c r="E1618" s="1" t="s">
        <v>693</v>
      </c>
      <c r="H1618" s="1" t="s">
        <v>22</v>
      </c>
      <c r="I1618" s="1" t="s">
        <v>23</v>
      </c>
      <c r="L1618" s="1">
        <v>1</v>
      </c>
      <c r="M1618" s="1">
        <v>0.4</v>
      </c>
    </row>
    <row r="1619" spans="4:13">
      <c r="D1619" s="1" t="s">
        <v>199</v>
      </c>
      <c r="E1619" s="1" t="s">
        <v>694</v>
      </c>
      <c r="H1619" s="1" t="s">
        <v>22</v>
      </c>
      <c r="I1619" s="1" t="s">
        <v>23</v>
      </c>
      <c r="L1619" s="1">
        <v>1</v>
      </c>
      <c r="M1619" s="1">
        <v>0.4</v>
      </c>
    </row>
    <row r="1620" spans="4:13">
      <c r="D1620" s="1" t="s">
        <v>199</v>
      </c>
      <c r="E1620" s="1" t="s">
        <v>695</v>
      </c>
      <c r="H1620" s="1" t="s">
        <v>22</v>
      </c>
      <c r="I1620" s="1" t="s">
        <v>23</v>
      </c>
      <c r="L1620" s="1">
        <v>1</v>
      </c>
      <c r="M1620" s="1">
        <v>0.4</v>
      </c>
    </row>
    <row r="1621" spans="4:13">
      <c r="D1621" s="1" t="s">
        <v>199</v>
      </c>
      <c r="E1621" s="1" t="s">
        <v>696</v>
      </c>
      <c r="H1621" s="1" t="s">
        <v>22</v>
      </c>
      <c r="I1621" s="1" t="s">
        <v>23</v>
      </c>
      <c r="L1621" s="1">
        <v>1</v>
      </c>
      <c r="M1621" s="1">
        <v>0.4</v>
      </c>
    </row>
    <row r="1622" spans="4:13">
      <c r="D1622" s="1" t="s">
        <v>199</v>
      </c>
      <c r="E1622" s="1" t="s">
        <v>697</v>
      </c>
      <c r="H1622" s="1" t="s">
        <v>22</v>
      </c>
      <c r="I1622" s="1" t="s">
        <v>23</v>
      </c>
      <c r="L1622" s="1">
        <v>1</v>
      </c>
      <c r="M1622" s="1">
        <v>0.5</v>
      </c>
    </row>
    <row r="1623" spans="4:13">
      <c r="D1623" s="1" t="s">
        <v>199</v>
      </c>
      <c r="E1623" s="1" t="s">
        <v>698</v>
      </c>
      <c r="H1623" s="1" t="s">
        <v>22</v>
      </c>
      <c r="I1623" s="1" t="s">
        <v>23</v>
      </c>
      <c r="L1623" s="1">
        <v>1</v>
      </c>
      <c r="M1623" s="1">
        <v>0.5</v>
      </c>
    </row>
    <row r="1624" spans="4:13">
      <c r="D1624" s="1" t="s">
        <v>199</v>
      </c>
      <c r="E1624" s="1" t="s">
        <v>699</v>
      </c>
      <c r="H1624" s="1" t="s">
        <v>22</v>
      </c>
      <c r="I1624" s="1" t="s">
        <v>23</v>
      </c>
      <c r="L1624" s="1">
        <v>1</v>
      </c>
      <c r="M1624" s="1">
        <v>0.5</v>
      </c>
    </row>
    <row r="1625" spans="4:13">
      <c r="D1625" s="1" t="s">
        <v>199</v>
      </c>
      <c r="E1625" s="1" t="s">
        <v>700</v>
      </c>
      <c r="H1625" s="1" t="s">
        <v>22</v>
      </c>
      <c r="I1625" s="1" t="s">
        <v>23</v>
      </c>
      <c r="L1625" s="1">
        <v>1</v>
      </c>
      <c r="M1625" s="1">
        <v>0.5</v>
      </c>
    </row>
    <row r="1626" spans="4:13">
      <c r="D1626" s="1" t="s">
        <v>199</v>
      </c>
      <c r="E1626" s="1" t="s">
        <v>701</v>
      </c>
      <c r="H1626" s="1" t="s">
        <v>22</v>
      </c>
      <c r="I1626" s="1" t="s">
        <v>23</v>
      </c>
      <c r="L1626" s="1">
        <v>1</v>
      </c>
      <c r="M1626" s="1">
        <v>0.5</v>
      </c>
    </row>
    <row r="1627" spans="4:13">
      <c r="D1627" s="1" t="s">
        <v>199</v>
      </c>
      <c r="E1627" s="1" t="s">
        <v>702</v>
      </c>
      <c r="H1627" s="1" t="s">
        <v>22</v>
      </c>
      <c r="I1627" s="1" t="s">
        <v>23</v>
      </c>
      <c r="L1627" s="1">
        <v>1</v>
      </c>
      <c r="M1627" s="1">
        <v>0.5</v>
      </c>
    </row>
    <row r="1628" spans="4:13">
      <c r="D1628" s="1" t="s">
        <v>199</v>
      </c>
      <c r="E1628" s="1" t="s">
        <v>703</v>
      </c>
      <c r="H1628" s="1" t="s">
        <v>22</v>
      </c>
      <c r="I1628" s="1" t="s">
        <v>23</v>
      </c>
      <c r="L1628" s="1">
        <v>1</v>
      </c>
      <c r="M1628" s="1">
        <v>0.5</v>
      </c>
    </row>
    <row r="1629" spans="4:13">
      <c r="D1629" s="1" t="s">
        <v>199</v>
      </c>
      <c r="E1629" s="1" t="s">
        <v>704</v>
      </c>
      <c r="H1629" s="1" t="s">
        <v>22</v>
      </c>
      <c r="I1629" s="1" t="s">
        <v>23</v>
      </c>
      <c r="L1629" s="1">
        <v>1</v>
      </c>
      <c r="M1629" s="1">
        <v>0.5</v>
      </c>
    </row>
    <row r="1630" spans="4:13">
      <c r="D1630" s="1" t="s">
        <v>199</v>
      </c>
      <c r="E1630" s="1" t="s">
        <v>705</v>
      </c>
      <c r="H1630" s="1" t="s">
        <v>22</v>
      </c>
      <c r="I1630" s="1" t="s">
        <v>23</v>
      </c>
      <c r="L1630" s="1">
        <v>1</v>
      </c>
      <c r="M1630" s="1">
        <v>0.5</v>
      </c>
    </row>
    <row r="1631" spans="4:13">
      <c r="D1631" s="1" t="s">
        <v>199</v>
      </c>
      <c r="E1631" s="1" t="s">
        <v>706</v>
      </c>
      <c r="H1631" s="1" t="s">
        <v>22</v>
      </c>
      <c r="I1631" s="1" t="s">
        <v>23</v>
      </c>
      <c r="L1631" s="1">
        <v>1</v>
      </c>
      <c r="M1631" s="1">
        <v>0.6</v>
      </c>
    </row>
    <row r="1632" spans="4:13">
      <c r="D1632" s="1" t="s">
        <v>199</v>
      </c>
      <c r="E1632" s="1" t="s">
        <v>707</v>
      </c>
      <c r="H1632" s="1" t="s">
        <v>22</v>
      </c>
      <c r="I1632" s="1" t="s">
        <v>23</v>
      </c>
      <c r="L1632" s="1">
        <v>1</v>
      </c>
      <c r="M1632" s="1">
        <v>0.6</v>
      </c>
    </row>
    <row r="1633" spans="4:13">
      <c r="D1633" s="1" t="s">
        <v>199</v>
      </c>
      <c r="E1633" s="1" t="s">
        <v>708</v>
      </c>
      <c r="H1633" s="1" t="s">
        <v>22</v>
      </c>
      <c r="I1633" s="1" t="s">
        <v>23</v>
      </c>
      <c r="L1633" s="1">
        <v>1</v>
      </c>
      <c r="M1633" s="1">
        <v>0.6</v>
      </c>
    </row>
    <row r="1634" spans="4:13">
      <c r="D1634" s="1" t="s">
        <v>199</v>
      </c>
      <c r="E1634" s="1" t="s">
        <v>709</v>
      </c>
      <c r="H1634" s="1" t="s">
        <v>22</v>
      </c>
      <c r="I1634" s="1" t="s">
        <v>23</v>
      </c>
      <c r="L1634" s="1">
        <v>1</v>
      </c>
      <c r="M1634" s="1">
        <v>0.6</v>
      </c>
    </row>
    <row r="1635" spans="4:13">
      <c r="D1635" s="1" t="s">
        <v>199</v>
      </c>
      <c r="E1635" s="1" t="s">
        <v>710</v>
      </c>
      <c r="H1635" s="1" t="s">
        <v>22</v>
      </c>
      <c r="I1635" s="1" t="s">
        <v>23</v>
      </c>
      <c r="L1635" s="1">
        <v>1</v>
      </c>
      <c r="M1635" s="1">
        <v>0.6</v>
      </c>
    </row>
    <row r="1636" spans="4:13">
      <c r="D1636" s="1" t="s">
        <v>199</v>
      </c>
      <c r="E1636" s="1" t="s">
        <v>711</v>
      </c>
      <c r="H1636" s="1" t="s">
        <v>22</v>
      </c>
      <c r="I1636" s="1" t="s">
        <v>23</v>
      </c>
      <c r="L1636" s="1">
        <v>1</v>
      </c>
      <c r="M1636" s="1">
        <v>0.6</v>
      </c>
    </row>
    <row r="1637" spans="4:13">
      <c r="D1637" s="1" t="s">
        <v>199</v>
      </c>
      <c r="E1637" s="1" t="s">
        <v>712</v>
      </c>
      <c r="H1637" s="1" t="s">
        <v>22</v>
      </c>
      <c r="I1637" s="1" t="s">
        <v>23</v>
      </c>
      <c r="L1637" s="1">
        <v>1</v>
      </c>
      <c r="M1637" s="1">
        <v>0.6</v>
      </c>
    </row>
    <row r="1638" spans="4:13">
      <c r="D1638" s="1" t="s">
        <v>199</v>
      </c>
      <c r="E1638" s="1" t="s">
        <v>713</v>
      </c>
      <c r="H1638" s="1" t="s">
        <v>22</v>
      </c>
      <c r="I1638" s="1" t="s">
        <v>23</v>
      </c>
      <c r="L1638" s="1">
        <v>1</v>
      </c>
      <c r="M1638" s="1">
        <v>0.6</v>
      </c>
    </row>
    <row r="1639" spans="4:13">
      <c r="D1639" s="1" t="s">
        <v>199</v>
      </c>
      <c r="E1639" s="1" t="s">
        <v>714</v>
      </c>
      <c r="H1639" s="1" t="s">
        <v>22</v>
      </c>
      <c r="I1639" s="1" t="s">
        <v>23</v>
      </c>
      <c r="L1639" s="1">
        <v>1</v>
      </c>
      <c r="M1639" s="1">
        <v>0.6</v>
      </c>
    </row>
    <row r="1640" spans="4:13">
      <c r="D1640" s="1" t="s">
        <v>199</v>
      </c>
      <c r="E1640" s="1" t="s">
        <v>715</v>
      </c>
      <c r="H1640" s="1" t="s">
        <v>22</v>
      </c>
      <c r="I1640" s="1" t="s">
        <v>23</v>
      </c>
      <c r="L1640" s="1">
        <v>1</v>
      </c>
      <c r="M1640" s="1">
        <v>0.7</v>
      </c>
    </row>
    <row r="1641" spans="4:13">
      <c r="D1641" s="1" t="s">
        <v>199</v>
      </c>
      <c r="E1641" s="1" t="s">
        <v>716</v>
      </c>
      <c r="H1641" s="1" t="s">
        <v>22</v>
      </c>
      <c r="I1641" s="1" t="s">
        <v>23</v>
      </c>
      <c r="L1641" s="1">
        <v>1</v>
      </c>
      <c r="M1641" s="1">
        <v>0.7</v>
      </c>
    </row>
    <row r="1642" spans="4:13">
      <c r="D1642" s="1" t="s">
        <v>199</v>
      </c>
      <c r="E1642" s="1" t="s">
        <v>717</v>
      </c>
      <c r="H1642" s="1" t="s">
        <v>22</v>
      </c>
      <c r="I1642" s="1" t="s">
        <v>23</v>
      </c>
      <c r="L1642" s="1">
        <v>1</v>
      </c>
      <c r="M1642" s="1">
        <v>0.7</v>
      </c>
    </row>
    <row r="1643" spans="4:13">
      <c r="D1643" s="1" t="s">
        <v>199</v>
      </c>
      <c r="E1643" s="1" t="s">
        <v>718</v>
      </c>
      <c r="H1643" s="1" t="s">
        <v>22</v>
      </c>
      <c r="I1643" s="1" t="s">
        <v>23</v>
      </c>
      <c r="L1643" s="1">
        <v>1</v>
      </c>
      <c r="M1643" s="1">
        <v>0.7</v>
      </c>
    </row>
    <row r="1644" spans="4:13">
      <c r="D1644" s="1" t="s">
        <v>199</v>
      </c>
      <c r="E1644" s="1" t="s">
        <v>719</v>
      </c>
      <c r="H1644" s="1" t="s">
        <v>22</v>
      </c>
      <c r="I1644" s="1" t="s">
        <v>23</v>
      </c>
      <c r="L1644" s="1">
        <v>1</v>
      </c>
      <c r="M1644" s="1">
        <v>0.7</v>
      </c>
    </row>
    <row r="1645" spans="4:13">
      <c r="D1645" s="1" t="s">
        <v>199</v>
      </c>
      <c r="E1645" s="1" t="s">
        <v>720</v>
      </c>
      <c r="H1645" s="1" t="s">
        <v>22</v>
      </c>
      <c r="I1645" s="1" t="s">
        <v>23</v>
      </c>
      <c r="L1645" s="1">
        <v>1</v>
      </c>
      <c r="M1645" s="1">
        <v>0.7</v>
      </c>
    </row>
    <row r="1646" spans="4:13">
      <c r="D1646" s="1" t="s">
        <v>199</v>
      </c>
      <c r="E1646" s="1" t="s">
        <v>721</v>
      </c>
      <c r="H1646" s="1" t="s">
        <v>22</v>
      </c>
      <c r="I1646" s="1" t="s">
        <v>23</v>
      </c>
      <c r="L1646" s="1">
        <v>1</v>
      </c>
      <c r="M1646" s="1">
        <v>0.7</v>
      </c>
    </row>
    <row r="1647" spans="4:13">
      <c r="D1647" s="1" t="s">
        <v>199</v>
      </c>
      <c r="E1647" s="1" t="s">
        <v>722</v>
      </c>
      <c r="H1647" s="1" t="s">
        <v>22</v>
      </c>
      <c r="I1647" s="1" t="s">
        <v>23</v>
      </c>
      <c r="L1647" s="1">
        <v>1</v>
      </c>
      <c r="M1647" s="1">
        <v>0.7</v>
      </c>
    </row>
    <row r="1648" spans="4:13">
      <c r="D1648" s="1" t="s">
        <v>199</v>
      </c>
      <c r="E1648" s="1" t="s">
        <v>723</v>
      </c>
      <c r="H1648" s="1" t="s">
        <v>22</v>
      </c>
      <c r="I1648" s="1" t="s">
        <v>23</v>
      </c>
      <c r="L1648" s="1">
        <v>1</v>
      </c>
      <c r="M1648" s="1">
        <v>0.7</v>
      </c>
    </row>
    <row r="1649" spans="4:13">
      <c r="D1649" s="1" t="s">
        <v>199</v>
      </c>
      <c r="E1649" s="1" t="s">
        <v>724</v>
      </c>
      <c r="H1649" s="1" t="s">
        <v>22</v>
      </c>
      <c r="I1649" s="1" t="s">
        <v>23</v>
      </c>
      <c r="L1649" s="1">
        <v>1</v>
      </c>
      <c r="M1649" s="1">
        <v>0.8</v>
      </c>
    </row>
    <row r="1650" spans="4:13">
      <c r="D1650" s="1" t="s">
        <v>199</v>
      </c>
      <c r="E1650" s="1" t="s">
        <v>725</v>
      </c>
      <c r="H1650" s="1" t="s">
        <v>22</v>
      </c>
      <c r="I1650" s="1" t="s">
        <v>23</v>
      </c>
      <c r="L1650" s="1">
        <v>1</v>
      </c>
      <c r="M1650" s="1">
        <v>0.8</v>
      </c>
    </row>
    <row r="1651" spans="4:13">
      <c r="D1651" s="1" t="s">
        <v>199</v>
      </c>
      <c r="E1651" s="1" t="s">
        <v>726</v>
      </c>
      <c r="H1651" s="1" t="s">
        <v>22</v>
      </c>
      <c r="I1651" s="1" t="s">
        <v>23</v>
      </c>
      <c r="L1651" s="1">
        <v>1</v>
      </c>
      <c r="M1651" s="1">
        <v>0.8</v>
      </c>
    </row>
    <row r="1652" spans="4:13">
      <c r="D1652" s="1" t="s">
        <v>199</v>
      </c>
      <c r="E1652" s="1" t="s">
        <v>727</v>
      </c>
      <c r="H1652" s="1" t="s">
        <v>22</v>
      </c>
      <c r="I1652" s="1" t="s">
        <v>23</v>
      </c>
      <c r="L1652" s="1">
        <v>1</v>
      </c>
      <c r="M1652" s="1">
        <v>0.8</v>
      </c>
    </row>
    <row r="1653" spans="4:13">
      <c r="D1653" s="1" t="s">
        <v>199</v>
      </c>
      <c r="E1653" s="1" t="s">
        <v>728</v>
      </c>
      <c r="H1653" s="1" t="s">
        <v>22</v>
      </c>
      <c r="I1653" s="1" t="s">
        <v>23</v>
      </c>
      <c r="L1653" s="1">
        <v>1</v>
      </c>
      <c r="M1653" s="1">
        <v>0.8</v>
      </c>
    </row>
    <row r="1654" spans="4:13">
      <c r="D1654" s="1" t="s">
        <v>199</v>
      </c>
      <c r="E1654" s="1" t="s">
        <v>729</v>
      </c>
      <c r="H1654" s="1" t="s">
        <v>22</v>
      </c>
      <c r="I1654" s="1" t="s">
        <v>23</v>
      </c>
      <c r="L1654" s="1">
        <v>1</v>
      </c>
      <c r="M1654" s="1">
        <v>0.8</v>
      </c>
    </row>
    <row r="1655" spans="4:13">
      <c r="D1655" s="1" t="s">
        <v>199</v>
      </c>
      <c r="E1655" s="1" t="s">
        <v>730</v>
      </c>
      <c r="H1655" s="1" t="s">
        <v>22</v>
      </c>
      <c r="I1655" s="1" t="s">
        <v>23</v>
      </c>
      <c r="L1655" s="1">
        <v>1</v>
      </c>
      <c r="M1655" s="1">
        <v>0.8</v>
      </c>
    </row>
    <row r="1656" spans="4:13">
      <c r="D1656" s="1" t="s">
        <v>199</v>
      </c>
      <c r="E1656" s="1" t="s">
        <v>731</v>
      </c>
      <c r="H1656" s="1" t="s">
        <v>22</v>
      </c>
      <c r="I1656" s="1" t="s">
        <v>23</v>
      </c>
      <c r="L1656" s="1">
        <v>1</v>
      </c>
      <c r="M1656" s="1">
        <v>0.8</v>
      </c>
    </row>
    <row r="1657" spans="4:13">
      <c r="D1657" s="1" t="s">
        <v>199</v>
      </c>
      <c r="E1657" s="1" t="s">
        <v>732</v>
      </c>
      <c r="H1657" s="1" t="s">
        <v>22</v>
      </c>
      <c r="I1657" s="1" t="s">
        <v>23</v>
      </c>
      <c r="L1657" s="1">
        <v>1</v>
      </c>
      <c r="M1657" s="1">
        <v>0.8</v>
      </c>
    </row>
    <row r="1658" spans="4:13">
      <c r="D1658" s="1" t="s">
        <v>199</v>
      </c>
      <c r="E1658" s="1" t="s">
        <v>733</v>
      </c>
      <c r="H1658" s="1" t="s">
        <v>22</v>
      </c>
      <c r="I1658" s="1" t="s">
        <v>23</v>
      </c>
      <c r="L1658" s="1">
        <v>1</v>
      </c>
      <c r="M1658" s="1">
        <v>0.9</v>
      </c>
    </row>
    <row r="1659" spans="4:13">
      <c r="D1659" s="1" t="s">
        <v>199</v>
      </c>
      <c r="E1659" s="1" t="s">
        <v>734</v>
      </c>
      <c r="H1659" s="1" t="s">
        <v>22</v>
      </c>
      <c r="I1659" s="1" t="s">
        <v>23</v>
      </c>
      <c r="L1659" s="1">
        <v>1</v>
      </c>
      <c r="M1659" s="1">
        <v>0.9</v>
      </c>
    </row>
    <row r="1660" spans="4:13">
      <c r="D1660" s="1" t="s">
        <v>199</v>
      </c>
      <c r="E1660" s="1" t="s">
        <v>735</v>
      </c>
      <c r="H1660" s="1" t="s">
        <v>22</v>
      </c>
      <c r="I1660" s="1" t="s">
        <v>23</v>
      </c>
      <c r="L1660" s="1">
        <v>1</v>
      </c>
      <c r="M1660" s="1">
        <v>0.9</v>
      </c>
    </row>
    <row r="1661" spans="4:13">
      <c r="D1661" s="1" t="s">
        <v>199</v>
      </c>
      <c r="E1661" s="1" t="s">
        <v>736</v>
      </c>
      <c r="H1661" s="1" t="s">
        <v>22</v>
      </c>
      <c r="I1661" s="1" t="s">
        <v>23</v>
      </c>
      <c r="L1661" s="1">
        <v>1</v>
      </c>
      <c r="M1661" s="1">
        <v>0.9</v>
      </c>
    </row>
    <row r="1662" spans="4:13">
      <c r="D1662" s="1" t="s">
        <v>199</v>
      </c>
      <c r="E1662" s="1" t="s">
        <v>737</v>
      </c>
      <c r="H1662" s="1" t="s">
        <v>22</v>
      </c>
      <c r="I1662" s="1" t="s">
        <v>23</v>
      </c>
      <c r="L1662" s="1">
        <v>1</v>
      </c>
      <c r="M1662" s="1">
        <v>0.9</v>
      </c>
    </row>
    <row r="1663" spans="4:13">
      <c r="D1663" s="1" t="s">
        <v>199</v>
      </c>
      <c r="E1663" s="1" t="s">
        <v>738</v>
      </c>
      <c r="H1663" s="1" t="s">
        <v>22</v>
      </c>
      <c r="I1663" s="1" t="s">
        <v>23</v>
      </c>
      <c r="L1663" s="1">
        <v>1</v>
      </c>
      <c r="M1663" s="1">
        <v>0.9</v>
      </c>
    </row>
    <row r="1664" spans="4:13">
      <c r="D1664" s="1" t="s">
        <v>199</v>
      </c>
      <c r="E1664" s="1" t="s">
        <v>739</v>
      </c>
      <c r="H1664" s="1" t="s">
        <v>22</v>
      </c>
      <c r="I1664" s="1" t="s">
        <v>23</v>
      </c>
      <c r="L1664" s="1">
        <v>1</v>
      </c>
      <c r="M1664" s="1">
        <v>0.9</v>
      </c>
    </row>
    <row r="1665" spans="4:13">
      <c r="D1665" s="1" t="s">
        <v>199</v>
      </c>
      <c r="E1665" s="1" t="s">
        <v>740</v>
      </c>
      <c r="H1665" s="1" t="s">
        <v>22</v>
      </c>
      <c r="I1665" s="1" t="s">
        <v>23</v>
      </c>
      <c r="L1665" s="1">
        <v>1</v>
      </c>
      <c r="M1665" s="1">
        <v>0.9</v>
      </c>
    </row>
    <row r="1666" spans="4:13">
      <c r="D1666" s="1" t="s">
        <v>199</v>
      </c>
      <c r="E1666" s="1" t="s">
        <v>741</v>
      </c>
      <c r="H1666" s="1" t="s">
        <v>22</v>
      </c>
      <c r="I1666" s="1" t="s">
        <v>23</v>
      </c>
      <c r="L1666" s="1">
        <v>1</v>
      </c>
      <c r="M1666" s="1">
        <v>0.9</v>
      </c>
    </row>
    <row r="1667" spans="4:13">
      <c r="D1667" s="1" t="s">
        <v>199</v>
      </c>
      <c r="E1667" s="1" t="s">
        <v>742</v>
      </c>
      <c r="H1667" s="1" t="s">
        <v>22</v>
      </c>
      <c r="I1667" s="1" t="s">
        <v>23</v>
      </c>
      <c r="L1667" s="1">
        <v>1</v>
      </c>
      <c r="M1667" s="1">
        <v>1</v>
      </c>
    </row>
    <row r="1668" spans="4:13">
      <c r="D1668" s="1" t="s">
        <v>199</v>
      </c>
      <c r="E1668" s="1" t="s">
        <v>743</v>
      </c>
      <c r="H1668" s="1" t="s">
        <v>22</v>
      </c>
      <c r="I1668" s="1" t="s">
        <v>23</v>
      </c>
      <c r="L1668" s="1">
        <v>1</v>
      </c>
      <c r="M1668" s="1">
        <v>1</v>
      </c>
    </row>
    <row r="1669" spans="4:13">
      <c r="D1669" s="1" t="s">
        <v>199</v>
      </c>
      <c r="E1669" s="1" t="s">
        <v>744</v>
      </c>
      <c r="H1669" s="1" t="s">
        <v>22</v>
      </c>
      <c r="I1669" s="1" t="s">
        <v>23</v>
      </c>
      <c r="L1669" s="1">
        <v>1</v>
      </c>
      <c r="M1669" s="1">
        <v>1</v>
      </c>
    </row>
    <row r="1670" spans="4:13">
      <c r="D1670" s="1" t="s">
        <v>199</v>
      </c>
      <c r="E1670" s="1" t="s">
        <v>745</v>
      </c>
      <c r="H1670" s="1" t="s">
        <v>22</v>
      </c>
      <c r="I1670" s="1" t="s">
        <v>23</v>
      </c>
      <c r="L1670" s="1">
        <v>1</v>
      </c>
      <c r="M1670" s="1">
        <v>1</v>
      </c>
    </row>
    <row r="1671" spans="4:13">
      <c r="D1671" s="1" t="s">
        <v>199</v>
      </c>
      <c r="E1671" s="1" t="s">
        <v>746</v>
      </c>
      <c r="H1671" s="1" t="s">
        <v>22</v>
      </c>
      <c r="I1671" s="1" t="s">
        <v>23</v>
      </c>
      <c r="L1671" s="1">
        <v>1</v>
      </c>
      <c r="M1671" s="1">
        <v>1</v>
      </c>
    </row>
    <row r="1672" spans="4:13">
      <c r="D1672" s="1" t="s">
        <v>199</v>
      </c>
      <c r="E1672" s="1" t="s">
        <v>747</v>
      </c>
      <c r="H1672" s="1" t="s">
        <v>22</v>
      </c>
      <c r="I1672" s="1" t="s">
        <v>23</v>
      </c>
      <c r="L1672" s="1">
        <v>1</v>
      </c>
      <c r="M1672" s="1">
        <v>1</v>
      </c>
    </row>
    <row r="1673" spans="4:13">
      <c r="D1673" s="1" t="s">
        <v>199</v>
      </c>
      <c r="E1673" s="1" t="s">
        <v>748</v>
      </c>
      <c r="H1673" s="1" t="s">
        <v>22</v>
      </c>
      <c r="I1673" s="1" t="s">
        <v>23</v>
      </c>
      <c r="L1673" s="1">
        <v>1</v>
      </c>
      <c r="M1673" s="1">
        <v>1</v>
      </c>
    </row>
    <row r="1674" spans="4:13">
      <c r="D1674" s="1" t="s">
        <v>199</v>
      </c>
      <c r="E1674" s="1" t="s">
        <v>749</v>
      </c>
      <c r="H1674" s="1" t="s">
        <v>22</v>
      </c>
      <c r="I1674" s="1" t="s">
        <v>23</v>
      </c>
      <c r="L1674" s="1">
        <v>1</v>
      </c>
      <c r="M1674" s="1">
        <v>1</v>
      </c>
    </row>
    <row r="1675" spans="4:13">
      <c r="D1675" s="1" t="s">
        <v>199</v>
      </c>
      <c r="E1675" s="1" t="s">
        <v>750</v>
      </c>
      <c r="H1675" s="1" t="s">
        <v>22</v>
      </c>
      <c r="I1675" s="1" t="s">
        <v>23</v>
      </c>
      <c r="L1675" s="1">
        <v>1</v>
      </c>
      <c r="M1675" s="1">
        <v>1</v>
      </c>
    </row>
    <row r="1676" spans="4:13">
      <c r="D1676" s="1" t="s">
        <v>199</v>
      </c>
      <c r="E1676" s="1" t="s">
        <v>751</v>
      </c>
      <c r="H1676" s="1" t="s">
        <v>22</v>
      </c>
      <c r="I1676" s="1" t="s">
        <v>23</v>
      </c>
      <c r="L1676" s="1">
        <v>1</v>
      </c>
      <c r="M1676" s="1">
        <v>1.1000000000000001</v>
      </c>
    </row>
    <row r="1677" spans="4:13">
      <c r="D1677" s="1" t="s">
        <v>199</v>
      </c>
      <c r="E1677" s="1" t="s">
        <v>752</v>
      </c>
      <c r="H1677" s="1" t="s">
        <v>22</v>
      </c>
      <c r="I1677" s="1" t="s">
        <v>23</v>
      </c>
      <c r="L1677" s="1">
        <v>1</v>
      </c>
      <c r="M1677" s="1">
        <v>1.1000000000000001</v>
      </c>
    </row>
    <row r="1678" spans="4:13">
      <c r="D1678" s="1" t="s">
        <v>199</v>
      </c>
      <c r="E1678" s="1" t="s">
        <v>753</v>
      </c>
      <c r="H1678" s="1" t="s">
        <v>22</v>
      </c>
      <c r="I1678" s="1" t="s">
        <v>23</v>
      </c>
      <c r="L1678" s="1">
        <v>1</v>
      </c>
      <c r="M1678" s="1">
        <v>1.1000000000000001</v>
      </c>
    </row>
    <row r="1679" spans="4:13">
      <c r="D1679" s="1" t="s">
        <v>199</v>
      </c>
      <c r="E1679" s="1" t="s">
        <v>754</v>
      </c>
      <c r="H1679" s="1" t="s">
        <v>22</v>
      </c>
      <c r="I1679" s="1" t="s">
        <v>23</v>
      </c>
      <c r="L1679" s="1">
        <v>1</v>
      </c>
      <c r="M1679" s="1">
        <v>1.1000000000000001</v>
      </c>
    </row>
    <row r="1680" spans="4:13">
      <c r="D1680" s="1" t="s">
        <v>199</v>
      </c>
      <c r="E1680" s="1" t="s">
        <v>755</v>
      </c>
      <c r="H1680" s="1" t="s">
        <v>22</v>
      </c>
      <c r="I1680" s="1" t="s">
        <v>23</v>
      </c>
      <c r="L1680" s="1">
        <v>1</v>
      </c>
      <c r="M1680" s="1">
        <v>1.1000000000000001</v>
      </c>
    </row>
    <row r="1681" spans="4:13">
      <c r="D1681" s="1" t="s">
        <v>199</v>
      </c>
      <c r="E1681" s="1" t="s">
        <v>756</v>
      </c>
      <c r="H1681" s="1" t="s">
        <v>22</v>
      </c>
      <c r="I1681" s="1" t="s">
        <v>23</v>
      </c>
      <c r="L1681" s="1">
        <v>1</v>
      </c>
      <c r="M1681" s="1">
        <v>1.1000000000000001</v>
      </c>
    </row>
    <row r="1682" spans="4:13">
      <c r="D1682" s="1" t="s">
        <v>199</v>
      </c>
      <c r="E1682" s="1" t="s">
        <v>757</v>
      </c>
      <c r="H1682" s="1" t="s">
        <v>22</v>
      </c>
      <c r="I1682" s="1" t="s">
        <v>23</v>
      </c>
      <c r="L1682" s="1">
        <v>1</v>
      </c>
      <c r="M1682" s="1">
        <v>1.1000000000000001</v>
      </c>
    </row>
    <row r="1683" spans="4:13">
      <c r="D1683" s="1" t="s">
        <v>199</v>
      </c>
      <c r="E1683" s="1" t="s">
        <v>758</v>
      </c>
      <c r="H1683" s="1" t="s">
        <v>22</v>
      </c>
      <c r="I1683" s="1" t="s">
        <v>23</v>
      </c>
      <c r="L1683" s="1">
        <v>1</v>
      </c>
      <c r="M1683" s="1">
        <v>1.1000000000000001</v>
      </c>
    </row>
    <row r="1684" spans="4:13">
      <c r="D1684" s="1" t="s">
        <v>199</v>
      </c>
      <c r="E1684" s="1" t="s">
        <v>759</v>
      </c>
      <c r="H1684" s="1" t="s">
        <v>22</v>
      </c>
      <c r="I1684" s="1" t="s">
        <v>23</v>
      </c>
      <c r="L1684" s="1">
        <v>1</v>
      </c>
      <c r="M1684" s="1">
        <v>1.1000000000000001</v>
      </c>
    </row>
    <row r="1685" spans="4:13">
      <c r="D1685" s="1" t="s">
        <v>199</v>
      </c>
      <c r="E1685" s="1" t="s">
        <v>760</v>
      </c>
      <c r="H1685" s="1" t="s">
        <v>22</v>
      </c>
      <c r="I1685" s="1" t="s">
        <v>23</v>
      </c>
      <c r="L1685" s="1">
        <v>1</v>
      </c>
      <c r="M1685" s="1">
        <v>1.2</v>
      </c>
    </row>
    <row r="1686" spans="4:13">
      <c r="D1686" s="1" t="s">
        <v>199</v>
      </c>
      <c r="E1686" s="1" t="s">
        <v>761</v>
      </c>
      <c r="H1686" s="1" t="s">
        <v>22</v>
      </c>
      <c r="I1686" s="1" t="s">
        <v>23</v>
      </c>
      <c r="L1686" s="1">
        <v>1</v>
      </c>
      <c r="M1686" s="1">
        <v>1.2</v>
      </c>
    </row>
    <row r="1687" spans="4:13">
      <c r="D1687" s="1" t="s">
        <v>199</v>
      </c>
      <c r="E1687" s="1" t="s">
        <v>762</v>
      </c>
      <c r="H1687" s="1" t="s">
        <v>22</v>
      </c>
      <c r="I1687" s="1" t="s">
        <v>23</v>
      </c>
      <c r="L1687" s="1">
        <v>1</v>
      </c>
      <c r="M1687" s="1">
        <v>1.2</v>
      </c>
    </row>
    <row r="1688" spans="4:13">
      <c r="D1688" s="1" t="s">
        <v>199</v>
      </c>
      <c r="E1688" s="1" t="s">
        <v>763</v>
      </c>
      <c r="H1688" s="1" t="s">
        <v>22</v>
      </c>
      <c r="I1688" s="1" t="s">
        <v>23</v>
      </c>
      <c r="L1688" s="1">
        <v>1</v>
      </c>
      <c r="M1688" s="1">
        <v>1.2</v>
      </c>
    </row>
    <row r="1689" spans="4:13">
      <c r="D1689" s="1" t="s">
        <v>199</v>
      </c>
      <c r="E1689" s="1" t="s">
        <v>764</v>
      </c>
      <c r="H1689" s="1" t="s">
        <v>22</v>
      </c>
      <c r="I1689" s="1" t="s">
        <v>23</v>
      </c>
      <c r="L1689" s="1">
        <v>1</v>
      </c>
      <c r="M1689" s="1">
        <v>1.2</v>
      </c>
    </row>
    <row r="1690" spans="4:13">
      <c r="D1690" s="1" t="s">
        <v>199</v>
      </c>
      <c r="E1690" s="1" t="s">
        <v>765</v>
      </c>
      <c r="H1690" s="1" t="s">
        <v>22</v>
      </c>
      <c r="I1690" s="1" t="s">
        <v>23</v>
      </c>
      <c r="L1690" s="1">
        <v>1</v>
      </c>
      <c r="M1690" s="1">
        <v>1.2</v>
      </c>
    </row>
    <row r="1691" spans="4:13">
      <c r="D1691" s="1" t="s">
        <v>199</v>
      </c>
      <c r="E1691" s="1" t="s">
        <v>766</v>
      </c>
      <c r="H1691" s="1" t="s">
        <v>22</v>
      </c>
      <c r="I1691" s="1" t="s">
        <v>23</v>
      </c>
      <c r="L1691" s="1">
        <v>1</v>
      </c>
      <c r="M1691" s="1">
        <v>1.2</v>
      </c>
    </row>
    <row r="1692" spans="4:13">
      <c r="D1692" s="1" t="s">
        <v>199</v>
      </c>
      <c r="E1692" s="1" t="s">
        <v>767</v>
      </c>
      <c r="H1692" s="1" t="s">
        <v>22</v>
      </c>
      <c r="I1692" s="1" t="s">
        <v>23</v>
      </c>
      <c r="L1692" s="1">
        <v>1</v>
      </c>
      <c r="M1692" s="1">
        <v>1.2</v>
      </c>
    </row>
    <row r="1693" spans="4:13">
      <c r="D1693" s="1" t="s">
        <v>199</v>
      </c>
      <c r="E1693" s="1" t="s">
        <v>768</v>
      </c>
      <c r="H1693" s="1" t="s">
        <v>22</v>
      </c>
      <c r="I1693" s="1" t="s">
        <v>23</v>
      </c>
      <c r="L1693" s="1">
        <v>1</v>
      </c>
      <c r="M1693" s="1">
        <v>1.2</v>
      </c>
    </row>
    <row r="1694" spans="4:13">
      <c r="D1694" s="1" t="s">
        <v>199</v>
      </c>
      <c r="E1694" s="1" t="s">
        <v>769</v>
      </c>
      <c r="H1694" s="1" t="s">
        <v>22</v>
      </c>
      <c r="I1694" s="1" t="s">
        <v>23</v>
      </c>
      <c r="L1694" s="1">
        <v>1</v>
      </c>
      <c r="M1694" s="1">
        <v>1.3</v>
      </c>
    </row>
    <row r="1695" spans="4:13">
      <c r="D1695" s="1" t="s">
        <v>199</v>
      </c>
      <c r="E1695" s="1" t="s">
        <v>770</v>
      </c>
      <c r="H1695" s="1" t="s">
        <v>22</v>
      </c>
      <c r="I1695" s="1" t="s">
        <v>23</v>
      </c>
      <c r="L1695" s="1">
        <v>1</v>
      </c>
      <c r="M1695" s="1">
        <v>1.3</v>
      </c>
    </row>
    <row r="1696" spans="4:13">
      <c r="D1696" s="1" t="s">
        <v>199</v>
      </c>
      <c r="E1696" s="1" t="s">
        <v>771</v>
      </c>
      <c r="H1696" s="1" t="s">
        <v>22</v>
      </c>
      <c r="I1696" s="1" t="s">
        <v>23</v>
      </c>
      <c r="L1696" s="1">
        <v>1</v>
      </c>
      <c r="M1696" s="1">
        <v>1.3</v>
      </c>
    </row>
    <row r="1697" spans="4:13">
      <c r="D1697" s="1" t="s">
        <v>199</v>
      </c>
      <c r="E1697" s="1" t="s">
        <v>772</v>
      </c>
      <c r="H1697" s="1" t="s">
        <v>22</v>
      </c>
      <c r="I1697" s="1" t="s">
        <v>23</v>
      </c>
      <c r="L1697" s="1">
        <v>1</v>
      </c>
      <c r="M1697" s="1">
        <v>1.3</v>
      </c>
    </row>
    <row r="1698" spans="4:13">
      <c r="D1698" s="1" t="s">
        <v>199</v>
      </c>
      <c r="E1698" s="1" t="s">
        <v>773</v>
      </c>
      <c r="H1698" s="1" t="s">
        <v>22</v>
      </c>
      <c r="I1698" s="1" t="s">
        <v>23</v>
      </c>
      <c r="L1698" s="1">
        <v>1</v>
      </c>
      <c r="M1698" s="1">
        <v>1.3</v>
      </c>
    </row>
    <row r="1699" spans="4:13">
      <c r="D1699" s="1" t="s">
        <v>199</v>
      </c>
      <c r="E1699" s="1" t="s">
        <v>774</v>
      </c>
      <c r="H1699" s="1" t="s">
        <v>22</v>
      </c>
      <c r="I1699" s="1" t="s">
        <v>23</v>
      </c>
      <c r="L1699" s="1">
        <v>1</v>
      </c>
      <c r="M1699" s="1">
        <v>1.3</v>
      </c>
    </row>
    <row r="1700" spans="4:13">
      <c r="D1700" s="1" t="s">
        <v>199</v>
      </c>
      <c r="E1700" s="1" t="s">
        <v>775</v>
      </c>
      <c r="H1700" s="1" t="s">
        <v>22</v>
      </c>
      <c r="I1700" s="1" t="s">
        <v>23</v>
      </c>
      <c r="L1700" s="1">
        <v>1</v>
      </c>
      <c r="M1700" s="1">
        <v>1.3</v>
      </c>
    </row>
    <row r="1701" spans="4:13">
      <c r="D1701" s="1" t="s">
        <v>199</v>
      </c>
      <c r="E1701" s="1" t="s">
        <v>776</v>
      </c>
      <c r="H1701" s="1" t="s">
        <v>22</v>
      </c>
      <c r="I1701" s="1" t="s">
        <v>23</v>
      </c>
      <c r="L1701" s="1">
        <v>1</v>
      </c>
      <c r="M1701" s="1">
        <v>1.3</v>
      </c>
    </row>
    <row r="1702" spans="4:13">
      <c r="D1702" s="1" t="s">
        <v>199</v>
      </c>
      <c r="E1702" s="1" t="s">
        <v>777</v>
      </c>
      <c r="H1702" s="1" t="s">
        <v>22</v>
      </c>
      <c r="I1702" s="1" t="s">
        <v>23</v>
      </c>
      <c r="L1702" s="1">
        <v>1</v>
      </c>
      <c r="M1702" s="1">
        <v>1.3</v>
      </c>
    </row>
    <row r="1703" spans="4:13">
      <c r="D1703" s="1" t="s">
        <v>199</v>
      </c>
      <c r="E1703" s="1" t="s">
        <v>778</v>
      </c>
      <c r="H1703" s="1" t="s">
        <v>22</v>
      </c>
      <c r="I1703" s="1" t="s">
        <v>23</v>
      </c>
      <c r="L1703" s="1">
        <v>1</v>
      </c>
      <c r="M1703" s="1">
        <v>1.4</v>
      </c>
    </row>
    <row r="1704" spans="4:13">
      <c r="D1704" s="1" t="s">
        <v>199</v>
      </c>
      <c r="E1704" s="1" t="s">
        <v>779</v>
      </c>
      <c r="H1704" s="1" t="s">
        <v>22</v>
      </c>
      <c r="I1704" s="1" t="s">
        <v>23</v>
      </c>
      <c r="L1704" s="1">
        <v>1</v>
      </c>
      <c r="M1704" s="1">
        <v>1.4</v>
      </c>
    </row>
    <row r="1705" spans="4:13">
      <c r="D1705" s="1" t="s">
        <v>199</v>
      </c>
      <c r="E1705" s="1" t="s">
        <v>780</v>
      </c>
      <c r="H1705" s="1" t="s">
        <v>22</v>
      </c>
      <c r="I1705" s="1" t="s">
        <v>23</v>
      </c>
      <c r="L1705" s="1">
        <v>1</v>
      </c>
      <c r="M1705" s="1">
        <v>1.4</v>
      </c>
    </row>
    <row r="1706" spans="4:13">
      <c r="D1706" s="1" t="s">
        <v>199</v>
      </c>
      <c r="E1706" s="1" t="s">
        <v>781</v>
      </c>
      <c r="H1706" s="1" t="s">
        <v>22</v>
      </c>
      <c r="I1706" s="1" t="s">
        <v>23</v>
      </c>
      <c r="L1706" s="1">
        <v>1</v>
      </c>
      <c r="M1706" s="1">
        <v>1.4</v>
      </c>
    </row>
    <row r="1707" spans="4:13">
      <c r="D1707" s="1" t="s">
        <v>199</v>
      </c>
      <c r="E1707" s="1" t="s">
        <v>782</v>
      </c>
      <c r="H1707" s="1" t="s">
        <v>22</v>
      </c>
      <c r="I1707" s="1" t="s">
        <v>23</v>
      </c>
      <c r="L1707" s="1">
        <v>1</v>
      </c>
      <c r="M1707" s="1">
        <v>1.4</v>
      </c>
    </row>
    <row r="1708" spans="4:13">
      <c r="D1708" s="1" t="s">
        <v>199</v>
      </c>
      <c r="E1708" s="1" t="s">
        <v>783</v>
      </c>
      <c r="H1708" s="1" t="s">
        <v>22</v>
      </c>
      <c r="I1708" s="1" t="s">
        <v>23</v>
      </c>
      <c r="L1708" s="1">
        <v>1</v>
      </c>
      <c r="M1708" s="1">
        <v>1.4</v>
      </c>
    </row>
    <row r="1709" spans="4:13">
      <c r="D1709" s="1" t="s">
        <v>199</v>
      </c>
      <c r="E1709" s="1" t="s">
        <v>784</v>
      </c>
      <c r="H1709" s="1" t="s">
        <v>22</v>
      </c>
      <c r="I1709" s="1" t="s">
        <v>23</v>
      </c>
      <c r="L1709" s="1">
        <v>1</v>
      </c>
      <c r="M1709" s="1">
        <v>1.4</v>
      </c>
    </row>
    <row r="1710" spans="4:13">
      <c r="D1710" s="1" t="s">
        <v>199</v>
      </c>
      <c r="E1710" s="1" t="s">
        <v>785</v>
      </c>
      <c r="H1710" s="1" t="s">
        <v>22</v>
      </c>
      <c r="I1710" s="1" t="s">
        <v>23</v>
      </c>
      <c r="L1710" s="1">
        <v>1</v>
      </c>
      <c r="M1710" s="1">
        <v>1.4</v>
      </c>
    </row>
    <row r="1711" spans="4:13">
      <c r="D1711" s="1" t="s">
        <v>199</v>
      </c>
      <c r="E1711" s="1" t="s">
        <v>786</v>
      </c>
      <c r="H1711" s="1" t="s">
        <v>22</v>
      </c>
      <c r="I1711" s="1" t="s">
        <v>23</v>
      </c>
      <c r="L1711" s="1">
        <v>1</v>
      </c>
      <c r="M1711" s="1">
        <v>1.4</v>
      </c>
    </row>
    <row r="1712" spans="4:13">
      <c r="D1712" s="1" t="s">
        <v>199</v>
      </c>
      <c r="E1712" s="1" t="s">
        <v>787</v>
      </c>
      <c r="H1712" s="1" t="s">
        <v>22</v>
      </c>
      <c r="I1712" s="1" t="s">
        <v>23</v>
      </c>
      <c r="L1712" s="1">
        <v>1</v>
      </c>
      <c r="M1712" s="1">
        <v>1.5</v>
      </c>
    </row>
    <row r="1713" spans="4:13">
      <c r="D1713" s="1" t="s">
        <v>199</v>
      </c>
      <c r="E1713" s="1" t="s">
        <v>788</v>
      </c>
      <c r="H1713" s="1" t="s">
        <v>22</v>
      </c>
      <c r="I1713" s="1" t="s">
        <v>23</v>
      </c>
      <c r="L1713" s="1">
        <v>1</v>
      </c>
      <c r="M1713" s="1">
        <v>1.5</v>
      </c>
    </row>
    <row r="1714" spans="4:13">
      <c r="D1714" s="1" t="s">
        <v>199</v>
      </c>
      <c r="E1714" s="1" t="s">
        <v>789</v>
      </c>
      <c r="H1714" s="1" t="s">
        <v>22</v>
      </c>
      <c r="I1714" s="1" t="s">
        <v>23</v>
      </c>
      <c r="L1714" s="1">
        <v>1</v>
      </c>
      <c r="M1714" s="1">
        <v>1.5</v>
      </c>
    </row>
    <row r="1715" spans="4:13">
      <c r="D1715" s="1" t="s">
        <v>199</v>
      </c>
      <c r="E1715" s="1" t="s">
        <v>790</v>
      </c>
      <c r="H1715" s="1" t="s">
        <v>22</v>
      </c>
      <c r="I1715" s="1" t="s">
        <v>23</v>
      </c>
      <c r="L1715" s="1">
        <v>1</v>
      </c>
      <c r="M1715" s="1">
        <v>1.5</v>
      </c>
    </row>
    <row r="1716" spans="4:13">
      <c r="D1716" s="1" t="s">
        <v>199</v>
      </c>
      <c r="E1716" s="1" t="s">
        <v>791</v>
      </c>
      <c r="H1716" s="1" t="s">
        <v>22</v>
      </c>
      <c r="I1716" s="1" t="s">
        <v>23</v>
      </c>
      <c r="L1716" s="1">
        <v>1</v>
      </c>
      <c r="M1716" s="1">
        <v>1.5</v>
      </c>
    </row>
    <row r="1717" spans="4:13">
      <c r="D1717" s="1" t="s">
        <v>199</v>
      </c>
      <c r="E1717" s="1" t="s">
        <v>792</v>
      </c>
      <c r="H1717" s="1" t="s">
        <v>22</v>
      </c>
      <c r="I1717" s="1" t="s">
        <v>23</v>
      </c>
      <c r="L1717" s="1">
        <v>1</v>
      </c>
      <c r="M1717" s="1">
        <v>1.5</v>
      </c>
    </row>
    <row r="1718" spans="4:13">
      <c r="D1718" s="1" t="s">
        <v>199</v>
      </c>
      <c r="E1718" s="1" t="s">
        <v>793</v>
      </c>
      <c r="H1718" s="1" t="s">
        <v>22</v>
      </c>
      <c r="I1718" s="1" t="s">
        <v>23</v>
      </c>
      <c r="L1718" s="1">
        <v>1</v>
      </c>
      <c r="M1718" s="1">
        <v>1.5</v>
      </c>
    </row>
    <row r="1719" spans="4:13">
      <c r="D1719" s="1" t="s">
        <v>199</v>
      </c>
      <c r="E1719" s="1" t="s">
        <v>794</v>
      </c>
      <c r="H1719" s="1" t="s">
        <v>22</v>
      </c>
      <c r="I1719" s="1" t="s">
        <v>23</v>
      </c>
      <c r="L1719" s="1">
        <v>1</v>
      </c>
      <c r="M1719" s="1">
        <v>1.5</v>
      </c>
    </row>
    <row r="1720" spans="4:13">
      <c r="D1720" s="1" t="s">
        <v>199</v>
      </c>
      <c r="E1720" s="1" t="s">
        <v>795</v>
      </c>
      <c r="H1720" s="1" t="s">
        <v>22</v>
      </c>
      <c r="I1720" s="1" t="s">
        <v>23</v>
      </c>
      <c r="L1720" s="1">
        <v>1</v>
      </c>
      <c r="M1720" s="1">
        <v>1.5</v>
      </c>
    </row>
    <row r="1721" spans="4:13">
      <c r="D1721" s="1" t="s">
        <v>199</v>
      </c>
      <c r="E1721" s="1" t="s">
        <v>796</v>
      </c>
      <c r="H1721" s="1" t="s">
        <v>22</v>
      </c>
      <c r="I1721" s="1" t="s">
        <v>23</v>
      </c>
      <c r="L1721" s="1">
        <v>1</v>
      </c>
      <c r="M1721" s="1">
        <v>0</v>
      </c>
    </row>
    <row r="1722" spans="4:13">
      <c r="D1722" s="1" t="s">
        <v>199</v>
      </c>
      <c r="E1722" s="1" t="s">
        <v>797</v>
      </c>
      <c r="H1722" s="1" t="s">
        <v>22</v>
      </c>
      <c r="I1722" s="1" t="s">
        <v>23</v>
      </c>
      <c r="L1722" s="1">
        <v>1</v>
      </c>
      <c r="M1722" s="1">
        <v>0</v>
      </c>
    </row>
    <row r="1723" spans="4:13">
      <c r="D1723" s="1" t="s">
        <v>199</v>
      </c>
      <c r="E1723" s="1" t="s">
        <v>798</v>
      </c>
      <c r="H1723" s="1" t="s">
        <v>22</v>
      </c>
      <c r="I1723" s="1" t="s">
        <v>23</v>
      </c>
      <c r="L1723" s="1">
        <v>1</v>
      </c>
      <c r="M1723" s="1">
        <v>0</v>
      </c>
    </row>
    <row r="1724" spans="4:13">
      <c r="D1724" s="1" t="s">
        <v>199</v>
      </c>
      <c r="E1724" s="1" t="s">
        <v>799</v>
      </c>
      <c r="H1724" s="1" t="s">
        <v>22</v>
      </c>
      <c r="I1724" s="1" t="s">
        <v>23</v>
      </c>
      <c r="L1724" s="1">
        <v>1</v>
      </c>
      <c r="M1724" s="1">
        <v>0</v>
      </c>
    </row>
    <row r="1725" spans="4:13">
      <c r="D1725" s="1" t="s">
        <v>199</v>
      </c>
      <c r="E1725" s="1" t="s">
        <v>800</v>
      </c>
      <c r="H1725" s="1" t="s">
        <v>22</v>
      </c>
      <c r="I1725" s="1" t="s">
        <v>23</v>
      </c>
      <c r="L1725" s="1">
        <v>1</v>
      </c>
      <c r="M1725" s="1">
        <v>0</v>
      </c>
    </row>
    <row r="1726" spans="4:13">
      <c r="D1726" s="1" t="s">
        <v>199</v>
      </c>
      <c r="E1726" s="1" t="s">
        <v>801</v>
      </c>
      <c r="H1726" s="1" t="s">
        <v>22</v>
      </c>
      <c r="I1726" s="1" t="s">
        <v>23</v>
      </c>
      <c r="L1726" s="1">
        <v>1</v>
      </c>
      <c r="M1726" s="1">
        <v>0</v>
      </c>
    </row>
    <row r="1727" spans="4:13">
      <c r="D1727" s="1" t="s">
        <v>199</v>
      </c>
      <c r="E1727" s="1" t="s">
        <v>802</v>
      </c>
      <c r="H1727" s="1" t="s">
        <v>22</v>
      </c>
      <c r="I1727" s="1" t="s">
        <v>23</v>
      </c>
      <c r="L1727" s="1">
        <v>1</v>
      </c>
      <c r="M1727" s="1">
        <v>0</v>
      </c>
    </row>
    <row r="1728" spans="4:13">
      <c r="D1728" s="1" t="s">
        <v>199</v>
      </c>
      <c r="E1728" s="1" t="s">
        <v>803</v>
      </c>
      <c r="H1728" s="1" t="s">
        <v>22</v>
      </c>
      <c r="I1728" s="1" t="s">
        <v>23</v>
      </c>
      <c r="L1728" s="1">
        <v>1</v>
      </c>
      <c r="M1728" s="1">
        <v>0</v>
      </c>
    </row>
    <row r="1729" spans="4:13">
      <c r="D1729" s="1" t="s">
        <v>199</v>
      </c>
      <c r="E1729" s="1" t="s">
        <v>804</v>
      </c>
      <c r="H1729" s="1" t="s">
        <v>22</v>
      </c>
      <c r="I1729" s="1" t="s">
        <v>23</v>
      </c>
      <c r="L1729" s="1">
        <v>1</v>
      </c>
      <c r="M1729" s="1">
        <v>0</v>
      </c>
    </row>
    <row r="1730" spans="4:13">
      <c r="D1730" s="1" t="s">
        <v>199</v>
      </c>
      <c r="E1730" s="1" t="s">
        <v>805</v>
      </c>
      <c r="H1730" s="1" t="s">
        <v>22</v>
      </c>
      <c r="I1730" s="1" t="s">
        <v>23</v>
      </c>
      <c r="L1730" s="1">
        <v>1</v>
      </c>
      <c r="M1730" s="1">
        <v>0.1</v>
      </c>
    </row>
    <row r="1731" spans="4:13">
      <c r="D1731" s="1" t="s">
        <v>199</v>
      </c>
      <c r="E1731" s="1" t="s">
        <v>806</v>
      </c>
      <c r="H1731" s="1" t="s">
        <v>22</v>
      </c>
      <c r="I1731" s="1" t="s">
        <v>23</v>
      </c>
      <c r="L1731" s="1">
        <v>1</v>
      </c>
      <c r="M1731" s="1">
        <v>0.1</v>
      </c>
    </row>
    <row r="1732" spans="4:13">
      <c r="D1732" s="1" t="s">
        <v>199</v>
      </c>
      <c r="E1732" s="1" t="s">
        <v>807</v>
      </c>
      <c r="H1732" s="1" t="s">
        <v>22</v>
      </c>
      <c r="I1732" s="1" t="s">
        <v>23</v>
      </c>
      <c r="L1732" s="1">
        <v>1</v>
      </c>
      <c r="M1732" s="1">
        <v>0.2</v>
      </c>
    </row>
    <row r="1733" spans="4:13">
      <c r="D1733" s="1" t="s">
        <v>199</v>
      </c>
      <c r="E1733" s="1" t="s">
        <v>808</v>
      </c>
      <c r="H1733" s="1" t="s">
        <v>22</v>
      </c>
      <c r="I1733" s="1" t="s">
        <v>23</v>
      </c>
      <c r="L1733" s="1">
        <v>1</v>
      </c>
      <c r="M1733" s="1">
        <v>0.2</v>
      </c>
    </row>
    <row r="1734" spans="4:13">
      <c r="D1734" s="1" t="s">
        <v>199</v>
      </c>
      <c r="E1734" s="1" t="s">
        <v>809</v>
      </c>
      <c r="H1734" s="1" t="s">
        <v>22</v>
      </c>
      <c r="I1734" s="1" t="s">
        <v>23</v>
      </c>
      <c r="L1734" s="1">
        <v>1</v>
      </c>
      <c r="M1734" s="1">
        <v>0.2</v>
      </c>
    </row>
    <row r="1735" spans="4:13">
      <c r="D1735" s="1" t="s">
        <v>199</v>
      </c>
      <c r="E1735" s="1" t="s">
        <v>810</v>
      </c>
      <c r="H1735" s="1" t="s">
        <v>22</v>
      </c>
      <c r="I1735" s="1" t="s">
        <v>23</v>
      </c>
      <c r="L1735" s="1">
        <v>1</v>
      </c>
      <c r="M1735" s="1">
        <v>0.2</v>
      </c>
    </row>
    <row r="1736" spans="4:13">
      <c r="D1736" s="1" t="s">
        <v>199</v>
      </c>
      <c r="E1736" s="1" t="s">
        <v>811</v>
      </c>
      <c r="H1736" s="1" t="s">
        <v>22</v>
      </c>
      <c r="I1736" s="1" t="s">
        <v>23</v>
      </c>
      <c r="L1736" s="1">
        <v>1</v>
      </c>
      <c r="M1736" s="1">
        <v>0.2</v>
      </c>
    </row>
    <row r="1737" spans="4:13">
      <c r="D1737" s="1" t="s">
        <v>199</v>
      </c>
      <c r="E1737" s="1" t="s">
        <v>812</v>
      </c>
      <c r="H1737" s="1" t="s">
        <v>22</v>
      </c>
      <c r="I1737" s="1" t="s">
        <v>23</v>
      </c>
      <c r="L1737" s="1">
        <v>1</v>
      </c>
      <c r="M1737" s="1">
        <v>0.3</v>
      </c>
    </row>
    <row r="1738" spans="4:13">
      <c r="D1738" s="1" t="s">
        <v>199</v>
      </c>
      <c r="E1738" s="1" t="s">
        <v>813</v>
      </c>
      <c r="H1738" s="1" t="s">
        <v>22</v>
      </c>
      <c r="I1738" s="1" t="s">
        <v>23</v>
      </c>
      <c r="L1738" s="1">
        <v>1</v>
      </c>
      <c r="M1738" s="1">
        <v>0.3</v>
      </c>
    </row>
    <row r="1739" spans="4:13">
      <c r="D1739" s="1" t="s">
        <v>199</v>
      </c>
      <c r="E1739" s="1" t="s">
        <v>814</v>
      </c>
      <c r="H1739" s="1" t="s">
        <v>22</v>
      </c>
      <c r="I1739" s="1" t="s">
        <v>23</v>
      </c>
      <c r="L1739" s="1">
        <v>1</v>
      </c>
      <c r="M1739" s="1">
        <v>0.3</v>
      </c>
    </row>
    <row r="1740" spans="4:13">
      <c r="D1740" s="1" t="s">
        <v>199</v>
      </c>
      <c r="E1740" s="1" t="s">
        <v>815</v>
      </c>
      <c r="H1740" s="1" t="s">
        <v>22</v>
      </c>
      <c r="I1740" s="1" t="s">
        <v>23</v>
      </c>
      <c r="L1740" s="1">
        <v>1</v>
      </c>
      <c r="M1740" s="1">
        <v>0.3</v>
      </c>
    </row>
    <row r="1741" spans="4:13">
      <c r="D1741" s="1" t="s">
        <v>199</v>
      </c>
      <c r="E1741" s="1" t="s">
        <v>816</v>
      </c>
      <c r="H1741" s="1" t="s">
        <v>22</v>
      </c>
      <c r="I1741" s="1" t="s">
        <v>23</v>
      </c>
      <c r="L1741" s="1">
        <v>1</v>
      </c>
      <c r="M1741" s="1">
        <v>0.4</v>
      </c>
    </row>
    <row r="1742" spans="4:13">
      <c r="D1742" s="1" t="s">
        <v>199</v>
      </c>
      <c r="E1742" s="1" t="s">
        <v>817</v>
      </c>
      <c r="H1742" s="1" t="s">
        <v>22</v>
      </c>
      <c r="I1742" s="1" t="s">
        <v>23</v>
      </c>
      <c r="L1742" s="1">
        <v>1</v>
      </c>
      <c r="M1742" s="1">
        <v>0.4</v>
      </c>
    </row>
    <row r="1743" spans="4:13">
      <c r="D1743" s="1" t="s">
        <v>199</v>
      </c>
      <c r="E1743" s="1" t="s">
        <v>818</v>
      </c>
      <c r="H1743" s="1" t="s">
        <v>22</v>
      </c>
      <c r="I1743" s="1" t="s">
        <v>23</v>
      </c>
      <c r="L1743" s="1">
        <v>1</v>
      </c>
      <c r="M1743" s="1">
        <v>0.5</v>
      </c>
    </row>
    <row r="1744" spans="4:13">
      <c r="D1744" s="1" t="s">
        <v>199</v>
      </c>
      <c r="E1744" s="1" t="s">
        <v>819</v>
      </c>
      <c r="H1744" s="1" t="s">
        <v>22</v>
      </c>
      <c r="I1744" s="1" t="s">
        <v>23</v>
      </c>
      <c r="L1744" s="1">
        <v>1</v>
      </c>
      <c r="M1744" s="1">
        <v>0.5</v>
      </c>
    </row>
    <row r="1745" spans="4:13">
      <c r="D1745" s="1" t="s">
        <v>199</v>
      </c>
      <c r="E1745" s="1" t="s">
        <v>820</v>
      </c>
      <c r="H1745" s="1" t="s">
        <v>22</v>
      </c>
      <c r="I1745" s="1" t="s">
        <v>23</v>
      </c>
      <c r="L1745" s="1">
        <v>1</v>
      </c>
      <c r="M1745" s="1">
        <v>0.5</v>
      </c>
    </row>
    <row r="1746" spans="4:13">
      <c r="D1746" s="1" t="s">
        <v>199</v>
      </c>
      <c r="E1746" s="1" t="s">
        <v>821</v>
      </c>
      <c r="H1746" s="1" t="s">
        <v>22</v>
      </c>
      <c r="I1746" s="1" t="s">
        <v>23</v>
      </c>
      <c r="L1746" s="1">
        <v>1</v>
      </c>
      <c r="M1746" s="1">
        <v>0.5</v>
      </c>
    </row>
    <row r="1747" spans="4:13">
      <c r="D1747" s="1" t="s">
        <v>199</v>
      </c>
      <c r="E1747" s="1" t="s">
        <v>822</v>
      </c>
      <c r="H1747" s="1" t="s">
        <v>22</v>
      </c>
      <c r="I1747" s="1" t="s">
        <v>23</v>
      </c>
      <c r="L1747" s="1">
        <v>1</v>
      </c>
      <c r="M1747" s="1">
        <v>0.5</v>
      </c>
    </row>
    <row r="1748" spans="4:13">
      <c r="D1748" s="1" t="s">
        <v>199</v>
      </c>
      <c r="E1748" s="1" t="s">
        <v>823</v>
      </c>
      <c r="H1748" s="1" t="s">
        <v>22</v>
      </c>
      <c r="I1748" s="1" t="s">
        <v>23</v>
      </c>
      <c r="L1748" s="1">
        <v>1</v>
      </c>
      <c r="M1748" s="1">
        <v>0.5</v>
      </c>
    </row>
    <row r="1749" spans="4:13">
      <c r="D1749" s="1" t="s">
        <v>199</v>
      </c>
      <c r="E1749" s="1" t="s">
        <v>824</v>
      </c>
      <c r="H1749" s="1" t="s">
        <v>22</v>
      </c>
      <c r="I1749" s="1" t="s">
        <v>23</v>
      </c>
      <c r="L1749" s="1">
        <v>1</v>
      </c>
      <c r="M1749" s="1">
        <v>0.6</v>
      </c>
    </row>
    <row r="1750" spans="4:13">
      <c r="D1750" s="1" t="s">
        <v>199</v>
      </c>
      <c r="E1750" s="1" t="s">
        <v>825</v>
      </c>
      <c r="H1750" s="1" t="s">
        <v>22</v>
      </c>
      <c r="I1750" s="1" t="s">
        <v>23</v>
      </c>
      <c r="L1750" s="1">
        <v>1</v>
      </c>
      <c r="M1750" s="1">
        <v>0.6</v>
      </c>
    </row>
    <row r="1751" spans="4:13">
      <c r="D1751" s="1" t="s">
        <v>199</v>
      </c>
      <c r="E1751" s="1" t="s">
        <v>826</v>
      </c>
      <c r="H1751" s="1" t="s">
        <v>22</v>
      </c>
      <c r="I1751" s="1" t="s">
        <v>23</v>
      </c>
      <c r="L1751" s="1">
        <v>1</v>
      </c>
      <c r="M1751" s="1">
        <v>0.6</v>
      </c>
    </row>
    <row r="1752" spans="4:13">
      <c r="D1752" s="1" t="s">
        <v>199</v>
      </c>
      <c r="E1752" s="1" t="s">
        <v>827</v>
      </c>
      <c r="H1752" s="1" t="s">
        <v>22</v>
      </c>
      <c r="I1752" s="1" t="s">
        <v>23</v>
      </c>
      <c r="L1752" s="1">
        <v>1</v>
      </c>
      <c r="M1752" s="1">
        <v>0.6</v>
      </c>
    </row>
    <row r="1753" spans="4:13">
      <c r="D1753" s="1" t="s">
        <v>199</v>
      </c>
      <c r="E1753" s="1" t="s">
        <v>828</v>
      </c>
      <c r="H1753" s="1" t="s">
        <v>22</v>
      </c>
      <c r="I1753" s="1" t="s">
        <v>23</v>
      </c>
      <c r="L1753" s="1">
        <v>1</v>
      </c>
      <c r="M1753" s="1">
        <v>0.7</v>
      </c>
    </row>
    <row r="1754" spans="4:13">
      <c r="D1754" s="1" t="s">
        <v>199</v>
      </c>
      <c r="E1754" s="1" t="s">
        <v>829</v>
      </c>
      <c r="H1754" s="1" t="s">
        <v>22</v>
      </c>
      <c r="I1754" s="1" t="s">
        <v>23</v>
      </c>
      <c r="L1754" s="1">
        <v>1</v>
      </c>
      <c r="M1754" s="1">
        <v>0.7</v>
      </c>
    </row>
    <row r="1755" spans="4:13">
      <c r="D1755" s="1" t="s">
        <v>199</v>
      </c>
      <c r="E1755" s="1" t="s">
        <v>830</v>
      </c>
      <c r="H1755" s="1" t="s">
        <v>22</v>
      </c>
      <c r="I1755" s="1" t="s">
        <v>23</v>
      </c>
      <c r="L1755" s="1">
        <v>1</v>
      </c>
      <c r="M1755" s="1">
        <v>0.7</v>
      </c>
    </row>
    <row r="1756" spans="4:13">
      <c r="D1756" s="1" t="s">
        <v>199</v>
      </c>
      <c r="E1756" s="1" t="s">
        <v>831</v>
      </c>
      <c r="H1756" s="1" t="s">
        <v>22</v>
      </c>
      <c r="I1756" s="1" t="s">
        <v>23</v>
      </c>
      <c r="L1756" s="1">
        <v>1</v>
      </c>
      <c r="M1756" s="1">
        <v>0.7</v>
      </c>
    </row>
    <row r="1757" spans="4:13">
      <c r="D1757" s="1" t="s">
        <v>199</v>
      </c>
      <c r="E1757" s="1" t="s">
        <v>832</v>
      </c>
      <c r="H1757" s="1" t="s">
        <v>22</v>
      </c>
      <c r="I1757" s="1" t="s">
        <v>23</v>
      </c>
      <c r="L1757" s="1">
        <v>1</v>
      </c>
      <c r="M1757" s="1">
        <v>0.7</v>
      </c>
    </row>
    <row r="1758" spans="4:13">
      <c r="D1758" s="1" t="s">
        <v>199</v>
      </c>
      <c r="E1758" s="1" t="s">
        <v>833</v>
      </c>
      <c r="H1758" s="1" t="s">
        <v>22</v>
      </c>
      <c r="I1758" s="1" t="s">
        <v>23</v>
      </c>
      <c r="L1758" s="1">
        <v>1</v>
      </c>
      <c r="M1758" s="1">
        <v>0.7</v>
      </c>
    </row>
    <row r="1759" spans="4:13">
      <c r="D1759" s="1" t="s">
        <v>199</v>
      </c>
      <c r="E1759" s="1" t="s">
        <v>834</v>
      </c>
      <c r="H1759" s="1" t="s">
        <v>22</v>
      </c>
      <c r="I1759" s="1" t="s">
        <v>23</v>
      </c>
      <c r="L1759" s="1">
        <v>1</v>
      </c>
      <c r="M1759" s="1">
        <v>0.7</v>
      </c>
    </row>
    <row r="1760" spans="4:13">
      <c r="D1760" s="1" t="s">
        <v>199</v>
      </c>
      <c r="E1760" s="1" t="s">
        <v>835</v>
      </c>
      <c r="H1760" s="1" t="s">
        <v>22</v>
      </c>
      <c r="I1760" s="1" t="s">
        <v>23</v>
      </c>
      <c r="L1760" s="1">
        <v>1</v>
      </c>
      <c r="M1760" s="1">
        <v>0.8</v>
      </c>
    </row>
    <row r="1761" spans="4:13">
      <c r="D1761" s="1" t="s">
        <v>199</v>
      </c>
      <c r="E1761" s="1" t="s">
        <v>836</v>
      </c>
      <c r="H1761" s="1" t="s">
        <v>22</v>
      </c>
      <c r="I1761" s="1" t="s">
        <v>23</v>
      </c>
      <c r="L1761" s="1">
        <v>1</v>
      </c>
      <c r="M1761" s="1">
        <v>0.8</v>
      </c>
    </row>
    <row r="1762" spans="4:13">
      <c r="D1762" s="1" t="s">
        <v>199</v>
      </c>
      <c r="E1762" s="1" t="s">
        <v>837</v>
      </c>
      <c r="H1762" s="1" t="s">
        <v>22</v>
      </c>
      <c r="I1762" s="1" t="s">
        <v>23</v>
      </c>
      <c r="L1762" s="1">
        <v>1</v>
      </c>
      <c r="M1762" s="1">
        <v>0.8</v>
      </c>
    </row>
    <row r="1763" spans="4:13">
      <c r="D1763" s="1" t="s">
        <v>199</v>
      </c>
      <c r="E1763" s="1" t="s">
        <v>838</v>
      </c>
      <c r="H1763" s="1" t="s">
        <v>22</v>
      </c>
      <c r="I1763" s="1" t="s">
        <v>23</v>
      </c>
      <c r="L1763" s="1">
        <v>1</v>
      </c>
      <c r="M1763" s="1">
        <v>0.9</v>
      </c>
    </row>
    <row r="1764" spans="4:13">
      <c r="D1764" s="1" t="s">
        <v>199</v>
      </c>
      <c r="E1764" s="1" t="s">
        <v>839</v>
      </c>
      <c r="H1764" s="1" t="s">
        <v>22</v>
      </c>
      <c r="I1764" s="1" t="s">
        <v>23</v>
      </c>
      <c r="L1764" s="1">
        <v>1</v>
      </c>
      <c r="M1764" s="1">
        <v>0.9</v>
      </c>
    </row>
    <row r="1765" spans="4:13">
      <c r="D1765" s="1" t="s">
        <v>199</v>
      </c>
      <c r="E1765" s="1" t="s">
        <v>840</v>
      </c>
      <c r="H1765" s="1" t="s">
        <v>22</v>
      </c>
      <c r="I1765" s="1" t="s">
        <v>23</v>
      </c>
      <c r="L1765" s="1">
        <v>1</v>
      </c>
      <c r="M1765" s="1">
        <v>1</v>
      </c>
    </row>
    <row r="1766" spans="4:13">
      <c r="D1766" s="1" t="s">
        <v>199</v>
      </c>
      <c r="E1766" s="1" t="s">
        <v>841</v>
      </c>
      <c r="H1766" s="1" t="s">
        <v>22</v>
      </c>
      <c r="I1766" s="1" t="s">
        <v>23</v>
      </c>
      <c r="L1766" s="1">
        <v>1</v>
      </c>
      <c r="M1766" s="1">
        <v>1</v>
      </c>
    </row>
    <row r="1767" spans="4:13">
      <c r="D1767" s="1" t="s">
        <v>199</v>
      </c>
      <c r="E1767" s="1" t="s">
        <v>842</v>
      </c>
      <c r="H1767" s="1" t="s">
        <v>22</v>
      </c>
      <c r="I1767" s="1" t="s">
        <v>23</v>
      </c>
      <c r="L1767" s="1">
        <v>1</v>
      </c>
      <c r="M1767" s="1">
        <v>1</v>
      </c>
    </row>
    <row r="1768" spans="4:13">
      <c r="D1768" s="1" t="s">
        <v>199</v>
      </c>
      <c r="E1768" s="1" t="s">
        <v>843</v>
      </c>
      <c r="H1768" s="1" t="s">
        <v>22</v>
      </c>
      <c r="I1768" s="1" t="s">
        <v>23</v>
      </c>
      <c r="L1768" s="1">
        <v>1</v>
      </c>
      <c r="M1768" s="1">
        <v>1</v>
      </c>
    </row>
    <row r="1769" spans="4:13">
      <c r="D1769" s="1" t="s">
        <v>199</v>
      </c>
      <c r="E1769" s="1" t="s">
        <v>844</v>
      </c>
      <c r="H1769" s="1" t="s">
        <v>22</v>
      </c>
      <c r="I1769" s="1" t="s">
        <v>23</v>
      </c>
      <c r="L1769" s="1">
        <v>1</v>
      </c>
      <c r="M1769" s="1">
        <v>1.1000000000000001</v>
      </c>
    </row>
    <row r="1770" spans="4:13">
      <c r="D1770" s="1" t="s">
        <v>199</v>
      </c>
      <c r="E1770" s="1" t="s">
        <v>845</v>
      </c>
      <c r="H1770" s="1" t="s">
        <v>22</v>
      </c>
      <c r="I1770" s="1" t="s">
        <v>23</v>
      </c>
      <c r="L1770" s="1">
        <v>1</v>
      </c>
      <c r="M1770" s="1">
        <v>1.1000000000000001</v>
      </c>
    </row>
    <row r="1771" spans="4:13">
      <c r="D1771" s="1" t="s">
        <v>199</v>
      </c>
      <c r="E1771" s="1" t="s">
        <v>846</v>
      </c>
      <c r="H1771" s="1" t="s">
        <v>22</v>
      </c>
      <c r="I1771" s="1" t="s">
        <v>23</v>
      </c>
      <c r="L1771" s="1">
        <v>1</v>
      </c>
      <c r="M1771" s="1">
        <v>1.1000000000000001</v>
      </c>
    </row>
    <row r="1772" spans="4:13">
      <c r="D1772" s="1" t="s">
        <v>199</v>
      </c>
      <c r="E1772" s="1" t="s">
        <v>847</v>
      </c>
      <c r="H1772" s="1" t="s">
        <v>22</v>
      </c>
      <c r="I1772" s="1" t="s">
        <v>23</v>
      </c>
      <c r="L1772" s="1">
        <v>1</v>
      </c>
      <c r="M1772" s="1">
        <v>1.1000000000000001</v>
      </c>
    </row>
    <row r="1773" spans="4:13">
      <c r="D1773" s="1" t="s">
        <v>199</v>
      </c>
      <c r="E1773" s="1" t="s">
        <v>848</v>
      </c>
      <c r="H1773" s="1" t="s">
        <v>22</v>
      </c>
      <c r="I1773" s="1" t="s">
        <v>23</v>
      </c>
      <c r="L1773" s="1">
        <v>1</v>
      </c>
      <c r="M1773" s="1">
        <v>1.1000000000000001</v>
      </c>
    </row>
    <row r="1774" spans="4:13">
      <c r="D1774" s="1" t="s">
        <v>199</v>
      </c>
      <c r="E1774" s="1" t="s">
        <v>849</v>
      </c>
      <c r="H1774" s="1" t="s">
        <v>22</v>
      </c>
      <c r="I1774" s="1" t="s">
        <v>23</v>
      </c>
      <c r="L1774" s="1">
        <v>1</v>
      </c>
      <c r="M1774" s="1">
        <v>1.1000000000000001</v>
      </c>
    </row>
    <row r="1775" spans="4:13">
      <c r="D1775" s="1" t="s">
        <v>199</v>
      </c>
      <c r="E1775" s="1" t="s">
        <v>850</v>
      </c>
      <c r="H1775" s="1" t="s">
        <v>22</v>
      </c>
      <c r="I1775" s="1" t="s">
        <v>23</v>
      </c>
      <c r="L1775" s="1">
        <v>1</v>
      </c>
      <c r="M1775" s="1">
        <v>1.2</v>
      </c>
    </row>
    <row r="1776" spans="4:13">
      <c r="D1776" s="1" t="s">
        <v>199</v>
      </c>
      <c r="E1776" s="1" t="s">
        <v>851</v>
      </c>
      <c r="H1776" s="1" t="s">
        <v>22</v>
      </c>
      <c r="I1776" s="1" t="s">
        <v>23</v>
      </c>
      <c r="L1776" s="1">
        <v>1</v>
      </c>
      <c r="M1776" s="1">
        <v>1.2</v>
      </c>
    </row>
    <row r="1777" spans="4:13">
      <c r="D1777" s="1" t="s">
        <v>199</v>
      </c>
      <c r="E1777" s="1" t="s">
        <v>852</v>
      </c>
      <c r="H1777" s="1" t="s">
        <v>22</v>
      </c>
      <c r="I1777" s="1" t="s">
        <v>23</v>
      </c>
      <c r="L1777" s="1">
        <v>1</v>
      </c>
      <c r="M1777" s="1">
        <v>1.2</v>
      </c>
    </row>
    <row r="1778" spans="4:13">
      <c r="D1778" s="1" t="s">
        <v>199</v>
      </c>
      <c r="E1778" s="1" t="s">
        <v>853</v>
      </c>
      <c r="H1778" s="1" t="s">
        <v>22</v>
      </c>
      <c r="I1778" s="1" t="s">
        <v>23</v>
      </c>
      <c r="L1778" s="1">
        <v>1</v>
      </c>
      <c r="M1778" s="1">
        <v>1.2</v>
      </c>
    </row>
    <row r="1779" spans="4:13">
      <c r="D1779" s="1" t="s">
        <v>199</v>
      </c>
      <c r="E1779" s="1" t="s">
        <v>854</v>
      </c>
      <c r="H1779" s="1" t="s">
        <v>22</v>
      </c>
      <c r="I1779" s="1" t="s">
        <v>23</v>
      </c>
      <c r="L1779" s="1">
        <v>1</v>
      </c>
      <c r="M1779" s="1">
        <v>1.2</v>
      </c>
    </row>
    <row r="1780" spans="4:13">
      <c r="D1780" s="1" t="s">
        <v>199</v>
      </c>
      <c r="E1780" s="1" t="s">
        <v>855</v>
      </c>
      <c r="H1780" s="1" t="s">
        <v>22</v>
      </c>
      <c r="I1780" s="1" t="s">
        <v>23</v>
      </c>
      <c r="L1780" s="1">
        <v>1</v>
      </c>
      <c r="M1780" s="1">
        <v>1.3</v>
      </c>
    </row>
    <row r="1781" spans="4:13">
      <c r="D1781" s="1" t="s">
        <v>199</v>
      </c>
      <c r="E1781" s="1" t="s">
        <v>856</v>
      </c>
      <c r="H1781" s="1" t="s">
        <v>22</v>
      </c>
      <c r="I1781" s="1" t="s">
        <v>23</v>
      </c>
      <c r="L1781" s="1">
        <v>1</v>
      </c>
      <c r="M1781" s="1">
        <v>1.3</v>
      </c>
    </row>
    <row r="1782" spans="4:13">
      <c r="D1782" s="1" t="s">
        <v>199</v>
      </c>
      <c r="E1782" s="1" t="s">
        <v>857</v>
      </c>
      <c r="H1782" s="1" t="s">
        <v>22</v>
      </c>
      <c r="I1782" s="1" t="s">
        <v>23</v>
      </c>
      <c r="L1782" s="1">
        <v>1</v>
      </c>
      <c r="M1782" s="1">
        <v>1.4</v>
      </c>
    </row>
    <row r="1783" spans="4:13">
      <c r="D1783" s="1" t="s">
        <v>199</v>
      </c>
      <c r="E1783" s="1" t="s">
        <v>858</v>
      </c>
      <c r="H1783" s="1" t="s">
        <v>22</v>
      </c>
      <c r="I1783" s="1" t="s">
        <v>23</v>
      </c>
      <c r="L1783" s="1">
        <v>1</v>
      </c>
      <c r="M1783" s="1">
        <v>1.4</v>
      </c>
    </row>
    <row r="1784" spans="4:13">
      <c r="D1784" s="1" t="s">
        <v>199</v>
      </c>
      <c r="E1784" s="1" t="s">
        <v>859</v>
      </c>
      <c r="H1784" s="1" t="s">
        <v>22</v>
      </c>
      <c r="I1784" s="1" t="s">
        <v>23</v>
      </c>
      <c r="L1784" s="1">
        <v>1</v>
      </c>
      <c r="M1784" s="1">
        <v>1.4</v>
      </c>
    </row>
    <row r="1785" spans="4:13">
      <c r="D1785" s="1" t="s">
        <v>199</v>
      </c>
      <c r="E1785" s="1" t="s">
        <v>860</v>
      </c>
      <c r="H1785" s="1" t="s">
        <v>22</v>
      </c>
      <c r="I1785" s="1" t="s">
        <v>23</v>
      </c>
      <c r="L1785" s="1">
        <v>1</v>
      </c>
      <c r="M1785" s="1">
        <v>1.4</v>
      </c>
    </row>
    <row r="1786" spans="4:13">
      <c r="D1786" s="1" t="s">
        <v>199</v>
      </c>
      <c r="E1786" s="1" t="s">
        <v>861</v>
      </c>
      <c r="H1786" s="1" t="s">
        <v>22</v>
      </c>
      <c r="I1786" s="1" t="s">
        <v>23</v>
      </c>
      <c r="L1786" s="1">
        <v>1</v>
      </c>
      <c r="M1786" s="1">
        <v>1.4</v>
      </c>
    </row>
    <row r="1787" spans="4:13">
      <c r="D1787" s="1" t="s">
        <v>199</v>
      </c>
      <c r="E1787" s="1" t="s">
        <v>862</v>
      </c>
      <c r="H1787" s="1" t="s">
        <v>22</v>
      </c>
      <c r="I1787" s="1" t="s">
        <v>23</v>
      </c>
      <c r="L1787" s="1">
        <v>1</v>
      </c>
      <c r="M1787" s="1">
        <v>1.4</v>
      </c>
    </row>
    <row r="1788" spans="4:13">
      <c r="D1788" s="1" t="s">
        <v>199</v>
      </c>
      <c r="E1788" s="1" t="s">
        <v>863</v>
      </c>
      <c r="H1788" s="1" t="s">
        <v>22</v>
      </c>
      <c r="I1788" s="1" t="s">
        <v>23</v>
      </c>
      <c r="L1788" s="1">
        <v>1</v>
      </c>
      <c r="M1788" s="1">
        <v>1.4</v>
      </c>
    </row>
    <row r="1789" spans="4:13">
      <c r="D1789" s="1" t="s">
        <v>199</v>
      </c>
      <c r="E1789" s="1" t="s">
        <v>864</v>
      </c>
      <c r="H1789" s="1" t="s">
        <v>22</v>
      </c>
      <c r="I1789" s="1" t="s">
        <v>23</v>
      </c>
      <c r="L1789" s="1">
        <v>1</v>
      </c>
      <c r="M1789" s="1">
        <v>1.5</v>
      </c>
    </row>
    <row r="1790" spans="4:13">
      <c r="D1790" s="1" t="s">
        <v>199</v>
      </c>
      <c r="E1790" s="1" t="s">
        <v>865</v>
      </c>
      <c r="H1790" s="1" t="s">
        <v>22</v>
      </c>
      <c r="I1790" s="1" t="s">
        <v>23</v>
      </c>
      <c r="L1790" s="1">
        <v>1</v>
      </c>
      <c r="M1790" s="1">
        <v>1.5</v>
      </c>
    </row>
    <row r="1791" spans="4:13">
      <c r="D1791" s="1" t="s">
        <v>199</v>
      </c>
      <c r="E1791" s="1" t="s">
        <v>866</v>
      </c>
      <c r="H1791" s="1" t="s">
        <v>22</v>
      </c>
      <c r="I1791" s="1" t="s">
        <v>23</v>
      </c>
      <c r="L1791" s="1">
        <v>1</v>
      </c>
      <c r="M1791" s="1">
        <v>1.5</v>
      </c>
    </row>
    <row r="1792" spans="4:13">
      <c r="D1792" s="1" t="s">
        <v>199</v>
      </c>
      <c r="E1792" s="1" t="s">
        <v>867</v>
      </c>
      <c r="H1792" s="1" t="s">
        <v>22</v>
      </c>
      <c r="I1792" s="1" t="s">
        <v>23</v>
      </c>
      <c r="L1792" s="1">
        <v>1</v>
      </c>
      <c r="M1792" s="1">
        <v>1.5</v>
      </c>
    </row>
    <row r="1793" spans="4:13">
      <c r="D1793" s="1" t="s">
        <v>199</v>
      </c>
      <c r="E1793" s="1" t="s">
        <v>868</v>
      </c>
      <c r="H1793" s="1" t="s">
        <v>22</v>
      </c>
      <c r="I1793" s="1" t="s">
        <v>23</v>
      </c>
      <c r="L1793" s="1">
        <v>1</v>
      </c>
      <c r="M1793" s="1">
        <v>1.5</v>
      </c>
    </row>
    <row r="1794" spans="4:13">
      <c r="D1794" s="1" t="s">
        <v>199</v>
      </c>
      <c r="E1794" s="1" t="s">
        <v>869</v>
      </c>
      <c r="H1794" s="1" t="s">
        <v>22</v>
      </c>
      <c r="I1794" s="1" t="s">
        <v>23</v>
      </c>
      <c r="L1794" s="1">
        <v>1</v>
      </c>
      <c r="M1794" s="1">
        <v>1.5</v>
      </c>
    </row>
    <row r="1795" spans="4:13">
      <c r="D1795" s="1" t="s">
        <v>199</v>
      </c>
      <c r="E1795" s="1" t="s">
        <v>870</v>
      </c>
      <c r="H1795" s="1" t="s">
        <v>22</v>
      </c>
      <c r="I1795" s="1" t="s">
        <v>23</v>
      </c>
      <c r="L1795" s="1">
        <v>1</v>
      </c>
      <c r="M1795" s="1">
        <v>1.5</v>
      </c>
    </row>
    <row r="1796" spans="4:13">
      <c r="D1796" s="1" t="s">
        <v>199</v>
      </c>
      <c r="E1796" s="1" t="s">
        <v>871</v>
      </c>
      <c r="H1796" s="1" t="s">
        <v>25</v>
      </c>
      <c r="I1796" s="1" t="s">
        <v>23</v>
      </c>
      <c r="M1796" s="1" t="b">
        <v>1</v>
      </c>
    </row>
    <row r="1797" spans="4:13">
      <c r="D1797" s="1" t="s">
        <v>199</v>
      </c>
      <c r="E1797" s="1" t="s">
        <v>872</v>
      </c>
      <c r="F1797" s="1" t="s">
        <v>147</v>
      </c>
      <c r="G1797" s="1" t="s">
        <v>148</v>
      </c>
      <c r="H1797" s="1" t="s">
        <v>22</v>
      </c>
      <c r="I1797" s="1" t="s">
        <v>23</v>
      </c>
      <c r="J1797" s="1">
        <v>0</v>
      </c>
      <c r="K1797" s="1">
        <v>34121416.351331003</v>
      </c>
      <c r="L1797" s="1">
        <v>3.4121416351331</v>
      </c>
      <c r="M1797" s="1">
        <v>1706.07081756655</v>
      </c>
    </row>
    <row r="1798" spans="4:13">
      <c r="D1798" s="1" t="s">
        <v>199</v>
      </c>
      <c r="E1798" s="1" t="s">
        <v>873</v>
      </c>
      <c r="F1798" s="1" t="s">
        <v>874</v>
      </c>
      <c r="G1798" s="1" t="s">
        <v>874</v>
      </c>
      <c r="H1798" s="1" t="s">
        <v>22</v>
      </c>
      <c r="I1798" s="1" t="s">
        <v>23</v>
      </c>
      <c r="L1798" s="1">
        <v>1</v>
      </c>
      <c r="M1798" s="1">
        <v>6000</v>
      </c>
    </row>
    <row r="1799" spans="4:13">
      <c r="D1799" s="1" t="s">
        <v>199</v>
      </c>
      <c r="E1799" s="1" t="s">
        <v>875</v>
      </c>
      <c r="H1799" s="1" t="s">
        <v>63</v>
      </c>
      <c r="I1799" s="1" t="s">
        <v>23</v>
      </c>
      <c r="M1799" s="1">
        <v>0</v>
      </c>
    </row>
    <row r="1800" spans="4:13">
      <c r="D1800" s="1" t="s">
        <v>199</v>
      </c>
      <c r="E1800" s="1" t="s">
        <v>876</v>
      </c>
      <c r="H1800" s="1" t="s">
        <v>22</v>
      </c>
      <c r="I1800" s="1" t="s">
        <v>29</v>
      </c>
      <c r="J1800" s="1">
        <v>0</v>
      </c>
      <c r="K1800" s="1">
        <v>3</v>
      </c>
      <c r="L1800" s="1">
        <v>1</v>
      </c>
    </row>
    <row r="1801" spans="4:13">
      <c r="D1801" s="1" t="s">
        <v>199</v>
      </c>
      <c r="E1801" s="1" t="s">
        <v>877</v>
      </c>
      <c r="H1801" s="1" t="s">
        <v>22</v>
      </c>
      <c r="I1801" s="1" t="s">
        <v>23</v>
      </c>
      <c r="J1801" s="1">
        <v>0</v>
      </c>
      <c r="K1801" s="1">
        <v>3</v>
      </c>
      <c r="L1801" s="1">
        <v>1</v>
      </c>
      <c r="M1801" s="1">
        <v>1.05</v>
      </c>
    </row>
    <row r="1802" spans="4:13">
      <c r="D1802" s="1" t="s">
        <v>199</v>
      </c>
      <c r="E1802" s="1" t="s">
        <v>878</v>
      </c>
      <c r="F1802" s="1" t="s">
        <v>879</v>
      </c>
      <c r="G1802" s="1" t="s">
        <v>880</v>
      </c>
      <c r="H1802" s="1" t="s">
        <v>22</v>
      </c>
      <c r="I1802" s="1" t="s">
        <v>29</v>
      </c>
      <c r="J1802" s="1">
        <v>0</v>
      </c>
      <c r="K1802" s="1">
        <v>107.6391041670972</v>
      </c>
      <c r="L1802" s="1">
        <v>0.10763910416709721</v>
      </c>
    </row>
    <row r="1803" spans="4:13">
      <c r="D1803" s="1" t="s">
        <v>199</v>
      </c>
      <c r="E1803" s="1" t="s">
        <v>881</v>
      </c>
      <c r="F1803" s="1" t="s">
        <v>879</v>
      </c>
      <c r="G1803" s="1" t="s">
        <v>880</v>
      </c>
      <c r="H1803" s="1" t="s">
        <v>22</v>
      </c>
      <c r="I1803" s="1" t="s">
        <v>29</v>
      </c>
      <c r="J1803" s="1">
        <v>0</v>
      </c>
      <c r="K1803" s="1">
        <v>107.6391041670972</v>
      </c>
      <c r="L1803" s="1">
        <v>0.10763910416709721</v>
      </c>
    </row>
    <row r="1804" spans="4:13">
      <c r="D1804" s="1" t="s">
        <v>199</v>
      </c>
      <c r="E1804" s="1" t="s">
        <v>882</v>
      </c>
      <c r="H1804" s="1" t="s">
        <v>22</v>
      </c>
      <c r="I1804" s="1" t="s">
        <v>29</v>
      </c>
      <c r="L1804" s="1">
        <v>1</v>
      </c>
    </row>
    <row r="1805" spans="4:13">
      <c r="D1805" s="1" t="s">
        <v>199</v>
      </c>
      <c r="E1805" s="1" t="s">
        <v>883</v>
      </c>
      <c r="H1805" s="1" t="s">
        <v>22</v>
      </c>
      <c r="I1805" s="1" t="s">
        <v>29</v>
      </c>
      <c r="L1805" s="1">
        <v>1</v>
      </c>
    </row>
    <row r="1806" spans="4:13">
      <c r="D1806" s="1" t="s">
        <v>199</v>
      </c>
      <c r="E1806" s="1" t="s">
        <v>884</v>
      </c>
      <c r="H1806" s="1" t="s">
        <v>22</v>
      </c>
      <c r="I1806" s="1" t="s">
        <v>29</v>
      </c>
      <c r="L1806" s="1">
        <v>1</v>
      </c>
    </row>
    <row r="1807" spans="4:13">
      <c r="D1807" s="1" t="s">
        <v>199</v>
      </c>
      <c r="E1807" s="1" t="s">
        <v>885</v>
      </c>
      <c r="H1807" s="1" t="s">
        <v>22</v>
      </c>
      <c r="I1807" s="1" t="s">
        <v>29</v>
      </c>
      <c r="L1807" s="1">
        <v>1</v>
      </c>
    </row>
    <row r="1808" spans="4:13">
      <c r="D1808" s="1" t="s">
        <v>199</v>
      </c>
      <c r="E1808" s="1" t="s">
        <v>886</v>
      </c>
      <c r="F1808" s="1" t="s">
        <v>45</v>
      </c>
      <c r="G1808" s="1" t="s">
        <v>46</v>
      </c>
      <c r="H1808" s="1" t="s">
        <v>22</v>
      </c>
      <c r="I1808" s="1" t="s">
        <v>29</v>
      </c>
      <c r="J1808" s="1">
        <v>-6.3932502128443591</v>
      </c>
      <c r="K1808" s="1">
        <v>358.61435929656</v>
      </c>
      <c r="L1808" s="1">
        <v>114.79148749423418</v>
      </c>
    </row>
    <row r="1809" spans="4:13">
      <c r="D1809" s="1" t="s">
        <v>199</v>
      </c>
      <c r="E1809" s="1" t="s">
        <v>887</v>
      </c>
      <c r="F1809" s="1" t="s">
        <v>45</v>
      </c>
      <c r="G1809" s="1" t="s">
        <v>46</v>
      </c>
      <c r="H1809" s="1" t="s">
        <v>22</v>
      </c>
      <c r="I1809" s="1" t="s">
        <v>29</v>
      </c>
      <c r="J1809" s="1">
        <v>-6.3932502128443591</v>
      </c>
      <c r="K1809" s="1">
        <v>358.61435929656</v>
      </c>
      <c r="L1809" s="1">
        <v>114.79148749423418</v>
      </c>
    </row>
    <row r="1810" spans="4:13">
      <c r="D1810" s="1" t="s">
        <v>199</v>
      </c>
      <c r="E1810" s="1" t="s">
        <v>888</v>
      </c>
      <c r="F1810" s="1" t="s">
        <v>45</v>
      </c>
      <c r="G1810" s="1" t="s">
        <v>46</v>
      </c>
      <c r="H1810" s="1" t="s">
        <v>22</v>
      </c>
      <c r="I1810" s="1" t="s">
        <v>29</v>
      </c>
      <c r="J1810" s="1">
        <v>-6.3932502128443591</v>
      </c>
      <c r="K1810" s="1">
        <v>358.61435929656</v>
      </c>
      <c r="L1810" s="1">
        <v>114.79148749423418</v>
      </c>
    </row>
    <row r="1811" spans="4:13">
      <c r="D1811" s="1" t="s">
        <v>199</v>
      </c>
      <c r="E1811" s="1" t="s">
        <v>889</v>
      </c>
      <c r="F1811" s="1" t="s">
        <v>52</v>
      </c>
      <c r="G1811" s="1" t="s">
        <v>53</v>
      </c>
      <c r="H1811" s="1" t="s">
        <v>22</v>
      </c>
      <c r="I1811" s="1" t="s">
        <v>29</v>
      </c>
      <c r="J1811" s="1">
        <v>-7936641438.6555996</v>
      </c>
      <c r="K1811" s="1">
        <v>7936641438.6555996</v>
      </c>
      <c r="L1811" s="1">
        <v>7936.6414386555998</v>
      </c>
    </row>
    <row r="1812" spans="4:13">
      <c r="D1812" s="1" t="s">
        <v>199</v>
      </c>
      <c r="E1812" s="1" t="s">
        <v>890</v>
      </c>
      <c r="F1812" s="1" t="s">
        <v>56</v>
      </c>
      <c r="G1812" s="1" t="s">
        <v>57</v>
      </c>
      <c r="H1812" s="1" t="s">
        <v>22</v>
      </c>
      <c r="I1812" s="1" t="s">
        <v>29</v>
      </c>
      <c r="J1812" s="1">
        <v>4.9312830828271128</v>
      </c>
      <c r="K1812" s="1">
        <v>623.66227223989961</v>
      </c>
      <c r="L1812" s="1">
        <v>50.713895374744951</v>
      </c>
    </row>
    <row r="1813" spans="4:13">
      <c r="D1813" s="1" t="s">
        <v>199</v>
      </c>
      <c r="E1813" s="1" t="s">
        <v>891</v>
      </c>
      <c r="F1813" s="1" t="s">
        <v>56</v>
      </c>
      <c r="G1813" s="1" t="s">
        <v>57</v>
      </c>
      <c r="H1813" s="1" t="s">
        <v>22</v>
      </c>
      <c r="I1813" s="1" t="s">
        <v>29</v>
      </c>
      <c r="J1813" s="1">
        <v>4.9312830828271128</v>
      </c>
      <c r="K1813" s="1">
        <v>623.66227223989961</v>
      </c>
      <c r="L1813" s="1">
        <v>50.713895374744951</v>
      </c>
    </row>
    <row r="1814" spans="4:13">
      <c r="D1814" s="1" t="s">
        <v>199</v>
      </c>
      <c r="E1814" s="1" t="s">
        <v>892</v>
      </c>
      <c r="H1814" s="1" t="s">
        <v>22</v>
      </c>
      <c r="I1814" s="1" t="s">
        <v>23</v>
      </c>
      <c r="J1814" s="1">
        <v>0.5</v>
      </c>
      <c r="K1814" s="1">
        <v>2</v>
      </c>
      <c r="L1814" s="1">
        <v>1</v>
      </c>
      <c r="M1814" s="1">
        <v>1</v>
      </c>
    </row>
    <row r="1815" spans="4:13">
      <c r="D1815" s="1" t="s">
        <v>199</v>
      </c>
      <c r="E1815" s="1" t="s">
        <v>893</v>
      </c>
      <c r="H1815" s="1" t="s">
        <v>25</v>
      </c>
      <c r="I1815" s="1" t="s">
        <v>23</v>
      </c>
      <c r="M1815" s="1" t="b">
        <v>0</v>
      </c>
    </row>
    <row r="1816" spans="4:13">
      <c r="D1816" s="1" t="s">
        <v>199</v>
      </c>
      <c r="E1816" s="1" t="s">
        <v>894</v>
      </c>
      <c r="H1816" s="1" t="s">
        <v>22</v>
      </c>
      <c r="I1816" s="1" t="s">
        <v>23</v>
      </c>
      <c r="J1816" s="1">
        <v>0.5</v>
      </c>
      <c r="K1816" s="1">
        <v>2</v>
      </c>
      <c r="L1816" s="1">
        <v>1</v>
      </c>
      <c r="M1816" s="1">
        <v>1</v>
      </c>
    </row>
    <row r="1817" spans="4:13">
      <c r="D1817" s="1" t="s">
        <v>199</v>
      </c>
      <c r="E1817" s="1" t="s">
        <v>895</v>
      </c>
      <c r="H1817" s="1" t="s">
        <v>25</v>
      </c>
      <c r="I1817" s="1" t="s">
        <v>23</v>
      </c>
      <c r="M1817" s="1" t="b">
        <v>0</v>
      </c>
    </row>
    <row r="1818" spans="4:13">
      <c r="D1818" s="1" t="s">
        <v>199</v>
      </c>
      <c r="E1818" s="1" t="s">
        <v>896</v>
      </c>
      <c r="H1818" s="1" t="s">
        <v>22</v>
      </c>
      <c r="I1818" s="1" t="s">
        <v>23</v>
      </c>
      <c r="J1818" s="1">
        <v>0.5</v>
      </c>
      <c r="K1818" s="1">
        <v>2</v>
      </c>
      <c r="L1818" s="1">
        <v>1</v>
      </c>
      <c r="M1818" s="1">
        <v>1</v>
      </c>
    </row>
    <row r="1819" spans="4:13">
      <c r="D1819" s="1" t="s">
        <v>199</v>
      </c>
      <c r="E1819" s="1" t="s">
        <v>897</v>
      </c>
      <c r="H1819" s="1" t="s">
        <v>25</v>
      </c>
      <c r="I1819" s="1" t="s">
        <v>23</v>
      </c>
      <c r="M1819" s="1" t="b">
        <v>1</v>
      </c>
    </row>
    <row r="1820" spans="4:13">
      <c r="D1820" s="1" t="s">
        <v>199</v>
      </c>
      <c r="E1820" s="1" t="s">
        <v>898</v>
      </c>
      <c r="H1820" s="1" t="s">
        <v>22</v>
      </c>
      <c r="I1820" s="1" t="s">
        <v>23</v>
      </c>
      <c r="L1820" s="1">
        <v>1</v>
      </c>
      <c r="M1820" s="1">
        <v>1.1172202</v>
      </c>
    </row>
    <row r="1821" spans="4:13">
      <c r="D1821" s="1" t="s">
        <v>199</v>
      </c>
      <c r="E1821" s="1" t="s">
        <v>899</v>
      </c>
      <c r="H1821" s="1" t="s">
        <v>22</v>
      </c>
      <c r="I1821" s="1" t="s">
        <v>23</v>
      </c>
      <c r="L1821" s="1">
        <v>1</v>
      </c>
      <c r="M1821" s="1">
        <v>0.87132120000000002</v>
      </c>
    </row>
    <row r="1822" spans="4:13">
      <c r="D1822" s="1" t="s">
        <v>199</v>
      </c>
      <c r="E1822" s="1" t="s">
        <v>900</v>
      </c>
      <c r="H1822" s="1" t="s">
        <v>22</v>
      </c>
      <c r="I1822" s="1" t="s">
        <v>23</v>
      </c>
      <c r="L1822" s="1">
        <v>1</v>
      </c>
      <c r="M1822" s="1">
        <v>1.0089676999999999</v>
      </c>
    </row>
    <row r="1823" spans="4:13">
      <c r="D1823" s="1" t="s">
        <v>199</v>
      </c>
      <c r="E1823" s="1" t="s">
        <v>901</v>
      </c>
      <c r="H1823" s="1" t="s">
        <v>22</v>
      </c>
      <c r="I1823" s="1" t="s">
        <v>23</v>
      </c>
      <c r="L1823" s="1">
        <v>1</v>
      </c>
      <c r="M1823" s="1">
        <v>0.98033800000000004</v>
      </c>
    </row>
    <row r="1824" spans="4:13">
      <c r="D1824" s="1" t="s">
        <v>199</v>
      </c>
      <c r="E1824" s="1" t="s">
        <v>902</v>
      </c>
      <c r="H1824" s="1" t="s">
        <v>22</v>
      </c>
      <c r="I1824" s="1" t="s">
        <v>23</v>
      </c>
      <c r="L1824" s="1">
        <v>1</v>
      </c>
      <c r="M1824" s="1">
        <v>0.60685299999999998</v>
      </c>
    </row>
    <row r="1825" spans="4:13">
      <c r="D1825" s="1" t="s">
        <v>199</v>
      </c>
      <c r="E1825" s="1" t="s">
        <v>903</v>
      </c>
      <c r="H1825" s="1" t="s">
        <v>22</v>
      </c>
      <c r="I1825" s="1" t="s">
        <v>23</v>
      </c>
      <c r="L1825" s="1">
        <v>1</v>
      </c>
      <c r="M1825" s="1">
        <v>0.65223129999999996</v>
      </c>
    </row>
    <row r="1826" spans="4:13">
      <c r="D1826" s="1" t="s">
        <v>199</v>
      </c>
      <c r="E1826" s="1" t="s">
        <v>904</v>
      </c>
      <c r="H1826" s="1" t="s">
        <v>22</v>
      </c>
      <c r="I1826" s="1" t="s">
        <v>23</v>
      </c>
      <c r="L1826" s="1">
        <v>1</v>
      </c>
      <c r="M1826" s="1">
        <v>-0.13990669999999999</v>
      </c>
    </row>
    <row r="1827" spans="4:13">
      <c r="D1827" s="1" t="s">
        <v>199</v>
      </c>
      <c r="E1827" s="1" t="s">
        <v>905</v>
      </c>
      <c r="H1827" s="1" t="s">
        <v>22</v>
      </c>
      <c r="I1827" s="1" t="s">
        <v>23</v>
      </c>
      <c r="L1827" s="1">
        <v>1</v>
      </c>
      <c r="M1827" s="1">
        <v>-0.18227769999999999</v>
      </c>
    </row>
    <row r="1828" spans="4:13">
      <c r="D1828" s="1" t="s">
        <v>199</v>
      </c>
      <c r="E1828" s="1" t="s">
        <v>906</v>
      </c>
      <c r="H1828" s="1" t="s">
        <v>22</v>
      </c>
      <c r="I1828" s="1" t="s">
        <v>23</v>
      </c>
      <c r="J1828" s="1">
        <v>0.5</v>
      </c>
      <c r="K1828" s="1">
        <v>2</v>
      </c>
      <c r="L1828" s="1">
        <v>1</v>
      </c>
      <c r="M1828" s="1">
        <v>1</v>
      </c>
    </row>
    <row r="1829" spans="4:13">
      <c r="D1829" s="1" t="s">
        <v>199</v>
      </c>
      <c r="E1829" s="1" t="s">
        <v>907</v>
      </c>
      <c r="H1829" s="1" t="s">
        <v>25</v>
      </c>
      <c r="I1829" s="1" t="s">
        <v>23</v>
      </c>
      <c r="M1829" s="1" t="b">
        <v>1</v>
      </c>
    </row>
    <row r="1830" spans="4:13">
      <c r="D1830" s="1" t="s">
        <v>199</v>
      </c>
      <c r="E1830" s="1" t="s">
        <v>908</v>
      </c>
      <c r="H1830" s="1" t="s">
        <v>22</v>
      </c>
      <c r="I1830" s="1" t="s">
        <v>29</v>
      </c>
      <c r="J1830" s="1">
        <v>0.1</v>
      </c>
      <c r="K1830" s="1">
        <v>10</v>
      </c>
      <c r="L1830" s="1">
        <v>5.05</v>
      </c>
    </row>
    <row r="1831" spans="4:13">
      <c r="D1831" s="1" t="s">
        <v>199</v>
      </c>
      <c r="E1831" s="1" t="s">
        <v>909</v>
      </c>
      <c r="H1831" s="1" t="s">
        <v>22</v>
      </c>
      <c r="I1831" s="1" t="s">
        <v>29</v>
      </c>
      <c r="J1831" s="1">
        <v>0.1</v>
      </c>
      <c r="K1831" s="1">
        <v>10</v>
      </c>
      <c r="L1831" s="1">
        <v>5.05</v>
      </c>
    </row>
    <row r="1832" spans="4:13">
      <c r="D1832" s="1" t="s">
        <v>199</v>
      </c>
      <c r="E1832" s="1" t="s">
        <v>910</v>
      </c>
      <c r="H1832" s="1" t="s">
        <v>22</v>
      </c>
      <c r="I1832" s="1" t="s">
        <v>29</v>
      </c>
      <c r="J1832" s="1">
        <v>0.1</v>
      </c>
      <c r="K1832" s="1">
        <v>10</v>
      </c>
      <c r="L1832" s="1">
        <v>5.05</v>
      </c>
    </row>
    <row r="1833" spans="4:13">
      <c r="D1833" s="1" t="s">
        <v>199</v>
      </c>
      <c r="E1833" s="1" t="s">
        <v>911</v>
      </c>
      <c r="H1833" s="1" t="s">
        <v>22</v>
      </c>
      <c r="I1833" s="1" t="s">
        <v>29</v>
      </c>
      <c r="J1833" s="1">
        <v>0.1</v>
      </c>
      <c r="K1833" s="1">
        <v>10</v>
      </c>
      <c r="L1833" s="1">
        <v>5.05</v>
      </c>
    </row>
    <row r="1834" spans="4:13">
      <c r="D1834" s="1" t="s">
        <v>199</v>
      </c>
      <c r="E1834" s="1" t="s">
        <v>912</v>
      </c>
      <c r="H1834" s="1" t="s">
        <v>22</v>
      </c>
      <c r="I1834" s="1" t="s">
        <v>29</v>
      </c>
      <c r="J1834" s="1">
        <v>0.1</v>
      </c>
      <c r="K1834" s="1">
        <v>10</v>
      </c>
      <c r="L1834" s="1">
        <v>5.05</v>
      </c>
    </row>
    <row r="1835" spans="4:13">
      <c r="D1835" s="1" t="s">
        <v>199</v>
      </c>
      <c r="E1835" s="1" t="s">
        <v>913</v>
      </c>
      <c r="H1835" s="1" t="s">
        <v>22</v>
      </c>
      <c r="I1835" s="1" t="s">
        <v>29</v>
      </c>
      <c r="J1835" s="1">
        <v>0.1</v>
      </c>
      <c r="K1835" s="1">
        <v>10</v>
      </c>
      <c r="L1835" s="1">
        <v>5.05</v>
      </c>
    </row>
    <row r="1836" spans="4:13">
      <c r="D1836" s="1" t="s">
        <v>199</v>
      </c>
      <c r="E1836" s="1" t="s">
        <v>914</v>
      </c>
      <c r="H1836" s="1" t="s">
        <v>22</v>
      </c>
      <c r="I1836" s="1" t="s">
        <v>29</v>
      </c>
      <c r="J1836" s="1">
        <v>0.1</v>
      </c>
      <c r="K1836" s="1">
        <v>10</v>
      </c>
      <c r="L1836" s="1">
        <v>5.05</v>
      </c>
    </row>
    <row r="1837" spans="4:13">
      <c r="D1837" s="1" t="s">
        <v>199</v>
      </c>
      <c r="E1837" s="1" t="s">
        <v>915</v>
      </c>
      <c r="H1837" s="1" t="s">
        <v>181</v>
      </c>
      <c r="I1837" s="1" t="s">
        <v>23</v>
      </c>
      <c r="J1837" s="1">
        <v>1</v>
      </c>
      <c r="K1837" s="1">
        <v>2</v>
      </c>
      <c r="M1837" s="1" t="s">
        <v>916</v>
      </c>
    </row>
    <row r="1838" spans="4:13">
      <c r="D1838" s="1" t="s">
        <v>199</v>
      </c>
      <c r="E1838" s="1" t="s">
        <v>917</v>
      </c>
      <c r="H1838" s="1" t="s">
        <v>22</v>
      </c>
      <c r="I1838" s="1" t="s">
        <v>23</v>
      </c>
      <c r="L1838" s="1">
        <v>1</v>
      </c>
      <c r="M1838" s="1">
        <v>9.9999999999999995E-7</v>
      </c>
    </row>
    <row r="1839" spans="4:13">
      <c r="D1839" s="1" t="s">
        <v>199</v>
      </c>
      <c r="E1839" s="1" t="s">
        <v>918</v>
      </c>
      <c r="H1839" s="1" t="s">
        <v>22</v>
      </c>
      <c r="I1839" s="1" t="s">
        <v>23</v>
      </c>
      <c r="L1839" s="1">
        <v>1</v>
      </c>
      <c r="M1839" s="1">
        <v>3.4856456179999999</v>
      </c>
    </row>
    <row r="1840" spans="4:13">
      <c r="D1840" s="1" t="s">
        <v>199</v>
      </c>
      <c r="E1840" s="1" t="s">
        <v>919</v>
      </c>
      <c r="H1840" s="1" t="s">
        <v>22</v>
      </c>
      <c r="I1840" s="1" t="s">
        <v>23</v>
      </c>
      <c r="L1840" s="1">
        <v>1</v>
      </c>
      <c r="M1840" s="1">
        <v>2.9632862709999999</v>
      </c>
    </row>
    <row r="1841" spans="4:13">
      <c r="D1841" s="1" t="s">
        <v>199</v>
      </c>
      <c r="E1841" s="1" t="s">
        <v>47</v>
      </c>
      <c r="H1841" s="1" t="s">
        <v>25</v>
      </c>
      <c r="I1841" s="1" t="s">
        <v>23</v>
      </c>
      <c r="M1841" s="1" t="b">
        <v>0</v>
      </c>
    </row>
    <row r="1842" spans="4:13">
      <c r="D1842" s="1" t="s">
        <v>199</v>
      </c>
      <c r="E1842" s="1" t="s">
        <v>920</v>
      </c>
      <c r="H1842" s="1" t="s">
        <v>22</v>
      </c>
      <c r="I1842" s="1" t="s">
        <v>23</v>
      </c>
      <c r="J1842" s="1">
        <v>-1</v>
      </c>
      <c r="K1842" s="1">
        <v>1</v>
      </c>
      <c r="L1842" s="1">
        <v>1</v>
      </c>
      <c r="M1842" s="1">
        <v>0</v>
      </c>
    </row>
    <row r="1843" spans="4:13">
      <c r="D1843" s="1" t="s">
        <v>199</v>
      </c>
      <c r="E1843" s="1" t="s">
        <v>921</v>
      </c>
      <c r="H1843" s="1" t="s">
        <v>22</v>
      </c>
      <c r="I1843" s="1" t="s">
        <v>23</v>
      </c>
      <c r="J1843" s="1">
        <v>-1</v>
      </c>
      <c r="K1843" s="1">
        <v>1</v>
      </c>
      <c r="L1843" s="1">
        <v>1</v>
      </c>
      <c r="M1843" s="1">
        <v>0</v>
      </c>
    </row>
    <row r="1844" spans="4:13">
      <c r="D1844" s="1" t="s">
        <v>199</v>
      </c>
      <c r="E1844" s="1" t="s">
        <v>922</v>
      </c>
      <c r="F1844" s="1" t="s">
        <v>56</v>
      </c>
      <c r="G1844" s="1" t="s">
        <v>57</v>
      </c>
      <c r="H1844" s="1" t="s">
        <v>22</v>
      </c>
      <c r="I1844" s="1" t="s">
        <v>29</v>
      </c>
      <c r="J1844" s="1">
        <v>4.9312830828271128</v>
      </c>
      <c r="K1844" s="1">
        <v>623.66227223989961</v>
      </c>
      <c r="L1844" s="1">
        <v>50.713895374744951</v>
      </c>
    </row>
    <row r="1845" spans="4:13">
      <c r="D1845" s="1" t="s">
        <v>199</v>
      </c>
      <c r="E1845" s="1" t="s">
        <v>923</v>
      </c>
      <c r="H1845" s="1" t="s">
        <v>22</v>
      </c>
      <c r="I1845" s="1" t="s">
        <v>29</v>
      </c>
      <c r="J1845" s="1">
        <v>0.9</v>
      </c>
      <c r="K1845" s="1">
        <v>10</v>
      </c>
      <c r="L1845" s="1">
        <v>1.01</v>
      </c>
    </row>
    <row r="1846" spans="4:13">
      <c r="D1846" s="1" t="s">
        <v>199</v>
      </c>
      <c r="E1846" s="1" t="s">
        <v>924</v>
      </c>
      <c r="F1846" s="1" t="s">
        <v>56</v>
      </c>
      <c r="G1846" s="1" t="s">
        <v>57</v>
      </c>
      <c r="H1846" s="1" t="s">
        <v>22</v>
      </c>
      <c r="I1846" s="1" t="s">
        <v>29</v>
      </c>
      <c r="J1846" s="1">
        <v>4.9312830828271128</v>
      </c>
      <c r="K1846" s="1">
        <v>623.66227223989961</v>
      </c>
      <c r="L1846" s="1">
        <v>50.713895374744951</v>
      </c>
    </row>
    <row r="1847" spans="4:13">
      <c r="D1847" s="1" t="s">
        <v>199</v>
      </c>
      <c r="E1847" s="1" t="s">
        <v>925</v>
      </c>
      <c r="H1847" s="1" t="s">
        <v>22</v>
      </c>
      <c r="I1847" s="1" t="s">
        <v>29</v>
      </c>
      <c r="J1847" s="1">
        <v>0.9</v>
      </c>
      <c r="K1847" s="1">
        <v>10</v>
      </c>
      <c r="L1847" s="1">
        <v>1.01</v>
      </c>
    </row>
    <row r="1848" spans="4:13">
      <c r="D1848" s="1" t="s">
        <v>199</v>
      </c>
      <c r="E1848" s="1" t="s">
        <v>926</v>
      </c>
      <c r="H1848" s="1" t="s">
        <v>22</v>
      </c>
      <c r="I1848" s="1" t="s">
        <v>29</v>
      </c>
      <c r="J1848" s="1">
        <v>34000</v>
      </c>
      <c r="K1848" s="1">
        <v>4300000</v>
      </c>
      <c r="L1848" s="1">
        <v>349660</v>
      </c>
    </row>
    <row r="1849" spans="4:13">
      <c r="D1849" s="1" t="s">
        <v>199</v>
      </c>
      <c r="E1849" s="1" t="s">
        <v>927</v>
      </c>
      <c r="H1849" s="1" t="s">
        <v>22</v>
      </c>
      <c r="I1849" s="1" t="s">
        <v>29</v>
      </c>
      <c r="J1849" s="1">
        <v>-3.94</v>
      </c>
      <c r="K1849" s="1">
        <v>3.66</v>
      </c>
      <c r="L1849" s="1">
        <v>1</v>
      </c>
    </row>
    <row r="1850" spans="4:13">
      <c r="D1850" s="1" t="s">
        <v>199</v>
      </c>
      <c r="E1850" s="1" t="s">
        <v>928</v>
      </c>
      <c r="H1850" s="1" t="s">
        <v>22</v>
      </c>
      <c r="I1850" s="1" t="s">
        <v>29</v>
      </c>
      <c r="J1850" s="1">
        <v>0</v>
      </c>
      <c r="K1850" s="1">
        <v>100</v>
      </c>
      <c r="L1850" s="1">
        <v>1</v>
      </c>
    </row>
    <row r="1851" spans="4:13">
      <c r="D1851" s="1" t="s">
        <v>199</v>
      </c>
      <c r="E1851" s="1" t="s">
        <v>929</v>
      </c>
      <c r="H1851" s="1" t="s">
        <v>22</v>
      </c>
      <c r="I1851" s="1" t="s">
        <v>29</v>
      </c>
      <c r="J1851" s="1">
        <v>-3.94</v>
      </c>
      <c r="K1851" s="1">
        <v>3.66</v>
      </c>
      <c r="L1851" s="1">
        <v>1</v>
      </c>
    </row>
    <row r="1852" spans="4:13">
      <c r="D1852" s="1" t="s">
        <v>199</v>
      </c>
      <c r="E1852" s="1" t="s">
        <v>930</v>
      </c>
      <c r="H1852" s="1" t="s">
        <v>22</v>
      </c>
      <c r="I1852" s="1" t="s">
        <v>29</v>
      </c>
      <c r="J1852" s="1">
        <v>34000</v>
      </c>
      <c r="K1852" s="1">
        <v>4300000</v>
      </c>
      <c r="L1852" s="1">
        <v>349660</v>
      </c>
    </row>
    <row r="1853" spans="4:13">
      <c r="D1853" s="1" t="s">
        <v>199</v>
      </c>
      <c r="E1853" s="1" t="s">
        <v>931</v>
      </c>
      <c r="H1853" s="1" t="s">
        <v>22</v>
      </c>
      <c r="I1853" s="1" t="s">
        <v>29</v>
      </c>
      <c r="J1853" s="1">
        <v>-3.94</v>
      </c>
      <c r="K1853" s="1">
        <v>3.66</v>
      </c>
      <c r="L1853" s="1">
        <v>1</v>
      </c>
    </row>
    <row r="1854" spans="4:13">
      <c r="D1854" s="1" t="s">
        <v>199</v>
      </c>
      <c r="E1854" s="1" t="s">
        <v>932</v>
      </c>
      <c r="H1854" s="1" t="s">
        <v>22</v>
      </c>
      <c r="I1854" s="1" t="s">
        <v>29</v>
      </c>
      <c r="J1854" s="1">
        <v>0</v>
      </c>
      <c r="K1854" s="1">
        <v>100</v>
      </c>
      <c r="L1854" s="1">
        <v>1</v>
      </c>
    </row>
    <row r="1855" spans="4:13">
      <c r="D1855" s="1" t="s">
        <v>199</v>
      </c>
      <c r="E1855" s="1" t="s">
        <v>933</v>
      </c>
      <c r="H1855" s="1" t="s">
        <v>22</v>
      </c>
      <c r="I1855" s="1" t="s">
        <v>29</v>
      </c>
      <c r="J1855" s="1">
        <v>-3.94</v>
      </c>
      <c r="K1855" s="1">
        <v>3.66</v>
      </c>
      <c r="L1855" s="1">
        <v>1</v>
      </c>
    </row>
    <row r="1856" spans="4:13">
      <c r="D1856" s="1" t="s">
        <v>199</v>
      </c>
      <c r="E1856" s="1" t="s">
        <v>934</v>
      </c>
      <c r="H1856" s="1" t="s">
        <v>22</v>
      </c>
      <c r="I1856" s="1" t="s">
        <v>29</v>
      </c>
      <c r="J1856" s="1">
        <v>34000</v>
      </c>
      <c r="K1856" s="1">
        <v>4300000</v>
      </c>
      <c r="L1856" s="1">
        <v>349660</v>
      </c>
    </row>
    <row r="1857" spans="4:13">
      <c r="D1857" s="1" t="s">
        <v>199</v>
      </c>
      <c r="E1857" s="1" t="s">
        <v>935</v>
      </c>
      <c r="H1857" s="1" t="s">
        <v>22</v>
      </c>
      <c r="I1857" s="1" t="s">
        <v>29</v>
      </c>
      <c r="J1857" s="1">
        <v>-3.94</v>
      </c>
      <c r="K1857" s="1">
        <v>3.66</v>
      </c>
      <c r="L1857" s="1">
        <v>1</v>
      </c>
    </row>
    <row r="1858" spans="4:13">
      <c r="D1858" s="1" t="s">
        <v>199</v>
      </c>
      <c r="E1858" s="1" t="s">
        <v>936</v>
      </c>
      <c r="H1858" s="1" t="s">
        <v>22</v>
      </c>
      <c r="I1858" s="1" t="s">
        <v>29</v>
      </c>
      <c r="J1858" s="1">
        <v>0</v>
      </c>
      <c r="K1858" s="1">
        <v>100</v>
      </c>
      <c r="L1858" s="1">
        <v>1</v>
      </c>
    </row>
    <row r="1859" spans="4:13">
      <c r="D1859" s="1" t="s">
        <v>199</v>
      </c>
      <c r="E1859" s="1" t="s">
        <v>937</v>
      </c>
      <c r="H1859" s="1" t="s">
        <v>22</v>
      </c>
      <c r="I1859" s="1" t="s">
        <v>29</v>
      </c>
      <c r="J1859" s="1">
        <v>-3.94</v>
      </c>
      <c r="K1859" s="1">
        <v>3.66</v>
      </c>
      <c r="L1859" s="1">
        <v>1</v>
      </c>
    </row>
    <row r="1860" spans="4:13">
      <c r="D1860" s="1" t="s">
        <v>199</v>
      </c>
      <c r="E1860" s="1" t="s">
        <v>938</v>
      </c>
      <c r="H1860" s="1" t="s">
        <v>22</v>
      </c>
      <c r="I1860" s="1" t="s">
        <v>29</v>
      </c>
      <c r="J1860" s="1">
        <v>34000</v>
      </c>
      <c r="K1860" s="1">
        <v>4300000</v>
      </c>
      <c r="L1860" s="1">
        <v>349660</v>
      </c>
    </row>
    <row r="1861" spans="4:13">
      <c r="D1861" s="1" t="s">
        <v>199</v>
      </c>
      <c r="E1861" s="1" t="s">
        <v>939</v>
      </c>
      <c r="H1861" s="1" t="s">
        <v>22</v>
      </c>
      <c r="I1861" s="1" t="s">
        <v>29</v>
      </c>
      <c r="J1861" s="1">
        <v>-3.94</v>
      </c>
      <c r="K1861" s="1">
        <v>3.66</v>
      </c>
      <c r="L1861" s="1">
        <v>1</v>
      </c>
    </row>
    <row r="1862" spans="4:13">
      <c r="D1862" s="1" t="s">
        <v>199</v>
      </c>
      <c r="E1862" s="1" t="s">
        <v>940</v>
      </c>
      <c r="H1862" s="1" t="s">
        <v>22</v>
      </c>
      <c r="I1862" s="1" t="s">
        <v>29</v>
      </c>
      <c r="J1862" s="1">
        <v>0</v>
      </c>
      <c r="K1862" s="1">
        <v>100</v>
      </c>
      <c r="L1862" s="1">
        <v>1</v>
      </c>
    </row>
    <row r="1863" spans="4:13">
      <c r="D1863" s="1" t="s">
        <v>199</v>
      </c>
      <c r="E1863" s="1" t="s">
        <v>941</v>
      </c>
      <c r="H1863" s="1" t="s">
        <v>22</v>
      </c>
      <c r="I1863" s="1" t="s">
        <v>29</v>
      </c>
      <c r="J1863" s="1">
        <v>-3.94</v>
      </c>
      <c r="K1863" s="1">
        <v>3.66</v>
      </c>
      <c r="L1863" s="1">
        <v>1</v>
      </c>
    </row>
    <row r="1864" spans="4:13">
      <c r="D1864" s="1" t="s">
        <v>199</v>
      </c>
      <c r="E1864" s="1" t="s">
        <v>942</v>
      </c>
      <c r="H1864" s="1" t="s">
        <v>25</v>
      </c>
      <c r="I1864" s="1" t="s">
        <v>23</v>
      </c>
      <c r="M1864" s="1" t="b">
        <v>0</v>
      </c>
    </row>
    <row r="1865" spans="4:13">
      <c r="D1865" s="1" t="s">
        <v>199</v>
      </c>
      <c r="E1865" s="1" t="s">
        <v>943</v>
      </c>
      <c r="H1865" s="1" t="s">
        <v>25</v>
      </c>
      <c r="I1865" s="1" t="s">
        <v>23</v>
      </c>
      <c r="M1865" s="1" t="b">
        <v>0</v>
      </c>
    </row>
    <row r="1866" spans="4:13">
      <c r="D1866" s="1" t="s">
        <v>199</v>
      </c>
      <c r="E1866" s="1" t="s">
        <v>944</v>
      </c>
      <c r="F1866" s="1" t="s">
        <v>147</v>
      </c>
      <c r="G1866" s="1" t="s">
        <v>148</v>
      </c>
      <c r="H1866" s="1" t="s">
        <v>22</v>
      </c>
      <c r="I1866" s="1" t="s">
        <v>23</v>
      </c>
      <c r="J1866" s="1">
        <v>0</v>
      </c>
      <c r="K1866" s="1">
        <v>34121416.351331003</v>
      </c>
      <c r="L1866" s="1">
        <v>3.4121416351331</v>
      </c>
      <c r="M1866" s="1">
        <v>170607.08175665501</v>
      </c>
    </row>
    <row r="1867" spans="4:13">
      <c r="D1867" s="1" t="s">
        <v>199</v>
      </c>
      <c r="E1867" s="1" t="s">
        <v>945</v>
      </c>
      <c r="H1867" s="1" t="s">
        <v>25</v>
      </c>
      <c r="I1867" s="1" t="s">
        <v>23</v>
      </c>
      <c r="M1867" s="1" t="b">
        <v>0</v>
      </c>
    </row>
    <row r="1868" spans="4:13">
      <c r="D1868" s="1" t="s">
        <v>199</v>
      </c>
      <c r="E1868" s="1" t="s">
        <v>946</v>
      </c>
      <c r="F1868" s="1" t="s">
        <v>147</v>
      </c>
      <c r="G1868" s="1" t="s">
        <v>148</v>
      </c>
      <c r="H1868" s="1" t="s">
        <v>22</v>
      </c>
      <c r="I1868" s="1" t="s">
        <v>23</v>
      </c>
      <c r="J1868" s="1">
        <v>0</v>
      </c>
      <c r="K1868" s="1">
        <v>34121416.351331003</v>
      </c>
      <c r="L1868" s="1">
        <v>3.4121416351331</v>
      </c>
      <c r="M1868" s="1">
        <v>170607.08175665501</v>
      </c>
    </row>
    <row r="1869" spans="4:13">
      <c r="D1869" s="1" t="s">
        <v>199</v>
      </c>
      <c r="E1869" s="1" t="s">
        <v>947</v>
      </c>
      <c r="H1869" s="1" t="s">
        <v>25</v>
      </c>
      <c r="I1869" s="1" t="s">
        <v>23</v>
      </c>
      <c r="M1869" s="1" t="b">
        <v>0</v>
      </c>
    </row>
    <row r="1870" spans="4:13">
      <c r="D1870" s="1" t="s">
        <v>199</v>
      </c>
      <c r="E1870" s="1" t="s">
        <v>948</v>
      </c>
      <c r="F1870" s="1" t="s">
        <v>147</v>
      </c>
      <c r="G1870" s="1" t="s">
        <v>148</v>
      </c>
      <c r="H1870" s="1" t="s">
        <v>22</v>
      </c>
      <c r="I1870" s="1" t="s">
        <v>23</v>
      </c>
      <c r="J1870" s="1">
        <v>0</v>
      </c>
      <c r="K1870" s="1">
        <v>34121416.351331003</v>
      </c>
      <c r="L1870" s="1">
        <v>3.4121416351331</v>
      </c>
      <c r="M1870" s="1">
        <v>341214.16351331002</v>
      </c>
    </row>
    <row r="1871" spans="4:13">
      <c r="D1871" s="1" t="s">
        <v>199</v>
      </c>
      <c r="E1871" s="1" t="s">
        <v>949</v>
      </c>
      <c r="H1871" s="1" t="s">
        <v>181</v>
      </c>
      <c r="I1871" s="1" t="s">
        <v>23</v>
      </c>
      <c r="J1871" s="1">
        <v>1</v>
      </c>
      <c r="K1871" s="1">
        <v>19</v>
      </c>
      <c r="M1871" s="1" t="s">
        <v>950</v>
      </c>
    </row>
    <row r="1872" spans="4:13">
      <c r="D1872" s="1" t="s">
        <v>199</v>
      </c>
      <c r="E1872" s="1" t="s">
        <v>951</v>
      </c>
      <c r="H1872" s="1" t="s">
        <v>181</v>
      </c>
      <c r="I1872" s="1" t="s">
        <v>23</v>
      </c>
      <c r="J1872" s="1">
        <v>1</v>
      </c>
      <c r="K1872" s="1">
        <v>8</v>
      </c>
      <c r="M1872" s="1" t="s">
        <v>952</v>
      </c>
    </row>
    <row r="1873" spans="4:12">
      <c r="D1873" s="1" t="s">
        <v>199</v>
      </c>
      <c r="E1873" s="1" t="s">
        <v>953</v>
      </c>
      <c r="F1873" s="1" t="s">
        <v>874</v>
      </c>
      <c r="G1873" s="1" t="s">
        <v>874</v>
      </c>
      <c r="H1873" s="1" t="s">
        <v>22</v>
      </c>
      <c r="I1873" s="1" t="s">
        <v>29</v>
      </c>
      <c r="L1873" s="1">
        <v>1</v>
      </c>
    </row>
    <row r="1874" spans="4:12">
      <c r="D1874" s="1" t="s">
        <v>199</v>
      </c>
      <c r="E1874" s="1" t="s">
        <v>954</v>
      </c>
      <c r="F1874" s="1">
        <v>1</v>
      </c>
      <c r="G1874" s="1">
        <v>1</v>
      </c>
      <c r="H1874" s="1" t="s">
        <v>22</v>
      </c>
      <c r="I1874" s="1" t="s">
        <v>65</v>
      </c>
      <c r="J1874" s="1">
        <v>0</v>
      </c>
      <c r="L1874" s="1">
        <v>1</v>
      </c>
    </row>
    <row r="1875" spans="4:12">
      <c r="D1875" s="1" t="s">
        <v>199</v>
      </c>
      <c r="E1875" s="1" t="s">
        <v>955</v>
      </c>
      <c r="F1875" s="1">
        <v>1</v>
      </c>
      <c r="G1875" s="1">
        <v>1</v>
      </c>
      <c r="H1875" s="1" t="s">
        <v>22</v>
      </c>
      <c r="I1875" s="1" t="s">
        <v>65</v>
      </c>
      <c r="J1875" s="1">
        <v>0</v>
      </c>
      <c r="L1875" s="1">
        <v>1</v>
      </c>
    </row>
    <row r="1876" spans="4:12">
      <c r="D1876" s="1" t="s">
        <v>199</v>
      </c>
      <c r="E1876" s="1" t="s">
        <v>956</v>
      </c>
      <c r="F1876" s="1">
        <v>1</v>
      </c>
      <c r="G1876" s="1">
        <v>1</v>
      </c>
      <c r="H1876" s="1" t="s">
        <v>22</v>
      </c>
      <c r="I1876" s="1" t="s">
        <v>65</v>
      </c>
      <c r="J1876" s="1">
        <v>0</v>
      </c>
      <c r="L1876" s="1">
        <v>1</v>
      </c>
    </row>
    <row r="1877" spans="4:12">
      <c r="D1877" s="1" t="s">
        <v>199</v>
      </c>
      <c r="E1877" s="1" t="s">
        <v>957</v>
      </c>
      <c r="H1877" s="1" t="s">
        <v>22</v>
      </c>
      <c r="I1877" s="1" t="s">
        <v>65</v>
      </c>
      <c r="L1877" s="1">
        <v>1</v>
      </c>
    </row>
    <row r="1878" spans="4:12">
      <c r="D1878" s="1" t="s">
        <v>199</v>
      </c>
      <c r="E1878" s="1" t="s">
        <v>958</v>
      </c>
      <c r="H1878" s="1" t="s">
        <v>22</v>
      </c>
      <c r="I1878" s="1" t="s">
        <v>65</v>
      </c>
      <c r="L1878" s="1">
        <v>1</v>
      </c>
    </row>
    <row r="1879" spans="4:12">
      <c r="D1879" s="1" t="s">
        <v>199</v>
      </c>
      <c r="E1879" s="1" t="s">
        <v>959</v>
      </c>
      <c r="H1879" s="1" t="s">
        <v>22</v>
      </c>
      <c r="I1879" s="1" t="s">
        <v>65</v>
      </c>
      <c r="L1879" s="1">
        <v>1</v>
      </c>
    </row>
    <row r="1880" spans="4:12">
      <c r="D1880" s="1" t="s">
        <v>199</v>
      </c>
      <c r="E1880" s="1" t="s">
        <v>960</v>
      </c>
      <c r="H1880" s="1" t="s">
        <v>22</v>
      </c>
      <c r="I1880" s="1" t="s">
        <v>65</v>
      </c>
      <c r="L1880" s="1">
        <v>1</v>
      </c>
    </row>
    <row r="1881" spans="4:12">
      <c r="D1881" s="1" t="s">
        <v>199</v>
      </c>
      <c r="E1881" s="1" t="s">
        <v>961</v>
      </c>
      <c r="H1881" s="1" t="s">
        <v>22</v>
      </c>
      <c r="I1881" s="1" t="s">
        <v>65</v>
      </c>
      <c r="L1881" s="1">
        <v>1</v>
      </c>
    </row>
    <row r="1882" spans="4:12">
      <c r="D1882" s="1" t="s">
        <v>199</v>
      </c>
      <c r="E1882" s="1" t="s">
        <v>962</v>
      </c>
      <c r="H1882" s="1" t="s">
        <v>22</v>
      </c>
      <c r="I1882" s="1" t="s">
        <v>65</v>
      </c>
      <c r="L1882" s="1">
        <v>1</v>
      </c>
    </row>
    <row r="1883" spans="4:12">
      <c r="D1883" s="1" t="s">
        <v>199</v>
      </c>
      <c r="E1883" s="1" t="s">
        <v>963</v>
      </c>
      <c r="H1883" s="1" t="s">
        <v>22</v>
      </c>
      <c r="I1883" s="1" t="s">
        <v>65</v>
      </c>
      <c r="L1883" s="1">
        <v>1</v>
      </c>
    </row>
    <row r="1884" spans="4:12">
      <c r="D1884" s="1" t="s">
        <v>199</v>
      </c>
      <c r="E1884" s="1" t="s">
        <v>964</v>
      </c>
      <c r="H1884" s="1" t="s">
        <v>25</v>
      </c>
      <c r="I1884" s="1" t="s">
        <v>65</v>
      </c>
    </row>
    <row r="1885" spans="4:12">
      <c r="D1885" s="1" t="s">
        <v>199</v>
      </c>
      <c r="E1885" s="1" t="s">
        <v>965</v>
      </c>
      <c r="H1885" s="1" t="s">
        <v>22</v>
      </c>
      <c r="I1885" s="1" t="s">
        <v>65</v>
      </c>
      <c r="L1885" s="1">
        <v>1</v>
      </c>
    </row>
    <row r="1886" spans="4:12">
      <c r="D1886" s="1" t="s">
        <v>199</v>
      </c>
      <c r="E1886" s="1" t="s">
        <v>966</v>
      </c>
      <c r="H1886" s="1" t="s">
        <v>22</v>
      </c>
      <c r="I1886" s="1" t="s">
        <v>65</v>
      </c>
      <c r="L1886" s="1">
        <v>1</v>
      </c>
    </row>
    <row r="1887" spans="4:12">
      <c r="D1887" s="1" t="s">
        <v>199</v>
      </c>
      <c r="E1887" s="1" t="s">
        <v>967</v>
      </c>
      <c r="F1887" s="1" t="s">
        <v>147</v>
      </c>
      <c r="G1887" s="1" t="s">
        <v>148</v>
      </c>
      <c r="H1887" s="1" t="s">
        <v>22</v>
      </c>
      <c r="I1887" s="1" t="s">
        <v>65</v>
      </c>
      <c r="L1887" s="1">
        <v>3.4121416351331</v>
      </c>
    </row>
    <row r="1888" spans="4:12">
      <c r="D1888" s="1" t="s">
        <v>199</v>
      </c>
      <c r="E1888" s="1" t="s">
        <v>968</v>
      </c>
      <c r="F1888" s="1" t="s">
        <v>874</v>
      </c>
      <c r="G1888" s="1" t="s">
        <v>874</v>
      </c>
      <c r="H1888" s="1" t="s">
        <v>22</v>
      </c>
      <c r="I1888" s="1" t="s">
        <v>65</v>
      </c>
      <c r="L1888" s="1">
        <v>1</v>
      </c>
    </row>
    <row r="1889" spans="4:12">
      <c r="D1889" s="1" t="s">
        <v>199</v>
      </c>
      <c r="E1889" s="1" t="s">
        <v>969</v>
      </c>
      <c r="H1889" s="1" t="s">
        <v>22</v>
      </c>
      <c r="I1889" s="1" t="s">
        <v>65</v>
      </c>
      <c r="L1889" s="1">
        <v>1</v>
      </c>
    </row>
    <row r="1890" spans="4:12">
      <c r="D1890" s="1" t="s">
        <v>199</v>
      </c>
      <c r="E1890" s="1" t="s">
        <v>970</v>
      </c>
      <c r="H1890" s="1" t="s">
        <v>22</v>
      </c>
      <c r="I1890" s="1" t="s">
        <v>65</v>
      </c>
      <c r="L1890" s="1">
        <v>1</v>
      </c>
    </row>
    <row r="1891" spans="4:12">
      <c r="D1891" s="1" t="s">
        <v>199</v>
      </c>
      <c r="E1891" s="1" t="s">
        <v>971</v>
      </c>
      <c r="H1891" s="1" t="s">
        <v>22</v>
      </c>
      <c r="I1891" s="1" t="s">
        <v>65</v>
      </c>
      <c r="L1891" s="1">
        <v>1</v>
      </c>
    </row>
    <row r="1892" spans="4:12">
      <c r="D1892" s="1" t="s">
        <v>199</v>
      </c>
      <c r="E1892" s="1" t="s">
        <v>972</v>
      </c>
      <c r="F1892" s="1" t="s">
        <v>147</v>
      </c>
      <c r="G1892" s="1" t="s">
        <v>148</v>
      </c>
      <c r="H1892" s="1" t="s">
        <v>22</v>
      </c>
      <c r="I1892" s="1" t="s">
        <v>65</v>
      </c>
      <c r="L1892" s="1">
        <v>3.4121416351331</v>
      </c>
    </row>
    <row r="1893" spans="4:12">
      <c r="D1893" s="1" t="s">
        <v>199</v>
      </c>
      <c r="E1893" s="1" t="s">
        <v>973</v>
      </c>
      <c r="F1893" s="1" t="s">
        <v>147</v>
      </c>
      <c r="G1893" s="1" t="s">
        <v>148</v>
      </c>
      <c r="H1893" s="1" t="s">
        <v>22</v>
      </c>
      <c r="I1893" s="1" t="s">
        <v>65</v>
      </c>
      <c r="L1893" s="1">
        <v>3.4121416351331</v>
      </c>
    </row>
    <row r="1894" spans="4:12">
      <c r="D1894" s="1" t="s">
        <v>199</v>
      </c>
      <c r="E1894" s="1" t="s">
        <v>974</v>
      </c>
      <c r="F1894" s="1" t="s">
        <v>147</v>
      </c>
      <c r="G1894" s="1" t="s">
        <v>148</v>
      </c>
      <c r="H1894" s="1" t="s">
        <v>22</v>
      </c>
      <c r="I1894" s="1" t="s">
        <v>65</v>
      </c>
      <c r="L1894" s="1">
        <v>3.4121416351331</v>
      </c>
    </row>
    <row r="1895" spans="4:12">
      <c r="D1895" s="1" t="s">
        <v>199</v>
      </c>
      <c r="E1895" s="1" t="s">
        <v>975</v>
      </c>
      <c r="F1895" s="1" t="s">
        <v>35</v>
      </c>
      <c r="G1895" s="1" t="s">
        <v>36</v>
      </c>
      <c r="H1895" s="1" t="s">
        <v>22</v>
      </c>
      <c r="I1895" s="1" t="s">
        <v>65</v>
      </c>
      <c r="J1895" s="1">
        <v>-459.67</v>
      </c>
      <c r="L1895" s="1">
        <v>80.329999999999984</v>
      </c>
    </row>
    <row r="1896" spans="4:12">
      <c r="D1896" s="1" t="s">
        <v>199</v>
      </c>
      <c r="E1896" s="1" t="s">
        <v>976</v>
      </c>
      <c r="F1896" s="1" t="s">
        <v>35</v>
      </c>
      <c r="G1896" s="1" t="s">
        <v>36</v>
      </c>
      <c r="H1896" s="1" t="s">
        <v>22</v>
      </c>
      <c r="I1896" s="1" t="s">
        <v>65</v>
      </c>
      <c r="J1896" s="1">
        <v>-459.67</v>
      </c>
      <c r="L1896" s="1">
        <v>80.329999999999984</v>
      </c>
    </row>
    <row r="1897" spans="4:12">
      <c r="D1897" s="1" t="s">
        <v>199</v>
      </c>
      <c r="E1897" s="1" t="s">
        <v>977</v>
      </c>
      <c r="F1897" s="1" t="s">
        <v>35</v>
      </c>
      <c r="G1897" s="1" t="s">
        <v>36</v>
      </c>
      <c r="H1897" s="1" t="s">
        <v>22</v>
      </c>
      <c r="I1897" s="1" t="s">
        <v>65</v>
      </c>
      <c r="J1897" s="1">
        <v>-459.67</v>
      </c>
      <c r="L1897" s="1">
        <v>80.329999999999984</v>
      </c>
    </row>
    <row r="1898" spans="4:12">
      <c r="D1898" s="1" t="s">
        <v>199</v>
      </c>
      <c r="E1898" s="1" t="s">
        <v>978</v>
      </c>
      <c r="F1898" s="1" t="s">
        <v>35</v>
      </c>
      <c r="G1898" s="1" t="s">
        <v>36</v>
      </c>
      <c r="H1898" s="1" t="s">
        <v>22</v>
      </c>
      <c r="I1898" s="1" t="s">
        <v>65</v>
      </c>
      <c r="J1898" s="1">
        <v>-459.67</v>
      </c>
      <c r="L1898" s="1">
        <v>80.329999999999984</v>
      </c>
    </row>
    <row r="1899" spans="4:12">
      <c r="D1899" s="1" t="s">
        <v>199</v>
      </c>
      <c r="E1899" s="1" t="s">
        <v>979</v>
      </c>
      <c r="F1899" s="1" t="s">
        <v>35</v>
      </c>
      <c r="G1899" s="1" t="s">
        <v>36</v>
      </c>
      <c r="H1899" s="1" t="s">
        <v>22</v>
      </c>
      <c r="I1899" s="1" t="s">
        <v>65</v>
      </c>
      <c r="J1899" s="1">
        <v>-459.67</v>
      </c>
      <c r="L1899" s="1">
        <v>80.329999999999984</v>
      </c>
    </row>
    <row r="1900" spans="4:12">
      <c r="D1900" s="1" t="s">
        <v>199</v>
      </c>
      <c r="E1900" s="1" t="s">
        <v>980</v>
      </c>
      <c r="F1900" s="1" t="s">
        <v>35</v>
      </c>
      <c r="G1900" s="1" t="s">
        <v>36</v>
      </c>
      <c r="H1900" s="1" t="s">
        <v>22</v>
      </c>
      <c r="I1900" s="1" t="s">
        <v>65</v>
      </c>
      <c r="J1900" s="1">
        <v>-459.67</v>
      </c>
      <c r="L1900" s="1">
        <v>80.329999999999984</v>
      </c>
    </row>
    <row r="1901" spans="4:12">
      <c r="D1901" s="1" t="s">
        <v>199</v>
      </c>
      <c r="E1901" s="1" t="s">
        <v>981</v>
      </c>
      <c r="F1901" s="1" t="s">
        <v>35</v>
      </c>
      <c r="G1901" s="1" t="s">
        <v>36</v>
      </c>
      <c r="H1901" s="1" t="s">
        <v>22</v>
      </c>
      <c r="I1901" s="1" t="s">
        <v>65</v>
      </c>
      <c r="J1901" s="1">
        <v>-459.67</v>
      </c>
      <c r="L1901" s="1">
        <v>80.329999999999984</v>
      </c>
    </row>
    <row r="1902" spans="4:12">
      <c r="D1902" s="1" t="s">
        <v>199</v>
      </c>
      <c r="E1902" s="1" t="s">
        <v>982</v>
      </c>
      <c r="F1902" s="1" t="s">
        <v>35</v>
      </c>
      <c r="G1902" s="1" t="s">
        <v>36</v>
      </c>
      <c r="H1902" s="1" t="s">
        <v>22</v>
      </c>
      <c r="I1902" s="1" t="s">
        <v>65</v>
      </c>
      <c r="J1902" s="1">
        <v>-459.67</v>
      </c>
      <c r="L1902" s="1">
        <v>80.329999999999984</v>
      </c>
    </row>
    <row r="1903" spans="4:12">
      <c r="D1903" s="1" t="s">
        <v>199</v>
      </c>
      <c r="E1903" s="1" t="s">
        <v>983</v>
      </c>
      <c r="F1903" s="1" t="s">
        <v>41</v>
      </c>
      <c r="G1903" s="1" t="s">
        <v>42</v>
      </c>
      <c r="H1903" s="1" t="s">
        <v>22</v>
      </c>
      <c r="I1903" s="1" t="s">
        <v>65</v>
      </c>
      <c r="L1903" s="1">
        <v>1.8</v>
      </c>
    </row>
    <row r="1904" spans="4:12">
      <c r="D1904" s="1" t="s">
        <v>199</v>
      </c>
      <c r="E1904" s="1" t="s">
        <v>984</v>
      </c>
      <c r="F1904" s="1" t="s">
        <v>41</v>
      </c>
      <c r="G1904" s="1" t="s">
        <v>42</v>
      </c>
      <c r="H1904" s="1" t="s">
        <v>22</v>
      </c>
      <c r="I1904" s="1" t="s">
        <v>65</v>
      </c>
      <c r="L1904" s="1">
        <v>1.8</v>
      </c>
    </row>
    <row r="1905" spans="4:12">
      <c r="D1905" s="1" t="s">
        <v>199</v>
      </c>
      <c r="E1905" s="1" t="s">
        <v>985</v>
      </c>
      <c r="F1905" s="1" t="s">
        <v>41</v>
      </c>
      <c r="G1905" s="1" t="s">
        <v>42</v>
      </c>
      <c r="H1905" s="1" t="s">
        <v>22</v>
      </c>
      <c r="I1905" s="1" t="s">
        <v>65</v>
      </c>
      <c r="L1905" s="1">
        <v>1.8</v>
      </c>
    </row>
    <row r="1906" spans="4:12">
      <c r="D1906" s="1" t="s">
        <v>199</v>
      </c>
      <c r="E1906" s="1" t="s">
        <v>986</v>
      </c>
      <c r="F1906" s="1" t="s">
        <v>41</v>
      </c>
      <c r="G1906" s="1" t="s">
        <v>42</v>
      </c>
      <c r="H1906" s="1" t="s">
        <v>22</v>
      </c>
      <c r="I1906" s="1" t="s">
        <v>65</v>
      </c>
      <c r="L1906" s="1">
        <v>1.8</v>
      </c>
    </row>
    <row r="1907" spans="4:12">
      <c r="D1907" s="1" t="s">
        <v>199</v>
      </c>
      <c r="E1907" s="1" t="s">
        <v>987</v>
      </c>
      <c r="H1907" s="1" t="s">
        <v>22</v>
      </c>
      <c r="I1907" s="1" t="s">
        <v>65</v>
      </c>
      <c r="L1907" s="1">
        <v>1</v>
      </c>
    </row>
    <row r="1908" spans="4:12">
      <c r="D1908" s="1" t="s">
        <v>199</v>
      </c>
      <c r="E1908" s="1" t="s">
        <v>988</v>
      </c>
      <c r="H1908" s="1" t="s">
        <v>22</v>
      </c>
      <c r="I1908" s="1" t="s">
        <v>65</v>
      </c>
      <c r="L1908" s="1">
        <v>1</v>
      </c>
    </row>
    <row r="1909" spans="4:12">
      <c r="D1909" s="1" t="s">
        <v>199</v>
      </c>
      <c r="E1909" s="1" t="s">
        <v>989</v>
      </c>
      <c r="H1909" s="1" t="s">
        <v>22</v>
      </c>
      <c r="I1909" s="1" t="s">
        <v>65</v>
      </c>
      <c r="L1909" s="1">
        <v>1</v>
      </c>
    </row>
    <row r="1910" spans="4:12">
      <c r="D1910" s="1" t="s">
        <v>199</v>
      </c>
      <c r="E1910" s="1" t="s">
        <v>990</v>
      </c>
      <c r="H1910" s="1" t="s">
        <v>22</v>
      </c>
      <c r="I1910" s="1" t="s">
        <v>65</v>
      </c>
      <c r="L1910" s="1">
        <v>1</v>
      </c>
    </row>
    <row r="1911" spans="4:12">
      <c r="D1911" s="1" t="s">
        <v>199</v>
      </c>
      <c r="E1911" s="1" t="s">
        <v>991</v>
      </c>
      <c r="F1911" s="1" t="s">
        <v>118</v>
      </c>
      <c r="G1911" s="1" t="s">
        <v>119</v>
      </c>
      <c r="H1911" s="1" t="s">
        <v>22</v>
      </c>
      <c r="I1911" s="1" t="s">
        <v>120</v>
      </c>
      <c r="J1911" s="1">
        <v>0</v>
      </c>
      <c r="L1911" s="1">
        <v>2.20462262185</v>
      </c>
    </row>
    <row r="1912" spans="4:12">
      <c r="D1912" s="1" t="s">
        <v>199</v>
      </c>
      <c r="E1912" s="1" t="s">
        <v>992</v>
      </c>
      <c r="F1912" s="1" t="s">
        <v>52</v>
      </c>
      <c r="G1912" s="1" t="s">
        <v>53</v>
      </c>
      <c r="H1912" s="1" t="s">
        <v>22</v>
      </c>
      <c r="I1912" s="1" t="s">
        <v>65</v>
      </c>
      <c r="L1912" s="1">
        <v>7936.6414386555998</v>
      </c>
    </row>
    <row r="1913" spans="4:12">
      <c r="D1913" s="1" t="s">
        <v>199</v>
      </c>
      <c r="E1913" s="1" t="s">
        <v>993</v>
      </c>
      <c r="F1913" s="1" t="s">
        <v>52</v>
      </c>
      <c r="G1913" s="1" t="s">
        <v>53</v>
      </c>
      <c r="H1913" s="1" t="s">
        <v>22</v>
      </c>
      <c r="I1913" s="1" t="s">
        <v>65</v>
      </c>
      <c r="L1913" s="1">
        <v>7936.6414386555998</v>
      </c>
    </row>
    <row r="1914" spans="4:12">
      <c r="D1914" s="1" t="s">
        <v>199</v>
      </c>
      <c r="E1914" s="1" t="s">
        <v>994</v>
      </c>
      <c r="F1914" s="1" t="s">
        <v>52</v>
      </c>
      <c r="G1914" s="1" t="s">
        <v>53</v>
      </c>
      <c r="H1914" s="1" t="s">
        <v>22</v>
      </c>
      <c r="I1914" s="1" t="s">
        <v>65</v>
      </c>
      <c r="L1914" s="1">
        <v>7936.6414386555998</v>
      </c>
    </row>
    <row r="1915" spans="4:12">
      <c r="D1915" s="1" t="s">
        <v>199</v>
      </c>
      <c r="E1915" s="1" t="s">
        <v>995</v>
      </c>
      <c r="F1915" s="1" t="s">
        <v>52</v>
      </c>
      <c r="G1915" s="1" t="s">
        <v>53</v>
      </c>
      <c r="H1915" s="1" t="s">
        <v>22</v>
      </c>
      <c r="I1915" s="1" t="s">
        <v>65</v>
      </c>
      <c r="L1915" s="1">
        <v>7936.6414386555998</v>
      </c>
    </row>
    <row r="1916" spans="4:12">
      <c r="D1916" s="1" t="s">
        <v>199</v>
      </c>
      <c r="E1916" s="1" t="s">
        <v>996</v>
      </c>
      <c r="H1916" s="1" t="s">
        <v>22</v>
      </c>
      <c r="I1916" s="1" t="s">
        <v>120</v>
      </c>
      <c r="L1916" s="1">
        <v>1</v>
      </c>
    </row>
    <row r="1917" spans="4:12">
      <c r="D1917" s="1" t="s">
        <v>199</v>
      </c>
      <c r="E1917" s="1" t="s">
        <v>997</v>
      </c>
      <c r="H1917" s="1" t="s">
        <v>22</v>
      </c>
      <c r="I1917" s="1" t="s">
        <v>65</v>
      </c>
      <c r="L1917" s="1">
        <v>1</v>
      </c>
    </row>
    <row r="1918" spans="4:12">
      <c r="D1918" s="1" t="s">
        <v>199</v>
      </c>
      <c r="E1918" s="1" t="s">
        <v>998</v>
      </c>
      <c r="F1918" s="1" t="s">
        <v>56</v>
      </c>
      <c r="G1918" s="1" t="s">
        <v>57</v>
      </c>
      <c r="H1918" s="1" t="s">
        <v>22</v>
      </c>
      <c r="I1918" s="1" t="s">
        <v>65</v>
      </c>
      <c r="L1918" s="1">
        <v>1.4503773773020921E-4</v>
      </c>
    </row>
    <row r="1919" spans="4:12">
      <c r="D1919" s="1" t="s">
        <v>199</v>
      </c>
      <c r="E1919" s="1" t="s">
        <v>999</v>
      </c>
      <c r="F1919" s="1" t="s">
        <v>56</v>
      </c>
      <c r="G1919" s="1" t="s">
        <v>57</v>
      </c>
      <c r="H1919" s="1" t="s">
        <v>22</v>
      </c>
      <c r="I1919" s="1" t="s">
        <v>65</v>
      </c>
      <c r="L1919" s="1">
        <v>1.4503773773020921E-4</v>
      </c>
    </row>
    <row r="1920" spans="4:12">
      <c r="D1920" s="1" t="s">
        <v>199</v>
      </c>
      <c r="E1920" s="1" t="s">
        <v>1000</v>
      </c>
      <c r="F1920" s="1" t="s">
        <v>56</v>
      </c>
      <c r="G1920" s="1" t="s">
        <v>57</v>
      </c>
      <c r="H1920" s="1" t="s">
        <v>22</v>
      </c>
      <c r="I1920" s="1" t="s">
        <v>65</v>
      </c>
      <c r="L1920" s="1">
        <v>1.4503773773020921E-4</v>
      </c>
    </row>
    <row r="1921" spans="4:13">
      <c r="D1921" s="1" t="s">
        <v>199</v>
      </c>
      <c r="E1921" s="1" t="s">
        <v>1001</v>
      </c>
      <c r="F1921" s="1" t="s">
        <v>56</v>
      </c>
      <c r="G1921" s="1" t="s">
        <v>57</v>
      </c>
      <c r="H1921" s="1" t="s">
        <v>22</v>
      </c>
      <c r="I1921" s="1" t="s">
        <v>65</v>
      </c>
      <c r="L1921" s="1">
        <v>1.4503773773020921E-4</v>
      </c>
    </row>
    <row r="1922" spans="4:13">
      <c r="D1922" s="1" t="s">
        <v>199</v>
      </c>
      <c r="E1922" s="1" t="s">
        <v>1002</v>
      </c>
      <c r="F1922" s="1" t="s">
        <v>124</v>
      </c>
      <c r="G1922" s="1" t="s">
        <v>125</v>
      </c>
      <c r="H1922" s="1" t="s">
        <v>22</v>
      </c>
      <c r="I1922" s="1" t="s">
        <v>120</v>
      </c>
      <c r="L1922" s="1">
        <v>35.314666699999997</v>
      </c>
    </row>
    <row r="1923" spans="4:13">
      <c r="D1923" s="1" t="s">
        <v>199</v>
      </c>
      <c r="E1923" s="1" t="s">
        <v>1003</v>
      </c>
      <c r="H1923" s="1" t="s">
        <v>22</v>
      </c>
      <c r="I1923" s="1" t="s">
        <v>65</v>
      </c>
      <c r="L1923" s="1">
        <v>1</v>
      </c>
    </row>
    <row r="1924" spans="4:13">
      <c r="D1924" s="1" t="s">
        <v>199</v>
      </c>
      <c r="E1924" s="1" t="s">
        <v>1004</v>
      </c>
      <c r="H1924" s="1" t="s">
        <v>22</v>
      </c>
      <c r="I1924" s="1" t="s">
        <v>65</v>
      </c>
      <c r="L1924" s="1">
        <v>1</v>
      </c>
    </row>
    <row r="1925" spans="4:13">
      <c r="D1925" s="1" t="s">
        <v>199</v>
      </c>
      <c r="E1925" s="1" t="s">
        <v>1005</v>
      </c>
      <c r="H1925" s="1" t="s">
        <v>22</v>
      </c>
      <c r="I1925" s="1" t="s">
        <v>65</v>
      </c>
      <c r="L1925" s="1">
        <v>1</v>
      </c>
    </row>
    <row r="1926" spans="4:13">
      <c r="D1926" s="1" t="s">
        <v>199</v>
      </c>
      <c r="E1926" s="1" t="s">
        <v>1006</v>
      </c>
      <c r="H1926" s="1" t="s">
        <v>22</v>
      </c>
      <c r="I1926" s="1" t="s">
        <v>65</v>
      </c>
      <c r="L1926" s="1">
        <v>1</v>
      </c>
    </row>
    <row r="1927" spans="4:13">
      <c r="D1927" s="1" t="s">
        <v>199</v>
      </c>
      <c r="E1927" s="1" t="s">
        <v>1007</v>
      </c>
      <c r="H1927" s="1" t="s">
        <v>25</v>
      </c>
      <c r="I1927" s="1" t="s">
        <v>23</v>
      </c>
      <c r="M1927" s="1" t="b">
        <v>1</v>
      </c>
    </row>
    <row r="1928" spans="4:13">
      <c r="D1928" s="1" t="s">
        <v>199</v>
      </c>
      <c r="E1928" s="1" t="s">
        <v>1008</v>
      </c>
      <c r="H1928" s="1" t="s">
        <v>25</v>
      </c>
      <c r="I1928" s="1" t="s">
        <v>23</v>
      </c>
      <c r="M1928" s="1" t="b">
        <v>1</v>
      </c>
    </row>
    <row r="1929" spans="4:13">
      <c r="D1929" s="1" t="s">
        <v>199</v>
      </c>
      <c r="E1929" s="1" t="s">
        <v>1009</v>
      </c>
      <c r="H1929" s="1" t="s">
        <v>25</v>
      </c>
      <c r="I1929" s="1" t="s">
        <v>23</v>
      </c>
      <c r="M1929" s="1" t="b">
        <v>1</v>
      </c>
    </row>
    <row r="1930" spans="4:13">
      <c r="D1930" s="1" t="s">
        <v>199</v>
      </c>
      <c r="E1930" s="1" t="s">
        <v>1010</v>
      </c>
      <c r="H1930" s="1" t="s">
        <v>25</v>
      </c>
      <c r="I1930" s="1" t="s">
        <v>23</v>
      </c>
      <c r="M1930" s="1" t="b">
        <v>0</v>
      </c>
    </row>
    <row r="1931" spans="4:13">
      <c r="D1931" s="1" t="s">
        <v>199</v>
      </c>
      <c r="E1931" s="1" t="s">
        <v>1011</v>
      </c>
      <c r="H1931" s="1" t="s">
        <v>25</v>
      </c>
      <c r="I1931" s="1" t="s">
        <v>23</v>
      </c>
      <c r="M1931" s="1" t="b">
        <v>0</v>
      </c>
    </row>
    <row r="1932" spans="4:13">
      <c r="D1932" s="1" t="s">
        <v>199</v>
      </c>
      <c r="E1932" s="1" t="s">
        <v>1012</v>
      </c>
      <c r="H1932" s="1" t="s">
        <v>25</v>
      </c>
      <c r="I1932" s="1" t="s">
        <v>23</v>
      </c>
      <c r="M1932" s="1" t="b">
        <v>0</v>
      </c>
    </row>
    <row r="1933" spans="4:13">
      <c r="D1933" s="1" t="s">
        <v>199</v>
      </c>
      <c r="E1933" s="1" t="s">
        <v>1013</v>
      </c>
      <c r="H1933" s="1" t="s">
        <v>25</v>
      </c>
      <c r="I1933" s="1" t="s">
        <v>23</v>
      </c>
      <c r="M1933" s="1" t="b">
        <v>0</v>
      </c>
    </row>
    <row r="1934" spans="4:13">
      <c r="D1934" s="1" t="s">
        <v>1014</v>
      </c>
      <c r="E1934" s="1" t="s">
        <v>1015</v>
      </c>
      <c r="F1934" s="1" t="s">
        <v>176</v>
      </c>
      <c r="G1934" s="1" t="s">
        <v>177</v>
      </c>
      <c r="H1934" s="1" t="s">
        <v>22</v>
      </c>
      <c r="I1934" s="1" t="s">
        <v>23</v>
      </c>
      <c r="J1934" s="1">
        <v>0</v>
      </c>
      <c r="L1934" s="1">
        <v>39.370078740157467</v>
      </c>
      <c r="M1934" s="1">
        <v>0.24803149606299205</v>
      </c>
    </row>
    <row r="1935" spans="4:13">
      <c r="D1935" s="1" t="s">
        <v>1014</v>
      </c>
      <c r="E1935" s="1" t="s">
        <v>1016</v>
      </c>
      <c r="F1935" s="1" t="s">
        <v>176</v>
      </c>
      <c r="G1935" s="1" t="s">
        <v>177</v>
      </c>
      <c r="H1935" s="1" t="s">
        <v>22</v>
      </c>
      <c r="I1935" s="1" t="s">
        <v>23</v>
      </c>
      <c r="L1935" s="1">
        <v>39.370078740157467</v>
      </c>
      <c r="M1935" s="1">
        <v>0</v>
      </c>
    </row>
    <row r="1936" spans="4:13">
      <c r="D1936" s="1" t="s">
        <v>1014</v>
      </c>
      <c r="E1936" s="1" t="s">
        <v>1017</v>
      </c>
      <c r="F1936" s="1" t="s">
        <v>41</v>
      </c>
      <c r="G1936" s="1" t="s">
        <v>42</v>
      </c>
      <c r="H1936" s="1" t="s">
        <v>22</v>
      </c>
      <c r="I1936" s="1" t="s">
        <v>23</v>
      </c>
      <c r="J1936" s="1">
        <v>0</v>
      </c>
      <c r="K1936" s="1">
        <v>27</v>
      </c>
      <c r="L1936" s="1">
        <v>1.8</v>
      </c>
      <c r="M1936" s="1">
        <v>0.9</v>
      </c>
    </row>
    <row r="1937" spans="4:13">
      <c r="D1937" s="1" t="s">
        <v>1014</v>
      </c>
      <c r="E1937" s="1" t="s">
        <v>1018</v>
      </c>
      <c r="H1937" s="1" t="s">
        <v>25</v>
      </c>
      <c r="I1937" s="1" t="s">
        <v>23</v>
      </c>
      <c r="M1937" s="1" t="b">
        <v>0</v>
      </c>
    </row>
    <row r="1938" spans="4:13">
      <c r="D1938" s="1" t="s">
        <v>1014</v>
      </c>
      <c r="E1938" s="1" t="s">
        <v>1019</v>
      </c>
      <c r="F1938" s="1" t="s">
        <v>41</v>
      </c>
      <c r="G1938" s="1" t="s">
        <v>42</v>
      </c>
      <c r="H1938" s="1" t="s">
        <v>22</v>
      </c>
      <c r="I1938" s="1" t="s">
        <v>23</v>
      </c>
      <c r="J1938" s="1">
        <v>0</v>
      </c>
      <c r="K1938" s="1">
        <v>27</v>
      </c>
      <c r="L1938" s="1">
        <v>1.8</v>
      </c>
      <c r="M1938" s="1">
        <v>0.9</v>
      </c>
    </row>
    <row r="1939" spans="4:13">
      <c r="D1939" s="1" t="s">
        <v>1014</v>
      </c>
      <c r="E1939" s="1" t="s">
        <v>1020</v>
      </c>
      <c r="F1939" s="1" t="s">
        <v>176</v>
      </c>
      <c r="G1939" s="1" t="s">
        <v>177</v>
      </c>
      <c r="H1939" s="1" t="s">
        <v>22</v>
      </c>
      <c r="I1939" s="1" t="s">
        <v>23</v>
      </c>
      <c r="L1939" s="1">
        <v>39.370078740157467</v>
      </c>
      <c r="M1939" s="1">
        <v>0.8748031496062989</v>
      </c>
    </row>
    <row r="1940" spans="4:13">
      <c r="D1940" s="1" t="s">
        <v>1014</v>
      </c>
      <c r="E1940" s="1" t="s">
        <v>1021</v>
      </c>
      <c r="F1940" s="1" t="s">
        <v>176</v>
      </c>
      <c r="G1940" s="1" t="s">
        <v>177</v>
      </c>
      <c r="H1940" s="1" t="s">
        <v>22</v>
      </c>
      <c r="I1940" s="1" t="s">
        <v>23</v>
      </c>
      <c r="L1940" s="1">
        <v>39.370078740157467</v>
      </c>
      <c r="M1940" s="1">
        <v>1.5157480314960625</v>
      </c>
    </row>
    <row r="1941" spans="4:13">
      <c r="D1941" s="1" t="s">
        <v>1014</v>
      </c>
      <c r="E1941" s="1" t="s">
        <v>1022</v>
      </c>
      <c r="F1941" s="1" t="s">
        <v>143</v>
      </c>
      <c r="G1941" s="1" t="s">
        <v>144</v>
      </c>
      <c r="H1941" s="1" t="s">
        <v>22</v>
      </c>
      <c r="I1941" s="1" t="s">
        <v>23</v>
      </c>
      <c r="J1941" s="1">
        <v>0</v>
      </c>
      <c r="K1941" s="1">
        <v>9.9937434836636016E-3</v>
      </c>
      <c r="L1941" s="1">
        <v>5.6782633429906824</v>
      </c>
      <c r="M1941" s="1">
        <v>2.4984358709159E-4</v>
      </c>
    </row>
    <row r="1942" spans="4:13">
      <c r="D1942" s="1" t="s">
        <v>1014</v>
      </c>
      <c r="E1942" s="1" t="s">
        <v>1023</v>
      </c>
      <c r="F1942" s="1" t="s">
        <v>35</v>
      </c>
      <c r="G1942" s="1" t="s">
        <v>36</v>
      </c>
      <c r="H1942" s="1" t="s">
        <v>22</v>
      </c>
      <c r="I1942" s="1" t="s">
        <v>23</v>
      </c>
      <c r="J1942" s="1">
        <v>-99.670000000000016</v>
      </c>
      <c r="K1942" s="1">
        <v>211.99999999999994</v>
      </c>
      <c r="L1942" s="1">
        <v>80.329999999999984</v>
      </c>
      <c r="M1942" s="1">
        <v>85.999999999999943</v>
      </c>
    </row>
    <row r="1943" spans="4:13">
      <c r="D1943" s="1" t="s">
        <v>1014</v>
      </c>
      <c r="E1943" s="1" t="s">
        <v>1024</v>
      </c>
      <c r="F1943" s="1" t="s">
        <v>35</v>
      </c>
      <c r="G1943" s="1" t="s">
        <v>36</v>
      </c>
      <c r="H1943" s="1" t="s">
        <v>22</v>
      </c>
      <c r="I1943" s="1" t="s">
        <v>23</v>
      </c>
      <c r="J1943" s="1">
        <v>-99.670000000000016</v>
      </c>
      <c r="K1943" s="1">
        <v>211.99999999999994</v>
      </c>
      <c r="L1943" s="1">
        <v>80.329999999999984</v>
      </c>
      <c r="M1943" s="1">
        <v>94.999999999999943</v>
      </c>
    </row>
    <row r="1944" spans="4:13">
      <c r="D1944" s="1" t="s">
        <v>1014</v>
      </c>
      <c r="E1944" s="1" t="s">
        <v>1025</v>
      </c>
      <c r="F1944" s="1" t="s">
        <v>41</v>
      </c>
      <c r="G1944" s="1" t="s">
        <v>42</v>
      </c>
      <c r="H1944" s="1" t="s">
        <v>22</v>
      </c>
      <c r="I1944" s="1" t="s">
        <v>23</v>
      </c>
      <c r="J1944" s="1">
        <v>0</v>
      </c>
      <c r="K1944" s="1">
        <v>36</v>
      </c>
      <c r="L1944" s="1">
        <v>1.8</v>
      </c>
      <c r="M1944" s="1">
        <v>3.6</v>
      </c>
    </row>
    <row r="1945" spans="4:13">
      <c r="D1945" s="1" t="s">
        <v>1014</v>
      </c>
      <c r="E1945" s="1" t="s">
        <v>163</v>
      </c>
      <c r="H1945" s="1" t="s">
        <v>22</v>
      </c>
      <c r="I1945" s="1" t="s">
        <v>23</v>
      </c>
      <c r="J1945" s="1">
        <v>0</v>
      </c>
      <c r="K1945" s="1">
        <v>1</v>
      </c>
      <c r="L1945" s="1">
        <v>0.1</v>
      </c>
      <c r="M1945" s="1">
        <v>0.2</v>
      </c>
    </row>
    <row r="1946" spans="4:13">
      <c r="D1946" s="1" t="s">
        <v>1014</v>
      </c>
      <c r="E1946" s="1" t="s">
        <v>1026</v>
      </c>
      <c r="H1946" s="1" t="s">
        <v>22</v>
      </c>
      <c r="I1946" s="1" t="s">
        <v>23</v>
      </c>
      <c r="J1946" s="1">
        <v>0.5</v>
      </c>
      <c r="K1946" s="1">
        <v>2</v>
      </c>
      <c r="L1946" s="1">
        <v>1</v>
      </c>
      <c r="M1946" s="1">
        <v>1</v>
      </c>
    </row>
    <row r="1947" spans="4:13">
      <c r="D1947" s="1" t="s">
        <v>1014</v>
      </c>
      <c r="E1947" s="1" t="s">
        <v>1027</v>
      </c>
      <c r="H1947" s="1" t="s">
        <v>22</v>
      </c>
      <c r="I1947" s="1" t="s">
        <v>23</v>
      </c>
      <c r="J1947" s="1">
        <v>0.5</v>
      </c>
      <c r="K1947" s="1">
        <v>2</v>
      </c>
      <c r="L1947" s="1">
        <v>1</v>
      </c>
      <c r="M1947" s="1">
        <v>1</v>
      </c>
    </row>
    <row r="1948" spans="4:13">
      <c r="D1948" s="1" t="s">
        <v>1014</v>
      </c>
      <c r="E1948" s="1" t="s">
        <v>1028</v>
      </c>
      <c r="H1948" s="1" t="s">
        <v>25</v>
      </c>
      <c r="I1948" s="1" t="s">
        <v>23</v>
      </c>
      <c r="M1948" s="1" t="b">
        <v>1</v>
      </c>
    </row>
    <row r="1949" spans="4:13">
      <c r="D1949" s="1" t="s">
        <v>1014</v>
      </c>
      <c r="E1949" s="1" t="s">
        <v>1029</v>
      </c>
      <c r="H1949" s="1" t="s">
        <v>25</v>
      </c>
      <c r="I1949" s="1" t="s">
        <v>23</v>
      </c>
      <c r="M1949" s="1" t="b">
        <v>1</v>
      </c>
    </row>
    <row r="1950" spans="4:13">
      <c r="D1950" s="1" t="s">
        <v>1014</v>
      </c>
      <c r="E1950" s="1" t="s">
        <v>1030</v>
      </c>
      <c r="H1950" s="1" t="s">
        <v>22</v>
      </c>
      <c r="I1950" s="1" t="s">
        <v>23</v>
      </c>
      <c r="J1950" s="1">
        <v>0.5</v>
      </c>
      <c r="K1950" s="1">
        <v>2</v>
      </c>
      <c r="L1950" s="1">
        <v>1</v>
      </c>
      <c r="M1950" s="1">
        <v>1</v>
      </c>
    </row>
    <row r="1951" spans="4:13">
      <c r="D1951" s="1" t="s">
        <v>1014</v>
      </c>
      <c r="E1951" s="1" t="s">
        <v>1031</v>
      </c>
      <c r="H1951" s="1" t="s">
        <v>25</v>
      </c>
      <c r="I1951" s="1" t="s">
        <v>23</v>
      </c>
      <c r="M1951" s="1" t="b">
        <v>1</v>
      </c>
    </row>
    <row r="1952" spans="4:13">
      <c r="D1952" s="1" t="s">
        <v>1014</v>
      </c>
      <c r="E1952" s="1" t="s">
        <v>1032</v>
      </c>
      <c r="H1952" s="1" t="s">
        <v>22</v>
      </c>
      <c r="I1952" s="1" t="s">
        <v>23</v>
      </c>
      <c r="J1952" s="1">
        <v>0.5</v>
      </c>
      <c r="K1952" s="1">
        <v>2</v>
      </c>
      <c r="L1952" s="1">
        <v>1</v>
      </c>
      <c r="M1952" s="1">
        <v>1</v>
      </c>
    </row>
    <row r="1953" spans="4:13">
      <c r="D1953" s="1" t="s">
        <v>1014</v>
      </c>
      <c r="E1953" s="1" t="s">
        <v>1033</v>
      </c>
      <c r="H1953" s="1" t="s">
        <v>25</v>
      </c>
      <c r="I1953" s="1" t="s">
        <v>23</v>
      </c>
      <c r="M1953" s="1" t="b">
        <v>1</v>
      </c>
    </row>
    <row r="1954" spans="4:13">
      <c r="D1954" s="1" t="s">
        <v>1014</v>
      </c>
      <c r="E1954" s="1" t="s">
        <v>1034</v>
      </c>
      <c r="H1954" s="1" t="s">
        <v>22</v>
      </c>
      <c r="I1954" s="1" t="s">
        <v>23</v>
      </c>
      <c r="J1954" s="1">
        <v>0.5</v>
      </c>
      <c r="K1954" s="1">
        <v>2</v>
      </c>
      <c r="L1954" s="1">
        <v>1</v>
      </c>
      <c r="M1954" s="1">
        <v>1</v>
      </c>
    </row>
    <row r="1955" spans="4:13">
      <c r="D1955" s="1" t="s">
        <v>1014</v>
      </c>
      <c r="E1955" s="1" t="s">
        <v>1035</v>
      </c>
      <c r="H1955" s="1" t="s">
        <v>25</v>
      </c>
      <c r="I1955" s="1" t="s">
        <v>23</v>
      </c>
      <c r="M1955" s="1" t="b">
        <v>1</v>
      </c>
    </row>
    <row r="1956" spans="4:13">
      <c r="D1956" s="1" t="s">
        <v>1014</v>
      </c>
      <c r="E1956" s="1" t="s">
        <v>1036</v>
      </c>
      <c r="H1956" s="1" t="s">
        <v>22</v>
      </c>
      <c r="I1956" s="1" t="s">
        <v>23</v>
      </c>
      <c r="J1956" s="1">
        <v>0.5</v>
      </c>
      <c r="K1956" s="1">
        <v>2</v>
      </c>
      <c r="L1956" s="1">
        <v>1</v>
      </c>
      <c r="M1956" s="1">
        <v>1</v>
      </c>
    </row>
    <row r="1957" spans="4:13">
      <c r="D1957" s="1" t="s">
        <v>1014</v>
      </c>
      <c r="E1957" s="1" t="s">
        <v>1037</v>
      </c>
      <c r="H1957" s="1" t="s">
        <v>25</v>
      </c>
      <c r="I1957" s="1" t="s">
        <v>23</v>
      </c>
      <c r="M1957" s="1" t="b">
        <v>1</v>
      </c>
    </row>
    <row r="1958" spans="4:13">
      <c r="D1958" s="1" t="s">
        <v>1014</v>
      </c>
      <c r="E1958" s="1" t="s">
        <v>1038</v>
      </c>
      <c r="H1958" s="1" t="s">
        <v>22</v>
      </c>
      <c r="I1958" s="1" t="s">
        <v>23</v>
      </c>
      <c r="J1958" s="1">
        <v>0.5</v>
      </c>
      <c r="K1958" s="1">
        <v>2</v>
      </c>
      <c r="L1958" s="1">
        <v>1</v>
      </c>
      <c r="M1958" s="1">
        <v>1</v>
      </c>
    </row>
    <row r="1959" spans="4:13">
      <c r="D1959" s="1" t="s">
        <v>1014</v>
      </c>
      <c r="E1959" s="1" t="s">
        <v>1039</v>
      </c>
      <c r="H1959" s="1" t="s">
        <v>25</v>
      </c>
      <c r="I1959" s="1" t="s">
        <v>23</v>
      </c>
      <c r="M1959" s="1" t="b">
        <v>1</v>
      </c>
    </row>
    <row r="1960" spans="4:13">
      <c r="D1960" s="1" t="s">
        <v>1014</v>
      </c>
      <c r="E1960" s="1" t="s">
        <v>1040</v>
      </c>
      <c r="F1960" s="1" t="s">
        <v>1041</v>
      </c>
      <c r="G1960" s="1" t="s">
        <v>1042</v>
      </c>
      <c r="H1960" s="1" t="s">
        <v>22</v>
      </c>
      <c r="I1960" s="1" t="s">
        <v>23</v>
      </c>
      <c r="J1960" s="1">
        <v>1.7611018362408509E-2</v>
      </c>
      <c r="K1960" s="1">
        <v>88.055091812042548</v>
      </c>
      <c r="L1960" s="1">
        <v>0.17611018362408509</v>
      </c>
      <c r="M1960" s="1">
        <v>0</v>
      </c>
    </row>
    <row r="1961" spans="4:13">
      <c r="D1961" s="1" t="s">
        <v>1014</v>
      </c>
      <c r="E1961" s="1" t="s">
        <v>1043</v>
      </c>
      <c r="F1961" s="1" t="s">
        <v>1044</v>
      </c>
      <c r="G1961" s="1" t="s">
        <v>1045</v>
      </c>
      <c r="H1961" s="1" t="s">
        <v>22</v>
      </c>
      <c r="I1961" s="1" t="s">
        <v>23</v>
      </c>
      <c r="L1961" s="1">
        <v>57.29577951308238</v>
      </c>
      <c r="M1961" s="1">
        <v>30.000000000000028</v>
      </c>
    </row>
    <row r="1962" spans="4:13">
      <c r="D1962" s="1" t="s">
        <v>1014</v>
      </c>
      <c r="E1962" s="1" t="s">
        <v>1046</v>
      </c>
      <c r="F1962" s="1" t="s">
        <v>1044</v>
      </c>
      <c r="G1962" s="1" t="s">
        <v>1045</v>
      </c>
      <c r="H1962" s="1" t="s">
        <v>22</v>
      </c>
      <c r="I1962" s="1" t="s">
        <v>23</v>
      </c>
      <c r="L1962" s="1">
        <v>57.29577951308238</v>
      </c>
      <c r="M1962" s="1">
        <v>30.000000000000028</v>
      </c>
    </row>
    <row r="1963" spans="4:13">
      <c r="D1963" s="1" t="s">
        <v>1014</v>
      </c>
      <c r="E1963" s="1" t="s">
        <v>1047</v>
      </c>
      <c r="H1963" s="1" t="s">
        <v>22</v>
      </c>
      <c r="I1963" s="1" t="s">
        <v>29</v>
      </c>
      <c r="J1963" s="1">
        <v>0.1</v>
      </c>
      <c r="K1963" s="1">
        <v>10</v>
      </c>
      <c r="L1963" s="1">
        <v>5.05</v>
      </c>
    </row>
    <row r="1964" spans="4:13">
      <c r="D1964" s="1" t="s">
        <v>1014</v>
      </c>
      <c r="E1964" s="1" t="s">
        <v>1048</v>
      </c>
      <c r="H1964" s="1" t="s">
        <v>22</v>
      </c>
      <c r="I1964" s="1" t="s">
        <v>29</v>
      </c>
      <c r="J1964" s="1">
        <v>0.1</v>
      </c>
      <c r="K1964" s="1">
        <v>10</v>
      </c>
      <c r="L1964" s="1">
        <v>5.05</v>
      </c>
    </row>
    <row r="1965" spans="4:13">
      <c r="D1965" s="1" t="s">
        <v>1014</v>
      </c>
      <c r="E1965" s="1" t="s">
        <v>1049</v>
      </c>
      <c r="H1965" s="1" t="s">
        <v>22</v>
      </c>
      <c r="I1965" s="1" t="s">
        <v>29</v>
      </c>
      <c r="J1965" s="1">
        <v>0.1</v>
      </c>
      <c r="K1965" s="1">
        <v>10</v>
      </c>
      <c r="L1965" s="1">
        <v>5.05</v>
      </c>
    </row>
    <row r="1966" spans="4:13">
      <c r="D1966" s="1" t="s">
        <v>1014</v>
      </c>
      <c r="E1966" s="1" t="s">
        <v>1050</v>
      </c>
      <c r="H1966" s="1" t="s">
        <v>22</v>
      </c>
      <c r="I1966" s="1" t="s">
        <v>29</v>
      </c>
      <c r="J1966" s="1">
        <v>0.1</v>
      </c>
      <c r="K1966" s="1">
        <v>10</v>
      </c>
      <c r="L1966" s="1">
        <v>5.05</v>
      </c>
    </row>
    <row r="1967" spans="4:13">
      <c r="D1967" s="1" t="s">
        <v>1014</v>
      </c>
      <c r="E1967" s="1" t="s">
        <v>1051</v>
      </c>
      <c r="H1967" s="1" t="s">
        <v>22</v>
      </c>
      <c r="I1967" s="1" t="s">
        <v>29</v>
      </c>
      <c r="J1967" s="1">
        <v>0.1</v>
      </c>
      <c r="K1967" s="1">
        <v>10</v>
      </c>
      <c r="L1967" s="1">
        <v>5.05</v>
      </c>
    </row>
    <row r="1968" spans="4:13">
      <c r="D1968" s="1" t="s">
        <v>1014</v>
      </c>
      <c r="E1968" s="1" t="s">
        <v>1052</v>
      </c>
      <c r="H1968" s="1" t="s">
        <v>22</v>
      </c>
      <c r="I1968" s="1" t="s">
        <v>29</v>
      </c>
      <c r="J1968" s="1">
        <v>0.1</v>
      </c>
      <c r="K1968" s="1">
        <v>10</v>
      </c>
      <c r="L1968" s="1">
        <v>5.05</v>
      </c>
    </row>
    <row r="1969" spans="4:13">
      <c r="D1969" s="1" t="s">
        <v>1014</v>
      </c>
      <c r="E1969" s="1" t="s">
        <v>1053</v>
      </c>
      <c r="H1969" s="1" t="s">
        <v>22</v>
      </c>
      <c r="I1969" s="1" t="s">
        <v>29</v>
      </c>
      <c r="J1969" s="1">
        <v>0.1</v>
      </c>
      <c r="K1969" s="1">
        <v>10</v>
      </c>
      <c r="L1969" s="1">
        <v>5.05</v>
      </c>
    </row>
    <row r="1970" spans="4:13">
      <c r="D1970" s="1" t="s">
        <v>1014</v>
      </c>
      <c r="E1970" s="1" t="s">
        <v>1054</v>
      </c>
      <c r="F1970" s="1" t="s">
        <v>147</v>
      </c>
      <c r="G1970" s="1" t="s">
        <v>148</v>
      </c>
      <c r="H1970" s="1" t="s">
        <v>22</v>
      </c>
      <c r="I1970" s="1" t="s">
        <v>23</v>
      </c>
      <c r="J1970" s="1">
        <v>0</v>
      </c>
      <c r="K1970" s="1">
        <v>68242832.702662006</v>
      </c>
      <c r="L1970" s="1">
        <v>3.4121416351331</v>
      </c>
      <c r="M1970" s="1">
        <v>3412141.6351331002</v>
      </c>
    </row>
    <row r="1971" spans="4:13">
      <c r="D1971" s="1" t="s">
        <v>1014</v>
      </c>
      <c r="E1971" s="1" t="s">
        <v>1055</v>
      </c>
      <c r="H1971" s="1" t="s">
        <v>25</v>
      </c>
      <c r="I1971" s="1" t="s">
        <v>23</v>
      </c>
      <c r="M1971" s="1" t="b">
        <v>0</v>
      </c>
    </row>
    <row r="1972" spans="4:13">
      <c r="D1972" s="1" t="s">
        <v>1014</v>
      </c>
      <c r="E1972" s="1" t="s">
        <v>1056</v>
      </c>
      <c r="F1972" s="1" t="s">
        <v>56</v>
      </c>
      <c r="G1972" s="1" t="s">
        <v>57</v>
      </c>
      <c r="H1972" s="1" t="s">
        <v>22</v>
      </c>
      <c r="I1972" s="1" t="s">
        <v>23</v>
      </c>
      <c r="L1972" s="1">
        <v>1.4503773773020921E-4</v>
      </c>
      <c r="M1972" s="1">
        <v>0.72518868865104602</v>
      </c>
    </row>
    <row r="1973" spans="4:13">
      <c r="D1973" s="1" t="s">
        <v>1014</v>
      </c>
      <c r="E1973" s="1" t="s">
        <v>1057</v>
      </c>
      <c r="H1973" s="1" t="s">
        <v>25</v>
      </c>
      <c r="I1973" s="1" t="s">
        <v>23</v>
      </c>
      <c r="M1973" s="1" t="b">
        <v>0</v>
      </c>
    </row>
    <row r="1974" spans="4:13">
      <c r="D1974" s="1" t="s">
        <v>1014</v>
      </c>
      <c r="E1974" s="1" t="s">
        <v>1058</v>
      </c>
      <c r="F1974" s="1" t="s">
        <v>56</v>
      </c>
      <c r="G1974" s="1" t="s">
        <v>57</v>
      </c>
      <c r="H1974" s="1" t="s">
        <v>22</v>
      </c>
      <c r="I1974" s="1" t="s">
        <v>29</v>
      </c>
      <c r="J1974" s="1">
        <v>4.9312830828271128</v>
      </c>
      <c r="K1974" s="1">
        <v>623.66227223989961</v>
      </c>
      <c r="L1974" s="1">
        <v>50.713895374744951</v>
      </c>
    </row>
    <row r="1975" spans="4:13">
      <c r="D1975" s="1" t="s">
        <v>1014</v>
      </c>
      <c r="E1975" s="1" t="s">
        <v>1059</v>
      </c>
      <c r="F1975" s="1" t="s">
        <v>45</v>
      </c>
      <c r="G1975" s="1" t="s">
        <v>46</v>
      </c>
      <c r="H1975" s="1" t="s">
        <v>22</v>
      </c>
      <c r="I1975" s="1" t="s">
        <v>29</v>
      </c>
      <c r="J1975" s="1">
        <v>-6.3932502128443591</v>
      </c>
      <c r="K1975" s="1">
        <v>358.61435929656</v>
      </c>
      <c r="L1975" s="1">
        <v>114.79148749423418</v>
      </c>
    </row>
    <row r="1976" spans="4:13">
      <c r="D1976" s="1" t="s">
        <v>1014</v>
      </c>
      <c r="E1976" s="1" t="s">
        <v>1060</v>
      </c>
      <c r="F1976" s="1" t="s">
        <v>56</v>
      </c>
      <c r="G1976" s="1" t="s">
        <v>57</v>
      </c>
      <c r="H1976" s="1" t="s">
        <v>22</v>
      </c>
      <c r="I1976" s="1" t="s">
        <v>29</v>
      </c>
      <c r="J1976" s="1">
        <v>4.9312830828271128</v>
      </c>
      <c r="K1976" s="1">
        <v>623.66227223989961</v>
      </c>
      <c r="L1976" s="1">
        <v>50.713895374744951</v>
      </c>
    </row>
    <row r="1977" spans="4:13">
      <c r="D1977" s="1" t="s">
        <v>1014</v>
      </c>
      <c r="E1977" s="1" t="s">
        <v>1061</v>
      </c>
      <c r="H1977" s="1" t="s">
        <v>22</v>
      </c>
      <c r="I1977" s="1" t="s">
        <v>29</v>
      </c>
      <c r="L1977" s="1">
        <v>1</v>
      </c>
    </row>
    <row r="1978" spans="4:13">
      <c r="D1978" s="1" t="s">
        <v>1014</v>
      </c>
      <c r="E1978" s="1" t="s">
        <v>1062</v>
      </c>
      <c r="F1978" s="1" t="s">
        <v>176</v>
      </c>
      <c r="G1978" s="1" t="s">
        <v>177</v>
      </c>
      <c r="H1978" s="1" t="s">
        <v>22</v>
      </c>
      <c r="I1978" s="1" t="s">
        <v>23</v>
      </c>
      <c r="J1978" s="1">
        <v>0</v>
      </c>
      <c r="L1978" s="1">
        <v>39.370078740157467</v>
      </c>
      <c r="M1978" s="1">
        <v>0.19685039370078733</v>
      </c>
    </row>
    <row r="1979" spans="4:13">
      <c r="D1979" s="1" t="s">
        <v>1014</v>
      </c>
      <c r="E1979" s="1" t="s">
        <v>1063</v>
      </c>
      <c r="F1979" s="1" t="s">
        <v>176</v>
      </c>
      <c r="G1979" s="1" t="s">
        <v>177</v>
      </c>
      <c r="H1979" s="1" t="s">
        <v>22</v>
      </c>
      <c r="I1979" s="1" t="s">
        <v>23</v>
      </c>
      <c r="J1979" s="1">
        <v>0</v>
      </c>
      <c r="L1979" s="1">
        <v>39.370078740157467</v>
      </c>
      <c r="M1979" s="1">
        <v>0.78740157480314932</v>
      </c>
    </row>
    <row r="1980" spans="4:13">
      <c r="D1980" s="1" t="s">
        <v>1014</v>
      </c>
      <c r="E1980" s="1" t="s">
        <v>1064</v>
      </c>
      <c r="F1980" s="1" t="s">
        <v>176</v>
      </c>
      <c r="G1980" s="1" t="s">
        <v>177</v>
      </c>
      <c r="H1980" s="1" t="s">
        <v>22</v>
      </c>
      <c r="I1980" s="1" t="s">
        <v>23</v>
      </c>
      <c r="J1980" s="1">
        <v>0</v>
      </c>
      <c r="L1980" s="1">
        <v>39.370078740157467</v>
      </c>
      <c r="M1980" s="1">
        <v>0.39370078740157466</v>
      </c>
    </row>
    <row r="1981" spans="4:13">
      <c r="D1981" s="1" t="s">
        <v>1014</v>
      </c>
      <c r="E1981" s="1" t="s">
        <v>1065</v>
      </c>
      <c r="F1981" s="1" t="s">
        <v>56</v>
      </c>
      <c r="G1981" s="1" t="s">
        <v>57</v>
      </c>
      <c r="H1981" s="1" t="s">
        <v>22</v>
      </c>
      <c r="I1981" s="1" t="s">
        <v>29</v>
      </c>
      <c r="J1981" s="1">
        <v>4.9312830828271128</v>
      </c>
      <c r="K1981" s="1">
        <v>623.66227223989961</v>
      </c>
      <c r="L1981" s="1">
        <v>50.713895374744951</v>
      </c>
    </row>
    <row r="1982" spans="4:13">
      <c r="D1982" s="1" t="s">
        <v>1014</v>
      </c>
      <c r="E1982" s="1" t="s">
        <v>1066</v>
      </c>
      <c r="H1982" s="1" t="s">
        <v>25</v>
      </c>
      <c r="I1982" s="1" t="s">
        <v>23</v>
      </c>
      <c r="M1982" s="1" t="b">
        <v>0</v>
      </c>
    </row>
    <row r="1983" spans="4:13">
      <c r="D1983" s="1" t="s">
        <v>1014</v>
      </c>
      <c r="E1983" s="1" t="s">
        <v>1067</v>
      </c>
      <c r="F1983" s="1" t="s">
        <v>176</v>
      </c>
      <c r="G1983" s="1" t="s">
        <v>177</v>
      </c>
      <c r="H1983" s="1" t="s">
        <v>22</v>
      </c>
      <c r="I1983" s="1" t="s">
        <v>23</v>
      </c>
      <c r="J1983" s="1">
        <v>0</v>
      </c>
      <c r="L1983" s="1">
        <v>39.370078740157467</v>
      </c>
      <c r="M1983" s="1">
        <v>0</v>
      </c>
    </row>
    <row r="1984" spans="4:13">
      <c r="D1984" s="1" t="s">
        <v>1014</v>
      </c>
      <c r="E1984" s="1" t="s">
        <v>1068</v>
      </c>
      <c r="F1984" s="1" t="s">
        <v>176</v>
      </c>
      <c r="G1984" s="1" t="s">
        <v>177</v>
      </c>
      <c r="H1984" s="1" t="s">
        <v>22</v>
      </c>
      <c r="I1984" s="1" t="s">
        <v>23</v>
      </c>
      <c r="J1984" s="1">
        <v>0</v>
      </c>
      <c r="L1984" s="1">
        <v>39.370078740157467</v>
      </c>
      <c r="M1984" s="1">
        <v>4.7244094488188955</v>
      </c>
    </row>
    <row r="1985" spans="4:13">
      <c r="D1985" s="1" t="s">
        <v>1014</v>
      </c>
      <c r="E1985" s="1" t="s">
        <v>47</v>
      </c>
      <c r="H1985" s="1" t="s">
        <v>25</v>
      </c>
      <c r="I1985" s="1" t="s">
        <v>23</v>
      </c>
      <c r="M1985" s="1" t="b">
        <v>0</v>
      </c>
    </row>
    <row r="1986" spans="4:13">
      <c r="D1986" s="1" t="s">
        <v>1014</v>
      </c>
      <c r="E1986" s="1" t="s">
        <v>1069</v>
      </c>
      <c r="H1986" s="1" t="s">
        <v>25</v>
      </c>
      <c r="I1986" s="1" t="s">
        <v>23</v>
      </c>
      <c r="M1986" s="1" t="b">
        <v>0</v>
      </c>
    </row>
    <row r="1987" spans="4:13">
      <c r="D1987" s="1" t="s">
        <v>1014</v>
      </c>
      <c r="E1987" s="1" t="s">
        <v>920</v>
      </c>
      <c r="H1987" s="1" t="s">
        <v>22</v>
      </c>
      <c r="I1987" s="1" t="s">
        <v>23</v>
      </c>
      <c r="J1987" s="1">
        <v>0</v>
      </c>
      <c r="K1987" s="1">
        <v>1</v>
      </c>
      <c r="L1987" s="1">
        <v>1</v>
      </c>
      <c r="M1987" s="1">
        <v>0</v>
      </c>
    </row>
    <row r="1988" spans="4:13">
      <c r="D1988" s="1" t="s">
        <v>1014</v>
      </c>
      <c r="E1988" s="1" t="s">
        <v>921</v>
      </c>
      <c r="H1988" s="1" t="s">
        <v>22</v>
      </c>
      <c r="I1988" s="1" t="s">
        <v>23</v>
      </c>
      <c r="J1988" s="1">
        <v>0</v>
      </c>
      <c r="K1988" s="1">
        <v>1</v>
      </c>
      <c r="L1988" s="1">
        <v>1</v>
      </c>
      <c r="M1988" s="1">
        <v>1</v>
      </c>
    </row>
    <row r="1989" spans="4:13">
      <c r="D1989" s="1" t="s">
        <v>1014</v>
      </c>
      <c r="E1989" s="1" t="s">
        <v>1070</v>
      </c>
      <c r="F1989" s="1" t="s">
        <v>1071</v>
      </c>
      <c r="G1989" s="1" t="s">
        <v>1072</v>
      </c>
      <c r="H1989" s="1" t="s">
        <v>22</v>
      </c>
      <c r="I1989" s="1" t="s">
        <v>23</v>
      </c>
      <c r="J1989" s="1">
        <v>5.7778931654299819E-4</v>
      </c>
      <c r="K1989" s="1">
        <v>0.57778931654299814</v>
      </c>
      <c r="L1989" s="1">
        <v>0.57778931654299814</v>
      </c>
      <c r="M1989" s="1">
        <v>2.1672877263527863E-2</v>
      </c>
    </row>
    <row r="1990" spans="4:13">
      <c r="D1990" s="1" t="s">
        <v>1014</v>
      </c>
      <c r="E1990" s="1" t="s">
        <v>1073</v>
      </c>
      <c r="H1990" s="1" t="s">
        <v>22</v>
      </c>
      <c r="I1990" s="1" t="s">
        <v>23</v>
      </c>
      <c r="J1990" s="1">
        <v>0.5</v>
      </c>
      <c r="K1990" s="1">
        <v>1</v>
      </c>
      <c r="L1990" s="1">
        <v>1</v>
      </c>
      <c r="M1990" s="1">
        <v>1</v>
      </c>
    </row>
    <row r="1991" spans="4:13">
      <c r="D1991" s="1" t="s">
        <v>1014</v>
      </c>
      <c r="E1991" s="1" t="s">
        <v>1074</v>
      </c>
      <c r="H1991" s="1" t="s">
        <v>25</v>
      </c>
      <c r="I1991" s="1" t="s">
        <v>23</v>
      </c>
      <c r="M1991" s="1" t="b">
        <v>0</v>
      </c>
    </row>
    <row r="1992" spans="4:13">
      <c r="D1992" s="1" t="s">
        <v>1014</v>
      </c>
      <c r="E1992" s="1" t="s">
        <v>1075</v>
      </c>
      <c r="H1992" s="1" t="s">
        <v>25</v>
      </c>
      <c r="I1992" s="1" t="s">
        <v>23</v>
      </c>
      <c r="M1992" s="1" t="b">
        <v>0</v>
      </c>
    </row>
    <row r="1993" spans="4:13">
      <c r="D1993" s="1" t="s">
        <v>1014</v>
      </c>
      <c r="E1993" s="1" t="s">
        <v>1076</v>
      </c>
      <c r="F1993" s="1" t="s">
        <v>118</v>
      </c>
      <c r="G1993" s="1" t="s">
        <v>119</v>
      </c>
      <c r="H1993" s="1" t="s">
        <v>22</v>
      </c>
      <c r="I1993" s="1" t="s">
        <v>23</v>
      </c>
      <c r="J1993" s="1">
        <v>0</v>
      </c>
      <c r="K1993" s="1">
        <v>6613.8678655499998</v>
      </c>
      <c r="L1993" s="1">
        <v>2.20462262185</v>
      </c>
      <c r="M1993" s="1">
        <v>440.92452437000003</v>
      </c>
    </row>
    <row r="1994" spans="4:13">
      <c r="D1994" s="1" t="s">
        <v>1014</v>
      </c>
      <c r="E1994" s="1" t="s">
        <v>1077</v>
      </c>
      <c r="H1994" s="1" t="s">
        <v>25</v>
      </c>
      <c r="I1994" s="1" t="s">
        <v>23</v>
      </c>
      <c r="M1994" s="1" t="b">
        <v>0</v>
      </c>
    </row>
    <row r="1995" spans="4:13">
      <c r="D1995" s="1" t="s">
        <v>1014</v>
      </c>
      <c r="E1995" s="1" t="s">
        <v>1078</v>
      </c>
      <c r="H1995" s="1" t="s">
        <v>22</v>
      </c>
      <c r="I1995" s="1" t="s">
        <v>23</v>
      </c>
      <c r="J1995" s="1">
        <v>0</v>
      </c>
      <c r="K1995" s="1">
        <v>1</v>
      </c>
      <c r="L1995" s="1">
        <v>1</v>
      </c>
      <c r="M1995" s="1">
        <v>0.03</v>
      </c>
    </row>
    <row r="1996" spans="4:13">
      <c r="D1996" s="1" t="s">
        <v>1014</v>
      </c>
      <c r="E1996" s="1" t="s">
        <v>1079</v>
      </c>
      <c r="H1996" s="1" t="s">
        <v>25</v>
      </c>
      <c r="I1996" s="1" t="s">
        <v>23</v>
      </c>
      <c r="M1996" s="1" t="b">
        <v>0</v>
      </c>
    </row>
    <row r="1997" spans="4:13">
      <c r="D1997" s="1" t="s">
        <v>1014</v>
      </c>
      <c r="E1997" s="1" t="s">
        <v>1080</v>
      </c>
      <c r="H1997" s="1" t="s">
        <v>22</v>
      </c>
      <c r="I1997" s="1" t="s">
        <v>23</v>
      </c>
      <c r="J1997" s="1">
        <v>0</v>
      </c>
      <c r="K1997" s="1">
        <v>1</v>
      </c>
      <c r="L1997" s="1">
        <v>1</v>
      </c>
      <c r="M1997" s="1">
        <v>0.5</v>
      </c>
    </row>
    <row r="1998" spans="4:13">
      <c r="D1998" s="1" t="s">
        <v>1014</v>
      </c>
      <c r="E1998" s="1" t="s">
        <v>1081</v>
      </c>
      <c r="H1998" s="1" t="s">
        <v>22</v>
      </c>
      <c r="I1998" s="1" t="s">
        <v>23</v>
      </c>
      <c r="J1998" s="1">
        <v>0</v>
      </c>
      <c r="K1998" s="1">
        <v>1</v>
      </c>
      <c r="L1998" s="1">
        <v>1</v>
      </c>
      <c r="M1998" s="1">
        <v>0.2</v>
      </c>
    </row>
    <row r="1999" spans="4:13">
      <c r="D1999" s="1" t="s">
        <v>1014</v>
      </c>
      <c r="E1999" s="1" t="s">
        <v>1082</v>
      </c>
      <c r="H1999" s="1" t="s">
        <v>22</v>
      </c>
      <c r="I1999" s="1" t="s">
        <v>23</v>
      </c>
      <c r="J1999" s="1">
        <v>0</v>
      </c>
      <c r="K1999" s="1">
        <v>1</v>
      </c>
      <c r="L1999" s="1">
        <v>1</v>
      </c>
      <c r="M1999" s="1">
        <v>0.2</v>
      </c>
    </row>
    <row r="2000" spans="4:13">
      <c r="D2000" s="1" t="s">
        <v>1014</v>
      </c>
      <c r="E2000" s="1" t="s">
        <v>1083</v>
      </c>
      <c r="H2000" s="1" t="s">
        <v>181</v>
      </c>
      <c r="I2000" s="1" t="s">
        <v>23</v>
      </c>
      <c r="J2000" s="1">
        <v>1</v>
      </c>
      <c r="K2000" s="1">
        <v>94</v>
      </c>
      <c r="M2000" s="1" t="s">
        <v>952</v>
      </c>
    </row>
    <row r="2001" spans="4:13">
      <c r="D2001" s="1" t="s">
        <v>1014</v>
      </c>
      <c r="E2001" s="1" t="s">
        <v>1084</v>
      </c>
      <c r="H2001" s="1" t="s">
        <v>181</v>
      </c>
      <c r="I2001" s="1" t="s">
        <v>23</v>
      </c>
      <c r="J2001" s="1">
        <v>1</v>
      </c>
      <c r="K2001" s="1">
        <v>3</v>
      </c>
      <c r="M2001" s="1" t="s">
        <v>1085</v>
      </c>
    </row>
    <row r="2002" spans="4:13">
      <c r="D2002" s="1" t="s">
        <v>1014</v>
      </c>
      <c r="E2002" s="1" t="s">
        <v>1086</v>
      </c>
      <c r="H2002" s="1" t="s">
        <v>181</v>
      </c>
      <c r="I2002" s="1" t="s">
        <v>23</v>
      </c>
      <c r="J2002" s="1">
        <v>1</v>
      </c>
      <c r="K2002" s="1">
        <v>54</v>
      </c>
      <c r="M2002" s="1" t="s">
        <v>1087</v>
      </c>
    </row>
    <row r="2003" spans="4:13">
      <c r="D2003" s="1" t="s">
        <v>1014</v>
      </c>
      <c r="E2003" s="1" t="s">
        <v>1088</v>
      </c>
      <c r="H2003" s="1" t="s">
        <v>25</v>
      </c>
      <c r="I2003" s="1" t="s">
        <v>23</v>
      </c>
      <c r="M2003" s="1" t="b">
        <v>0</v>
      </c>
    </row>
    <row r="2004" spans="4:13">
      <c r="D2004" s="1" t="s">
        <v>1014</v>
      </c>
      <c r="E2004" s="1" t="s">
        <v>1089</v>
      </c>
      <c r="F2004" s="1" t="s">
        <v>35</v>
      </c>
      <c r="G2004" s="1" t="s">
        <v>36</v>
      </c>
      <c r="H2004" s="1" t="s">
        <v>22</v>
      </c>
      <c r="I2004" s="1" t="s">
        <v>29</v>
      </c>
      <c r="J2004" s="1">
        <v>-31.018000000000029</v>
      </c>
      <c r="K2004" s="1">
        <v>256.99999999999994</v>
      </c>
      <c r="L2004" s="1">
        <v>80.329999999999984</v>
      </c>
    </row>
    <row r="2005" spans="4:13">
      <c r="D2005" s="1" t="s">
        <v>1014</v>
      </c>
      <c r="E2005" s="1" t="s">
        <v>1090</v>
      </c>
      <c r="F2005" s="1" t="s">
        <v>35</v>
      </c>
      <c r="G2005" s="1" t="s">
        <v>36</v>
      </c>
      <c r="H2005" s="1" t="s">
        <v>22</v>
      </c>
      <c r="I2005" s="1" t="s">
        <v>29</v>
      </c>
      <c r="J2005" s="1">
        <v>-31.018000000000029</v>
      </c>
      <c r="K2005" s="1">
        <v>256.99999999999994</v>
      </c>
      <c r="L2005" s="1">
        <v>80.329999999999984</v>
      </c>
    </row>
    <row r="2006" spans="4:13">
      <c r="D2006" s="1" t="s">
        <v>1014</v>
      </c>
      <c r="E2006" s="1" t="s">
        <v>1091</v>
      </c>
      <c r="F2006" s="1" t="s">
        <v>35</v>
      </c>
      <c r="G2006" s="1" t="s">
        <v>36</v>
      </c>
      <c r="H2006" s="1" t="s">
        <v>22</v>
      </c>
      <c r="I2006" s="1" t="s">
        <v>29</v>
      </c>
      <c r="J2006" s="1">
        <v>-31.018000000000029</v>
      </c>
      <c r="K2006" s="1">
        <v>256.99999999999994</v>
      </c>
      <c r="L2006" s="1">
        <v>80.329999999999984</v>
      </c>
    </row>
    <row r="2007" spans="4:13">
      <c r="D2007" s="1" t="s">
        <v>1014</v>
      </c>
      <c r="E2007" s="1" t="s">
        <v>1092</v>
      </c>
      <c r="F2007" s="1" t="s">
        <v>35</v>
      </c>
      <c r="G2007" s="1" t="s">
        <v>36</v>
      </c>
      <c r="H2007" s="1" t="s">
        <v>22</v>
      </c>
      <c r="I2007" s="1" t="s">
        <v>29</v>
      </c>
      <c r="J2007" s="1">
        <v>-31.018000000000029</v>
      </c>
      <c r="K2007" s="1">
        <v>256.99999999999994</v>
      </c>
      <c r="L2007" s="1">
        <v>80.329999999999984</v>
      </c>
    </row>
    <row r="2008" spans="4:13">
      <c r="D2008" s="1" t="s">
        <v>1014</v>
      </c>
      <c r="E2008" s="1" t="s">
        <v>1093</v>
      </c>
      <c r="F2008" s="1" t="s">
        <v>45</v>
      </c>
      <c r="G2008" s="1" t="s">
        <v>46</v>
      </c>
      <c r="H2008" s="1" t="s">
        <v>22</v>
      </c>
      <c r="I2008" s="1" t="s">
        <v>29</v>
      </c>
      <c r="J2008" s="1">
        <v>-6.3932502128443591</v>
      </c>
      <c r="K2008" s="1">
        <v>358.61435929656</v>
      </c>
      <c r="L2008" s="1">
        <v>114.79148749423418</v>
      </c>
    </row>
    <row r="2009" spans="4:13">
      <c r="D2009" s="1" t="s">
        <v>1014</v>
      </c>
      <c r="E2009" s="1" t="s">
        <v>1094</v>
      </c>
      <c r="F2009" s="1" t="s">
        <v>45</v>
      </c>
      <c r="G2009" s="1" t="s">
        <v>46</v>
      </c>
      <c r="H2009" s="1" t="s">
        <v>22</v>
      </c>
      <c r="I2009" s="1" t="s">
        <v>29</v>
      </c>
      <c r="J2009" s="1">
        <v>-6.3932502128443591</v>
      </c>
      <c r="K2009" s="1">
        <v>358.61435929656</v>
      </c>
      <c r="L2009" s="1">
        <v>114.79148749423418</v>
      </c>
    </row>
    <row r="2010" spans="4:13">
      <c r="D2010" s="1" t="s">
        <v>1014</v>
      </c>
      <c r="E2010" s="1" t="s">
        <v>1095</v>
      </c>
      <c r="F2010" s="1" t="s">
        <v>45</v>
      </c>
      <c r="G2010" s="1" t="s">
        <v>46</v>
      </c>
      <c r="H2010" s="1" t="s">
        <v>22</v>
      </c>
      <c r="I2010" s="1" t="s">
        <v>29</v>
      </c>
      <c r="J2010" s="1">
        <v>-6.3932502128443591</v>
      </c>
      <c r="K2010" s="1">
        <v>358.61435929656</v>
      </c>
      <c r="L2010" s="1">
        <v>114.79148749423418</v>
      </c>
    </row>
    <row r="2011" spans="4:13">
      <c r="D2011" s="1" t="s">
        <v>1014</v>
      </c>
      <c r="E2011" s="1" t="s">
        <v>1096</v>
      </c>
      <c r="F2011" s="1" t="s">
        <v>45</v>
      </c>
      <c r="G2011" s="1" t="s">
        <v>46</v>
      </c>
      <c r="H2011" s="1" t="s">
        <v>22</v>
      </c>
      <c r="I2011" s="1" t="s">
        <v>29</v>
      </c>
      <c r="J2011" s="1">
        <v>-6.3932502128443591</v>
      </c>
      <c r="K2011" s="1">
        <v>358.61435929656</v>
      </c>
      <c r="L2011" s="1">
        <v>114.79148749423418</v>
      </c>
    </row>
    <row r="2012" spans="4:13">
      <c r="D2012" s="1" t="s">
        <v>1014</v>
      </c>
      <c r="E2012" s="1" t="s">
        <v>1097</v>
      </c>
      <c r="F2012" s="1" t="s">
        <v>45</v>
      </c>
      <c r="G2012" s="1" t="s">
        <v>46</v>
      </c>
      <c r="H2012" s="1" t="s">
        <v>22</v>
      </c>
      <c r="I2012" s="1" t="s">
        <v>29</v>
      </c>
      <c r="J2012" s="1">
        <v>-6.3932502128443591</v>
      </c>
      <c r="K2012" s="1">
        <v>358.61435929656</v>
      </c>
      <c r="L2012" s="1">
        <v>114.79148749423418</v>
      </c>
    </row>
    <row r="2013" spans="4:13">
      <c r="D2013" s="1" t="s">
        <v>1014</v>
      </c>
      <c r="E2013" s="1" t="s">
        <v>1098</v>
      </c>
      <c r="F2013" s="1" t="s">
        <v>45</v>
      </c>
      <c r="G2013" s="1" t="s">
        <v>46</v>
      </c>
      <c r="H2013" s="1" t="s">
        <v>22</v>
      </c>
      <c r="I2013" s="1" t="s">
        <v>29</v>
      </c>
      <c r="J2013" s="1">
        <v>-6.3932502128443591</v>
      </c>
      <c r="K2013" s="1">
        <v>358.61435929656</v>
      </c>
      <c r="L2013" s="1">
        <v>114.79148749423418</v>
      </c>
    </row>
    <row r="2014" spans="4:13">
      <c r="D2014" s="1" t="s">
        <v>1014</v>
      </c>
      <c r="E2014" s="1" t="s">
        <v>1099</v>
      </c>
      <c r="F2014" s="1" t="s">
        <v>45</v>
      </c>
      <c r="G2014" s="1" t="s">
        <v>46</v>
      </c>
      <c r="H2014" s="1" t="s">
        <v>22</v>
      </c>
      <c r="I2014" s="1" t="s">
        <v>29</v>
      </c>
      <c r="J2014" s="1">
        <v>-6.3932502128443591</v>
      </c>
      <c r="K2014" s="1">
        <v>358.61435929656</v>
      </c>
      <c r="L2014" s="1">
        <v>114.79148749423418</v>
      </c>
    </row>
    <row r="2015" spans="4:13">
      <c r="D2015" s="1" t="s">
        <v>1014</v>
      </c>
      <c r="E2015" s="1" t="s">
        <v>1100</v>
      </c>
      <c r="F2015" s="1" t="s">
        <v>45</v>
      </c>
      <c r="G2015" s="1" t="s">
        <v>46</v>
      </c>
      <c r="H2015" s="1" t="s">
        <v>22</v>
      </c>
      <c r="I2015" s="1" t="s">
        <v>29</v>
      </c>
      <c r="J2015" s="1">
        <v>-6.3932502128443591</v>
      </c>
      <c r="K2015" s="1">
        <v>358.61435929656</v>
      </c>
      <c r="L2015" s="1">
        <v>114.79148749423418</v>
      </c>
    </row>
    <row r="2016" spans="4:13">
      <c r="D2016" s="1" t="s">
        <v>1014</v>
      </c>
      <c r="E2016" s="1" t="s">
        <v>1101</v>
      </c>
      <c r="F2016" s="1" t="s">
        <v>45</v>
      </c>
      <c r="G2016" s="1" t="s">
        <v>46</v>
      </c>
      <c r="H2016" s="1" t="s">
        <v>22</v>
      </c>
      <c r="I2016" s="1" t="s">
        <v>29</v>
      </c>
      <c r="J2016" s="1">
        <v>-6.3932502128443591</v>
      </c>
      <c r="K2016" s="1">
        <v>358.61435929656</v>
      </c>
      <c r="L2016" s="1">
        <v>114.79148749423418</v>
      </c>
    </row>
    <row r="2017" spans="4:12">
      <c r="D2017" s="1" t="s">
        <v>1014</v>
      </c>
      <c r="E2017" s="1" t="s">
        <v>1102</v>
      </c>
      <c r="F2017" s="1" t="s">
        <v>45</v>
      </c>
      <c r="G2017" s="1" t="s">
        <v>46</v>
      </c>
      <c r="H2017" s="1" t="s">
        <v>22</v>
      </c>
      <c r="I2017" s="1" t="s">
        <v>29</v>
      </c>
      <c r="J2017" s="1">
        <v>-6.3932502128443591</v>
      </c>
      <c r="K2017" s="1">
        <v>358.61435929656</v>
      </c>
      <c r="L2017" s="1">
        <v>114.79148749423418</v>
      </c>
    </row>
    <row r="2018" spans="4:12">
      <c r="D2018" s="1" t="s">
        <v>1014</v>
      </c>
      <c r="E2018" s="1" t="s">
        <v>1103</v>
      </c>
      <c r="H2018" s="1" t="s">
        <v>22</v>
      </c>
      <c r="I2018" s="1" t="s">
        <v>29</v>
      </c>
      <c r="J2018" s="1">
        <v>-3.94</v>
      </c>
      <c r="K2018" s="1">
        <v>3.66</v>
      </c>
      <c r="L2018" s="1">
        <v>1</v>
      </c>
    </row>
    <row r="2019" spans="4:12">
      <c r="D2019" s="1" t="s">
        <v>1014</v>
      </c>
      <c r="E2019" s="1" t="s">
        <v>1104</v>
      </c>
      <c r="F2019" s="1" t="s">
        <v>35</v>
      </c>
      <c r="G2019" s="1" t="s">
        <v>36</v>
      </c>
      <c r="H2019" s="1" t="s">
        <v>22</v>
      </c>
      <c r="I2019" s="1" t="s">
        <v>29</v>
      </c>
      <c r="J2019" s="1">
        <v>-99.670000000000016</v>
      </c>
      <c r="K2019" s="1">
        <v>440.33</v>
      </c>
      <c r="L2019" s="1">
        <v>80.329999999999984</v>
      </c>
    </row>
    <row r="2020" spans="4:12">
      <c r="D2020" s="1" t="s">
        <v>1014</v>
      </c>
      <c r="E2020" s="1" t="s">
        <v>1105</v>
      </c>
      <c r="F2020" s="1" t="s">
        <v>35</v>
      </c>
      <c r="G2020" s="1" t="s">
        <v>36</v>
      </c>
      <c r="H2020" s="1" t="s">
        <v>22</v>
      </c>
      <c r="I2020" s="1" t="s">
        <v>29</v>
      </c>
      <c r="J2020" s="1">
        <v>-99.670000000000016</v>
      </c>
      <c r="K2020" s="1">
        <v>440.33</v>
      </c>
      <c r="L2020" s="1">
        <v>80.329999999999984</v>
      </c>
    </row>
    <row r="2021" spans="4:12">
      <c r="D2021" s="1" t="s">
        <v>1014</v>
      </c>
      <c r="E2021" s="1" t="s">
        <v>1106</v>
      </c>
      <c r="F2021" s="1" t="s">
        <v>35</v>
      </c>
      <c r="G2021" s="1" t="s">
        <v>36</v>
      </c>
      <c r="H2021" s="1" t="s">
        <v>22</v>
      </c>
      <c r="I2021" s="1" t="s">
        <v>29</v>
      </c>
      <c r="J2021" s="1">
        <v>-99.670000000000016</v>
      </c>
      <c r="K2021" s="1">
        <v>440.33</v>
      </c>
      <c r="L2021" s="1">
        <v>80.329999999999984</v>
      </c>
    </row>
    <row r="2022" spans="4:12">
      <c r="D2022" s="1" t="s">
        <v>1014</v>
      </c>
      <c r="E2022" s="1" t="s">
        <v>1107</v>
      </c>
      <c r="F2022" s="1" t="s">
        <v>35</v>
      </c>
      <c r="G2022" s="1" t="s">
        <v>36</v>
      </c>
      <c r="H2022" s="1" t="s">
        <v>22</v>
      </c>
      <c r="I2022" s="1" t="s">
        <v>29</v>
      </c>
      <c r="J2022" s="1">
        <v>-99.670000000000016</v>
      </c>
      <c r="K2022" s="1">
        <v>440.33</v>
      </c>
      <c r="L2022" s="1">
        <v>80.329999999999984</v>
      </c>
    </row>
    <row r="2023" spans="4:12">
      <c r="D2023" s="1" t="s">
        <v>1014</v>
      </c>
      <c r="E2023" s="1" t="s">
        <v>1108</v>
      </c>
      <c r="F2023" s="1" t="s">
        <v>35</v>
      </c>
      <c r="G2023" s="1" t="s">
        <v>36</v>
      </c>
      <c r="H2023" s="1" t="s">
        <v>22</v>
      </c>
      <c r="I2023" s="1" t="s">
        <v>29</v>
      </c>
      <c r="J2023" s="1">
        <v>-99.670000000000016</v>
      </c>
      <c r="K2023" s="1">
        <v>440.33</v>
      </c>
      <c r="L2023" s="1">
        <v>80.329999999999984</v>
      </c>
    </row>
    <row r="2024" spans="4:12">
      <c r="D2024" s="1" t="s">
        <v>1014</v>
      </c>
      <c r="E2024" s="1" t="s">
        <v>1109</v>
      </c>
      <c r="F2024" s="1" t="s">
        <v>35</v>
      </c>
      <c r="G2024" s="1" t="s">
        <v>36</v>
      </c>
      <c r="H2024" s="1" t="s">
        <v>22</v>
      </c>
      <c r="I2024" s="1" t="s">
        <v>29</v>
      </c>
      <c r="J2024" s="1">
        <v>-99.670000000000016</v>
      </c>
      <c r="K2024" s="1">
        <v>440.33</v>
      </c>
      <c r="L2024" s="1">
        <v>80.329999999999984</v>
      </c>
    </row>
    <row r="2025" spans="4:12">
      <c r="D2025" s="1" t="s">
        <v>1014</v>
      </c>
      <c r="E2025" s="1" t="s">
        <v>1110</v>
      </c>
      <c r="F2025" s="1" t="s">
        <v>35</v>
      </c>
      <c r="G2025" s="1" t="s">
        <v>36</v>
      </c>
      <c r="H2025" s="1" t="s">
        <v>22</v>
      </c>
      <c r="I2025" s="1" t="s">
        <v>29</v>
      </c>
      <c r="J2025" s="1">
        <v>-99.670000000000016</v>
      </c>
      <c r="K2025" s="1">
        <v>440.33</v>
      </c>
      <c r="L2025" s="1">
        <v>80.329999999999984</v>
      </c>
    </row>
    <row r="2026" spans="4:12">
      <c r="D2026" s="1" t="s">
        <v>1014</v>
      </c>
      <c r="E2026" s="1" t="s">
        <v>1111</v>
      </c>
      <c r="F2026" s="1" t="s">
        <v>35</v>
      </c>
      <c r="G2026" s="1" t="s">
        <v>36</v>
      </c>
      <c r="H2026" s="1" t="s">
        <v>22</v>
      </c>
      <c r="I2026" s="1" t="s">
        <v>29</v>
      </c>
      <c r="J2026" s="1">
        <v>-99.670000000000016</v>
      </c>
      <c r="K2026" s="1">
        <v>440.33</v>
      </c>
      <c r="L2026" s="1">
        <v>80.329999999999984</v>
      </c>
    </row>
    <row r="2027" spans="4:12">
      <c r="D2027" s="1" t="s">
        <v>1014</v>
      </c>
      <c r="E2027" s="1" t="s">
        <v>1112</v>
      </c>
      <c r="F2027" s="1" t="s">
        <v>35</v>
      </c>
      <c r="G2027" s="1" t="s">
        <v>36</v>
      </c>
      <c r="H2027" s="1" t="s">
        <v>22</v>
      </c>
      <c r="I2027" s="1" t="s">
        <v>29</v>
      </c>
      <c r="J2027" s="1">
        <v>-99.670000000000016</v>
      </c>
      <c r="K2027" s="1">
        <v>440.33</v>
      </c>
      <c r="L2027" s="1">
        <v>80.329999999999984</v>
      </c>
    </row>
    <row r="2028" spans="4:12">
      <c r="D2028" s="1" t="s">
        <v>1014</v>
      </c>
      <c r="E2028" s="1" t="s">
        <v>1113</v>
      </c>
      <c r="F2028" s="1" t="s">
        <v>35</v>
      </c>
      <c r="G2028" s="1" t="s">
        <v>36</v>
      </c>
      <c r="H2028" s="1" t="s">
        <v>22</v>
      </c>
      <c r="I2028" s="1" t="s">
        <v>29</v>
      </c>
      <c r="J2028" s="1">
        <v>-99.670000000000016</v>
      </c>
      <c r="K2028" s="1">
        <v>440.33</v>
      </c>
      <c r="L2028" s="1">
        <v>80.329999999999984</v>
      </c>
    </row>
    <row r="2029" spans="4:12">
      <c r="D2029" s="1" t="s">
        <v>1014</v>
      </c>
      <c r="E2029" s="1" t="s">
        <v>1114</v>
      </c>
      <c r="F2029" s="1" t="s">
        <v>35</v>
      </c>
      <c r="G2029" s="1" t="s">
        <v>36</v>
      </c>
      <c r="H2029" s="1" t="s">
        <v>22</v>
      </c>
      <c r="I2029" s="1" t="s">
        <v>29</v>
      </c>
      <c r="J2029" s="1">
        <v>-31.018000000000029</v>
      </c>
      <c r="K2029" s="1">
        <v>256.99999999999994</v>
      </c>
      <c r="L2029" s="1">
        <v>80.329999999999984</v>
      </c>
    </row>
    <row r="2030" spans="4:12">
      <c r="D2030" s="1" t="s">
        <v>1014</v>
      </c>
      <c r="E2030" s="1" t="s">
        <v>1115</v>
      </c>
      <c r="F2030" s="1" t="s">
        <v>35</v>
      </c>
      <c r="G2030" s="1" t="s">
        <v>36</v>
      </c>
      <c r="H2030" s="1" t="s">
        <v>22</v>
      </c>
      <c r="I2030" s="1" t="s">
        <v>29</v>
      </c>
      <c r="J2030" s="1">
        <v>-31.018000000000029</v>
      </c>
      <c r="K2030" s="1">
        <v>256.99999999999994</v>
      </c>
      <c r="L2030" s="1">
        <v>80.329999999999984</v>
      </c>
    </row>
    <row r="2031" spans="4:12">
      <c r="D2031" s="1" t="s">
        <v>1014</v>
      </c>
      <c r="E2031" s="1" t="s">
        <v>1116</v>
      </c>
      <c r="F2031" s="1" t="s">
        <v>35</v>
      </c>
      <c r="G2031" s="1" t="s">
        <v>36</v>
      </c>
      <c r="H2031" s="1" t="s">
        <v>22</v>
      </c>
      <c r="I2031" s="1" t="s">
        <v>29</v>
      </c>
      <c r="J2031" s="1">
        <v>-31.018000000000029</v>
      </c>
      <c r="K2031" s="1">
        <v>256.99999999999994</v>
      </c>
      <c r="L2031" s="1">
        <v>80.329999999999984</v>
      </c>
    </row>
    <row r="2032" spans="4:12">
      <c r="D2032" s="1" t="s">
        <v>1014</v>
      </c>
      <c r="E2032" s="1" t="s">
        <v>1117</v>
      </c>
      <c r="F2032" s="1" t="s">
        <v>35</v>
      </c>
      <c r="G2032" s="1" t="s">
        <v>36</v>
      </c>
      <c r="H2032" s="1" t="s">
        <v>22</v>
      </c>
      <c r="I2032" s="1" t="s">
        <v>29</v>
      </c>
      <c r="J2032" s="1">
        <v>-31.018000000000029</v>
      </c>
      <c r="K2032" s="1">
        <v>256.99999999999994</v>
      </c>
      <c r="L2032" s="1">
        <v>80.329999999999984</v>
      </c>
    </row>
    <row r="2033" spans="4:12">
      <c r="D2033" s="1" t="s">
        <v>1014</v>
      </c>
      <c r="E2033" s="1" t="s">
        <v>1118</v>
      </c>
      <c r="F2033" s="1" t="s">
        <v>35</v>
      </c>
      <c r="G2033" s="1" t="s">
        <v>36</v>
      </c>
      <c r="H2033" s="1" t="s">
        <v>22</v>
      </c>
      <c r="I2033" s="1" t="s">
        <v>29</v>
      </c>
      <c r="J2033" s="1">
        <v>-31.018000000000029</v>
      </c>
      <c r="K2033" s="1">
        <v>256.99999999999994</v>
      </c>
      <c r="L2033" s="1">
        <v>80.329999999999984</v>
      </c>
    </row>
    <row r="2034" spans="4:12">
      <c r="D2034" s="1" t="s">
        <v>1014</v>
      </c>
      <c r="E2034" s="1" t="s">
        <v>1119</v>
      </c>
      <c r="F2034" s="1" t="s">
        <v>35</v>
      </c>
      <c r="G2034" s="1" t="s">
        <v>36</v>
      </c>
      <c r="H2034" s="1" t="s">
        <v>22</v>
      </c>
      <c r="I2034" s="1" t="s">
        <v>29</v>
      </c>
      <c r="J2034" s="1">
        <v>-31.018000000000029</v>
      </c>
      <c r="K2034" s="1">
        <v>256.99999999999994</v>
      </c>
      <c r="L2034" s="1">
        <v>80.329999999999984</v>
      </c>
    </row>
    <row r="2035" spans="4:12">
      <c r="D2035" s="1" t="s">
        <v>1014</v>
      </c>
      <c r="E2035" s="1" t="s">
        <v>1120</v>
      </c>
      <c r="F2035" s="1" t="s">
        <v>35</v>
      </c>
      <c r="G2035" s="1" t="s">
        <v>36</v>
      </c>
      <c r="H2035" s="1" t="s">
        <v>22</v>
      </c>
      <c r="I2035" s="1" t="s">
        <v>29</v>
      </c>
      <c r="J2035" s="1">
        <v>-31.018000000000029</v>
      </c>
      <c r="K2035" s="1">
        <v>256.99999999999994</v>
      </c>
      <c r="L2035" s="1">
        <v>80.329999999999984</v>
      </c>
    </row>
    <row r="2036" spans="4:12">
      <c r="D2036" s="1" t="s">
        <v>1014</v>
      </c>
      <c r="E2036" s="1" t="s">
        <v>1121</v>
      </c>
      <c r="F2036" s="1" t="s">
        <v>35</v>
      </c>
      <c r="G2036" s="1" t="s">
        <v>36</v>
      </c>
      <c r="H2036" s="1" t="s">
        <v>22</v>
      </c>
      <c r="I2036" s="1" t="s">
        <v>29</v>
      </c>
      <c r="J2036" s="1">
        <v>-31.018000000000029</v>
      </c>
      <c r="K2036" s="1">
        <v>256.99999999999994</v>
      </c>
      <c r="L2036" s="1">
        <v>80.329999999999984</v>
      </c>
    </row>
    <row r="2037" spans="4:12">
      <c r="D2037" s="1" t="s">
        <v>1014</v>
      </c>
      <c r="E2037" s="1" t="s">
        <v>1122</v>
      </c>
      <c r="F2037" s="1" t="s">
        <v>35</v>
      </c>
      <c r="G2037" s="1" t="s">
        <v>36</v>
      </c>
      <c r="H2037" s="1" t="s">
        <v>22</v>
      </c>
      <c r="I2037" s="1" t="s">
        <v>29</v>
      </c>
      <c r="J2037" s="1">
        <v>-31.018000000000029</v>
      </c>
      <c r="K2037" s="1">
        <v>256.99999999999994</v>
      </c>
      <c r="L2037" s="1">
        <v>80.329999999999984</v>
      </c>
    </row>
    <row r="2038" spans="4:12">
      <c r="D2038" s="1" t="s">
        <v>1014</v>
      </c>
      <c r="E2038" s="1" t="s">
        <v>1123</v>
      </c>
      <c r="F2038" s="1" t="s">
        <v>35</v>
      </c>
      <c r="G2038" s="1" t="s">
        <v>36</v>
      </c>
      <c r="H2038" s="1" t="s">
        <v>22</v>
      </c>
      <c r="I2038" s="1" t="s">
        <v>29</v>
      </c>
      <c r="J2038" s="1">
        <v>-31.018000000000029</v>
      </c>
      <c r="K2038" s="1">
        <v>256.99999999999994</v>
      </c>
      <c r="L2038" s="1">
        <v>80.329999999999984</v>
      </c>
    </row>
    <row r="2039" spans="4:12">
      <c r="D2039" s="1" t="s">
        <v>1014</v>
      </c>
      <c r="E2039" s="1" t="s">
        <v>1124</v>
      </c>
      <c r="F2039" s="1" t="s">
        <v>35</v>
      </c>
      <c r="G2039" s="1" t="s">
        <v>36</v>
      </c>
      <c r="H2039" s="1" t="s">
        <v>22</v>
      </c>
      <c r="I2039" s="1" t="s">
        <v>29</v>
      </c>
      <c r="J2039" s="1">
        <v>-31.018000000000029</v>
      </c>
      <c r="K2039" s="1">
        <v>256.99999999999994</v>
      </c>
      <c r="L2039" s="1">
        <v>80.329999999999984</v>
      </c>
    </row>
    <row r="2040" spans="4:12">
      <c r="D2040" s="1" t="s">
        <v>1014</v>
      </c>
      <c r="E2040" s="1" t="s">
        <v>1125</v>
      </c>
      <c r="F2040" s="1" t="s">
        <v>35</v>
      </c>
      <c r="G2040" s="1" t="s">
        <v>36</v>
      </c>
      <c r="H2040" s="1" t="s">
        <v>22</v>
      </c>
      <c r="I2040" s="1" t="s">
        <v>29</v>
      </c>
      <c r="J2040" s="1">
        <v>-31.018000000000029</v>
      </c>
      <c r="K2040" s="1">
        <v>256.99999999999994</v>
      </c>
      <c r="L2040" s="1">
        <v>80.329999999999984</v>
      </c>
    </row>
    <row r="2041" spans="4:12">
      <c r="D2041" s="1" t="s">
        <v>1014</v>
      </c>
      <c r="E2041" s="1" t="s">
        <v>1126</v>
      </c>
      <c r="F2041" s="1" t="s">
        <v>35</v>
      </c>
      <c r="G2041" s="1" t="s">
        <v>36</v>
      </c>
      <c r="H2041" s="1" t="s">
        <v>22</v>
      </c>
      <c r="I2041" s="1" t="s">
        <v>29</v>
      </c>
      <c r="J2041" s="1">
        <v>-99.670000000000016</v>
      </c>
      <c r="K2041" s="1">
        <v>440.33</v>
      </c>
      <c r="L2041" s="1">
        <v>80.329999999999984</v>
      </c>
    </row>
    <row r="2042" spans="4:12">
      <c r="D2042" s="1" t="s">
        <v>1014</v>
      </c>
      <c r="E2042" s="1" t="s">
        <v>1127</v>
      </c>
      <c r="F2042" s="1" t="s">
        <v>35</v>
      </c>
      <c r="G2042" s="1" t="s">
        <v>36</v>
      </c>
      <c r="H2042" s="1" t="s">
        <v>22</v>
      </c>
      <c r="I2042" s="1" t="s">
        <v>29</v>
      </c>
      <c r="J2042" s="1">
        <v>-99.670000000000016</v>
      </c>
      <c r="K2042" s="1">
        <v>440.33</v>
      </c>
      <c r="L2042" s="1">
        <v>80.329999999999984</v>
      </c>
    </row>
    <row r="2043" spans="4:12">
      <c r="D2043" s="1" t="s">
        <v>1014</v>
      </c>
      <c r="E2043" s="1" t="s">
        <v>1128</v>
      </c>
      <c r="F2043" s="1" t="s">
        <v>35</v>
      </c>
      <c r="G2043" s="1" t="s">
        <v>36</v>
      </c>
      <c r="H2043" s="1" t="s">
        <v>22</v>
      </c>
      <c r="I2043" s="1" t="s">
        <v>29</v>
      </c>
      <c r="J2043" s="1">
        <v>-99.670000000000016</v>
      </c>
      <c r="K2043" s="1">
        <v>440.33</v>
      </c>
      <c r="L2043" s="1">
        <v>80.329999999999984</v>
      </c>
    </row>
    <row r="2044" spans="4:12">
      <c r="D2044" s="1" t="s">
        <v>1014</v>
      </c>
      <c r="E2044" s="1" t="s">
        <v>1129</v>
      </c>
      <c r="F2044" s="1" t="s">
        <v>35</v>
      </c>
      <c r="G2044" s="1" t="s">
        <v>36</v>
      </c>
      <c r="H2044" s="1" t="s">
        <v>22</v>
      </c>
      <c r="I2044" s="1" t="s">
        <v>29</v>
      </c>
      <c r="J2044" s="1">
        <v>-99.670000000000016</v>
      </c>
      <c r="K2044" s="1">
        <v>440.33</v>
      </c>
      <c r="L2044" s="1">
        <v>80.329999999999984</v>
      </c>
    </row>
    <row r="2045" spans="4:12">
      <c r="D2045" s="1" t="s">
        <v>1014</v>
      </c>
      <c r="E2045" s="1" t="s">
        <v>1130</v>
      </c>
      <c r="F2045" s="1" t="s">
        <v>35</v>
      </c>
      <c r="G2045" s="1" t="s">
        <v>36</v>
      </c>
      <c r="H2045" s="1" t="s">
        <v>22</v>
      </c>
      <c r="I2045" s="1" t="s">
        <v>29</v>
      </c>
      <c r="J2045" s="1">
        <v>-99.670000000000016</v>
      </c>
      <c r="K2045" s="1">
        <v>440.33</v>
      </c>
      <c r="L2045" s="1">
        <v>80.329999999999984</v>
      </c>
    </row>
    <row r="2046" spans="4:12">
      <c r="D2046" s="1" t="s">
        <v>1014</v>
      </c>
      <c r="E2046" s="1" t="s">
        <v>1131</v>
      </c>
      <c r="F2046" s="1" t="s">
        <v>35</v>
      </c>
      <c r="G2046" s="1" t="s">
        <v>36</v>
      </c>
      <c r="H2046" s="1" t="s">
        <v>22</v>
      </c>
      <c r="I2046" s="1" t="s">
        <v>29</v>
      </c>
      <c r="J2046" s="1">
        <v>-99.670000000000016</v>
      </c>
      <c r="K2046" s="1">
        <v>440.33</v>
      </c>
      <c r="L2046" s="1">
        <v>80.329999999999984</v>
      </c>
    </row>
    <row r="2047" spans="4:12">
      <c r="D2047" s="1" t="s">
        <v>1014</v>
      </c>
      <c r="E2047" s="1" t="s">
        <v>1132</v>
      </c>
      <c r="F2047" s="1" t="s">
        <v>35</v>
      </c>
      <c r="G2047" s="1" t="s">
        <v>36</v>
      </c>
      <c r="H2047" s="1" t="s">
        <v>22</v>
      </c>
      <c r="I2047" s="1" t="s">
        <v>29</v>
      </c>
      <c r="J2047" s="1">
        <v>-99.670000000000016</v>
      </c>
      <c r="K2047" s="1">
        <v>440.33</v>
      </c>
      <c r="L2047" s="1">
        <v>80.329999999999984</v>
      </c>
    </row>
    <row r="2048" spans="4:12">
      <c r="D2048" s="1" t="s">
        <v>1014</v>
      </c>
      <c r="E2048" s="1" t="s">
        <v>1133</v>
      </c>
      <c r="F2048" s="1" t="s">
        <v>35</v>
      </c>
      <c r="G2048" s="1" t="s">
        <v>36</v>
      </c>
      <c r="H2048" s="1" t="s">
        <v>22</v>
      </c>
      <c r="I2048" s="1" t="s">
        <v>29</v>
      </c>
      <c r="J2048" s="1">
        <v>-99.670000000000016</v>
      </c>
      <c r="K2048" s="1">
        <v>440.33</v>
      </c>
      <c r="L2048" s="1">
        <v>80.329999999999984</v>
      </c>
    </row>
    <row r="2049" spans="4:12">
      <c r="D2049" s="1" t="s">
        <v>1014</v>
      </c>
      <c r="E2049" s="1" t="s">
        <v>1134</v>
      </c>
      <c r="F2049" s="1" t="s">
        <v>35</v>
      </c>
      <c r="G2049" s="1" t="s">
        <v>36</v>
      </c>
      <c r="H2049" s="1" t="s">
        <v>22</v>
      </c>
      <c r="I2049" s="1" t="s">
        <v>29</v>
      </c>
      <c r="J2049" s="1">
        <v>-99.670000000000016</v>
      </c>
      <c r="K2049" s="1">
        <v>440.33</v>
      </c>
      <c r="L2049" s="1">
        <v>80.329999999999984</v>
      </c>
    </row>
    <row r="2050" spans="4:12">
      <c r="D2050" s="1" t="s">
        <v>1014</v>
      </c>
      <c r="E2050" s="1" t="s">
        <v>1135</v>
      </c>
      <c r="F2050" s="1" t="s">
        <v>35</v>
      </c>
      <c r="G2050" s="1" t="s">
        <v>36</v>
      </c>
      <c r="H2050" s="1" t="s">
        <v>22</v>
      </c>
      <c r="I2050" s="1" t="s">
        <v>29</v>
      </c>
      <c r="J2050" s="1">
        <v>-99.670000000000016</v>
      </c>
      <c r="K2050" s="1">
        <v>440.33</v>
      </c>
      <c r="L2050" s="1">
        <v>80.329999999999984</v>
      </c>
    </row>
    <row r="2051" spans="4:12">
      <c r="D2051" s="1" t="s">
        <v>1014</v>
      </c>
      <c r="E2051" s="1" t="s">
        <v>1136</v>
      </c>
      <c r="F2051" s="1" t="s">
        <v>35</v>
      </c>
      <c r="G2051" s="1" t="s">
        <v>36</v>
      </c>
      <c r="H2051" s="1" t="s">
        <v>22</v>
      </c>
      <c r="I2051" s="1" t="s">
        <v>29</v>
      </c>
      <c r="J2051" s="1">
        <v>-31.018000000000029</v>
      </c>
      <c r="K2051" s="1">
        <v>256.99999999999994</v>
      </c>
      <c r="L2051" s="1">
        <v>80.329999999999984</v>
      </c>
    </row>
    <row r="2052" spans="4:12">
      <c r="D2052" s="1" t="s">
        <v>1014</v>
      </c>
      <c r="E2052" s="1" t="s">
        <v>1137</v>
      </c>
      <c r="F2052" s="1" t="s">
        <v>35</v>
      </c>
      <c r="G2052" s="1" t="s">
        <v>36</v>
      </c>
      <c r="H2052" s="1" t="s">
        <v>22</v>
      </c>
      <c r="I2052" s="1" t="s">
        <v>29</v>
      </c>
      <c r="J2052" s="1">
        <v>-31.018000000000029</v>
      </c>
      <c r="K2052" s="1">
        <v>256.99999999999994</v>
      </c>
      <c r="L2052" s="1">
        <v>80.329999999999984</v>
      </c>
    </row>
    <row r="2053" spans="4:12">
      <c r="D2053" s="1" t="s">
        <v>1014</v>
      </c>
      <c r="E2053" s="1" t="s">
        <v>1138</v>
      </c>
      <c r="F2053" s="1" t="s">
        <v>35</v>
      </c>
      <c r="G2053" s="1" t="s">
        <v>36</v>
      </c>
      <c r="H2053" s="1" t="s">
        <v>22</v>
      </c>
      <c r="I2053" s="1" t="s">
        <v>29</v>
      </c>
      <c r="J2053" s="1">
        <v>-31.018000000000029</v>
      </c>
      <c r="K2053" s="1">
        <v>256.99999999999994</v>
      </c>
      <c r="L2053" s="1">
        <v>80.329999999999984</v>
      </c>
    </row>
    <row r="2054" spans="4:12">
      <c r="D2054" s="1" t="s">
        <v>1014</v>
      </c>
      <c r="E2054" s="1" t="s">
        <v>1139</v>
      </c>
      <c r="F2054" s="1" t="s">
        <v>35</v>
      </c>
      <c r="G2054" s="1" t="s">
        <v>36</v>
      </c>
      <c r="H2054" s="1" t="s">
        <v>22</v>
      </c>
      <c r="I2054" s="1" t="s">
        <v>29</v>
      </c>
      <c r="J2054" s="1">
        <v>-31.018000000000029</v>
      </c>
      <c r="K2054" s="1">
        <v>256.99999999999994</v>
      </c>
      <c r="L2054" s="1">
        <v>80.329999999999984</v>
      </c>
    </row>
    <row r="2055" spans="4:12">
      <c r="D2055" s="1" t="s">
        <v>1014</v>
      </c>
      <c r="E2055" s="1" t="s">
        <v>1140</v>
      </c>
      <c r="F2055" s="1" t="s">
        <v>35</v>
      </c>
      <c r="G2055" s="1" t="s">
        <v>36</v>
      </c>
      <c r="H2055" s="1" t="s">
        <v>22</v>
      </c>
      <c r="I2055" s="1" t="s">
        <v>29</v>
      </c>
      <c r="J2055" s="1">
        <v>-31.018000000000029</v>
      </c>
      <c r="K2055" s="1">
        <v>256.99999999999994</v>
      </c>
      <c r="L2055" s="1">
        <v>80.329999999999984</v>
      </c>
    </row>
    <row r="2056" spans="4:12">
      <c r="D2056" s="1" t="s">
        <v>1014</v>
      </c>
      <c r="E2056" s="1" t="s">
        <v>1141</v>
      </c>
      <c r="F2056" s="1" t="s">
        <v>35</v>
      </c>
      <c r="G2056" s="1" t="s">
        <v>36</v>
      </c>
      <c r="H2056" s="1" t="s">
        <v>22</v>
      </c>
      <c r="I2056" s="1" t="s">
        <v>29</v>
      </c>
      <c r="J2056" s="1">
        <v>-31.018000000000029</v>
      </c>
      <c r="K2056" s="1">
        <v>256.99999999999994</v>
      </c>
      <c r="L2056" s="1">
        <v>80.329999999999984</v>
      </c>
    </row>
    <row r="2057" spans="4:12">
      <c r="D2057" s="1" t="s">
        <v>1014</v>
      </c>
      <c r="E2057" s="1" t="s">
        <v>1142</v>
      </c>
      <c r="F2057" s="1" t="s">
        <v>35</v>
      </c>
      <c r="G2057" s="1" t="s">
        <v>36</v>
      </c>
      <c r="H2057" s="1" t="s">
        <v>22</v>
      </c>
      <c r="I2057" s="1" t="s">
        <v>29</v>
      </c>
      <c r="J2057" s="1">
        <v>-31.018000000000029</v>
      </c>
      <c r="K2057" s="1">
        <v>256.99999999999994</v>
      </c>
      <c r="L2057" s="1">
        <v>80.329999999999984</v>
      </c>
    </row>
    <row r="2058" spans="4:12">
      <c r="D2058" s="1" t="s">
        <v>1014</v>
      </c>
      <c r="E2058" s="1" t="s">
        <v>1143</v>
      </c>
      <c r="F2058" s="1" t="s">
        <v>35</v>
      </c>
      <c r="G2058" s="1" t="s">
        <v>36</v>
      </c>
      <c r="H2058" s="1" t="s">
        <v>22</v>
      </c>
      <c r="I2058" s="1" t="s">
        <v>29</v>
      </c>
      <c r="J2058" s="1">
        <v>-31.018000000000029</v>
      </c>
      <c r="K2058" s="1">
        <v>256.99999999999994</v>
      </c>
      <c r="L2058" s="1">
        <v>80.329999999999984</v>
      </c>
    </row>
    <row r="2059" spans="4:12">
      <c r="D2059" s="1" t="s">
        <v>1014</v>
      </c>
      <c r="E2059" s="1" t="s">
        <v>1144</v>
      </c>
      <c r="F2059" s="1" t="s">
        <v>35</v>
      </c>
      <c r="G2059" s="1" t="s">
        <v>36</v>
      </c>
      <c r="H2059" s="1" t="s">
        <v>22</v>
      </c>
      <c r="I2059" s="1" t="s">
        <v>29</v>
      </c>
      <c r="J2059" s="1">
        <v>-31.018000000000029</v>
      </c>
      <c r="K2059" s="1">
        <v>256.99999999999994</v>
      </c>
      <c r="L2059" s="1">
        <v>80.329999999999984</v>
      </c>
    </row>
    <row r="2060" spans="4:12">
      <c r="D2060" s="1" t="s">
        <v>1014</v>
      </c>
      <c r="E2060" s="1" t="s">
        <v>1145</v>
      </c>
      <c r="F2060" s="1" t="s">
        <v>35</v>
      </c>
      <c r="G2060" s="1" t="s">
        <v>36</v>
      </c>
      <c r="H2060" s="1" t="s">
        <v>22</v>
      </c>
      <c r="I2060" s="1" t="s">
        <v>29</v>
      </c>
      <c r="J2060" s="1">
        <v>-31.018000000000029</v>
      </c>
      <c r="K2060" s="1">
        <v>256.99999999999994</v>
      </c>
      <c r="L2060" s="1">
        <v>80.329999999999984</v>
      </c>
    </row>
    <row r="2061" spans="4:12">
      <c r="D2061" s="1" t="s">
        <v>1014</v>
      </c>
      <c r="E2061" s="1" t="s">
        <v>1146</v>
      </c>
      <c r="F2061" s="1" t="s">
        <v>35</v>
      </c>
      <c r="G2061" s="1" t="s">
        <v>36</v>
      </c>
      <c r="H2061" s="1" t="s">
        <v>22</v>
      </c>
      <c r="I2061" s="1" t="s">
        <v>29</v>
      </c>
      <c r="J2061" s="1">
        <v>-31.018000000000029</v>
      </c>
      <c r="K2061" s="1">
        <v>256.99999999999994</v>
      </c>
      <c r="L2061" s="1">
        <v>80.329999999999984</v>
      </c>
    </row>
    <row r="2062" spans="4:12">
      <c r="D2062" s="1" t="s">
        <v>1014</v>
      </c>
      <c r="E2062" s="1" t="s">
        <v>1147</v>
      </c>
      <c r="F2062" s="1" t="s">
        <v>35</v>
      </c>
      <c r="G2062" s="1" t="s">
        <v>36</v>
      </c>
      <c r="H2062" s="1" t="s">
        <v>22</v>
      </c>
      <c r="I2062" s="1" t="s">
        <v>29</v>
      </c>
      <c r="J2062" s="1">
        <v>-31.018000000000029</v>
      </c>
      <c r="K2062" s="1">
        <v>256.99999999999994</v>
      </c>
      <c r="L2062" s="1">
        <v>80.329999999999984</v>
      </c>
    </row>
    <row r="2063" spans="4:12">
      <c r="D2063" s="1" t="s">
        <v>1014</v>
      </c>
      <c r="E2063" s="1" t="s">
        <v>1148</v>
      </c>
      <c r="F2063" s="1" t="s">
        <v>35</v>
      </c>
      <c r="G2063" s="1" t="s">
        <v>36</v>
      </c>
      <c r="H2063" s="1" t="s">
        <v>22</v>
      </c>
      <c r="I2063" s="1" t="s">
        <v>29</v>
      </c>
      <c r="J2063" s="1">
        <v>-99.670000000000016</v>
      </c>
      <c r="K2063" s="1">
        <v>440.33</v>
      </c>
      <c r="L2063" s="1">
        <v>80.329999999999984</v>
      </c>
    </row>
    <row r="2064" spans="4:12">
      <c r="D2064" s="1" t="s">
        <v>1014</v>
      </c>
      <c r="E2064" s="1" t="s">
        <v>1149</v>
      </c>
      <c r="F2064" s="1" t="s">
        <v>35</v>
      </c>
      <c r="G2064" s="1" t="s">
        <v>36</v>
      </c>
      <c r="H2064" s="1" t="s">
        <v>22</v>
      </c>
      <c r="I2064" s="1" t="s">
        <v>29</v>
      </c>
      <c r="J2064" s="1">
        <v>-99.670000000000016</v>
      </c>
      <c r="K2064" s="1">
        <v>440.33</v>
      </c>
      <c r="L2064" s="1">
        <v>80.329999999999984</v>
      </c>
    </row>
    <row r="2065" spans="4:12">
      <c r="D2065" s="1" t="s">
        <v>1014</v>
      </c>
      <c r="E2065" s="1" t="s">
        <v>1150</v>
      </c>
      <c r="F2065" s="1" t="s">
        <v>35</v>
      </c>
      <c r="G2065" s="1" t="s">
        <v>36</v>
      </c>
      <c r="H2065" s="1" t="s">
        <v>22</v>
      </c>
      <c r="I2065" s="1" t="s">
        <v>29</v>
      </c>
      <c r="J2065" s="1">
        <v>-99.670000000000016</v>
      </c>
      <c r="K2065" s="1">
        <v>440.33</v>
      </c>
      <c r="L2065" s="1">
        <v>80.329999999999984</v>
      </c>
    </row>
    <row r="2066" spans="4:12">
      <c r="D2066" s="1" t="s">
        <v>1014</v>
      </c>
      <c r="E2066" s="1" t="s">
        <v>1151</v>
      </c>
      <c r="F2066" s="1" t="s">
        <v>35</v>
      </c>
      <c r="G2066" s="1" t="s">
        <v>36</v>
      </c>
      <c r="H2066" s="1" t="s">
        <v>22</v>
      </c>
      <c r="I2066" s="1" t="s">
        <v>29</v>
      </c>
      <c r="J2066" s="1">
        <v>-99.670000000000016</v>
      </c>
      <c r="K2066" s="1">
        <v>440.33</v>
      </c>
      <c r="L2066" s="1">
        <v>80.329999999999984</v>
      </c>
    </row>
    <row r="2067" spans="4:12">
      <c r="D2067" s="1" t="s">
        <v>1014</v>
      </c>
      <c r="E2067" s="1" t="s">
        <v>1152</v>
      </c>
      <c r="F2067" s="1" t="s">
        <v>35</v>
      </c>
      <c r="G2067" s="1" t="s">
        <v>36</v>
      </c>
      <c r="H2067" s="1" t="s">
        <v>22</v>
      </c>
      <c r="I2067" s="1" t="s">
        <v>29</v>
      </c>
      <c r="J2067" s="1">
        <v>-99.670000000000016</v>
      </c>
      <c r="K2067" s="1">
        <v>440.33</v>
      </c>
      <c r="L2067" s="1">
        <v>80.329999999999984</v>
      </c>
    </row>
    <row r="2068" spans="4:12">
      <c r="D2068" s="1" t="s">
        <v>1014</v>
      </c>
      <c r="E2068" s="1" t="s">
        <v>1153</v>
      </c>
      <c r="F2068" s="1" t="s">
        <v>35</v>
      </c>
      <c r="G2068" s="1" t="s">
        <v>36</v>
      </c>
      <c r="H2068" s="1" t="s">
        <v>22</v>
      </c>
      <c r="I2068" s="1" t="s">
        <v>29</v>
      </c>
      <c r="J2068" s="1">
        <v>-99.670000000000016</v>
      </c>
      <c r="K2068" s="1">
        <v>440.33</v>
      </c>
      <c r="L2068" s="1">
        <v>80.329999999999984</v>
      </c>
    </row>
    <row r="2069" spans="4:12">
      <c r="D2069" s="1" t="s">
        <v>1014</v>
      </c>
      <c r="E2069" s="1" t="s">
        <v>1154</v>
      </c>
      <c r="F2069" s="1" t="s">
        <v>35</v>
      </c>
      <c r="G2069" s="1" t="s">
        <v>36</v>
      </c>
      <c r="H2069" s="1" t="s">
        <v>22</v>
      </c>
      <c r="I2069" s="1" t="s">
        <v>29</v>
      </c>
      <c r="J2069" s="1">
        <v>-99.670000000000016</v>
      </c>
      <c r="K2069" s="1">
        <v>440.33</v>
      </c>
      <c r="L2069" s="1">
        <v>80.329999999999984</v>
      </c>
    </row>
    <row r="2070" spans="4:12">
      <c r="D2070" s="1" t="s">
        <v>1014</v>
      </c>
      <c r="E2070" s="1" t="s">
        <v>1155</v>
      </c>
      <c r="F2070" s="1" t="s">
        <v>35</v>
      </c>
      <c r="G2070" s="1" t="s">
        <v>36</v>
      </c>
      <c r="H2070" s="1" t="s">
        <v>22</v>
      </c>
      <c r="I2070" s="1" t="s">
        <v>29</v>
      </c>
      <c r="J2070" s="1">
        <v>-99.670000000000016</v>
      </c>
      <c r="K2070" s="1">
        <v>440.33</v>
      </c>
      <c r="L2070" s="1">
        <v>80.329999999999984</v>
      </c>
    </row>
    <row r="2071" spans="4:12">
      <c r="D2071" s="1" t="s">
        <v>1014</v>
      </c>
      <c r="E2071" s="1" t="s">
        <v>1156</v>
      </c>
      <c r="F2071" s="1" t="s">
        <v>35</v>
      </c>
      <c r="G2071" s="1" t="s">
        <v>36</v>
      </c>
      <c r="H2071" s="1" t="s">
        <v>22</v>
      </c>
      <c r="I2071" s="1" t="s">
        <v>29</v>
      </c>
      <c r="J2071" s="1">
        <v>-99.670000000000016</v>
      </c>
      <c r="K2071" s="1">
        <v>440.33</v>
      </c>
      <c r="L2071" s="1">
        <v>80.329999999999984</v>
      </c>
    </row>
    <row r="2072" spans="4:12">
      <c r="D2072" s="1" t="s">
        <v>1014</v>
      </c>
      <c r="E2072" s="1" t="s">
        <v>1157</v>
      </c>
      <c r="F2072" s="1" t="s">
        <v>35</v>
      </c>
      <c r="G2072" s="1" t="s">
        <v>36</v>
      </c>
      <c r="H2072" s="1" t="s">
        <v>22</v>
      </c>
      <c r="I2072" s="1" t="s">
        <v>29</v>
      </c>
      <c r="J2072" s="1">
        <v>-99.670000000000016</v>
      </c>
      <c r="K2072" s="1">
        <v>440.33</v>
      </c>
      <c r="L2072" s="1">
        <v>80.329999999999984</v>
      </c>
    </row>
    <row r="2073" spans="4:12">
      <c r="D2073" s="1" t="s">
        <v>1014</v>
      </c>
      <c r="E2073" s="1" t="s">
        <v>1158</v>
      </c>
      <c r="F2073" s="1" t="s">
        <v>35</v>
      </c>
      <c r="G2073" s="1" t="s">
        <v>36</v>
      </c>
      <c r="H2073" s="1" t="s">
        <v>22</v>
      </c>
      <c r="I2073" s="1" t="s">
        <v>29</v>
      </c>
      <c r="J2073" s="1">
        <v>-99.670000000000016</v>
      </c>
      <c r="K2073" s="1">
        <v>440.33</v>
      </c>
      <c r="L2073" s="1">
        <v>80.329999999999984</v>
      </c>
    </row>
    <row r="2074" spans="4:12">
      <c r="D2074" s="1" t="s">
        <v>1014</v>
      </c>
      <c r="E2074" s="1" t="s">
        <v>1159</v>
      </c>
      <c r="F2074" s="1" t="s">
        <v>35</v>
      </c>
      <c r="G2074" s="1" t="s">
        <v>36</v>
      </c>
      <c r="H2074" s="1" t="s">
        <v>22</v>
      </c>
      <c r="I2074" s="1" t="s">
        <v>29</v>
      </c>
      <c r="J2074" s="1">
        <v>-99.670000000000016</v>
      </c>
      <c r="K2074" s="1">
        <v>440.33</v>
      </c>
      <c r="L2074" s="1">
        <v>80.329999999999984</v>
      </c>
    </row>
    <row r="2075" spans="4:12">
      <c r="D2075" s="1" t="s">
        <v>1014</v>
      </c>
      <c r="E2075" s="1" t="s">
        <v>1160</v>
      </c>
      <c r="F2075" s="1" t="s">
        <v>35</v>
      </c>
      <c r="G2075" s="1" t="s">
        <v>36</v>
      </c>
      <c r="H2075" s="1" t="s">
        <v>22</v>
      </c>
      <c r="I2075" s="1" t="s">
        <v>29</v>
      </c>
      <c r="J2075" s="1">
        <v>-99.670000000000016</v>
      </c>
      <c r="K2075" s="1">
        <v>440.33</v>
      </c>
      <c r="L2075" s="1">
        <v>80.329999999999984</v>
      </c>
    </row>
    <row r="2076" spans="4:12">
      <c r="D2076" s="1" t="s">
        <v>1014</v>
      </c>
      <c r="E2076" s="1" t="s">
        <v>1161</v>
      </c>
      <c r="F2076" s="1" t="s">
        <v>35</v>
      </c>
      <c r="G2076" s="1" t="s">
        <v>36</v>
      </c>
      <c r="H2076" s="1" t="s">
        <v>22</v>
      </c>
      <c r="I2076" s="1" t="s">
        <v>29</v>
      </c>
      <c r="J2076" s="1">
        <v>-99.670000000000016</v>
      </c>
      <c r="K2076" s="1">
        <v>440.33</v>
      </c>
      <c r="L2076" s="1">
        <v>80.329999999999984</v>
      </c>
    </row>
    <row r="2077" spans="4:12">
      <c r="D2077" s="1" t="s">
        <v>1014</v>
      </c>
      <c r="E2077" s="1" t="s">
        <v>1162</v>
      </c>
      <c r="F2077" s="1" t="s">
        <v>35</v>
      </c>
      <c r="G2077" s="1" t="s">
        <v>36</v>
      </c>
      <c r="H2077" s="1" t="s">
        <v>22</v>
      </c>
      <c r="I2077" s="1" t="s">
        <v>29</v>
      </c>
      <c r="J2077" s="1">
        <v>-99.670000000000016</v>
      </c>
      <c r="K2077" s="1">
        <v>440.33</v>
      </c>
      <c r="L2077" s="1">
        <v>80.329999999999984</v>
      </c>
    </row>
    <row r="2078" spans="4:12">
      <c r="D2078" s="1" t="s">
        <v>1014</v>
      </c>
      <c r="E2078" s="1" t="s">
        <v>1163</v>
      </c>
      <c r="F2078" s="1" t="s">
        <v>35</v>
      </c>
      <c r="G2078" s="1" t="s">
        <v>36</v>
      </c>
      <c r="H2078" s="1" t="s">
        <v>22</v>
      </c>
      <c r="I2078" s="1" t="s">
        <v>29</v>
      </c>
      <c r="J2078" s="1">
        <v>-99.670000000000016</v>
      </c>
      <c r="K2078" s="1">
        <v>440.33</v>
      </c>
      <c r="L2078" s="1">
        <v>80.329999999999984</v>
      </c>
    </row>
    <row r="2079" spans="4:12">
      <c r="D2079" s="1" t="s">
        <v>1014</v>
      </c>
      <c r="E2079" s="1" t="s">
        <v>1164</v>
      </c>
      <c r="F2079" s="1" t="s">
        <v>35</v>
      </c>
      <c r="G2079" s="1" t="s">
        <v>36</v>
      </c>
      <c r="H2079" s="1" t="s">
        <v>22</v>
      </c>
      <c r="I2079" s="1" t="s">
        <v>29</v>
      </c>
      <c r="J2079" s="1">
        <v>-99.670000000000016</v>
      </c>
      <c r="K2079" s="1">
        <v>440.33</v>
      </c>
      <c r="L2079" s="1">
        <v>80.329999999999984</v>
      </c>
    </row>
    <row r="2080" spans="4:12">
      <c r="D2080" s="1" t="s">
        <v>1014</v>
      </c>
      <c r="E2080" s="1" t="s">
        <v>1165</v>
      </c>
      <c r="F2080" s="1" t="s">
        <v>35</v>
      </c>
      <c r="G2080" s="1" t="s">
        <v>36</v>
      </c>
      <c r="H2080" s="1" t="s">
        <v>22</v>
      </c>
      <c r="I2080" s="1" t="s">
        <v>29</v>
      </c>
      <c r="J2080" s="1">
        <v>-99.670000000000016</v>
      </c>
      <c r="K2080" s="1">
        <v>440.33</v>
      </c>
      <c r="L2080" s="1">
        <v>80.329999999999984</v>
      </c>
    </row>
    <row r="2081" spans="4:12">
      <c r="D2081" s="1" t="s">
        <v>1014</v>
      </c>
      <c r="E2081" s="1" t="s">
        <v>1166</v>
      </c>
      <c r="F2081" s="1" t="s">
        <v>35</v>
      </c>
      <c r="G2081" s="1" t="s">
        <v>36</v>
      </c>
      <c r="H2081" s="1" t="s">
        <v>22</v>
      </c>
      <c r="I2081" s="1" t="s">
        <v>29</v>
      </c>
      <c r="J2081" s="1">
        <v>-99.670000000000016</v>
      </c>
      <c r="K2081" s="1">
        <v>440.33</v>
      </c>
      <c r="L2081" s="1">
        <v>80.329999999999984</v>
      </c>
    </row>
    <row r="2082" spans="4:12">
      <c r="D2082" s="1" t="s">
        <v>1014</v>
      </c>
      <c r="E2082" s="1" t="s">
        <v>1167</v>
      </c>
      <c r="F2082" s="1" t="s">
        <v>35</v>
      </c>
      <c r="G2082" s="1" t="s">
        <v>36</v>
      </c>
      <c r="H2082" s="1" t="s">
        <v>22</v>
      </c>
      <c r="I2082" s="1" t="s">
        <v>29</v>
      </c>
      <c r="J2082" s="1">
        <v>-99.670000000000016</v>
      </c>
      <c r="K2082" s="1">
        <v>440.33</v>
      </c>
      <c r="L2082" s="1">
        <v>80.329999999999984</v>
      </c>
    </row>
    <row r="2083" spans="4:12">
      <c r="D2083" s="1" t="s">
        <v>1014</v>
      </c>
      <c r="E2083" s="1" t="s">
        <v>1168</v>
      </c>
      <c r="F2083" s="1" t="s">
        <v>35</v>
      </c>
      <c r="G2083" s="1" t="s">
        <v>36</v>
      </c>
      <c r="H2083" s="1" t="s">
        <v>22</v>
      </c>
      <c r="I2083" s="1" t="s">
        <v>29</v>
      </c>
      <c r="J2083" s="1">
        <v>-31.018000000000029</v>
      </c>
      <c r="K2083" s="1">
        <v>256.99999999999994</v>
      </c>
      <c r="L2083" s="1">
        <v>80.329999999999984</v>
      </c>
    </row>
    <row r="2084" spans="4:12">
      <c r="D2084" s="1" t="s">
        <v>1014</v>
      </c>
      <c r="E2084" s="1" t="s">
        <v>1169</v>
      </c>
      <c r="F2084" s="1" t="s">
        <v>35</v>
      </c>
      <c r="G2084" s="1" t="s">
        <v>36</v>
      </c>
      <c r="H2084" s="1" t="s">
        <v>22</v>
      </c>
      <c r="I2084" s="1" t="s">
        <v>29</v>
      </c>
      <c r="J2084" s="1">
        <v>-31.018000000000029</v>
      </c>
      <c r="K2084" s="1">
        <v>256.99999999999994</v>
      </c>
      <c r="L2084" s="1">
        <v>80.329999999999984</v>
      </c>
    </row>
    <row r="2085" spans="4:12">
      <c r="D2085" s="1" t="s">
        <v>1014</v>
      </c>
      <c r="E2085" s="1" t="s">
        <v>1170</v>
      </c>
      <c r="F2085" s="1" t="s">
        <v>35</v>
      </c>
      <c r="G2085" s="1" t="s">
        <v>36</v>
      </c>
      <c r="H2085" s="1" t="s">
        <v>22</v>
      </c>
      <c r="I2085" s="1" t="s">
        <v>29</v>
      </c>
      <c r="J2085" s="1">
        <v>-31.018000000000029</v>
      </c>
      <c r="K2085" s="1">
        <v>256.99999999999994</v>
      </c>
      <c r="L2085" s="1">
        <v>80.329999999999984</v>
      </c>
    </row>
    <row r="2086" spans="4:12">
      <c r="D2086" s="1" t="s">
        <v>1014</v>
      </c>
      <c r="E2086" s="1" t="s">
        <v>1171</v>
      </c>
      <c r="F2086" s="1" t="s">
        <v>35</v>
      </c>
      <c r="G2086" s="1" t="s">
        <v>36</v>
      </c>
      <c r="H2086" s="1" t="s">
        <v>22</v>
      </c>
      <c r="I2086" s="1" t="s">
        <v>29</v>
      </c>
      <c r="J2086" s="1">
        <v>-31.018000000000029</v>
      </c>
      <c r="K2086" s="1">
        <v>256.99999999999994</v>
      </c>
      <c r="L2086" s="1">
        <v>80.329999999999984</v>
      </c>
    </row>
    <row r="2087" spans="4:12">
      <c r="D2087" s="1" t="s">
        <v>1014</v>
      </c>
      <c r="E2087" s="1" t="s">
        <v>1172</v>
      </c>
      <c r="F2087" s="1" t="s">
        <v>35</v>
      </c>
      <c r="G2087" s="1" t="s">
        <v>36</v>
      </c>
      <c r="H2087" s="1" t="s">
        <v>22</v>
      </c>
      <c r="I2087" s="1" t="s">
        <v>29</v>
      </c>
      <c r="J2087" s="1">
        <v>-31.018000000000029</v>
      </c>
      <c r="K2087" s="1">
        <v>256.99999999999994</v>
      </c>
      <c r="L2087" s="1">
        <v>80.329999999999984</v>
      </c>
    </row>
    <row r="2088" spans="4:12">
      <c r="D2088" s="1" t="s">
        <v>1014</v>
      </c>
      <c r="E2088" s="1" t="s">
        <v>1173</v>
      </c>
      <c r="F2088" s="1" t="s">
        <v>35</v>
      </c>
      <c r="G2088" s="1" t="s">
        <v>36</v>
      </c>
      <c r="H2088" s="1" t="s">
        <v>22</v>
      </c>
      <c r="I2088" s="1" t="s">
        <v>29</v>
      </c>
      <c r="J2088" s="1">
        <v>-31.018000000000029</v>
      </c>
      <c r="K2088" s="1">
        <v>256.99999999999994</v>
      </c>
      <c r="L2088" s="1">
        <v>80.329999999999984</v>
      </c>
    </row>
    <row r="2089" spans="4:12">
      <c r="D2089" s="1" t="s">
        <v>1014</v>
      </c>
      <c r="E2089" s="1" t="s">
        <v>1174</v>
      </c>
      <c r="F2089" s="1" t="s">
        <v>35</v>
      </c>
      <c r="G2089" s="1" t="s">
        <v>36</v>
      </c>
      <c r="H2089" s="1" t="s">
        <v>22</v>
      </c>
      <c r="I2089" s="1" t="s">
        <v>29</v>
      </c>
      <c r="J2089" s="1">
        <v>-31.018000000000029</v>
      </c>
      <c r="K2089" s="1">
        <v>256.99999999999994</v>
      </c>
      <c r="L2089" s="1">
        <v>80.329999999999984</v>
      </c>
    </row>
    <row r="2090" spans="4:12">
      <c r="D2090" s="1" t="s">
        <v>1014</v>
      </c>
      <c r="E2090" s="1" t="s">
        <v>1175</v>
      </c>
      <c r="F2090" s="1" t="s">
        <v>35</v>
      </c>
      <c r="G2090" s="1" t="s">
        <v>36</v>
      </c>
      <c r="H2090" s="1" t="s">
        <v>22</v>
      </c>
      <c r="I2090" s="1" t="s">
        <v>29</v>
      </c>
      <c r="J2090" s="1">
        <v>-31.018000000000029</v>
      </c>
      <c r="K2090" s="1">
        <v>256.99999999999994</v>
      </c>
      <c r="L2090" s="1">
        <v>80.329999999999984</v>
      </c>
    </row>
    <row r="2091" spans="4:12">
      <c r="D2091" s="1" t="s">
        <v>1014</v>
      </c>
      <c r="E2091" s="1" t="s">
        <v>1176</v>
      </c>
      <c r="F2091" s="1" t="s">
        <v>35</v>
      </c>
      <c r="G2091" s="1" t="s">
        <v>36</v>
      </c>
      <c r="H2091" s="1" t="s">
        <v>22</v>
      </c>
      <c r="I2091" s="1" t="s">
        <v>29</v>
      </c>
      <c r="J2091" s="1">
        <v>-31.018000000000029</v>
      </c>
      <c r="K2091" s="1">
        <v>256.99999999999994</v>
      </c>
      <c r="L2091" s="1">
        <v>80.329999999999984</v>
      </c>
    </row>
    <row r="2092" spans="4:12">
      <c r="D2092" s="1" t="s">
        <v>1014</v>
      </c>
      <c r="E2092" s="1" t="s">
        <v>1177</v>
      </c>
      <c r="F2092" s="1" t="s">
        <v>35</v>
      </c>
      <c r="G2092" s="1" t="s">
        <v>36</v>
      </c>
      <c r="H2092" s="1" t="s">
        <v>22</v>
      </c>
      <c r="I2092" s="1" t="s">
        <v>29</v>
      </c>
      <c r="J2092" s="1">
        <v>-31.018000000000029</v>
      </c>
      <c r="K2092" s="1">
        <v>256.99999999999994</v>
      </c>
      <c r="L2092" s="1">
        <v>80.329999999999984</v>
      </c>
    </row>
    <row r="2093" spans="4:12">
      <c r="D2093" s="1" t="s">
        <v>1014</v>
      </c>
      <c r="E2093" s="1" t="s">
        <v>1178</v>
      </c>
      <c r="F2093" s="1" t="s">
        <v>35</v>
      </c>
      <c r="G2093" s="1" t="s">
        <v>36</v>
      </c>
      <c r="H2093" s="1" t="s">
        <v>22</v>
      </c>
      <c r="I2093" s="1" t="s">
        <v>29</v>
      </c>
      <c r="J2093" s="1">
        <v>-31.018000000000029</v>
      </c>
      <c r="K2093" s="1">
        <v>256.99999999999994</v>
      </c>
      <c r="L2093" s="1">
        <v>80.329999999999984</v>
      </c>
    </row>
    <row r="2094" spans="4:12">
      <c r="D2094" s="1" t="s">
        <v>1014</v>
      </c>
      <c r="E2094" s="1" t="s">
        <v>1179</v>
      </c>
      <c r="F2094" s="1" t="s">
        <v>35</v>
      </c>
      <c r="G2094" s="1" t="s">
        <v>36</v>
      </c>
      <c r="H2094" s="1" t="s">
        <v>22</v>
      </c>
      <c r="I2094" s="1" t="s">
        <v>29</v>
      </c>
      <c r="J2094" s="1">
        <v>-31.018000000000029</v>
      </c>
      <c r="K2094" s="1">
        <v>256.99999999999994</v>
      </c>
      <c r="L2094" s="1">
        <v>80.329999999999984</v>
      </c>
    </row>
    <row r="2095" spans="4:12">
      <c r="D2095" s="1" t="s">
        <v>1014</v>
      </c>
      <c r="E2095" s="1" t="s">
        <v>1180</v>
      </c>
      <c r="F2095" s="1" t="s">
        <v>35</v>
      </c>
      <c r="G2095" s="1" t="s">
        <v>36</v>
      </c>
      <c r="H2095" s="1" t="s">
        <v>22</v>
      </c>
      <c r="I2095" s="1" t="s">
        <v>29</v>
      </c>
      <c r="J2095" s="1">
        <v>-31.018000000000029</v>
      </c>
      <c r="K2095" s="1">
        <v>256.99999999999994</v>
      </c>
      <c r="L2095" s="1">
        <v>80.329999999999984</v>
      </c>
    </row>
    <row r="2096" spans="4:12">
      <c r="D2096" s="1" t="s">
        <v>1014</v>
      </c>
      <c r="E2096" s="1" t="s">
        <v>1181</v>
      </c>
      <c r="F2096" s="1" t="s">
        <v>35</v>
      </c>
      <c r="G2096" s="1" t="s">
        <v>36</v>
      </c>
      <c r="H2096" s="1" t="s">
        <v>22</v>
      </c>
      <c r="I2096" s="1" t="s">
        <v>29</v>
      </c>
      <c r="J2096" s="1">
        <v>-31.018000000000029</v>
      </c>
      <c r="K2096" s="1">
        <v>256.99999999999994</v>
      </c>
      <c r="L2096" s="1">
        <v>80.329999999999984</v>
      </c>
    </row>
    <row r="2097" spans="4:12">
      <c r="D2097" s="1" t="s">
        <v>1014</v>
      </c>
      <c r="E2097" s="1" t="s">
        <v>1182</v>
      </c>
      <c r="F2097" s="1" t="s">
        <v>35</v>
      </c>
      <c r="G2097" s="1" t="s">
        <v>36</v>
      </c>
      <c r="H2097" s="1" t="s">
        <v>22</v>
      </c>
      <c r="I2097" s="1" t="s">
        <v>29</v>
      </c>
      <c r="J2097" s="1">
        <v>-31.018000000000029</v>
      </c>
      <c r="K2097" s="1">
        <v>256.99999999999994</v>
      </c>
      <c r="L2097" s="1">
        <v>80.329999999999984</v>
      </c>
    </row>
    <row r="2098" spans="4:12">
      <c r="D2098" s="1" t="s">
        <v>1014</v>
      </c>
      <c r="E2098" s="1" t="s">
        <v>1183</v>
      </c>
      <c r="F2098" s="1" t="s">
        <v>35</v>
      </c>
      <c r="G2098" s="1" t="s">
        <v>36</v>
      </c>
      <c r="H2098" s="1" t="s">
        <v>22</v>
      </c>
      <c r="I2098" s="1" t="s">
        <v>29</v>
      </c>
      <c r="J2098" s="1">
        <v>-31.018000000000029</v>
      </c>
      <c r="K2098" s="1">
        <v>256.99999999999994</v>
      </c>
      <c r="L2098" s="1">
        <v>80.329999999999984</v>
      </c>
    </row>
    <row r="2099" spans="4:12">
      <c r="D2099" s="1" t="s">
        <v>1014</v>
      </c>
      <c r="E2099" s="1" t="s">
        <v>1184</v>
      </c>
      <c r="F2099" s="1" t="s">
        <v>35</v>
      </c>
      <c r="G2099" s="1" t="s">
        <v>36</v>
      </c>
      <c r="H2099" s="1" t="s">
        <v>22</v>
      </c>
      <c r="I2099" s="1" t="s">
        <v>29</v>
      </c>
      <c r="J2099" s="1">
        <v>-31.018000000000029</v>
      </c>
      <c r="K2099" s="1">
        <v>256.99999999999994</v>
      </c>
      <c r="L2099" s="1">
        <v>80.329999999999984</v>
      </c>
    </row>
    <row r="2100" spans="4:12">
      <c r="D2100" s="1" t="s">
        <v>1014</v>
      </c>
      <c r="E2100" s="1" t="s">
        <v>1185</v>
      </c>
      <c r="F2100" s="1" t="s">
        <v>35</v>
      </c>
      <c r="G2100" s="1" t="s">
        <v>36</v>
      </c>
      <c r="H2100" s="1" t="s">
        <v>22</v>
      </c>
      <c r="I2100" s="1" t="s">
        <v>29</v>
      </c>
      <c r="J2100" s="1">
        <v>-31.018000000000029</v>
      </c>
      <c r="K2100" s="1">
        <v>256.99999999999994</v>
      </c>
      <c r="L2100" s="1">
        <v>80.329999999999984</v>
      </c>
    </row>
    <row r="2101" spans="4:12">
      <c r="D2101" s="1" t="s">
        <v>1014</v>
      </c>
      <c r="E2101" s="1" t="s">
        <v>1186</v>
      </c>
      <c r="F2101" s="1" t="s">
        <v>35</v>
      </c>
      <c r="G2101" s="1" t="s">
        <v>36</v>
      </c>
      <c r="H2101" s="1" t="s">
        <v>22</v>
      </c>
      <c r="I2101" s="1" t="s">
        <v>29</v>
      </c>
      <c r="J2101" s="1">
        <v>-31.018000000000029</v>
      </c>
      <c r="K2101" s="1">
        <v>256.99999999999994</v>
      </c>
      <c r="L2101" s="1">
        <v>80.329999999999984</v>
      </c>
    </row>
    <row r="2102" spans="4:12">
      <c r="D2102" s="1" t="s">
        <v>1014</v>
      </c>
      <c r="E2102" s="1" t="s">
        <v>1187</v>
      </c>
      <c r="F2102" s="1" t="s">
        <v>35</v>
      </c>
      <c r="G2102" s="1" t="s">
        <v>36</v>
      </c>
      <c r="H2102" s="1" t="s">
        <v>22</v>
      </c>
      <c r="I2102" s="1" t="s">
        <v>29</v>
      </c>
      <c r="J2102" s="1">
        <v>-31.018000000000029</v>
      </c>
      <c r="K2102" s="1">
        <v>256.99999999999994</v>
      </c>
      <c r="L2102" s="1">
        <v>80.329999999999984</v>
      </c>
    </row>
    <row r="2103" spans="4:12">
      <c r="D2103" s="1" t="s">
        <v>1014</v>
      </c>
      <c r="E2103" s="1" t="s">
        <v>1188</v>
      </c>
      <c r="F2103" s="1" t="s">
        <v>35</v>
      </c>
      <c r="G2103" s="1" t="s">
        <v>36</v>
      </c>
      <c r="H2103" s="1" t="s">
        <v>22</v>
      </c>
      <c r="I2103" s="1" t="s">
        <v>29</v>
      </c>
      <c r="J2103" s="1">
        <v>-31.018000000000029</v>
      </c>
      <c r="K2103" s="1">
        <v>256.99999999999994</v>
      </c>
      <c r="L2103" s="1">
        <v>80.329999999999984</v>
      </c>
    </row>
    <row r="2104" spans="4:12">
      <c r="D2104" s="1" t="s">
        <v>1014</v>
      </c>
      <c r="E2104" s="1" t="s">
        <v>1189</v>
      </c>
      <c r="F2104" s="1" t="s">
        <v>35</v>
      </c>
      <c r="G2104" s="1" t="s">
        <v>36</v>
      </c>
      <c r="H2104" s="1" t="s">
        <v>22</v>
      </c>
      <c r="I2104" s="1" t="s">
        <v>29</v>
      </c>
      <c r="J2104" s="1">
        <v>-31.018000000000029</v>
      </c>
      <c r="K2104" s="1">
        <v>256.99999999999994</v>
      </c>
      <c r="L2104" s="1">
        <v>80.329999999999984</v>
      </c>
    </row>
    <row r="2105" spans="4:12">
      <c r="D2105" s="1" t="s">
        <v>1014</v>
      </c>
      <c r="E2105" s="1" t="s">
        <v>1190</v>
      </c>
      <c r="F2105" s="1" t="s">
        <v>35</v>
      </c>
      <c r="G2105" s="1" t="s">
        <v>36</v>
      </c>
      <c r="H2105" s="1" t="s">
        <v>22</v>
      </c>
      <c r="I2105" s="1" t="s">
        <v>29</v>
      </c>
      <c r="J2105" s="1">
        <v>-99.670000000000016</v>
      </c>
      <c r="K2105" s="1">
        <v>440.33</v>
      </c>
      <c r="L2105" s="1">
        <v>80.329999999999984</v>
      </c>
    </row>
    <row r="2106" spans="4:12">
      <c r="D2106" s="1" t="s">
        <v>1014</v>
      </c>
      <c r="E2106" s="1" t="s">
        <v>1191</v>
      </c>
      <c r="F2106" s="1" t="s">
        <v>35</v>
      </c>
      <c r="G2106" s="1" t="s">
        <v>36</v>
      </c>
      <c r="H2106" s="1" t="s">
        <v>22</v>
      </c>
      <c r="I2106" s="1" t="s">
        <v>29</v>
      </c>
      <c r="J2106" s="1">
        <v>-99.670000000000016</v>
      </c>
      <c r="K2106" s="1">
        <v>440.33</v>
      </c>
      <c r="L2106" s="1">
        <v>80.329999999999984</v>
      </c>
    </row>
    <row r="2107" spans="4:12">
      <c r="D2107" s="1" t="s">
        <v>1014</v>
      </c>
      <c r="E2107" s="1" t="s">
        <v>1192</v>
      </c>
      <c r="F2107" s="1" t="s">
        <v>35</v>
      </c>
      <c r="G2107" s="1" t="s">
        <v>36</v>
      </c>
      <c r="H2107" s="1" t="s">
        <v>22</v>
      </c>
      <c r="I2107" s="1" t="s">
        <v>29</v>
      </c>
      <c r="J2107" s="1">
        <v>-99.670000000000016</v>
      </c>
      <c r="K2107" s="1">
        <v>440.33</v>
      </c>
      <c r="L2107" s="1">
        <v>80.329999999999984</v>
      </c>
    </row>
    <row r="2108" spans="4:12">
      <c r="D2108" s="1" t="s">
        <v>1014</v>
      </c>
      <c r="E2108" s="1" t="s">
        <v>1193</v>
      </c>
      <c r="F2108" s="1" t="s">
        <v>35</v>
      </c>
      <c r="G2108" s="1" t="s">
        <v>36</v>
      </c>
      <c r="H2108" s="1" t="s">
        <v>22</v>
      </c>
      <c r="I2108" s="1" t="s">
        <v>29</v>
      </c>
      <c r="J2108" s="1">
        <v>-99.670000000000016</v>
      </c>
      <c r="K2108" s="1">
        <v>440.33</v>
      </c>
      <c r="L2108" s="1">
        <v>80.329999999999984</v>
      </c>
    </row>
    <row r="2109" spans="4:12">
      <c r="D2109" s="1" t="s">
        <v>1014</v>
      </c>
      <c r="E2109" s="1" t="s">
        <v>1194</v>
      </c>
      <c r="F2109" s="1" t="s">
        <v>35</v>
      </c>
      <c r="G2109" s="1" t="s">
        <v>36</v>
      </c>
      <c r="H2109" s="1" t="s">
        <v>22</v>
      </c>
      <c r="I2109" s="1" t="s">
        <v>29</v>
      </c>
      <c r="J2109" s="1">
        <v>-99.670000000000016</v>
      </c>
      <c r="K2109" s="1">
        <v>440.33</v>
      </c>
      <c r="L2109" s="1">
        <v>80.329999999999984</v>
      </c>
    </row>
    <row r="2110" spans="4:12">
      <c r="D2110" s="1" t="s">
        <v>1014</v>
      </c>
      <c r="E2110" s="1" t="s">
        <v>1195</v>
      </c>
      <c r="F2110" s="1" t="s">
        <v>35</v>
      </c>
      <c r="G2110" s="1" t="s">
        <v>36</v>
      </c>
      <c r="H2110" s="1" t="s">
        <v>22</v>
      </c>
      <c r="I2110" s="1" t="s">
        <v>29</v>
      </c>
      <c r="J2110" s="1">
        <v>-99.670000000000016</v>
      </c>
      <c r="K2110" s="1">
        <v>440.33</v>
      </c>
      <c r="L2110" s="1">
        <v>80.329999999999984</v>
      </c>
    </row>
    <row r="2111" spans="4:12">
      <c r="D2111" s="1" t="s">
        <v>1014</v>
      </c>
      <c r="E2111" s="1" t="s">
        <v>1196</v>
      </c>
      <c r="F2111" s="1" t="s">
        <v>35</v>
      </c>
      <c r="G2111" s="1" t="s">
        <v>36</v>
      </c>
      <c r="H2111" s="1" t="s">
        <v>22</v>
      </c>
      <c r="I2111" s="1" t="s">
        <v>29</v>
      </c>
      <c r="J2111" s="1">
        <v>-99.670000000000016</v>
      </c>
      <c r="K2111" s="1">
        <v>440.33</v>
      </c>
      <c r="L2111" s="1">
        <v>80.329999999999984</v>
      </c>
    </row>
    <row r="2112" spans="4:12">
      <c r="D2112" s="1" t="s">
        <v>1014</v>
      </c>
      <c r="E2112" s="1" t="s">
        <v>1197</v>
      </c>
      <c r="F2112" s="1" t="s">
        <v>35</v>
      </c>
      <c r="G2112" s="1" t="s">
        <v>36</v>
      </c>
      <c r="H2112" s="1" t="s">
        <v>22</v>
      </c>
      <c r="I2112" s="1" t="s">
        <v>29</v>
      </c>
      <c r="J2112" s="1">
        <v>-99.670000000000016</v>
      </c>
      <c r="K2112" s="1">
        <v>440.33</v>
      </c>
      <c r="L2112" s="1">
        <v>80.329999999999984</v>
      </c>
    </row>
    <row r="2113" spans="4:12">
      <c r="D2113" s="1" t="s">
        <v>1014</v>
      </c>
      <c r="E2113" s="1" t="s">
        <v>1198</v>
      </c>
      <c r="F2113" s="1" t="s">
        <v>35</v>
      </c>
      <c r="G2113" s="1" t="s">
        <v>36</v>
      </c>
      <c r="H2113" s="1" t="s">
        <v>22</v>
      </c>
      <c r="I2113" s="1" t="s">
        <v>29</v>
      </c>
      <c r="J2113" s="1">
        <v>-99.670000000000016</v>
      </c>
      <c r="K2113" s="1">
        <v>440.33</v>
      </c>
      <c r="L2113" s="1">
        <v>80.329999999999984</v>
      </c>
    </row>
    <row r="2114" spans="4:12">
      <c r="D2114" s="1" t="s">
        <v>1014</v>
      </c>
      <c r="E2114" s="1" t="s">
        <v>1199</v>
      </c>
      <c r="F2114" s="1" t="s">
        <v>35</v>
      </c>
      <c r="G2114" s="1" t="s">
        <v>36</v>
      </c>
      <c r="H2114" s="1" t="s">
        <v>22</v>
      </c>
      <c r="I2114" s="1" t="s">
        <v>29</v>
      </c>
      <c r="J2114" s="1">
        <v>-99.670000000000016</v>
      </c>
      <c r="K2114" s="1">
        <v>440.33</v>
      </c>
      <c r="L2114" s="1">
        <v>80.329999999999984</v>
      </c>
    </row>
    <row r="2115" spans="4:12">
      <c r="D2115" s="1" t="s">
        <v>1014</v>
      </c>
      <c r="E2115" s="1" t="s">
        <v>1200</v>
      </c>
      <c r="F2115" s="1" t="s">
        <v>35</v>
      </c>
      <c r="G2115" s="1" t="s">
        <v>36</v>
      </c>
      <c r="H2115" s="1" t="s">
        <v>22</v>
      </c>
      <c r="I2115" s="1" t="s">
        <v>29</v>
      </c>
      <c r="J2115" s="1">
        <v>-99.670000000000016</v>
      </c>
      <c r="K2115" s="1">
        <v>440.33</v>
      </c>
      <c r="L2115" s="1">
        <v>80.329999999999984</v>
      </c>
    </row>
    <row r="2116" spans="4:12">
      <c r="D2116" s="1" t="s">
        <v>1014</v>
      </c>
      <c r="E2116" s="1" t="s">
        <v>1201</v>
      </c>
      <c r="F2116" s="1" t="s">
        <v>35</v>
      </c>
      <c r="G2116" s="1" t="s">
        <v>36</v>
      </c>
      <c r="H2116" s="1" t="s">
        <v>22</v>
      </c>
      <c r="I2116" s="1" t="s">
        <v>29</v>
      </c>
      <c r="J2116" s="1">
        <v>-99.670000000000016</v>
      </c>
      <c r="K2116" s="1">
        <v>440.33</v>
      </c>
      <c r="L2116" s="1">
        <v>80.329999999999984</v>
      </c>
    </row>
    <row r="2117" spans="4:12">
      <c r="D2117" s="1" t="s">
        <v>1014</v>
      </c>
      <c r="E2117" s="1" t="s">
        <v>1202</v>
      </c>
      <c r="F2117" s="1" t="s">
        <v>35</v>
      </c>
      <c r="G2117" s="1" t="s">
        <v>36</v>
      </c>
      <c r="H2117" s="1" t="s">
        <v>22</v>
      </c>
      <c r="I2117" s="1" t="s">
        <v>29</v>
      </c>
      <c r="J2117" s="1">
        <v>-99.670000000000016</v>
      </c>
      <c r="K2117" s="1">
        <v>440.33</v>
      </c>
      <c r="L2117" s="1">
        <v>80.329999999999984</v>
      </c>
    </row>
    <row r="2118" spans="4:12">
      <c r="D2118" s="1" t="s">
        <v>1014</v>
      </c>
      <c r="E2118" s="1" t="s">
        <v>1203</v>
      </c>
      <c r="F2118" s="1" t="s">
        <v>35</v>
      </c>
      <c r="G2118" s="1" t="s">
        <v>36</v>
      </c>
      <c r="H2118" s="1" t="s">
        <v>22</v>
      </c>
      <c r="I2118" s="1" t="s">
        <v>29</v>
      </c>
      <c r="J2118" s="1">
        <v>-99.670000000000016</v>
      </c>
      <c r="K2118" s="1">
        <v>440.33</v>
      </c>
      <c r="L2118" s="1">
        <v>80.329999999999984</v>
      </c>
    </row>
    <row r="2119" spans="4:12">
      <c r="D2119" s="1" t="s">
        <v>1014</v>
      </c>
      <c r="E2119" s="1" t="s">
        <v>1204</v>
      </c>
      <c r="F2119" s="1" t="s">
        <v>35</v>
      </c>
      <c r="G2119" s="1" t="s">
        <v>36</v>
      </c>
      <c r="H2119" s="1" t="s">
        <v>22</v>
      </c>
      <c r="I2119" s="1" t="s">
        <v>29</v>
      </c>
      <c r="J2119" s="1">
        <v>-99.670000000000016</v>
      </c>
      <c r="K2119" s="1">
        <v>440.33</v>
      </c>
      <c r="L2119" s="1">
        <v>80.329999999999984</v>
      </c>
    </row>
    <row r="2120" spans="4:12">
      <c r="D2120" s="1" t="s">
        <v>1014</v>
      </c>
      <c r="E2120" s="1" t="s">
        <v>1205</v>
      </c>
      <c r="F2120" s="1" t="s">
        <v>35</v>
      </c>
      <c r="G2120" s="1" t="s">
        <v>36</v>
      </c>
      <c r="H2120" s="1" t="s">
        <v>22</v>
      </c>
      <c r="I2120" s="1" t="s">
        <v>29</v>
      </c>
      <c r="J2120" s="1">
        <v>-99.670000000000016</v>
      </c>
      <c r="K2120" s="1">
        <v>440.33</v>
      </c>
      <c r="L2120" s="1">
        <v>80.329999999999984</v>
      </c>
    </row>
    <row r="2121" spans="4:12">
      <c r="D2121" s="1" t="s">
        <v>1014</v>
      </c>
      <c r="E2121" s="1" t="s">
        <v>1206</v>
      </c>
      <c r="F2121" s="1" t="s">
        <v>35</v>
      </c>
      <c r="G2121" s="1" t="s">
        <v>36</v>
      </c>
      <c r="H2121" s="1" t="s">
        <v>22</v>
      </c>
      <c r="I2121" s="1" t="s">
        <v>29</v>
      </c>
      <c r="J2121" s="1">
        <v>-99.670000000000016</v>
      </c>
      <c r="K2121" s="1">
        <v>440.33</v>
      </c>
      <c r="L2121" s="1">
        <v>80.329999999999984</v>
      </c>
    </row>
    <row r="2122" spans="4:12">
      <c r="D2122" s="1" t="s">
        <v>1014</v>
      </c>
      <c r="E2122" s="1" t="s">
        <v>1207</v>
      </c>
      <c r="F2122" s="1" t="s">
        <v>35</v>
      </c>
      <c r="G2122" s="1" t="s">
        <v>36</v>
      </c>
      <c r="H2122" s="1" t="s">
        <v>22</v>
      </c>
      <c r="I2122" s="1" t="s">
        <v>29</v>
      </c>
      <c r="J2122" s="1">
        <v>-99.670000000000016</v>
      </c>
      <c r="K2122" s="1">
        <v>440.33</v>
      </c>
      <c r="L2122" s="1">
        <v>80.329999999999984</v>
      </c>
    </row>
    <row r="2123" spans="4:12">
      <c r="D2123" s="1" t="s">
        <v>1014</v>
      </c>
      <c r="E2123" s="1" t="s">
        <v>1208</v>
      </c>
      <c r="F2123" s="1" t="s">
        <v>35</v>
      </c>
      <c r="G2123" s="1" t="s">
        <v>36</v>
      </c>
      <c r="H2123" s="1" t="s">
        <v>22</v>
      </c>
      <c r="I2123" s="1" t="s">
        <v>29</v>
      </c>
      <c r="J2123" s="1">
        <v>-99.670000000000016</v>
      </c>
      <c r="K2123" s="1">
        <v>440.33</v>
      </c>
      <c r="L2123" s="1">
        <v>80.329999999999984</v>
      </c>
    </row>
    <row r="2124" spans="4:12">
      <c r="D2124" s="1" t="s">
        <v>1014</v>
      </c>
      <c r="E2124" s="1" t="s">
        <v>1209</v>
      </c>
      <c r="F2124" s="1" t="s">
        <v>35</v>
      </c>
      <c r="G2124" s="1" t="s">
        <v>36</v>
      </c>
      <c r="H2124" s="1" t="s">
        <v>22</v>
      </c>
      <c r="I2124" s="1" t="s">
        <v>29</v>
      </c>
      <c r="J2124" s="1">
        <v>-99.670000000000016</v>
      </c>
      <c r="K2124" s="1">
        <v>440.33</v>
      </c>
      <c r="L2124" s="1">
        <v>80.329999999999984</v>
      </c>
    </row>
    <row r="2125" spans="4:12">
      <c r="D2125" s="1" t="s">
        <v>1014</v>
      </c>
      <c r="E2125" s="1" t="s">
        <v>1210</v>
      </c>
      <c r="F2125" s="1" t="s">
        <v>35</v>
      </c>
      <c r="G2125" s="1" t="s">
        <v>36</v>
      </c>
      <c r="H2125" s="1" t="s">
        <v>22</v>
      </c>
      <c r="I2125" s="1" t="s">
        <v>29</v>
      </c>
      <c r="J2125" s="1">
        <v>-31.018000000000029</v>
      </c>
      <c r="K2125" s="1">
        <v>256.99999999999994</v>
      </c>
      <c r="L2125" s="1">
        <v>80.329999999999984</v>
      </c>
    </row>
    <row r="2126" spans="4:12">
      <c r="D2126" s="1" t="s">
        <v>1014</v>
      </c>
      <c r="E2126" s="1" t="s">
        <v>1211</v>
      </c>
      <c r="F2126" s="1" t="s">
        <v>35</v>
      </c>
      <c r="G2126" s="1" t="s">
        <v>36</v>
      </c>
      <c r="H2126" s="1" t="s">
        <v>22</v>
      </c>
      <c r="I2126" s="1" t="s">
        <v>29</v>
      </c>
      <c r="J2126" s="1">
        <v>-31.018000000000029</v>
      </c>
      <c r="K2126" s="1">
        <v>256.99999999999994</v>
      </c>
      <c r="L2126" s="1">
        <v>80.329999999999984</v>
      </c>
    </row>
    <row r="2127" spans="4:12">
      <c r="D2127" s="1" t="s">
        <v>1014</v>
      </c>
      <c r="E2127" s="1" t="s">
        <v>1212</v>
      </c>
      <c r="F2127" s="1" t="s">
        <v>35</v>
      </c>
      <c r="G2127" s="1" t="s">
        <v>36</v>
      </c>
      <c r="H2127" s="1" t="s">
        <v>22</v>
      </c>
      <c r="I2127" s="1" t="s">
        <v>29</v>
      </c>
      <c r="J2127" s="1">
        <v>-31.018000000000029</v>
      </c>
      <c r="K2127" s="1">
        <v>256.99999999999994</v>
      </c>
      <c r="L2127" s="1">
        <v>80.329999999999984</v>
      </c>
    </row>
    <row r="2128" spans="4:12">
      <c r="D2128" s="1" t="s">
        <v>1014</v>
      </c>
      <c r="E2128" s="1" t="s">
        <v>1213</v>
      </c>
      <c r="F2128" s="1" t="s">
        <v>35</v>
      </c>
      <c r="G2128" s="1" t="s">
        <v>36</v>
      </c>
      <c r="H2128" s="1" t="s">
        <v>22</v>
      </c>
      <c r="I2128" s="1" t="s">
        <v>29</v>
      </c>
      <c r="J2128" s="1">
        <v>-31.018000000000029</v>
      </c>
      <c r="K2128" s="1">
        <v>256.99999999999994</v>
      </c>
      <c r="L2128" s="1">
        <v>80.329999999999984</v>
      </c>
    </row>
    <row r="2129" spans="4:12">
      <c r="D2129" s="1" t="s">
        <v>1014</v>
      </c>
      <c r="E2129" s="1" t="s">
        <v>1214</v>
      </c>
      <c r="F2129" s="1" t="s">
        <v>35</v>
      </c>
      <c r="G2129" s="1" t="s">
        <v>36</v>
      </c>
      <c r="H2129" s="1" t="s">
        <v>22</v>
      </c>
      <c r="I2129" s="1" t="s">
        <v>29</v>
      </c>
      <c r="J2129" s="1">
        <v>-31.018000000000029</v>
      </c>
      <c r="K2129" s="1">
        <v>256.99999999999994</v>
      </c>
      <c r="L2129" s="1">
        <v>80.329999999999984</v>
      </c>
    </row>
    <row r="2130" spans="4:12">
      <c r="D2130" s="1" t="s">
        <v>1014</v>
      </c>
      <c r="E2130" s="1" t="s">
        <v>1215</v>
      </c>
      <c r="F2130" s="1" t="s">
        <v>35</v>
      </c>
      <c r="G2130" s="1" t="s">
        <v>36</v>
      </c>
      <c r="H2130" s="1" t="s">
        <v>22</v>
      </c>
      <c r="I2130" s="1" t="s">
        <v>29</v>
      </c>
      <c r="J2130" s="1">
        <v>-31.018000000000029</v>
      </c>
      <c r="K2130" s="1">
        <v>256.99999999999994</v>
      </c>
      <c r="L2130" s="1">
        <v>80.329999999999984</v>
      </c>
    </row>
    <row r="2131" spans="4:12">
      <c r="D2131" s="1" t="s">
        <v>1014</v>
      </c>
      <c r="E2131" s="1" t="s">
        <v>1216</v>
      </c>
      <c r="F2131" s="1" t="s">
        <v>35</v>
      </c>
      <c r="G2131" s="1" t="s">
        <v>36</v>
      </c>
      <c r="H2131" s="1" t="s">
        <v>22</v>
      </c>
      <c r="I2131" s="1" t="s">
        <v>29</v>
      </c>
      <c r="J2131" s="1">
        <v>-31.018000000000029</v>
      </c>
      <c r="K2131" s="1">
        <v>256.99999999999994</v>
      </c>
      <c r="L2131" s="1">
        <v>80.329999999999984</v>
      </c>
    </row>
    <row r="2132" spans="4:12">
      <c r="D2132" s="1" t="s">
        <v>1014</v>
      </c>
      <c r="E2132" s="1" t="s">
        <v>1217</v>
      </c>
      <c r="F2132" s="1" t="s">
        <v>35</v>
      </c>
      <c r="G2132" s="1" t="s">
        <v>36</v>
      </c>
      <c r="H2132" s="1" t="s">
        <v>22</v>
      </c>
      <c r="I2132" s="1" t="s">
        <v>29</v>
      </c>
      <c r="J2132" s="1">
        <v>-31.018000000000029</v>
      </c>
      <c r="K2132" s="1">
        <v>256.99999999999994</v>
      </c>
      <c r="L2132" s="1">
        <v>80.329999999999984</v>
      </c>
    </row>
    <row r="2133" spans="4:12">
      <c r="D2133" s="1" t="s">
        <v>1014</v>
      </c>
      <c r="E2133" s="1" t="s">
        <v>1218</v>
      </c>
      <c r="F2133" s="1" t="s">
        <v>35</v>
      </c>
      <c r="G2133" s="1" t="s">
        <v>36</v>
      </c>
      <c r="H2133" s="1" t="s">
        <v>22</v>
      </c>
      <c r="I2133" s="1" t="s">
        <v>29</v>
      </c>
      <c r="J2133" s="1">
        <v>-31.018000000000029</v>
      </c>
      <c r="K2133" s="1">
        <v>256.99999999999994</v>
      </c>
      <c r="L2133" s="1">
        <v>80.329999999999984</v>
      </c>
    </row>
    <row r="2134" spans="4:12">
      <c r="D2134" s="1" t="s">
        <v>1014</v>
      </c>
      <c r="E2134" s="1" t="s">
        <v>1219</v>
      </c>
      <c r="F2134" s="1" t="s">
        <v>35</v>
      </c>
      <c r="G2134" s="1" t="s">
        <v>36</v>
      </c>
      <c r="H2134" s="1" t="s">
        <v>22</v>
      </c>
      <c r="I2134" s="1" t="s">
        <v>29</v>
      </c>
      <c r="J2134" s="1">
        <v>-31.018000000000029</v>
      </c>
      <c r="K2134" s="1">
        <v>256.99999999999994</v>
      </c>
      <c r="L2134" s="1">
        <v>80.329999999999984</v>
      </c>
    </row>
    <row r="2135" spans="4:12">
      <c r="D2135" s="1" t="s">
        <v>1014</v>
      </c>
      <c r="E2135" s="1" t="s">
        <v>1220</v>
      </c>
      <c r="F2135" s="1" t="s">
        <v>35</v>
      </c>
      <c r="G2135" s="1" t="s">
        <v>36</v>
      </c>
      <c r="H2135" s="1" t="s">
        <v>22</v>
      </c>
      <c r="I2135" s="1" t="s">
        <v>29</v>
      </c>
      <c r="J2135" s="1">
        <v>-31.018000000000029</v>
      </c>
      <c r="K2135" s="1">
        <v>256.99999999999994</v>
      </c>
      <c r="L2135" s="1">
        <v>80.329999999999984</v>
      </c>
    </row>
    <row r="2136" spans="4:12">
      <c r="D2136" s="1" t="s">
        <v>1014</v>
      </c>
      <c r="E2136" s="1" t="s">
        <v>1221</v>
      </c>
      <c r="F2136" s="1" t="s">
        <v>35</v>
      </c>
      <c r="G2136" s="1" t="s">
        <v>36</v>
      </c>
      <c r="H2136" s="1" t="s">
        <v>22</v>
      </c>
      <c r="I2136" s="1" t="s">
        <v>29</v>
      </c>
      <c r="J2136" s="1">
        <v>-31.018000000000029</v>
      </c>
      <c r="K2136" s="1">
        <v>256.99999999999994</v>
      </c>
      <c r="L2136" s="1">
        <v>80.329999999999984</v>
      </c>
    </row>
    <row r="2137" spans="4:12">
      <c r="D2137" s="1" t="s">
        <v>1014</v>
      </c>
      <c r="E2137" s="1" t="s">
        <v>1222</v>
      </c>
      <c r="F2137" s="1" t="s">
        <v>35</v>
      </c>
      <c r="G2137" s="1" t="s">
        <v>36</v>
      </c>
      <c r="H2137" s="1" t="s">
        <v>22</v>
      </c>
      <c r="I2137" s="1" t="s">
        <v>29</v>
      </c>
      <c r="J2137" s="1">
        <v>-31.018000000000029</v>
      </c>
      <c r="K2137" s="1">
        <v>256.99999999999994</v>
      </c>
      <c r="L2137" s="1">
        <v>80.329999999999984</v>
      </c>
    </row>
    <row r="2138" spans="4:12">
      <c r="D2138" s="1" t="s">
        <v>1014</v>
      </c>
      <c r="E2138" s="1" t="s">
        <v>1223</v>
      </c>
      <c r="F2138" s="1" t="s">
        <v>35</v>
      </c>
      <c r="G2138" s="1" t="s">
        <v>36</v>
      </c>
      <c r="H2138" s="1" t="s">
        <v>22</v>
      </c>
      <c r="I2138" s="1" t="s">
        <v>29</v>
      </c>
      <c r="J2138" s="1">
        <v>-31.018000000000029</v>
      </c>
      <c r="K2138" s="1">
        <v>256.99999999999994</v>
      </c>
      <c r="L2138" s="1">
        <v>80.329999999999984</v>
      </c>
    </row>
    <row r="2139" spans="4:12">
      <c r="D2139" s="1" t="s">
        <v>1014</v>
      </c>
      <c r="E2139" s="1" t="s">
        <v>1224</v>
      </c>
      <c r="F2139" s="1" t="s">
        <v>35</v>
      </c>
      <c r="G2139" s="1" t="s">
        <v>36</v>
      </c>
      <c r="H2139" s="1" t="s">
        <v>22</v>
      </c>
      <c r="I2139" s="1" t="s">
        <v>29</v>
      </c>
      <c r="J2139" s="1">
        <v>-31.018000000000029</v>
      </c>
      <c r="K2139" s="1">
        <v>256.99999999999994</v>
      </c>
      <c r="L2139" s="1">
        <v>80.329999999999984</v>
      </c>
    </row>
    <row r="2140" spans="4:12">
      <c r="D2140" s="1" t="s">
        <v>1014</v>
      </c>
      <c r="E2140" s="1" t="s">
        <v>1225</v>
      </c>
      <c r="F2140" s="1" t="s">
        <v>35</v>
      </c>
      <c r="G2140" s="1" t="s">
        <v>36</v>
      </c>
      <c r="H2140" s="1" t="s">
        <v>22</v>
      </c>
      <c r="I2140" s="1" t="s">
        <v>29</v>
      </c>
      <c r="J2140" s="1">
        <v>-31.018000000000029</v>
      </c>
      <c r="K2140" s="1">
        <v>256.99999999999994</v>
      </c>
      <c r="L2140" s="1">
        <v>80.329999999999984</v>
      </c>
    </row>
    <row r="2141" spans="4:12">
      <c r="D2141" s="1" t="s">
        <v>1014</v>
      </c>
      <c r="E2141" s="1" t="s">
        <v>1226</v>
      </c>
      <c r="F2141" s="1" t="s">
        <v>35</v>
      </c>
      <c r="G2141" s="1" t="s">
        <v>36</v>
      </c>
      <c r="H2141" s="1" t="s">
        <v>22</v>
      </c>
      <c r="I2141" s="1" t="s">
        <v>29</v>
      </c>
      <c r="J2141" s="1">
        <v>-31.018000000000029</v>
      </c>
      <c r="K2141" s="1">
        <v>256.99999999999994</v>
      </c>
      <c r="L2141" s="1">
        <v>80.329999999999984</v>
      </c>
    </row>
    <row r="2142" spans="4:12">
      <c r="D2142" s="1" t="s">
        <v>1014</v>
      </c>
      <c r="E2142" s="1" t="s">
        <v>1227</v>
      </c>
      <c r="F2142" s="1" t="s">
        <v>35</v>
      </c>
      <c r="G2142" s="1" t="s">
        <v>36</v>
      </c>
      <c r="H2142" s="1" t="s">
        <v>22</v>
      </c>
      <c r="I2142" s="1" t="s">
        <v>29</v>
      </c>
      <c r="J2142" s="1">
        <v>-31.018000000000029</v>
      </c>
      <c r="K2142" s="1">
        <v>256.99999999999994</v>
      </c>
      <c r="L2142" s="1">
        <v>80.329999999999984</v>
      </c>
    </row>
    <row r="2143" spans="4:12">
      <c r="D2143" s="1" t="s">
        <v>1014</v>
      </c>
      <c r="E2143" s="1" t="s">
        <v>1228</v>
      </c>
      <c r="F2143" s="1" t="s">
        <v>35</v>
      </c>
      <c r="G2143" s="1" t="s">
        <v>36</v>
      </c>
      <c r="H2143" s="1" t="s">
        <v>22</v>
      </c>
      <c r="I2143" s="1" t="s">
        <v>29</v>
      </c>
      <c r="J2143" s="1">
        <v>-31.018000000000029</v>
      </c>
      <c r="K2143" s="1">
        <v>256.99999999999994</v>
      </c>
      <c r="L2143" s="1">
        <v>80.329999999999984</v>
      </c>
    </row>
    <row r="2144" spans="4:12">
      <c r="D2144" s="1" t="s">
        <v>1014</v>
      </c>
      <c r="E2144" s="1" t="s">
        <v>1229</v>
      </c>
      <c r="F2144" s="1" t="s">
        <v>35</v>
      </c>
      <c r="G2144" s="1" t="s">
        <v>36</v>
      </c>
      <c r="H2144" s="1" t="s">
        <v>22</v>
      </c>
      <c r="I2144" s="1" t="s">
        <v>29</v>
      </c>
      <c r="J2144" s="1">
        <v>-31.018000000000029</v>
      </c>
      <c r="K2144" s="1">
        <v>256.99999999999994</v>
      </c>
      <c r="L2144" s="1">
        <v>80.329999999999984</v>
      </c>
    </row>
    <row r="2145" spans="4:12">
      <c r="D2145" s="1" t="s">
        <v>1014</v>
      </c>
      <c r="E2145" s="1" t="s">
        <v>1230</v>
      </c>
      <c r="F2145" s="1" t="s">
        <v>35</v>
      </c>
      <c r="G2145" s="1" t="s">
        <v>36</v>
      </c>
      <c r="H2145" s="1" t="s">
        <v>22</v>
      </c>
      <c r="I2145" s="1" t="s">
        <v>29</v>
      </c>
      <c r="J2145" s="1">
        <v>-31.018000000000029</v>
      </c>
      <c r="K2145" s="1">
        <v>256.99999999999994</v>
      </c>
      <c r="L2145" s="1">
        <v>80.329999999999984</v>
      </c>
    </row>
    <row r="2146" spans="4:12">
      <c r="D2146" s="1" t="s">
        <v>1014</v>
      </c>
      <c r="E2146" s="1" t="s">
        <v>1231</v>
      </c>
      <c r="F2146" s="1" t="s">
        <v>35</v>
      </c>
      <c r="G2146" s="1" t="s">
        <v>36</v>
      </c>
      <c r="H2146" s="1" t="s">
        <v>22</v>
      </c>
      <c r="I2146" s="1" t="s">
        <v>29</v>
      </c>
      <c r="J2146" s="1">
        <v>-31.018000000000029</v>
      </c>
      <c r="K2146" s="1">
        <v>256.99999999999994</v>
      </c>
      <c r="L2146" s="1">
        <v>80.329999999999984</v>
      </c>
    </row>
    <row r="2147" spans="4:12">
      <c r="D2147" s="1" t="s">
        <v>1014</v>
      </c>
      <c r="E2147" s="1" t="s">
        <v>1232</v>
      </c>
      <c r="H2147" s="1" t="s">
        <v>22</v>
      </c>
      <c r="I2147" s="1" t="s">
        <v>29</v>
      </c>
      <c r="J2147" s="1">
        <v>-5</v>
      </c>
      <c r="K2147" s="1">
        <v>5</v>
      </c>
      <c r="L2147" s="1">
        <v>1</v>
      </c>
    </row>
    <row r="2148" spans="4:12">
      <c r="D2148" s="1" t="s">
        <v>1014</v>
      </c>
      <c r="E2148" s="1" t="s">
        <v>1233</v>
      </c>
      <c r="H2148" s="1" t="s">
        <v>22</v>
      </c>
      <c r="I2148" s="1" t="s">
        <v>29</v>
      </c>
      <c r="L2148" s="1">
        <v>1</v>
      </c>
    </row>
    <row r="2149" spans="4:12">
      <c r="D2149" s="1" t="s">
        <v>1014</v>
      </c>
      <c r="E2149" s="1" t="s">
        <v>1234</v>
      </c>
      <c r="F2149" s="1" t="s">
        <v>35</v>
      </c>
      <c r="G2149" s="1" t="s">
        <v>36</v>
      </c>
      <c r="H2149" s="1" t="s">
        <v>22</v>
      </c>
      <c r="I2149" s="1" t="s">
        <v>29</v>
      </c>
      <c r="J2149" s="1">
        <v>-99.670000000000016</v>
      </c>
      <c r="K2149" s="1">
        <v>440.33</v>
      </c>
      <c r="L2149" s="1">
        <v>80.329999999999984</v>
      </c>
    </row>
    <row r="2150" spans="4:12">
      <c r="D2150" s="1" t="s">
        <v>1014</v>
      </c>
      <c r="E2150" s="1" t="s">
        <v>1235</v>
      </c>
      <c r="F2150" s="1" t="s">
        <v>35</v>
      </c>
      <c r="G2150" s="1" t="s">
        <v>36</v>
      </c>
      <c r="H2150" s="1" t="s">
        <v>22</v>
      </c>
      <c r="I2150" s="1" t="s">
        <v>29</v>
      </c>
      <c r="J2150" s="1">
        <v>-99.670000000000016</v>
      </c>
      <c r="K2150" s="1">
        <v>440.33</v>
      </c>
      <c r="L2150" s="1">
        <v>80.329999999999984</v>
      </c>
    </row>
    <row r="2151" spans="4:12">
      <c r="D2151" s="1" t="s">
        <v>1014</v>
      </c>
      <c r="E2151" s="1" t="s">
        <v>1236</v>
      </c>
      <c r="F2151" s="1" t="s">
        <v>35</v>
      </c>
      <c r="G2151" s="1" t="s">
        <v>36</v>
      </c>
      <c r="H2151" s="1" t="s">
        <v>22</v>
      </c>
      <c r="I2151" s="1" t="s">
        <v>29</v>
      </c>
      <c r="J2151" s="1">
        <v>-99.670000000000016</v>
      </c>
      <c r="K2151" s="1">
        <v>440.33</v>
      </c>
      <c r="L2151" s="1">
        <v>80.329999999999984</v>
      </c>
    </row>
    <row r="2152" spans="4:12">
      <c r="D2152" s="1" t="s">
        <v>1014</v>
      </c>
      <c r="E2152" s="1" t="s">
        <v>1237</v>
      </c>
      <c r="F2152" s="1" t="s">
        <v>35</v>
      </c>
      <c r="G2152" s="1" t="s">
        <v>36</v>
      </c>
      <c r="H2152" s="1" t="s">
        <v>22</v>
      </c>
      <c r="I2152" s="1" t="s">
        <v>29</v>
      </c>
      <c r="J2152" s="1">
        <v>-99.670000000000016</v>
      </c>
      <c r="K2152" s="1">
        <v>440.33</v>
      </c>
      <c r="L2152" s="1">
        <v>80.329999999999984</v>
      </c>
    </row>
    <row r="2153" spans="4:12">
      <c r="D2153" s="1" t="s">
        <v>1014</v>
      </c>
      <c r="E2153" s="1" t="s">
        <v>1238</v>
      </c>
      <c r="F2153" s="1" t="s">
        <v>35</v>
      </c>
      <c r="G2153" s="1" t="s">
        <v>36</v>
      </c>
      <c r="H2153" s="1" t="s">
        <v>22</v>
      </c>
      <c r="I2153" s="1" t="s">
        <v>29</v>
      </c>
      <c r="J2153" s="1">
        <v>-99.670000000000016</v>
      </c>
      <c r="K2153" s="1">
        <v>440.33</v>
      </c>
      <c r="L2153" s="1">
        <v>80.329999999999984</v>
      </c>
    </row>
    <row r="2154" spans="4:12">
      <c r="D2154" s="1" t="s">
        <v>1014</v>
      </c>
      <c r="E2154" s="1" t="s">
        <v>1239</v>
      </c>
      <c r="F2154" s="1" t="s">
        <v>35</v>
      </c>
      <c r="G2154" s="1" t="s">
        <v>36</v>
      </c>
      <c r="H2154" s="1" t="s">
        <v>22</v>
      </c>
      <c r="I2154" s="1" t="s">
        <v>29</v>
      </c>
      <c r="J2154" s="1">
        <v>-99.670000000000016</v>
      </c>
      <c r="K2154" s="1">
        <v>440.33</v>
      </c>
      <c r="L2154" s="1">
        <v>80.329999999999984</v>
      </c>
    </row>
    <row r="2155" spans="4:12">
      <c r="D2155" s="1" t="s">
        <v>1014</v>
      </c>
      <c r="E2155" s="1" t="s">
        <v>1240</v>
      </c>
      <c r="F2155" s="1" t="s">
        <v>35</v>
      </c>
      <c r="G2155" s="1" t="s">
        <v>36</v>
      </c>
      <c r="H2155" s="1" t="s">
        <v>22</v>
      </c>
      <c r="I2155" s="1" t="s">
        <v>29</v>
      </c>
      <c r="J2155" s="1">
        <v>-99.670000000000016</v>
      </c>
      <c r="K2155" s="1">
        <v>440.33</v>
      </c>
      <c r="L2155" s="1">
        <v>80.329999999999984</v>
      </c>
    </row>
    <row r="2156" spans="4:12">
      <c r="D2156" s="1" t="s">
        <v>1014</v>
      </c>
      <c r="E2156" s="1" t="s">
        <v>1241</v>
      </c>
      <c r="F2156" s="1" t="s">
        <v>35</v>
      </c>
      <c r="G2156" s="1" t="s">
        <v>36</v>
      </c>
      <c r="H2156" s="1" t="s">
        <v>22</v>
      </c>
      <c r="I2156" s="1" t="s">
        <v>29</v>
      </c>
      <c r="J2156" s="1">
        <v>-99.670000000000016</v>
      </c>
      <c r="K2156" s="1">
        <v>440.33</v>
      </c>
      <c r="L2156" s="1">
        <v>80.329999999999984</v>
      </c>
    </row>
    <row r="2157" spans="4:12">
      <c r="D2157" s="1" t="s">
        <v>1014</v>
      </c>
      <c r="E2157" s="1" t="s">
        <v>1242</v>
      </c>
      <c r="F2157" s="1" t="s">
        <v>35</v>
      </c>
      <c r="G2157" s="1" t="s">
        <v>36</v>
      </c>
      <c r="H2157" s="1" t="s">
        <v>22</v>
      </c>
      <c r="I2157" s="1" t="s">
        <v>29</v>
      </c>
      <c r="J2157" s="1">
        <v>-99.670000000000016</v>
      </c>
      <c r="K2157" s="1">
        <v>440.33</v>
      </c>
      <c r="L2157" s="1">
        <v>80.329999999999984</v>
      </c>
    </row>
    <row r="2158" spans="4:12">
      <c r="D2158" s="1" t="s">
        <v>1014</v>
      </c>
      <c r="E2158" s="1" t="s">
        <v>1243</v>
      </c>
      <c r="F2158" s="1" t="s">
        <v>35</v>
      </c>
      <c r="G2158" s="1" t="s">
        <v>36</v>
      </c>
      <c r="H2158" s="1" t="s">
        <v>22</v>
      </c>
      <c r="I2158" s="1" t="s">
        <v>29</v>
      </c>
      <c r="J2158" s="1">
        <v>-99.670000000000016</v>
      </c>
      <c r="K2158" s="1">
        <v>440.33</v>
      </c>
      <c r="L2158" s="1">
        <v>80.329999999999984</v>
      </c>
    </row>
    <row r="2159" spans="4:12">
      <c r="D2159" s="1" t="s">
        <v>1014</v>
      </c>
      <c r="E2159" s="1" t="s">
        <v>1244</v>
      </c>
      <c r="F2159" s="1" t="s">
        <v>35</v>
      </c>
      <c r="G2159" s="1" t="s">
        <v>36</v>
      </c>
      <c r="H2159" s="1" t="s">
        <v>22</v>
      </c>
      <c r="I2159" s="1" t="s">
        <v>29</v>
      </c>
      <c r="J2159" s="1">
        <v>-99.670000000000016</v>
      </c>
      <c r="K2159" s="1">
        <v>440.33</v>
      </c>
      <c r="L2159" s="1">
        <v>80.329999999999984</v>
      </c>
    </row>
    <row r="2160" spans="4:12">
      <c r="D2160" s="1" t="s">
        <v>1014</v>
      </c>
      <c r="E2160" s="1" t="s">
        <v>1245</v>
      </c>
      <c r="F2160" s="1" t="s">
        <v>35</v>
      </c>
      <c r="G2160" s="1" t="s">
        <v>36</v>
      </c>
      <c r="H2160" s="1" t="s">
        <v>22</v>
      </c>
      <c r="I2160" s="1" t="s">
        <v>29</v>
      </c>
      <c r="J2160" s="1">
        <v>-99.670000000000016</v>
      </c>
      <c r="K2160" s="1">
        <v>440.33</v>
      </c>
      <c r="L2160" s="1">
        <v>80.329999999999984</v>
      </c>
    </row>
    <row r="2161" spans="4:12">
      <c r="D2161" s="1" t="s">
        <v>1014</v>
      </c>
      <c r="E2161" s="1" t="s">
        <v>1246</v>
      </c>
      <c r="F2161" s="1" t="s">
        <v>35</v>
      </c>
      <c r="G2161" s="1" t="s">
        <v>36</v>
      </c>
      <c r="H2161" s="1" t="s">
        <v>22</v>
      </c>
      <c r="I2161" s="1" t="s">
        <v>29</v>
      </c>
      <c r="J2161" s="1">
        <v>-99.670000000000016</v>
      </c>
      <c r="K2161" s="1">
        <v>440.33</v>
      </c>
      <c r="L2161" s="1">
        <v>80.329999999999984</v>
      </c>
    </row>
    <row r="2162" spans="4:12">
      <c r="D2162" s="1" t="s">
        <v>1014</v>
      </c>
      <c r="E2162" s="1" t="s">
        <v>1247</v>
      </c>
      <c r="F2162" s="1" t="s">
        <v>35</v>
      </c>
      <c r="G2162" s="1" t="s">
        <v>36</v>
      </c>
      <c r="H2162" s="1" t="s">
        <v>22</v>
      </c>
      <c r="I2162" s="1" t="s">
        <v>29</v>
      </c>
      <c r="J2162" s="1">
        <v>-99.670000000000016</v>
      </c>
      <c r="K2162" s="1">
        <v>440.33</v>
      </c>
      <c r="L2162" s="1">
        <v>80.329999999999984</v>
      </c>
    </row>
    <row r="2163" spans="4:12">
      <c r="D2163" s="1" t="s">
        <v>1014</v>
      </c>
      <c r="E2163" s="1" t="s">
        <v>1248</v>
      </c>
      <c r="F2163" s="1" t="s">
        <v>35</v>
      </c>
      <c r="G2163" s="1" t="s">
        <v>36</v>
      </c>
      <c r="H2163" s="1" t="s">
        <v>22</v>
      </c>
      <c r="I2163" s="1" t="s">
        <v>29</v>
      </c>
      <c r="J2163" s="1">
        <v>-99.670000000000016</v>
      </c>
      <c r="K2163" s="1">
        <v>440.33</v>
      </c>
      <c r="L2163" s="1">
        <v>80.329999999999984</v>
      </c>
    </row>
    <row r="2164" spans="4:12">
      <c r="D2164" s="1" t="s">
        <v>1014</v>
      </c>
      <c r="E2164" s="1" t="s">
        <v>1249</v>
      </c>
      <c r="F2164" s="1" t="s">
        <v>35</v>
      </c>
      <c r="G2164" s="1" t="s">
        <v>36</v>
      </c>
      <c r="H2164" s="1" t="s">
        <v>22</v>
      </c>
      <c r="I2164" s="1" t="s">
        <v>29</v>
      </c>
      <c r="J2164" s="1">
        <v>-99.670000000000016</v>
      </c>
      <c r="K2164" s="1">
        <v>440.33</v>
      </c>
      <c r="L2164" s="1">
        <v>80.329999999999984</v>
      </c>
    </row>
    <row r="2165" spans="4:12">
      <c r="D2165" s="1" t="s">
        <v>1014</v>
      </c>
      <c r="E2165" s="1" t="s">
        <v>1250</v>
      </c>
      <c r="F2165" s="1" t="s">
        <v>35</v>
      </c>
      <c r="G2165" s="1" t="s">
        <v>36</v>
      </c>
      <c r="H2165" s="1" t="s">
        <v>22</v>
      </c>
      <c r="I2165" s="1" t="s">
        <v>29</v>
      </c>
      <c r="J2165" s="1">
        <v>-99.670000000000016</v>
      </c>
      <c r="K2165" s="1">
        <v>440.33</v>
      </c>
      <c r="L2165" s="1">
        <v>80.329999999999984</v>
      </c>
    </row>
    <row r="2166" spans="4:12">
      <c r="D2166" s="1" t="s">
        <v>1014</v>
      </c>
      <c r="E2166" s="1" t="s">
        <v>1251</v>
      </c>
      <c r="F2166" s="1" t="s">
        <v>35</v>
      </c>
      <c r="G2166" s="1" t="s">
        <v>36</v>
      </c>
      <c r="H2166" s="1" t="s">
        <v>22</v>
      </c>
      <c r="I2166" s="1" t="s">
        <v>29</v>
      </c>
      <c r="J2166" s="1">
        <v>-99.670000000000016</v>
      </c>
      <c r="K2166" s="1">
        <v>440.33</v>
      </c>
      <c r="L2166" s="1">
        <v>80.329999999999984</v>
      </c>
    </row>
    <row r="2167" spans="4:12">
      <c r="D2167" s="1" t="s">
        <v>1014</v>
      </c>
      <c r="E2167" s="1" t="s">
        <v>1252</v>
      </c>
      <c r="F2167" s="1" t="s">
        <v>35</v>
      </c>
      <c r="G2167" s="1" t="s">
        <v>36</v>
      </c>
      <c r="H2167" s="1" t="s">
        <v>22</v>
      </c>
      <c r="I2167" s="1" t="s">
        <v>29</v>
      </c>
      <c r="J2167" s="1">
        <v>-99.670000000000016</v>
      </c>
      <c r="K2167" s="1">
        <v>440.33</v>
      </c>
      <c r="L2167" s="1">
        <v>80.329999999999984</v>
      </c>
    </row>
    <row r="2168" spans="4:12">
      <c r="D2168" s="1" t="s">
        <v>1014</v>
      </c>
      <c r="E2168" s="1" t="s">
        <v>1253</v>
      </c>
      <c r="F2168" s="1" t="s">
        <v>35</v>
      </c>
      <c r="G2168" s="1" t="s">
        <v>36</v>
      </c>
      <c r="H2168" s="1" t="s">
        <v>22</v>
      </c>
      <c r="I2168" s="1" t="s">
        <v>29</v>
      </c>
      <c r="J2168" s="1">
        <v>-99.670000000000016</v>
      </c>
      <c r="K2168" s="1">
        <v>440.33</v>
      </c>
      <c r="L2168" s="1">
        <v>80.329999999999984</v>
      </c>
    </row>
    <row r="2169" spans="4:12">
      <c r="D2169" s="1" t="s">
        <v>1014</v>
      </c>
      <c r="E2169" s="1" t="s">
        <v>1254</v>
      </c>
      <c r="F2169" s="1" t="s">
        <v>35</v>
      </c>
      <c r="G2169" s="1" t="s">
        <v>36</v>
      </c>
      <c r="H2169" s="1" t="s">
        <v>22</v>
      </c>
      <c r="I2169" s="1" t="s">
        <v>29</v>
      </c>
      <c r="J2169" s="1">
        <v>-99.670000000000016</v>
      </c>
      <c r="K2169" s="1">
        <v>440.33</v>
      </c>
      <c r="L2169" s="1">
        <v>80.329999999999984</v>
      </c>
    </row>
    <row r="2170" spans="4:12">
      <c r="D2170" s="1" t="s">
        <v>1014</v>
      </c>
      <c r="E2170" s="1" t="s">
        <v>1255</v>
      </c>
      <c r="F2170" s="1" t="s">
        <v>35</v>
      </c>
      <c r="G2170" s="1" t="s">
        <v>36</v>
      </c>
      <c r="H2170" s="1" t="s">
        <v>22</v>
      </c>
      <c r="I2170" s="1" t="s">
        <v>29</v>
      </c>
      <c r="J2170" s="1">
        <v>-99.670000000000016</v>
      </c>
      <c r="K2170" s="1">
        <v>440.33</v>
      </c>
      <c r="L2170" s="1">
        <v>80.329999999999984</v>
      </c>
    </row>
    <row r="2171" spans="4:12">
      <c r="D2171" s="1" t="s">
        <v>1014</v>
      </c>
      <c r="E2171" s="1" t="s">
        <v>1256</v>
      </c>
      <c r="F2171" s="1" t="s">
        <v>35</v>
      </c>
      <c r="G2171" s="1" t="s">
        <v>36</v>
      </c>
      <c r="H2171" s="1" t="s">
        <v>22</v>
      </c>
      <c r="I2171" s="1" t="s">
        <v>29</v>
      </c>
      <c r="J2171" s="1">
        <v>-99.670000000000016</v>
      </c>
      <c r="K2171" s="1">
        <v>440.33</v>
      </c>
      <c r="L2171" s="1">
        <v>80.329999999999984</v>
      </c>
    </row>
    <row r="2172" spans="4:12">
      <c r="D2172" s="1" t="s">
        <v>1014</v>
      </c>
      <c r="E2172" s="1" t="s">
        <v>1257</v>
      </c>
      <c r="F2172" s="1" t="s">
        <v>35</v>
      </c>
      <c r="G2172" s="1" t="s">
        <v>36</v>
      </c>
      <c r="H2172" s="1" t="s">
        <v>22</v>
      </c>
      <c r="I2172" s="1" t="s">
        <v>29</v>
      </c>
      <c r="J2172" s="1">
        <v>-99.670000000000016</v>
      </c>
      <c r="K2172" s="1">
        <v>440.33</v>
      </c>
      <c r="L2172" s="1">
        <v>80.329999999999984</v>
      </c>
    </row>
    <row r="2173" spans="4:12">
      <c r="D2173" s="1" t="s">
        <v>1014</v>
      </c>
      <c r="E2173" s="1" t="s">
        <v>1258</v>
      </c>
      <c r="F2173" s="1" t="s">
        <v>35</v>
      </c>
      <c r="G2173" s="1" t="s">
        <v>36</v>
      </c>
      <c r="H2173" s="1" t="s">
        <v>22</v>
      </c>
      <c r="I2173" s="1" t="s">
        <v>29</v>
      </c>
      <c r="J2173" s="1">
        <v>-99.670000000000016</v>
      </c>
      <c r="K2173" s="1">
        <v>440.33</v>
      </c>
      <c r="L2173" s="1">
        <v>80.329999999999984</v>
      </c>
    </row>
    <row r="2174" spans="4:12">
      <c r="D2174" s="1" t="s">
        <v>1014</v>
      </c>
      <c r="E2174" s="1" t="s">
        <v>1259</v>
      </c>
      <c r="F2174" s="1" t="s">
        <v>35</v>
      </c>
      <c r="G2174" s="1" t="s">
        <v>36</v>
      </c>
      <c r="H2174" s="1" t="s">
        <v>22</v>
      </c>
      <c r="I2174" s="1" t="s">
        <v>29</v>
      </c>
      <c r="J2174" s="1">
        <v>-99.670000000000016</v>
      </c>
      <c r="K2174" s="1">
        <v>440.33</v>
      </c>
      <c r="L2174" s="1">
        <v>80.329999999999984</v>
      </c>
    </row>
    <row r="2175" spans="4:12">
      <c r="D2175" s="1" t="s">
        <v>1014</v>
      </c>
      <c r="E2175" s="1" t="s">
        <v>1260</v>
      </c>
      <c r="F2175" s="1" t="s">
        <v>35</v>
      </c>
      <c r="G2175" s="1" t="s">
        <v>36</v>
      </c>
      <c r="H2175" s="1" t="s">
        <v>22</v>
      </c>
      <c r="I2175" s="1" t="s">
        <v>29</v>
      </c>
      <c r="J2175" s="1">
        <v>-99.670000000000016</v>
      </c>
      <c r="K2175" s="1">
        <v>440.33</v>
      </c>
      <c r="L2175" s="1">
        <v>80.329999999999984</v>
      </c>
    </row>
    <row r="2176" spans="4:12">
      <c r="D2176" s="1" t="s">
        <v>1014</v>
      </c>
      <c r="E2176" s="1" t="s">
        <v>1261</v>
      </c>
      <c r="F2176" s="1" t="s">
        <v>35</v>
      </c>
      <c r="G2176" s="1" t="s">
        <v>36</v>
      </c>
      <c r="H2176" s="1" t="s">
        <v>22</v>
      </c>
      <c r="I2176" s="1" t="s">
        <v>29</v>
      </c>
      <c r="J2176" s="1">
        <v>-99.670000000000016</v>
      </c>
      <c r="K2176" s="1">
        <v>440.33</v>
      </c>
      <c r="L2176" s="1">
        <v>80.329999999999984</v>
      </c>
    </row>
    <row r="2177" spans="4:12">
      <c r="D2177" s="1" t="s">
        <v>1014</v>
      </c>
      <c r="E2177" s="1" t="s">
        <v>1262</v>
      </c>
      <c r="F2177" s="1" t="s">
        <v>35</v>
      </c>
      <c r="G2177" s="1" t="s">
        <v>36</v>
      </c>
      <c r="H2177" s="1" t="s">
        <v>22</v>
      </c>
      <c r="I2177" s="1" t="s">
        <v>29</v>
      </c>
      <c r="J2177" s="1">
        <v>-99.670000000000016</v>
      </c>
      <c r="K2177" s="1">
        <v>440.33</v>
      </c>
      <c r="L2177" s="1">
        <v>80.329999999999984</v>
      </c>
    </row>
    <row r="2178" spans="4:12">
      <c r="D2178" s="1" t="s">
        <v>1014</v>
      </c>
      <c r="E2178" s="1" t="s">
        <v>1263</v>
      </c>
      <c r="F2178" s="1" t="s">
        <v>35</v>
      </c>
      <c r="G2178" s="1" t="s">
        <v>36</v>
      </c>
      <c r="H2178" s="1" t="s">
        <v>22</v>
      </c>
      <c r="I2178" s="1" t="s">
        <v>29</v>
      </c>
      <c r="J2178" s="1">
        <v>-99.670000000000016</v>
      </c>
      <c r="K2178" s="1">
        <v>440.33</v>
      </c>
      <c r="L2178" s="1">
        <v>80.329999999999984</v>
      </c>
    </row>
    <row r="2179" spans="4:12">
      <c r="D2179" s="1" t="s">
        <v>1014</v>
      </c>
      <c r="E2179" s="1" t="s">
        <v>1264</v>
      </c>
      <c r="F2179" s="1" t="s">
        <v>35</v>
      </c>
      <c r="G2179" s="1" t="s">
        <v>36</v>
      </c>
      <c r="H2179" s="1" t="s">
        <v>22</v>
      </c>
      <c r="I2179" s="1" t="s">
        <v>29</v>
      </c>
      <c r="J2179" s="1">
        <v>-99.670000000000016</v>
      </c>
      <c r="K2179" s="1">
        <v>440.33</v>
      </c>
      <c r="L2179" s="1">
        <v>80.329999999999984</v>
      </c>
    </row>
    <row r="2180" spans="4:12">
      <c r="D2180" s="1" t="s">
        <v>1014</v>
      </c>
      <c r="E2180" s="1" t="s">
        <v>1265</v>
      </c>
      <c r="F2180" s="1" t="s">
        <v>35</v>
      </c>
      <c r="G2180" s="1" t="s">
        <v>36</v>
      </c>
      <c r="H2180" s="1" t="s">
        <v>22</v>
      </c>
      <c r="I2180" s="1" t="s">
        <v>29</v>
      </c>
      <c r="J2180" s="1">
        <v>-99.670000000000016</v>
      </c>
      <c r="K2180" s="1">
        <v>440.33</v>
      </c>
      <c r="L2180" s="1">
        <v>80.329999999999984</v>
      </c>
    </row>
    <row r="2181" spans="4:12">
      <c r="D2181" s="1" t="s">
        <v>1014</v>
      </c>
      <c r="E2181" s="1" t="s">
        <v>1266</v>
      </c>
      <c r="F2181" s="1" t="s">
        <v>35</v>
      </c>
      <c r="G2181" s="1" t="s">
        <v>36</v>
      </c>
      <c r="H2181" s="1" t="s">
        <v>22</v>
      </c>
      <c r="I2181" s="1" t="s">
        <v>29</v>
      </c>
      <c r="J2181" s="1">
        <v>-99.670000000000016</v>
      </c>
      <c r="K2181" s="1">
        <v>440.33</v>
      </c>
      <c r="L2181" s="1">
        <v>80.329999999999984</v>
      </c>
    </row>
    <row r="2182" spans="4:12">
      <c r="D2182" s="1" t="s">
        <v>1014</v>
      </c>
      <c r="E2182" s="1" t="s">
        <v>1267</v>
      </c>
      <c r="F2182" s="1" t="s">
        <v>35</v>
      </c>
      <c r="G2182" s="1" t="s">
        <v>36</v>
      </c>
      <c r="H2182" s="1" t="s">
        <v>22</v>
      </c>
      <c r="I2182" s="1" t="s">
        <v>29</v>
      </c>
      <c r="J2182" s="1">
        <v>-99.670000000000016</v>
      </c>
      <c r="K2182" s="1">
        <v>440.33</v>
      </c>
      <c r="L2182" s="1">
        <v>80.329999999999984</v>
      </c>
    </row>
    <row r="2183" spans="4:12">
      <c r="D2183" s="1" t="s">
        <v>1014</v>
      </c>
      <c r="E2183" s="1" t="s">
        <v>1268</v>
      </c>
      <c r="F2183" s="1" t="s">
        <v>35</v>
      </c>
      <c r="G2183" s="1" t="s">
        <v>36</v>
      </c>
      <c r="H2183" s="1" t="s">
        <v>22</v>
      </c>
      <c r="I2183" s="1" t="s">
        <v>29</v>
      </c>
      <c r="J2183" s="1">
        <v>-99.670000000000016</v>
      </c>
      <c r="K2183" s="1">
        <v>440.33</v>
      </c>
      <c r="L2183" s="1">
        <v>80.329999999999984</v>
      </c>
    </row>
    <row r="2184" spans="4:12">
      <c r="D2184" s="1" t="s">
        <v>1014</v>
      </c>
      <c r="E2184" s="1" t="s">
        <v>1269</v>
      </c>
      <c r="F2184" s="1" t="s">
        <v>35</v>
      </c>
      <c r="G2184" s="1" t="s">
        <v>36</v>
      </c>
      <c r="H2184" s="1" t="s">
        <v>22</v>
      </c>
      <c r="I2184" s="1" t="s">
        <v>29</v>
      </c>
      <c r="J2184" s="1">
        <v>-99.670000000000016</v>
      </c>
      <c r="K2184" s="1">
        <v>440.33</v>
      </c>
      <c r="L2184" s="1">
        <v>80.329999999999984</v>
      </c>
    </row>
    <row r="2185" spans="4:12">
      <c r="D2185" s="1" t="s">
        <v>1014</v>
      </c>
      <c r="E2185" s="1" t="s">
        <v>1270</v>
      </c>
      <c r="F2185" s="1" t="s">
        <v>35</v>
      </c>
      <c r="G2185" s="1" t="s">
        <v>36</v>
      </c>
      <c r="H2185" s="1" t="s">
        <v>22</v>
      </c>
      <c r="I2185" s="1" t="s">
        <v>29</v>
      </c>
      <c r="J2185" s="1">
        <v>-99.670000000000016</v>
      </c>
      <c r="K2185" s="1">
        <v>440.33</v>
      </c>
      <c r="L2185" s="1">
        <v>80.329999999999984</v>
      </c>
    </row>
    <row r="2186" spans="4:12">
      <c r="D2186" s="1" t="s">
        <v>1014</v>
      </c>
      <c r="E2186" s="1" t="s">
        <v>1271</v>
      </c>
      <c r="F2186" s="1" t="s">
        <v>35</v>
      </c>
      <c r="G2186" s="1" t="s">
        <v>36</v>
      </c>
      <c r="H2186" s="1" t="s">
        <v>22</v>
      </c>
      <c r="I2186" s="1" t="s">
        <v>29</v>
      </c>
      <c r="J2186" s="1">
        <v>-99.670000000000016</v>
      </c>
      <c r="K2186" s="1">
        <v>440.33</v>
      </c>
      <c r="L2186" s="1">
        <v>80.329999999999984</v>
      </c>
    </row>
    <row r="2187" spans="4:12">
      <c r="D2187" s="1" t="s">
        <v>1014</v>
      </c>
      <c r="E2187" s="1" t="s">
        <v>1272</v>
      </c>
      <c r="F2187" s="1" t="s">
        <v>35</v>
      </c>
      <c r="G2187" s="1" t="s">
        <v>36</v>
      </c>
      <c r="H2187" s="1" t="s">
        <v>22</v>
      </c>
      <c r="I2187" s="1" t="s">
        <v>29</v>
      </c>
      <c r="J2187" s="1">
        <v>-99.670000000000016</v>
      </c>
      <c r="K2187" s="1">
        <v>440.33</v>
      </c>
      <c r="L2187" s="1">
        <v>80.329999999999984</v>
      </c>
    </row>
    <row r="2188" spans="4:12">
      <c r="D2188" s="1" t="s">
        <v>1014</v>
      </c>
      <c r="E2188" s="1" t="s">
        <v>1273</v>
      </c>
      <c r="F2188" s="1" t="s">
        <v>35</v>
      </c>
      <c r="G2188" s="1" t="s">
        <v>36</v>
      </c>
      <c r="H2188" s="1" t="s">
        <v>22</v>
      </c>
      <c r="I2188" s="1" t="s">
        <v>29</v>
      </c>
      <c r="J2188" s="1">
        <v>-99.670000000000016</v>
      </c>
      <c r="K2188" s="1">
        <v>440.33</v>
      </c>
      <c r="L2188" s="1">
        <v>80.329999999999984</v>
      </c>
    </row>
    <row r="2189" spans="4:12">
      <c r="D2189" s="1" t="s">
        <v>1014</v>
      </c>
      <c r="E2189" s="1" t="s">
        <v>1274</v>
      </c>
      <c r="F2189" s="1" t="s">
        <v>35</v>
      </c>
      <c r="G2189" s="1" t="s">
        <v>36</v>
      </c>
      <c r="H2189" s="1" t="s">
        <v>22</v>
      </c>
      <c r="I2189" s="1" t="s">
        <v>29</v>
      </c>
      <c r="J2189" s="1">
        <v>-99.670000000000016</v>
      </c>
      <c r="K2189" s="1">
        <v>440.33</v>
      </c>
      <c r="L2189" s="1">
        <v>80.329999999999984</v>
      </c>
    </row>
    <row r="2190" spans="4:12">
      <c r="D2190" s="1" t="s">
        <v>1014</v>
      </c>
      <c r="E2190" s="1" t="s">
        <v>1275</v>
      </c>
      <c r="F2190" s="1" t="s">
        <v>35</v>
      </c>
      <c r="G2190" s="1" t="s">
        <v>36</v>
      </c>
      <c r="H2190" s="1" t="s">
        <v>22</v>
      </c>
      <c r="I2190" s="1" t="s">
        <v>29</v>
      </c>
      <c r="J2190" s="1">
        <v>-99.670000000000016</v>
      </c>
      <c r="K2190" s="1">
        <v>440.33</v>
      </c>
      <c r="L2190" s="1">
        <v>80.329999999999984</v>
      </c>
    </row>
    <row r="2191" spans="4:12">
      <c r="D2191" s="1" t="s">
        <v>1014</v>
      </c>
      <c r="E2191" s="1" t="s">
        <v>1276</v>
      </c>
      <c r="F2191" s="1" t="s">
        <v>35</v>
      </c>
      <c r="G2191" s="1" t="s">
        <v>36</v>
      </c>
      <c r="H2191" s="1" t="s">
        <v>22</v>
      </c>
      <c r="I2191" s="1" t="s">
        <v>29</v>
      </c>
      <c r="J2191" s="1">
        <v>-99.670000000000016</v>
      </c>
      <c r="K2191" s="1">
        <v>440.33</v>
      </c>
      <c r="L2191" s="1">
        <v>80.329999999999984</v>
      </c>
    </row>
    <row r="2192" spans="4:12">
      <c r="D2192" s="1" t="s">
        <v>1014</v>
      </c>
      <c r="E2192" s="1" t="s">
        <v>1277</v>
      </c>
      <c r="F2192" s="1" t="s">
        <v>35</v>
      </c>
      <c r="G2192" s="1" t="s">
        <v>36</v>
      </c>
      <c r="H2192" s="1" t="s">
        <v>22</v>
      </c>
      <c r="I2192" s="1" t="s">
        <v>29</v>
      </c>
      <c r="J2192" s="1">
        <v>-99.670000000000016</v>
      </c>
      <c r="K2192" s="1">
        <v>440.33</v>
      </c>
      <c r="L2192" s="1">
        <v>80.329999999999984</v>
      </c>
    </row>
    <row r="2193" spans="4:12">
      <c r="D2193" s="1" t="s">
        <v>1014</v>
      </c>
      <c r="E2193" s="1" t="s">
        <v>1278</v>
      </c>
      <c r="F2193" s="1" t="s">
        <v>35</v>
      </c>
      <c r="G2193" s="1" t="s">
        <v>36</v>
      </c>
      <c r="H2193" s="1" t="s">
        <v>22</v>
      </c>
      <c r="I2193" s="1" t="s">
        <v>29</v>
      </c>
      <c r="J2193" s="1">
        <v>-99.670000000000016</v>
      </c>
      <c r="K2193" s="1">
        <v>440.33</v>
      </c>
      <c r="L2193" s="1">
        <v>80.329999999999984</v>
      </c>
    </row>
    <row r="2194" spans="4:12">
      <c r="D2194" s="1" t="s">
        <v>1014</v>
      </c>
      <c r="E2194" s="1" t="s">
        <v>1279</v>
      </c>
      <c r="F2194" s="1" t="s">
        <v>35</v>
      </c>
      <c r="G2194" s="1" t="s">
        <v>36</v>
      </c>
      <c r="H2194" s="1" t="s">
        <v>22</v>
      </c>
      <c r="I2194" s="1" t="s">
        <v>29</v>
      </c>
      <c r="J2194" s="1">
        <v>-99.670000000000016</v>
      </c>
      <c r="K2194" s="1">
        <v>440.33</v>
      </c>
      <c r="L2194" s="1">
        <v>80.329999999999984</v>
      </c>
    </row>
    <row r="2195" spans="4:12">
      <c r="D2195" s="1" t="s">
        <v>1014</v>
      </c>
      <c r="E2195" s="1" t="s">
        <v>1280</v>
      </c>
      <c r="F2195" s="1" t="s">
        <v>35</v>
      </c>
      <c r="G2195" s="1" t="s">
        <v>36</v>
      </c>
      <c r="H2195" s="1" t="s">
        <v>22</v>
      </c>
      <c r="I2195" s="1" t="s">
        <v>29</v>
      </c>
      <c r="J2195" s="1">
        <v>-99.670000000000016</v>
      </c>
      <c r="K2195" s="1">
        <v>440.33</v>
      </c>
      <c r="L2195" s="1">
        <v>80.329999999999984</v>
      </c>
    </row>
    <row r="2196" spans="4:12">
      <c r="D2196" s="1" t="s">
        <v>1014</v>
      </c>
      <c r="E2196" s="1" t="s">
        <v>1281</v>
      </c>
      <c r="F2196" s="1" t="s">
        <v>35</v>
      </c>
      <c r="G2196" s="1" t="s">
        <v>36</v>
      </c>
      <c r="H2196" s="1" t="s">
        <v>22</v>
      </c>
      <c r="I2196" s="1" t="s">
        <v>29</v>
      </c>
      <c r="J2196" s="1">
        <v>-99.670000000000016</v>
      </c>
      <c r="K2196" s="1">
        <v>440.33</v>
      </c>
      <c r="L2196" s="1">
        <v>80.329999999999984</v>
      </c>
    </row>
    <row r="2197" spans="4:12">
      <c r="D2197" s="1" t="s">
        <v>1014</v>
      </c>
      <c r="E2197" s="1" t="s">
        <v>1282</v>
      </c>
      <c r="F2197" s="1" t="s">
        <v>35</v>
      </c>
      <c r="G2197" s="1" t="s">
        <v>36</v>
      </c>
      <c r="H2197" s="1" t="s">
        <v>22</v>
      </c>
      <c r="I2197" s="1" t="s">
        <v>29</v>
      </c>
      <c r="J2197" s="1">
        <v>-99.670000000000016</v>
      </c>
      <c r="K2197" s="1">
        <v>440.33</v>
      </c>
      <c r="L2197" s="1">
        <v>80.329999999999984</v>
      </c>
    </row>
    <row r="2198" spans="4:12">
      <c r="D2198" s="1" t="s">
        <v>1014</v>
      </c>
      <c r="E2198" s="1" t="s">
        <v>1283</v>
      </c>
      <c r="F2198" s="1" t="s">
        <v>35</v>
      </c>
      <c r="G2198" s="1" t="s">
        <v>36</v>
      </c>
      <c r="H2198" s="1" t="s">
        <v>22</v>
      </c>
      <c r="I2198" s="1" t="s">
        <v>29</v>
      </c>
      <c r="J2198" s="1">
        <v>-99.670000000000016</v>
      </c>
      <c r="K2198" s="1">
        <v>440.33</v>
      </c>
      <c r="L2198" s="1">
        <v>80.329999999999984</v>
      </c>
    </row>
    <row r="2199" spans="4:12">
      <c r="D2199" s="1" t="s">
        <v>1014</v>
      </c>
      <c r="E2199" s="1" t="s">
        <v>1284</v>
      </c>
      <c r="F2199" s="1" t="s">
        <v>35</v>
      </c>
      <c r="G2199" s="1" t="s">
        <v>36</v>
      </c>
      <c r="H2199" s="1" t="s">
        <v>22</v>
      </c>
      <c r="I2199" s="1" t="s">
        <v>29</v>
      </c>
      <c r="J2199" s="1">
        <v>-99.670000000000016</v>
      </c>
      <c r="K2199" s="1">
        <v>440.33</v>
      </c>
      <c r="L2199" s="1">
        <v>80.329999999999984</v>
      </c>
    </row>
    <row r="2200" spans="4:12">
      <c r="D2200" s="1" t="s">
        <v>1014</v>
      </c>
      <c r="E2200" s="1" t="s">
        <v>1285</v>
      </c>
      <c r="F2200" s="1" t="s">
        <v>35</v>
      </c>
      <c r="G2200" s="1" t="s">
        <v>36</v>
      </c>
      <c r="H2200" s="1" t="s">
        <v>22</v>
      </c>
      <c r="I2200" s="1" t="s">
        <v>29</v>
      </c>
      <c r="J2200" s="1">
        <v>-99.670000000000016</v>
      </c>
      <c r="K2200" s="1">
        <v>440.33</v>
      </c>
      <c r="L2200" s="1">
        <v>80.329999999999984</v>
      </c>
    </row>
    <row r="2201" spans="4:12">
      <c r="D2201" s="1" t="s">
        <v>1014</v>
      </c>
      <c r="E2201" s="1" t="s">
        <v>1286</v>
      </c>
      <c r="F2201" s="1" t="s">
        <v>35</v>
      </c>
      <c r="G2201" s="1" t="s">
        <v>36</v>
      </c>
      <c r="H2201" s="1" t="s">
        <v>22</v>
      </c>
      <c r="I2201" s="1" t="s">
        <v>29</v>
      </c>
      <c r="J2201" s="1">
        <v>-99.670000000000016</v>
      </c>
      <c r="K2201" s="1">
        <v>440.33</v>
      </c>
      <c r="L2201" s="1">
        <v>80.329999999999984</v>
      </c>
    </row>
    <row r="2202" spans="4:12">
      <c r="D2202" s="1" t="s">
        <v>1014</v>
      </c>
      <c r="E2202" s="1" t="s">
        <v>1287</v>
      </c>
      <c r="F2202" s="1" t="s">
        <v>35</v>
      </c>
      <c r="G2202" s="1" t="s">
        <v>36</v>
      </c>
      <c r="H2202" s="1" t="s">
        <v>22</v>
      </c>
      <c r="I2202" s="1" t="s">
        <v>29</v>
      </c>
      <c r="J2202" s="1">
        <v>-99.670000000000016</v>
      </c>
      <c r="K2202" s="1">
        <v>440.33</v>
      </c>
      <c r="L2202" s="1">
        <v>80.329999999999984</v>
      </c>
    </row>
    <row r="2203" spans="4:12">
      <c r="D2203" s="1" t="s">
        <v>1014</v>
      </c>
      <c r="E2203" s="1" t="s">
        <v>1288</v>
      </c>
      <c r="F2203" s="1" t="s">
        <v>35</v>
      </c>
      <c r="G2203" s="1" t="s">
        <v>36</v>
      </c>
      <c r="H2203" s="1" t="s">
        <v>22</v>
      </c>
      <c r="I2203" s="1" t="s">
        <v>29</v>
      </c>
      <c r="J2203" s="1">
        <v>-99.670000000000016</v>
      </c>
      <c r="K2203" s="1">
        <v>440.33</v>
      </c>
      <c r="L2203" s="1">
        <v>80.329999999999984</v>
      </c>
    </row>
    <row r="2204" spans="4:12">
      <c r="D2204" s="1" t="s">
        <v>1014</v>
      </c>
      <c r="E2204" s="1" t="s">
        <v>1289</v>
      </c>
      <c r="F2204" s="1" t="s">
        <v>35</v>
      </c>
      <c r="G2204" s="1" t="s">
        <v>36</v>
      </c>
      <c r="H2204" s="1" t="s">
        <v>22</v>
      </c>
      <c r="I2204" s="1" t="s">
        <v>29</v>
      </c>
      <c r="J2204" s="1">
        <v>-99.670000000000016</v>
      </c>
      <c r="K2204" s="1">
        <v>440.33</v>
      </c>
      <c r="L2204" s="1">
        <v>80.329999999999984</v>
      </c>
    </row>
    <row r="2205" spans="4:12">
      <c r="D2205" s="1" t="s">
        <v>1014</v>
      </c>
      <c r="E2205" s="1" t="s">
        <v>1290</v>
      </c>
      <c r="F2205" s="1" t="s">
        <v>35</v>
      </c>
      <c r="G2205" s="1" t="s">
        <v>36</v>
      </c>
      <c r="H2205" s="1" t="s">
        <v>22</v>
      </c>
      <c r="I2205" s="1" t="s">
        <v>29</v>
      </c>
      <c r="J2205" s="1">
        <v>-99.670000000000016</v>
      </c>
      <c r="K2205" s="1">
        <v>440.33</v>
      </c>
      <c r="L2205" s="1">
        <v>80.329999999999984</v>
      </c>
    </row>
    <row r="2206" spans="4:12">
      <c r="D2206" s="1" t="s">
        <v>1014</v>
      </c>
      <c r="E2206" s="1" t="s">
        <v>1291</v>
      </c>
      <c r="F2206" s="1" t="s">
        <v>35</v>
      </c>
      <c r="G2206" s="1" t="s">
        <v>36</v>
      </c>
      <c r="H2206" s="1" t="s">
        <v>22</v>
      </c>
      <c r="I2206" s="1" t="s">
        <v>29</v>
      </c>
      <c r="J2206" s="1">
        <v>-99.670000000000016</v>
      </c>
      <c r="K2206" s="1">
        <v>440.33</v>
      </c>
      <c r="L2206" s="1">
        <v>80.329999999999984</v>
      </c>
    </row>
    <row r="2207" spans="4:12">
      <c r="D2207" s="1" t="s">
        <v>1014</v>
      </c>
      <c r="E2207" s="1" t="s">
        <v>1292</v>
      </c>
      <c r="F2207" s="1" t="s">
        <v>35</v>
      </c>
      <c r="G2207" s="1" t="s">
        <v>36</v>
      </c>
      <c r="H2207" s="1" t="s">
        <v>22</v>
      </c>
      <c r="I2207" s="1" t="s">
        <v>29</v>
      </c>
      <c r="J2207" s="1">
        <v>-99.670000000000016</v>
      </c>
      <c r="K2207" s="1">
        <v>440.33</v>
      </c>
      <c r="L2207" s="1">
        <v>80.329999999999984</v>
      </c>
    </row>
    <row r="2208" spans="4:12">
      <c r="D2208" s="1" t="s">
        <v>1014</v>
      </c>
      <c r="E2208" s="1" t="s">
        <v>1293</v>
      </c>
      <c r="F2208" s="1" t="s">
        <v>35</v>
      </c>
      <c r="G2208" s="1" t="s">
        <v>36</v>
      </c>
      <c r="H2208" s="1" t="s">
        <v>22</v>
      </c>
      <c r="I2208" s="1" t="s">
        <v>29</v>
      </c>
      <c r="J2208" s="1">
        <v>-99.670000000000016</v>
      </c>
      <c r="K2208" s="1">
        <v>440.33</v>
      </c>
      <c r="L2208" s="1">
        <v>80.329999999999984</v>
      </c>
    </row>
    <row r="2209" spans="4:13">
      <c r="D2209" s="1" t="s">
        <v>1014</v>
      </c>
      <c r="E2209" s="1" t="s">
        <v>1294</v>
      </c>
      <c r="F2209" s="1" t="s">
        <v>41</v>
      </c>
      <c r="G2209" s="1" t="s">
        <v>42</v>
      </c>
      <c r="H2209" s="1" t="s">
        <v>22</v>
      </c>
      <c r="I2209" s="1" t="s">
        <v>23</v>
      </c>
      <c r="J2209" s="1">
        <v>-36</v>
      </c>
      <c r="K2209" s="1">
        <v>0</v>
      </c>
      <c r="L2209" s="1">
        <v>1.8</v>
      </c>
      <c r="M2209" s="1">
        <v>-3.6</v>
      </c>
    </row>
    <row r="2210" spans="4:13">
      <c r="D2210" s="1" t="s">
        <v>1014</v>
      </c>
      <c r="E2210" s="1" t="s">
        <v>1295</v>
      </c>
      <c r="H2210" s="1" t="s">
        <v>25</v>
      </c>
      <c r="I2210" s="1" t="s">
        <v>23</v>
      </c>
      <c r="M2210" s="1" t="b">
        <v>0</v>
      </c>
    </row>
    <row r="2211" spans="4:13">
      <c r="D2211" s="1" t="s">
        <v>1014</v>
      </c>
      <c r="E2211" s="1" t="s">
        <v>1296</v>
      </c>
      <c r="F2211" s="1" t="s">
        <v>41</v>
      </c>
      <c r="G2211" s="1" t="s">
        <v>42</v>
      </c>
      <c r="H2211" s="1" t="s">
        <v>22</v>
      </c>
      <c r="I2211" s="1" t="s">
        <v>65</v>
      </c>
      <c r="L2211" s="1">
        <v>1.8</v>
      </c>
    </row>
    <row r="2212" spans="4:13">
      <c r="D2212" s="1" t="s">
        <v>1014</v>
      </c>
      <c r="E2212" s="1" t="s">
        <v>1297</v>
      </c>
      <c r="H2212" s="1" t="s">
        <v>22</v>
      </c>
      <c r="I2212" s="1" t="s">
        <v>65</v>
      </c>
      <c r="L2212" s="1">
        <v>1</v>
      </c>
    </row>
    <row r="2213" spans="4:13">
      <c r="D2213" s="1" t="s">
        <v>1014</v>
      </c>
      <c r="E2213" s="1" t="s">
        <v>1298</v>
      </c>
      <c r="F2213" s="1" t="s">
        <v>147</v>
      </c>
      <c r="G2213" s="1" t="s">
        <v>148</v>
      </c>
      <c r="H2213" s="1" t="s">
        <v>22</v>
      </c>
      <c r="I2213" s="1" t="s">
        <v>65</v>
      </c>
      <c r="L2213" s="1">
        <v>3.4121416351331</v>
      </c>
    </row>
    <row r="2214" spans="4:13">
      <c r="D2214" s="1" t="s">
        <v>1014</v>
      </c>
      <c r="E2214" s="1" t="s">
        <v>1299</v>
      </c>
      <c r="F2214" s="1" t="s">
        <v>147</v>
      </c>
      <c r="G2214" s="1" t="s">
        <v>148</v>
      </c>
      <c r="H2214" s="1" t="s">
        <v>22</v>
      </c>
      <c r="I2214" s="1" t="s">
        <v>65</v>
      </c>
      <c r="L2214" s="1">
        <v>3.4121416351331</v>
      </c>
    </row>
    <row r="2215" spans="4:13">
      <c r="D2215" s="1" t="s">
        <v>1014</v>
      </c>
      <c r="E2215" s="1" t="s">
        <v>1300</v>
      </c>
      <c r="F2215" s="1" t="s">
        <v>147</v>
      </c>
      <c r="G2215" s="1" t="s">
        <v>148</v>
      </c>
      <c r="H2215" s="1" t="s">
        <v>22</v>
      </c>
      <c r="I2215" s="1" t="s">
        <v>65</v>
      </c>
      <c r="L2215" s="1">
        <v>3.4121416351331</v>
      </c>
    </row>
    <row r="2216" spans="4:13">
      <c r="D2216" s="1" t="s">
        <v>1014</v>
      </c>
      <c r="E2216" s="1" t="s">
        <v>1301</v>
      </c>
      <c r="F2216" s="1" t="s">
        <v>147</v>
      </c>
      <c r="G2216" s="1" t="s">
        <v>148</v>
      </c>
      <c r="H2216" s="1" t="s">
        <v>22</v>
      </c>
      <c r="I2216" s="1" t="s">
        <v>65</v>
      </c>
      <c r="L2216" s="1">
        <v>3.4121416351331</v>
      </c>
    </row>
    <row r="2217" spans="4:13">
      <c r="D2217" s="1" t="s">
        <v>1014</v>
      </c>
      <c r="E2217" s="1" t="s">
        <v>1302</v>
      </c>
      <c r="H2217" s="1" t="s">
        <v>22</v>
      </c>
      <c r="I2217" s="1" t="s">
        <v>65</v>
      </c>
      <c r="L2217" s="1">
        <v>1</v>
      </c>
    </row>
    <row r="2218" spans="4:13">
      <c r="D2218" s="1" t="s">
        <v>1014</v>
      </c>
      <c r="E2218" s="1" t="s">
        <v>1303</v>
      </c>
      <c r="F2218" s="1" t="s">
        <v>35</v>
      </c>
      <c r="G2218" s="1" t="s">
        <v>36</v>
      </c>
      <c r="H2218" s="1" t="s">
        <v>22</v>
      </c>
      <c r="I2218" s="1" t="s">
        <v>65</v>
      </c>
      <c r="J2218" s="1">
        <v>-459.67</v>
      </c>
      <c r="L2218" s="1">
        <v>80.329999999999984</v>
      </c>
    </row>
    <row r="2219" spans="4:13">
      <c r="D2219" s="1" t="s">
        <v>1014</v>
      </c>
      <c r="E2219" s="1" t="s">
        <v>1304</v>
      </c>
      <c r="H2219" s="1" t="s">
        <v>22</v>
      </c>
      <c r="I2219" s="1" t="s">
        <v>65</v>
      </c>
      <c r="L2219" s="1">
        <v>1</v>
      </c>
    </row>
    <row r="2220" spans="4:13">
      <c r="D2220" s="1" t="s">
        <v>1014</v>
      </c>
      <c r="E2220" s="1" t="s">
        <v>1305</v>
      </c>
      <c r="H2220" s="1" t="s">
        <v>22</v>
      </c>
      <c r="I2220" s="1" t="s">
        <v>65</v>
      </c>
      <c r="L2220" s="1">
        <v>1</v>
      </c>
    </row>
    <row r="2221" spans="4:13">
      <c r="D2221" s="1" t="s">
        <v>1014</v>
      </c>
      <c r="E2221" s="1" t="s">
        <v>1306</v>
      </c>
      <c r="H2221" s="1" t="s">
        <v>22</v>
      </c>
      <c r="I2221" s="1" t="s">
        <v>65</v>
      </c>
      <c r="L2221" s="1">
        <v>1</v>
      </c>
    </row>
    <row r="2222" spans="4:13">
      <c r="D2222" s="1" t="s">
        <v>1014</v>
      </c>
      <c r="E2222" s="1" t="s">
        <v>1307</v>
      </c>
      <c r="H2222" s="1" t="s">
        <v>22</v>
      </c>
      <c r="I2222" s="1" t="s">
        <v>65</v>
      </c>
      <c r="L2222" s="1">
        <v>1</v>
      </c>
    </row>
    <row r="2223" spans="4:13">
      <c r="D2223" s="1" t="s">
        <v>1014</v>
      </c>
      <c r="E2223" s="1" t="s">
        <v>1308</v>
      </c>
      <c r="H2223" s="1" t="s">
        <v>22</v>
      </c>
      <c r="I2223" s="1" t="s">
        <v>65</v>
      </c>
      <c r="L2223" s="1">
        <v>1</v>
      </c>
    </row>
    <row r="2224" spans="4:13">
      <c r="D2224" s="1" t="s">
        <v>1014</v>
      </c>
      <c r="E2224" s="1" t="s">
        <v>1309</v>
      </c>
      <c r="H2224" s="1" t="s">
        <v>22</v>
      </c>
      <c r="I2224" s="1" t="s">
        <v>65</v>
      </c>
      <c r="L2224" s="1">
        <v>1</v>
      </c>
    </row>
    <row r="2225" spans="4:12">
      <c r="D2225" s="1" t="s">
        <v>1014</v>
      </c>
      <c r="E2225" s="1" t="s">
        <v>1310</v>
      </c>
      <c r="H2225" s="1" t="s">
        <v>22</v>
      </c>
      <c r="I2225" s="1" t="s">
        <v>65</v>
      </c>
      <c r="L2225" s="1">
        <v>1</v>
      </c>
    </row>
    <row r="2226" spans="4:12">
      <c r="D2226" s="1" t="s">
        <v>1014</v>
      </c>
      <c r="E2226" s="1" t="s">
        <v>1311</v>
      </c>
      <c r="F2226" s="1" t="s">
        <v>1041</v>
      </c>
      <c r="G2226" s="1" t="s">
        <v>1042</v>
      </c>
      <c r="H2226" s="1" t="s">
        <v>22</v>
      </c>
      <c r="I2226" s="1" t="s">
        <v>65</v>
      </c>
      <c r="L2226" s="1">
        <v>0.17611018362408509</v>
      </c>
    </row>
    <row r="2227" spans="4:12">
      <c r="D2227" s="1" t="s">
        <v>1014</v>
      </c>
      <c r="E2227" s="1" t="s">
        <v>1312</v>
      </c>
      <c r="F2227" s="1" t="s">
        <v>1041</v>
      </c>
      <c r="G2227" s="1" t="s">
        <v>1042</v>
      </c>
      <c r="H2227" s="1" t="s">
        <v>22</v>
      </c>
      <c r="I2227" s="1" t="s">
        <v>65</v>
      </c>
      <c r="L2227" s="1">
        <v>0.17611018362408509</v>
      </c>
    </row>
    <row r="2228" spans="4:12">
      <c r="D2228" s="1" t="s">
        <v>1014</v>
      </c>
      <c r="E2228" s="1" t="s">
        <v>1313</v>
      </c>
      <c r="F2228" s="1" t="s">
        <v>1041</v>
      </c>
      <c r="G2228" s="1" t="s">
        <v>1042</v>
      </c>
      <c r="H2228" s="1" t="s">
        <v>22</v>
      </c>
      <c r="I2228" s="1" t="s">
        <v>65</v>
      </c>
      <c r="L2228" s="1">
        <v>0.17611018362408509</v>
      </c>
    </row>
    <row r="2229" spans="4:12">
      <c r="D2229" s="1" t="s">
        <v>1014</v>
      </c>
      <c r="E2229" s="1" t="s">
        <v>1314</v>
      </c>
      <c r="F2229" s="1" t="s">
        <v>879</v>
      </c>
      <c r="G2229" s="1" t="s">
        <v>880</v>
      </c>
      <c r="H2229" s="1" t="s">
        <v>22</v>
      </c>
      <c r="I2229" s="1" t="s">
        <v>65</v>
      </c>
      <c r="L2229" s="1">
        <v>10.76391041670972</v>
      </c>
    </row>
    <row r="2230" spans="4:12">
      <c r="D2230" s="1" t="s">
        <v>1014</v>
      </c>
      <c r="E2230" s="1" t="s">
        <v>1315</v>
      </c>
      <c r="F2230" s="1" t="s">
        <v>879</v>
      </c>
      <c r="G2230" s="1" t="s">
        <v>880</v>
      </c>
      <c r="H2230" s="1" t="s">
        <v>22</v>
      </c>
      <c r="I2230" s="1" t="s">
        <v>65</v>
      </c>
      <c r="L2230" s="1">
        <v>10.76391041670972</v>
      </c>
    </row>
    <row r="2231" spans="4:12">
      <c r="D2231" s="1" t="s">
        <v>1014</v>
      </c>
      <c r="E2231" s="1" t="s">
        <v>1316</v>
      </c>
      <c r="F2231" s="1" t="s">
        <v>879</v>
      </c>
      <c r="G2231" s="1" t="s">
        <v>880</v>
      </c>
      <c r="H2231" s="1" t="s">
        <v>22</v>
      </c>
      <c r="I2231" s="1" t="s">
        <v>65</v>
      </c>
      <c r="L2231" s="1">
        <v>10.76391041670972</v>
      </c>
    </row>
    <row r="2232" spans="4:12">
      <c r="D2232" s="1" t="s">
        <v>1014</v>
      </c>
      <c r="E2232" s="1" t="s">
        <v>1317</v>
      </c>
      <c r="F2232" s="1" t="s">
        <v>879</v>
      </c>
      <c r="G2232" s="1" t="s">
        <v>880</v>
      </c>
      <c r="H2232" s="1" t="s">
        <v>22</v>
      </c>
      <c r="I2232" s="1" t="s">
        <v>70</v>
      </c>
      <c r="L2232" s="1">
        <v>10.76391041670972</v>
      </c>
    </row>
    <row r="2233" spans="4:12">
      <c r="D2233" s="1" t="s">
        <v>1014</v>
      </c>
      <c r="E2233" s="1" t="s">
        <v>1318</v>
      </c>
      <c r="F2233" s="1" t="s">
        <v>879</v>
      </c>
      <c r="G2233" s="1" t="s">
        <v>880</v>
      </c>
      <c r="H2233" s="1" t="s">
        <v>22</v>
      </c>
      <c r="I2233" s="1" t="s">
        <v>65</v>
      </c>
      <c r="L2233" s="1">
        <v>10.76391041670972</v>
      </c>
    </row>
    <row r="2234" spans="4:12">
      <c r="D2234" s="1" t="s">
        <v>1014</v>
      </c>
      <c r="E2234" s="1" t="s">
        <v>1319</v>
      </c>
      <c r="F2234" s="1" t="s">
        <v>879</v>
      </c>
      <c r="G2234" s="1" t="s">
        <v>880</v>
      </c>
      <c r="H2234" s="1" t="s">
        <v>22</v>
      </c>
      <c r="I2234" s="1" t="s">
        <v>65</v>
      </c>
      <c r="L2234" s="1">
        <v>10.76391041670972</v>
      </c>
    </row>
    <row r="2235" spans="4:12">
      <c r="D2235" s="1" t="s">
        <v>1014</v>
      </c>
      <c r="E2235" s="1" t="s">
        <v>1320</v>
      </c>
      <c r="F2235" s="1" t="s">
        <v>879</v>
      </c>
      <c r="G2235" s="1" t="s">
        <v>880</v>
      </c>
      <c r="H2235" s="1" t="s">
        <v>22</v>
      </c>
      <c r="I2235" s="1" t="s">
        <v>70</v>
      </c>
      <c r="L2235" s="1">
        <v>10.76391041670972</v>
      </c>
    </row>
    <row r="2236" spans="4:12">
      <c r="D2236" s="1" t="s">
        <v>1014</v>
      </c>
      <c r="E2236" s="1" t="s">
        <v>1321</v>
      </c>
      <c r="F2236" s="1" t="s">
        <v>879</v>
      </c>
      <c r="G2236" s="1" t="s">
        <v>880</v>
      </c>
      <c r="H2236" s="1" t="s">
        <v>22</v>
      </c>
      <c r="I2236" s="1" t="s">
        <v>65</v>
      </c>
      <c r="L2236" s="1">
        <v>10.76391041670972</v>
      </c>
    </row>
    <row r="2237" spans="4:12">
      <c r="D2237" s="1" t="s">
        <v>1014</v>
      </c>
      <c r="E2237" s="1" t="s">
        <v>1322</v>
      </c>
      <c r="F2237" s="1" t="s">
        <v>56</v>
      </c>
      <c r="G2237" s="1" t="s">
        <v>57</v>
      </c>
      <c r="H2237" s="1" t="s">
        <v>22</v>
      </c>
      <c r="I2237" s="1" t="s">
        <v>65</v>
      </c>
      <c r="L2237" s="1">
        <v>1.4503773773020921E-4</v>
      </c>
    </row>
    <row r="2238" spans="4:12">
      <c r="D2238" s="1" t="s">
        <v>1014</v>
      </c>
      <c r="E2238" s="1" t="s">
        <v>1323</v>
      </c>
      <c r="F2238" s="1" t="s">
        <v>56</v>
      </c>
      <c r="G2238" s="1" t="s">
        <v>57</v>
      </c>
      <c r="H2238" s="1" t="s">
        <v>22</v>
      </c>
      <c r="I2238" s="1" t="s">
        <v>65</v>
      </c>
      <c r="L2238" s="1">
        <v>1.4503773773020921E-4</v>
      </c>
    </row>
    <row r="2239" spans="4:12">
      <c r="D2239" s="1" t="s">
        <v>1014</v>
      </c>
      <c r="E2239" s="1" t="s">
        <v>1324</v>
      </c>
      <c r="F2239" s="1" t="s">
        <v>56</v>
      </c>
      <c r="G2239" s="1" t="s">
        <v>57</v>
      </c>
      <c r="H2239" s="1" t="s">
        <v>22</v>
      </c>
      <c r="I2239" s="1" t="s">
        <v>65</v>
      </c>
      <c r="L2239" s="1">
        <v>1.4503773773020921E-4</v>
      </c>
    </row>
    <row r="2240" spans="4:12">
      <c r="D2240" s="1" t="s">
        <v>1014</v>
      </c>
      <c r="E2240" s="1" t="s">
        <v>1325</v>
      </c>
      <c r="F2240" s="1" t="s">
        <v>56</v>
      </c>
      <c r="G2240" s="1" t="s">
        <v>57</v>
      </c>
      <c r="H2240" s="1" t="s">
        <v>22</v>
      </c>
      <c r="I2240" s="1" t="s">
        <v>65</v>
      </c>
      <c r="L2240" s="1">
        <v>1.4503773773020921E-4</v>
      </c>
    </row>
    <row r="2241" spans="4:12">
      <c r="D2241" s="1" t="s">
        <v>1014</v>
      </c>
      <c r="E2241" s="1" t="s">
        <v>1326</v>
      </c>
      <c r="F2241" s="1" t="s">
        <v>56</v>
      </c>
      <c r="G2241" s="1" t="s">
        <v>57</v>
      </c>
      <c r="H2241" s="1" t="s">
        <v>22</v>
      </c>
      <c r="I2241" s="1" t="s">
        <v>65</v>
      </c>
      <c r="L2241" s="1">
        <v>1.4503773773020921E-4</v>
      </c>
    </row>
    <row r="2242" spans="4:12">
      <c r="D2242" s="1" t="s">
        <v>1014</v>
      </c>
      <c r="E2242" s="1" t="s">
        <v>1327</v>
      </c>
      <c r="F2242" s="1" t="s">
        <v>1328</v>
      </c>
      <c r="G2242" s="1" t="s">
        <v>1329</v>
      </c>
      <c r="H2242" s="1" t="s">
        <v>22</v>
      </c>
      <c r="I2242" s="1" t="s">
        <v>65</v>
      </c>
      <c r="L2242" s="1">
        <v>0.31699833100000002</v>
      </c>
    </row>
    <row r="2243" spans="4:12">
      <c r="D2243" s="1" t="s">
        <v>1014</v>
      </c>
      <c r="E2243" s="1" t="s">
        <v>1330</v>
      </c>
      <c r="F2243" s="1" t="s">
        <v>1328</v>
      </c>
      <c r="G2243" s="1" t="s">
        <v>1329</v>
      </c>
      <c r="H2243" s="1" t="s">
        <v>22</v>
      </c>
      <c r="I2243" s="1" t="s">
        <v>65</v>
      </c>
      <c r="L2243" s="1">
        <v>0.31699833100000002</v>
      </c>
    </row>
    <row r="2244" spans="4:12">
      <c r="D2244" s="1" t="s">
        <v>1014</v>
      </c>
      <c r="E2244" s="1" t="s">
        <v>1331</v>
      </c>
      <c r="F2244" s="1" t="s">
        <v>176</v>
      </c>
      <c r="G2244" s="1" t="s">
        <v>177</v>
      </c>
      <c r="H2244" s="1" t="s">
        <v>22</v>
      </c>
      <c r="I2244" s="1" t="s">
        <v>70</v>
      </c>
      <c r="J2244" s="1">
        <v>0</v>
      </c>
      <c r="L2244" s="1">
        <v>39.370078740157467</v>
      </c>
    </row>
    <row r="2245" spans="4:12">
      <c r="D2245" s="1" t="s">
        <v>1014</v>
      </c>
      <c r="E2245" s="1" t="s">
        <v>69</v>
      </c>
      <c r="H2245" s="1" t="s">
        <v>25</v>
      </c>
      <c r="I2245" s="1" t="s">
        <v>70</v>
      </c>
    </row>
    <row r="2246" spans="4:12">
      <c r="D2246" s="1" t="s">
        <v>1014</v>
      </c>
      <c r="E2246" s="1" t="s">
        <v>1332</v>
      </c>
      <c r="F2246" s="1" t="s">
        <v>176</v>
      </c>
      <c r="G2246" s="1" t="s">
        <v>177</v>
      </c>
      <c r="H2246" s="1" t="s">
        <v>22</v>
      </c>
      <c r="I2246" s="1" t="s">
        <v>65</v>
      </c>
      <c r="L2246" s="1">
        <v>39.370078740157467</v>
      </c>
    </row>
    <row r="2247" spans="4:12">
      <c r="D2247" s="1" t="s">
        <v>1014</v>
      </c>
      <c r="E2247" s="1" t="s">
        <v>1333</v>
      </c>
      <c r="F2247" s="1" t="s">
        <v>176</v>
      </c>
      <c r="G2247" s="1" t="s">
        <v>177</v>
      </c>
      <c r="H2247" s="1" t="s">
        <v>22</v>
      </c>
      <c r="I2247" s="1" t="s">
        <v>65</v>
      </c>
      <c r="J2247" s="1">
        <v>0</v>
      </c>
      <c r="L2247" s="1">
        <v>39.370078740157467</v>
      </c>
    </row>
    <row r="2248" spans="4:12">
      <c r="D2248" s="1" t="s">
        <v>1014</v>
      </c>
      <c r="E2248" s="1" t="s">
        <v>991</v>
      </c>
      <c r="F2248" s="1" t="s">
        <v>118</v>
      </c>
      <c r="G2248" s="1" t="s">
        <v>119</v>
      </c>
      <c r="H2248" s="1" t="s">
        <v>22</v>
      </c>
      <c r="I2248" s="1" t="s">
        <v>65</v>
      </c>
      <c r="J2248" s="1">
        <v>0</v>
      </c>
      <c r="L2248" s="1">
        <v>2.20462262185</v>
      </c>
    </row>
    <row r="2249" spans="4:12">
      <c r="D2249" s="1" t="s">
        <v>1014</v>
      </c>
      <c r="E2249" s="1" t="s">
        <v>1334</v>
      </c>
      <c r="H2249" s="1" t="s">
        <v>22</v>
      </c>
      <c r="I2249" s="1" t="s">
        <v>65</v>
      </c>
      <c r="L2249" s="1">
        <v>1</v>
      </c>
    </row>
    <row r="2250" spans="4:12">
      <c r="D2250" s="1" t="s">
        <v>1014</v>
      </c>
      <c r="E2250" s="1" t="s">
        <v>1335</v>
      </c>
      <c r="H2250" s="1" t="s">
        <v>22</v>
      </c>
      <c r="I2250" s="1" t="s">
        <v>65</v>
      </c>
      <c r="L2250" s="1">
        <v>1</v>
      </c>
    </row>
    <row r="2251" spans="4:12">
      <c r="D2251" s="1" t="s">
        <v>1014</v>
      </c>
      <c r="E2251" s="1" t="s">
        <v>1336</v>
      </c>
      <c r="F2251" s="1" t="s">
        <v>56</v>
      </c>
      <c r="G2251" s="1" t="s">
        <v>57</v>
      </c>
      <c r="H2251" s="1" t="s">
        <v>22</v>
      </c>
      <c r="I2251" s="1" t="s">
        <v>65</v>
      </c>
      <c r="L2251" s="1">
        <v>1.4503773773020921E-4</v>
      </c>
    </row>
    <row r="2252" spans="4:12">
      <c r="D2252" s="1" t="s">
        <v>1014</v>
      </c>
      <c r="E2252" s="1" t="s">
        <v>1337</v>
      </c>
      <c r="H2252" s="1" t="s">
        <v>22</v>
      </c>
      <c r="I2252" s="1" t="s">
        <v>65</v>
      </c>
      <c r="L2252" s="1">
        <v>1</v>
      </c>
    </row>
    <row r="2253" spans="4:12">
      <c r="D2253" s="1" t="s">
        <v>1014</v>
      </c>
      <c r="E2253" s="1" t="s">
        <v>1338</v>
      </c>
      <c r="H2253" s="1" t="s">
        <v>22</v>
      </c>
      <c r="I2253" s="1" t="s">
        <v>65</v>
      </c>
      <c r="L2253" s="1">
        <v>1</v>
      </c>
    </row>
    <row r="2254" spans="4:12">
      <c r="D2254" s="1" t="s">
        <v>1014</v>
      </c>
      <c r="E2254" s="1" t="s">
        <v>1339</v>
      </c>
      <c r="H2254" s="1" t="s">
        <v>22</v>
      </c>
      <c r="I2254" s="1" t="s">
        <v>65</v>
      </c>
      <c r="L2254" s="1">
        <v>1</v>
      </c>
    </row>
    <row r="2255" spans="4:12">
      <c r="D2255" s="1" t="s">
        <v>1014</v>
      </c>
      <c r="E2255" s="1" t="s">
        <v>1340</v>
      </c>
      <c r="H2255" s="1" t="s">
        <v>22</v>
      </c>
      <c r="I2255" s="1" t="s">
        <v>65</v>
      </c>
      <c r="L2255" s="1">
        <v>1</v>
      </c>
    </row>
    <row r="2256" spans="4:12">
      <c r="D2256" s="1" t="s">
        <v>1014</v>
      </c>
      <c r="E2256" s="1" t="s">
        <v>1341</v>
      </c>
      <c r="H2256" s="1" t="s">
        <v>25</v>
      </c>
      <c r="I2256" s="1" t="s">
        <v>65</v>
      </c>
    </row>
    <row r="2257" spans="4:13">
      <c r="D2257" s="1" t="s">
        <v>1014</v>
      </c>
      <c r="E2257" s="1" t="s">
        <v>1342</v>
      </c>
      <c r="F2257" s="1" t="s">
        <v>41</v>
      </c>
      <c r="G2257" s="1" t="s">
        <v>42</v>
      </c>
      <c r="H2257" s="1" t="s">
        <v>22</v>
      </c>
      <c r="I2257" s="1" t="s">
        <v>65</v>
      </c>
      <c r="L2257" s="1">
        <v>1.8</v>
      </c>
    </row>
    <row r="2258" spans="4:13">
      <c r="D2258" s="1" t="s">
        <v>1014</v>
      </c>
      <c r="E2258" s="1" t="s">
        <v>1343</v>
      </c>
      <c r="F2258" s="1" t="s">
        <v>1344</v>
      </c>
      <c r="G2258" s="1" t="s">
        <v>1345</v>
      </c>
      <c r="H2258" s="1" t="s">
        <v>22</v>
      </c>
      <c r="I2258" s="1" t="s">
        <v>65</v>
      </c>
      <c r="L2258" s="1">
        <v>2.2369362919199998</v>
      </c>
    </row>
    <row r="2259" spans="4:13">
      <c r="D2259" s="1" t="s">
        <v>1014</v>
      </c>
      <c r="E2259" s="1" t="s">
        <v>1346</v>
      </c>
      <c r="F2259" s="1" t="s">
        <v>124</v>
      </c>
      <c r="G2259" s="1" t="s">
        <v>125</v>
      </c>
      <c r="H2259" s="1" t="s">
        <v>22</v>
      </c>
      <c r="I2259" s="1" t="s">
        <v>65</v>
      </c>
      <c r="L2259" s="1">
        <v>35.314666699999997</v>
      </c>
    </row>
    <row r="2260" spans="4:13">
      <c r="D2260" s="1" t="s">
        <v>1014</v>
      </c>
      <c r="E2260" s="1" t="s">
        <v>1347</v>
      </c>
      <c r="F2260" s="1" t="s">
        <v>124</v>
      </c>
      <c r="G2260" s="1" t="s">
        <v>125</v>
      </c>
      <c r="H2260" s="1" t="s">
        <v>22</v>
      </c>
      <c r="I2260" s="1" t="s">
        <v>65</v>
      </c>
      <c r="L2260" s="1">
        <v>35.314666699999997</v>
      </c>
    </row>
    <row r="2261" spans="4:13">
      <c r="D2261" s="1" t="s">
        <v>1014</v>
      </c>
      <c r="E2261" s="1" t="s">
        <v>1348</v>
      </c>
      <c r="F2261" s="1" t="s">
        <v>176</v>
      </c>
      <c r="G2261" s="1" t="s">
        <v>177</v>
      </c>
      <c r="H2261" s="1" t="s">
        <v>22</v>
      </c>
      <c r="I2261" s="1" t="s">
        <v>23</v>
      </c>
      <c r="J2261" s="1">
        <v>3.9370078740157466E-2</v>
      </c>
      <c r="K2261" s="1">
        <v>3.9370078740157468</v>
      </c>
      <c r="L2261" s="1">
        <v>39.370078740157467</v>
      </c>
      <c r="M2261" s="1">
        <v>0.49999999999999983</v>
      </c>
    </row>
    <row r="2262" spans="4:13">
      <c r="D2262" s="1" t="s">
        <v>1014</v>
      </c>
      <c r="E2262" s="1" t="s">
        <v>1349</v>
      </c>
      <c r="H2262" s="1" t="s">
        <v>25</v>
      </c>
      <c r="I2262" s="1" t="s">
        <v>23</v>
      </c>
      <c r="M2262" s="1" t="b">
        <v>1</v>
      </c>
    </row>
    <row r="2263" spans="4:13">
      <c r="D2263" s="1" t="s">
        <v>1014</v>
      </c>
      <c r="E2263" s="1" t="s">
        <v>1350</v>
      </c>
      <c r="H2263" s="1" t="s">
        <v>25</v>
      </c>
      <c r="I2263" s="1" t="s">
        <v>23</v>
      </c>
      <c r="M2263" s="1" t="b">
        <v>0</v>
      </c>
    </row>
    <row r="2264" spans="4:13">
      <c r="D2264" s="1" t="s">
        <v>1014</v>
      </c>
      <c r="E2264" s="1" t="s">
        <v>1351</v>
      </c>
      <c r="H2264" s="1" t="s">
        <v>25</v>
      </c>
      <c r="I2264" s="1" t="s">
        <v>23</v>
      </c>
      <c r="M2264" s="1" t="b">
        <v>0</v>
      </c>
    </row>
    <row r="2265" spans="4:13">
      <c r="D2265" s="1" t="s">
        <v>1014</v>
      </c>
      <c r="E2265" s="1" t="s">
        <v>1352</v>
      </c>
      <c r="H2265" s="1" t="s">
        <v>25</v>
      </c>
      <c r="I2265" s="1" t="s">
        <v>23</v>
      </c>
      <c r="M2265" s="1" t="b">
        <v>0</v>
      </c>
    </row>
    <row r="2266" spans="4:13">
      <c r="D2266" s="1" t="s">
        <v>1014</v>
      </c>
      <c r="E2266" s="1" t="s">
        <v>1353</v>
      </c>
      <c r="H2266" s="1" t="s">
        <v>25</v>
      </c>
      <c r="I2266" s="1" t="s">
        <v>23</v>
      </c>
      <c r="M2266" s="1" t="b">
        <v>0</v>
      </c>
    </row>
    <row r="2267" spans="4:13">
      <c r="D2267" s="1" t="s">
        <v>1014</v>
      </c>
      <c r="E2267" s="1" t="s">
        <v>1354</v>
      </c>
      <c r="H2267" s="1" t="s">
        <v>22</v>
      </c>
      <c r="I2267" s="1" t="s">
        <v>23</v>
      </c>
      <c r="J2267" s="1">
        <v>0.5</v>
      </c>
      <c r="K2267" s="1">
        <v>2</v>
      </c>
      <c r="L2267" s="1">
        <v>1</v>
      </c>
      <c r="M2267" s="1">
        <v>1</v>
      </c>
    </row>
    <row r="2268" spans="4:13">
      <c r="D2268" s="1" t="s">
        <v>1014</v>
      </c>
      <c r="E2268" s="1" t="s">
        <v>1355</v>
      </c>
      <c r="H2268" s="1" t="s">
        <v>22</v>
      </c>
      <c r="I2268" s="1" t="s">
        <v>23</v>
      </c>
      <c r="J2268" s="1">
        <v>0</v>
      </c>
      <c r="K2268" s="1">
        <v>10</v>
      </c>
      <c r="L2268" s="1">
        <v>1</v>
      </c>
      <c r="M2268" s="1">
        <v>1</v>
      </c>
    </row>
    <row r="2269" spans="4:13">
      <c r="D2269" s="1" t="s">
        <v>1014</v>
      </c>
      <c r="E2269" s="1" t="s">
        <v>1356</v>
      </c>
      <c r="H2269" s="1" t="s">
        <v>150</v>
      </c>
      <c r="I2269" s="1" t="s">
        <v>23</v>
      </c>
      <c r="M2269" s="1" t="s">
        <v>1357</v>
      </c>
    </row>
    <row r="2270" spans="4:13">
      <c r="D2270" s="1" t="s">
        <v>1014</v>
      </c>
      <c r="E2270" s="1" t="s">
        <v>1358</v>
      </c>
      <c r="F2270" s="1" t="s">
        <v>176</v>
      </c>
      <c r="G2270" s="1" t="s">
        <v>177</v>
      </c>
      <c r="H2270" s="1" t="s">
        <v>22</v>
      </c>
      <c r="I2270" s="1" t="s">
        <v>23</v>
      </c>
      <c r="J2270" s="1">
        <v>0.39370078740157466</v>
      </c>
      <c r="K2270" s="1">
        <v>393.70078740157464</v>
      </c>
      <c r="L2270" s="1">
        <v>39.370078740157467</v>
      </c>
      <c r="M2270" s="1">
        <v>42.000000000000284</v>
      </c>
    </row>
    <row r="2271" spans="4:13">
      <c r="D2271" s="1" t="s">
        <v>1014</v>
      </c>
      <c r="E2271" s="1" t="s">
        <v>1359</v>
      </c>
      <c r="F2271" s="1" t="s">
        <v>176</v>
      </c>
      <c r="G2271" s="1" t="s">
        <v>177</v>
      </c>
      <c r="H2271" s="1" t="s">
        <v>22</v>
      </c>
      <c r="I2271" s="1" t="s">
        <v>23</v>
      </c>
      <c r="J2271" s="1">
        <v>0</v>
      </c>
      <c r="L2271" s="1">
        <v>39.370078740157467</v>
      </c>
      <c r="M2271" s="1">
        <v>10.119999999999994</v>
      </c>
    </row>
    <row r="2272" spans="4:13">
      <c r="D2272" s="1" t="s">
        <v>1014</v>
      </c>
      <c r="E2272" s="1" t="s">
        <v>1360</v>
      </c>
      <c r="H2272" s="1" t="s">
        <v>150</v>
      </c>
      <c r="I2272" s="1" t="s">
        <v>23</v>
      </c>
      <c r="M2272" s="1" t="s">
        <v>1357</v>
      </c>
    </row>
    <row r="2273" spans="4:13">
      <c r="D2273" s="1" t="s">
        <v>1014</v>
      </c>
      <c r="E2273" s="1" t="s">
        <v>1361</v>
      </c>
      <c r="F2273" s="1" t="s">
        <v>176</v>
      </c>
      <c r="G2273" s="1" t="s">
        <v>177</v>
      </c>
      <c r="H2273" s="1" t="s">
        <v>22</v>
      </c>
      <c r="I2273" s="1" t="s">
        <v>23</v>
      </c>
      <c r="J2273" s="1">
        <v>0</v>
      </c>
      <c r="L2273" s="1">
        <v>39.370078740157467</v>
      </c>
      <c r="M2273" s="1">
        <v>0</v>
      </c>
    </row>
    <row r="2274" spans="4:13">
      <c r="D2274" s="1" t="s">
        <v>1014</v>
      </c>
      <c r="E2274" s="1" t="s">
        <v>1362</v>
      </c>
      <c r="F2274" s="1" t="s">
        <v>176</v>
      </c>
      <c r="G2274" s="1" t="s">
        <v>177</v>
      </c>
      <c r="H2274" s="1" t="s">
        <v>22</v>
      </c>
      <c r="I2274" s="1" t="s">
        <v>23</v>
      </c>
      <c r="J2274" s="1">
        <v>3.9370078740157468</v>
      </c>
      <c r="K2274" s="1">
        <v>393.70078740157464</v>
      </c>
      <c r="L2274" s="1">
        <v>39.370078740157467</v>
      </c>
      <c r="M2274" s="1">
        <v>164.39999999999992</v>
      </c>
    </row>
    <row r="2275" spans="4:13">
      <c r="D2275" s="1" t="s">
        <v>1014</v>
      </c>
      <c r="E2275" s="1" t="s">
        <v>1363</v>
      </c>
      <c r="H2275" s="1" t="s">
        <v>63</v>
      </c>
      <c r="I2275" s="1" t="s">
        <v>23</v>
      </c>
      <c r="M2275" s="1">
        <v>4</v>
      </c>
    </row>
    <row r="2276" spans="4:13">
      <c r="D2276" s="1" t="s">
        <v>1014</v>
      </c>
      <c r="E2276" s="1" t="s">
        <v>1364</v>
      </c>
      <c r="H2276" s="1" t="s">
        <v>63</v>
      </c>
      <c r="I2276" s="1" t="s">
        <v>23</v>
      </c>
      <c r="M2276" s="1">
        <v>1</v>
      </c>
    </row>
    <row r="2277" spans="4:13">
      <c r="D2277" s="1" t="s">
        <v>1014</v>
      </c>
      <c r="E2277" s="1" t="s">
        <v>1365</v>
      </c>
      <c r="H2277" s="1" t="s">
        <v>63</v>
      </c>
      <c r="I2277" s="1" t="s">
        <v>70</v>
      </c>
    </row>
    <row r="2278" spans="4:13">
      <c r="D2278" s="1" t="s">
        <v>1014</v>
      </c>
      <c r="E2278" s="1" t="s">
        <v>1366</v>
      </c>
      <c r="H2278" s="1" t="s">
        <v>63</v>
      </c>
      <c r="I2278" s="1" t="s">
        <v>23</v>
      </c>
      <c r="M2278" s="1">
        <v>400</v>
      </c>
    </row>
    <row r="2279" spans="4:13">
      <c r="D2279" s="1" t="s">
        <v>1014</v>
      </c>
      <c r="E2279" s="1" t="s">
        <v>1367</v>
      </c>
      <c r="H2279" s="1" t="s">
        <v>63</v>
      </c>
      <c r="I2279" s="1" t="s">
        <v>23</v>
      </c>
      <c r="M2279" s="1">
        <v>400</v>
      </c>
    </row>
    <row r="2280" spans="4:13">
      <c r="D2280" s="1" t="s">
        <v>1014</v>
      </c>
      <c r="E2280" s="1" t="s">
        <v>1368</v>
      </c>
      <c r="H2280" s="1" t="s">
        <v>63</v>
      </c>
      <c r="I2280" s="1" t="s">
        <v>23</v>
      </c>
      <c r="M2280" s="1">
        <v>0</v>
      </c>
    </row>
    <row r="2281" spans="4:13">
      <c r="D2281" s="1" t="s">
        <v>1014</v>
      </c>
      <c r="E2281" s="1" t="s">
        <v>1369</v>
      </c>
      <c r="H2281" s="1" t="s">
        <v>63</v>
      </c>
      <c r="I2281" s="1" t="s">
        <v>23</v>
      </c>
      <c r="M2281" s="1">
        <v>0</v>
      </c>
    </row>
    <row r="2282" spans="4:13">
      <c r="D2282" s="1" t="s">
        <v>1014</v>
      </c>
      <c r="E2282" s="1" t="s">
        <v>1370</v>
      </c>
      <c r="H2282" s="1" t="s">
        <v>63</v>
      </c>
      <c r="I2282" s="1" t="s">
        <v>23</v>
      </c>
      <c r="J2282" s="1">
        <v>0</v>
      </c>
      <c r="K2282" s="1">
        <v>1000</v>
      </c>
      <c r="M2282" s="1">
        <v>0</v>
      </c>
    </row>
    <row r="2283" spans="4:13">
      <c r="D2283" s="1" t="s">
        <v>1014</v>
      </c>
      <c r="E2283" s="1" t="s">
        <v>1371</v>
      </c>
      <c r="H2283" s="1" t="s">
        <v>25</v>
      </c>
      <c r="I2283" s="1" t="s">
        <v>23</v>
      </c>
      <c r="M2283" s="1" t="b">
        <v>0</v>
      </c>
    </row>
    <row r="2284" spans="4:13">
      <c r="D2284" s="1" t="s">
        <v>1014</v>
      </c>
      <c r="E2284" s="1" t="s">
        <v>1372</v>
      </c>
      <c r="F2284" s="1" t="s">
        <v>176</v>
      </c>
      <c r="G2284" s="1" t="s">
        <v>177</v>
      </c>
      <c r="H2284" s="1" t="s">
        <v>22</v>
      </c>
      <c r="I2284" s="1" t="s">
        <v>23</v>
      </c>
      <c r="J2284" s="1">
        <v>3.9370078740157471E-3</v>
      </c>
      <c r="K2284" s="1">
        <v>3.1496062992125973</v>
      </c>
      <c r="L2284" s="1">
        <v>39.370078740157467</v>
      </c>
      <c r="M2284" s="1">
        <v>0.31496062992125973</v>
      </c>
    </row>
    <row r="2285" spans="4:13">
      <c r="D2285" s="1" t="s">
        <v>1014</v>
      </c>
      <c r="E2285" s="1" t="s">
        <v>1373</v>
      </c>
      <c r="F2285" s="1" t="s">
        <v>879</v>
      </c>
      <c r="G2285" s="1" t="s">
        <v>880</v>
      </c>
      <c r="H2285" s="1" t="s">
        <v>22</v>
      </c>
      <c r="I2285" s="1" t="s">
        <v>23</v>
      </c>
      <c r="L2285" s="1">
        <v>10.76391041670972</v>
      </c>
      <c r="M2285" s="1">
        <v>7.7823072312811284E-2</v>
      </c>
    </row>
    <row r="2286" spans="4:13">
      <c r="D2286" s="1" t="s">
        <v>1014</v>
      </c>
      <c r="E2286" s="1" t="s">
        <v>1374</v>
      </c>
      <c r="F2286" s="1" t="s">
        <v>879</v>
      </c>
      <c r="G2286" s="1" t="s">
        <v>880</v>
      </c>
      <c r="H2286" s="1" t="s">
        <v>22</v>
      </c>
      <c r="I2286" s="1" t="s">
        <v>23</v>
      </c>
      <c r="L2286" s="1">
        <v>10.76391041670972</v>
      </c>
      <c r="M2286" s="1">
        <v>1.4208361750056831E-3</v>
      </c>
    </row>
    <row r="2287" spans="4:13">
      <c r="D2287" s="1" t="s">
        <v>1014</v>
      </c>
      <c r="E2287" s="1" t="s">
        <v>1375</v>
      </c>
      <c r="H2287" s="1" t="s">
        <v>22</v>
      </c>
      <c r="I2287" s="1" t="s">
        <v>23</v>
      </c>
      <c r="J2287" s="1">
        <v>0</v>
      </c>
      <c r="L2287" s="1">
        <v>1</v>
      </c>
      <c r="M2287" s="1">
        <v>0.45</v>
      </c>
    </row>
    <row r="2288" spans="4:13">
      <c r="D2288" s="1" t="s">
        <v>1014</v>
      </c>
      <c r="E2288" s="1" t="s">
        <v>1376</v>
      </c>
      <c r="F2288" s="1" t="s">
        <v>176</v>
      </c>
      <c r="G2288" s="1" t="s">
        <v>177</v>
      </c>
      <c r="H2288" s="1" t="s">
        <v>22</v>
      </c>
      <c r="I2288" s="1" t="s">
        <v>23</v>
      </c>
      <c r="L2288" s="1">
        <v>39.370078740157467</v>
      </c>
      <c r="M2288" s="1">
        <v>3.251968503937007</v>
      </c>
    </row>
    <row r="2289" spans="4:13">
      <c r="D2289" s="1" t="s">
        <v>1014</v>
      </c>
      <c r="E2289" s="1" t="s">
        <v>1377</v>
      </c>
      <c r="F2289" s="1" t="s">
        <v>176</v>
      </c>
      <c r="G2289" s="1" t="s">
        <v>177</v>
      </c>
      <c r="H2289" s="1" t="s">
        <v>22</v>
      </c>
      <c r="I2289" s="1" t="s">
        <v>23</v>
      </c>
      <c r="L2289" s="1">
        <v>39.370078740157467</v>
      </c>
      <c r="M2289" s="1">
        <v>0.48425196850393687</v>
      </c>
    </row>
    <row r="2290" spans="4:13">
      <c r="D2290" s="1" t="s">
        <v>1014</v>
      </c>
      <c r="E2290" s="1" t="s">
        <v>1378</v>
      </c>
      <c r="F2290" s="1" t="s">
        <v>176</v>
      </c>
      <c r="G2290" s="1" t="s">
        <v>177</v>
      </c>
      <c r="H2290" s="1" t="s">
        <v>22</v>
      </c>
      <c r="I2290" s="1" t="s">
        <v>23</v>
      </c>
      <c r="L2290" s="1">
        <v>39.370078740157467</v>
      </c>
      <c r="M2290" s="1">
        <v>6.2519685039370057</v>
      </c>
    </row>
    <row r="2291" spans="4:13">
      <c r="D2291" s="1" t="s">
        <v>1014</v>
      </c>
      <c r="E2291" s="1" t="s">
        <v>1379</v>
      </c>
      <c r="F2291" s="1" t="s">
        <v>176</v>
      </c>
      <c r="G2291" s="1" t="s">
        <v>177</v>
      </c>
      <c r="H2291" s="1" t="s">
        <v>22</v>
      </c>
      <c r="I2291" s="1" t="s">
        <v>23</v>
      </c>
      <c r="L2291" s="1">
        <v>39.370078740157467</v>
      </c>
      <c r="M2291" s="1">
        <v>4.9999999999999982</v>
      </c>
    </row>
    <row r="2292" spans="4:13">
      <c r="D2292" s="1" t="s">
        <v>1014</v>
      </c>
      <c r="E2292" s="1" t="s">
        <v>1380</v>
      </c>
      <c r="F2292" s="1" t="s">
        <v>1044</v>
      </c>
      <c r="G2292" s="1" t="s">
        <v>1045</v>
      </c>
      <c r="H2292" s="1" t="s">
        <v>22</v>
      </c>
      <c r="I2292" s="1" t="s">
        <v>23</v>
      </c>
      <c r="L2292" s="1">
        <v>57.29577951308238</v>
      </c>
      <c r="M2292" s="1">
        <v>30.000070153049933</v>
      </c>
    </row>
    <row r="2293" spans="4:13">
      <c r="D2293" s="1" t="s">
        <v>1014</v>
      </c>
      <c r="E2293" s="1" t="s">
        <v>1381</v>
      </c>
      <c r="F2293" s="1" t="s">
        <v>176</v>
      </c>
      <c r="G2293" s="1" t="s">
        <v>177</v>
      </c>
      <c r="H2293" s="1" t="s">
        <v>22</v>
      </c>
      <c r="I2293" s="1" t="s">
        <v>23</v>
      </c>
      <c r="L2293" s="1">
        <v>39.370078740157467</v>
      </c>
      <c r="M2293" s="1">
        <v>2.8110236220472435</v>
      </c>
    </row>
    <row r="2294" spans="4:13">
      <c r="D2294" s="1" t="s">
        <v>1014</v>
      </c>
      <c r="E2294" s="1" t="s">
        <v>1382</v>
      </c>
      <c r="H2294" s="1" t="s">
        <v>22</v>
      </c>
      <c r="I2294" s="1" t="s">
        <v>23</v>
      </c>
      <c r="L2294" s="1">
        <v>1</v>
      </c>
      <c r="M2294" s="1">
        <v>16.425000000000001</v>
      </c>
    </row>
    <row r="2295" spans="4:13">
      <c r="D2295" s="1" t="s">
        <v>1014</v>
      </c>
      <c r="E2295" s="1" t="s">
        <v>1383</v>
      </c>
      <c r="H2295" s="1" t="s">
        <v>22</v>
      </c>
      <c r="I2295" s="1" t="s">
        <v>23</v>
      </c>
      <c r="L2295" s="1">
        <v>1</v>
      </c>
      <c r="M2295" s="1">
        <v>-0.51</v>
      </c>
    </row>
    <row r="2296" spans="4:13">
      <c r="D2296" s="1" t="s">
        <v>1014</v>
      </c>
      <c r="E2296" s="1" t="s">
        <v>1384</v>
      </c>
      <c r="F2296" s="1" t="s">
        <v>176</v>
      </c>
      <c r="G2296" s="1" t="s">
        <v>177</v>
      </c>
      <c r="H2296" s="1" t="s">
        <v>22</v>
      </c>
      <c r="I2296" s="1" t="s">
        <v>23</v>
      </c>
      <c r="L2296" s="1">
        <v>39.370078740157467</v>
      </c>
      <c r="M2296" s="1">
        <v>17.204724409448811</v>
      </c>
    </row>
    <row r="2297" spans="4:13">
      <c r="D2297" s="1" t="s">
        <v>1014</v>
      </c>
      <c r="E2297" s="1" t="s">
        <v>1385</v>
      </c>
      <c r="F2297" s="1" t="s">
        <v>176</v>
      </c>
      <c r="G2297" s="1" t="s">
        <v>177</v>
      </c>
      <c r="H2297" s="1" t="s">
        <v>22</v>
      </c>
      <c r="I2297" s="1" t="s">
        <v>23</v>
      </c>
      <c r="L2297" s="1">
        <v>39.370078740157467</v>
      </c>
      <c r="M2297" s="1">
        <v>13.228346456692909</v>
      </c>
    </row>
    <row r="2298" spans="4:13">
      <c r="D2298" s="1" t="s">
        <v>1014</v>
      </c>
      <c r="E2298" s="1" t="s">
        <v>1386</v>
      </c>
      <c r="F2298" s="1" t="s">
        <v>176</v>
      </c>
      <c r="G2298" s="1" t="s">
        <v>177</v>
      </c>
      <c r="H2298" s="1" t="s">
        <v>22</v>
      </c>
      <c r="I2298" s="1" t="s">
        <v>23</v>
      </c>
      <c r="J2298" s="1">
        <v>3.9370078740157466E-2</v>
      </c>
      <c r="L2298" s="1">
        <v>39.370078740157467</v>
      </c>
      <c r="M2298" s="1">
        <v>25.078740157480308</v>
      </c>
    </row>
    <row r="2299" spans="4:13">
      <c r="D2299" s="1" t="s">
        <v>1014</v>
      </c>
      <c r="E2299" s="1" t="s">
        <v>1387</v>
      </c>
      <c r="F2299" s="1" t="s">
        <v>176</v>
      </c>
      <c r="G2299" s="1" t="s">
        <v>177</v>
      </c>
      <c r="H2299" s="1" t="s">
        <v>22</v>
      </c>
      <c r="I2299" s="1" t="s">
        <v>23</v>
      </c>
      <c r="J2299" s="1">
        <v>0</v>
      </c>
      <c r="L2299" s="1">
        <v>39.370078740157467</v>
      </c>
      <c r="M2299" s="1">
        <v>5.3937007874015732</v>
      </c>
    </row>
    <row r="2300" spans="4:13">
      <c r="D2300" s="1" t="s">
        <v>1014</v>
      </c>
      <c r="E2300" s="1" t="s">
        <v>1388</v>
      </c>
      <c r="H2300" s="1" t="s">
        <v>25</v>
      </c>
      <c r="I2300" s="1" t="s">
        <v>23</v>
      </c>
      <c r="M2300" s="1" t="b">
        <v>1</v>
      </c>
    </row>
    <row r="2301" spans="4:13">
      <c r="D2301" s="1" t="s">
        <v>1014</v>
      </c>
      <c r="E2301" s="1" t="s">
        <v>1389</v>
      </c>
      <c r="H2301" s="1" t="s">
        <v>25</v>
      </c>
      <c r="I2301" s="1" t="s">
        <v>23</v>
      </c>
      <c r="M2301" s="1" t="b">
        <v>1</v>
      </c>
    </row>
    <row r="2302" spans="4:13">
      <c r="D2302" s="1" t="s">
        <v>1014</v>
      </c>
      <c r="E2302" s="1" t="s">
        <v>1390</v>
      </c>
      <c r="F2302" s="1" t="s">
        <v>176</v>
      </c>
      <c r="G2302" s="1" t="s">
        <v>177</v>
      </c>
      <c r="H2302" s="1" t="s">
        <v>22</v>
      </c>
      <c r="I2302" s="1" t="s">
        <v>23</v>
      </c>
      <c r="L2302" s="1">
        <v>39.370078740157467</v>
      </c>
      <c r="M2302" s="1">
        <v>8.4645669291338557</v>
      </c>
    </row>
    <row r="2303" spans="4:13">
      <c r="D2303" s="1" t="s">
        <v>1014</v>
      </c>
      <c r="E2303" s="1" t="s">
        <v>1391</v>
      </c>
      <c r="F2303" s="1" t="s">
        <v>176</v>
      </c>
      <c r="G2303" s="1" t="s">
        <v>177</v>
      </c>
      <c r="H2303" s="1" t="s">
        <v>22</v>
      </c>
      <c r="I2303" s="1" t="s">
        <v>23</v>
      </c>
      <c r="L2303" s="1">
        <v>39.370078740157467</v>
      </c>
      <c r="M2303" s="1">
        <v>4.094488188976376</v>
      </c>
    </row>
    <row r="2304" spans="4:13">
      <c r="D2304" s="1" t="s">
        <v>1014</v>
      </c>
      <c r="E2304" s="1" t="s">
        <v>1392</v>
      </c>
      <c r="F2304" s="1" t="s">
        <v>176</v>
      </c>
      <c r="G2304" s="1" t="s">
        <v>177</v>
      </c>
      <c r="H2304" s="1" t="s">
        <v>22</v>
      </c>
      <c r="I2304" s="1" t="s">
        <v>23</v>
      </c>
      <c r="L2304" s="1">
        <v>39.370078740157467</v>
      </c>
      <c r="M2304" s="1">
        <v>2.2499999999999991</v>
      </c>
    </row>
    <row r="2305" spans="4:13">
      <c r="D2305" s="1" t="s">
        <v>1014</v>
      </c>
      <c r="E2305" s="1" t="s">
        <v>1393</v>
      </c>
      <c r="H2305" s="1" t="s">
        <v>63</v>
      </c>
      <c r="I2305" s="1" t="s">
        <v>23</v>
      </c>
      <c r="M2305" s="1">
        <v>1000</v>
      </c>
    </row>
    <row r="2306" spans="4:13">
      <c r="D2306" s="1" t="s">
        <v>1014</v>
      </c>
      <c r="E2306" s="1" t="s">
        <v>1394</v>
      </c>
      <c r="H2306" s="1" t="s">
        <v>181</v>
      </c>
      <c r="I2306" s="1" t="s">
        <v>23</v>
      </c>
      <c r="J2306" s="1">
        <v>1</v>
      </c>
      <c r="K2306" s="1">
        <v>2</v>
      </c>
      <c r="M2306" s="1" t="s">
        <v>1395</v>
      </c>
    </row>
    <row r="2307" spans="4:13">
      <c r="D2307" s="1" t="s">
        <v>1014</v>
      </c>
      <c r="E2307" s="1" t="s">
        <v>1396</v>
      </c>
      <c r="H2307" s="1" t="s">
        <v>22</v>
      </c>
      <c r="I2307" s="1" t="s">
        <v>23</v>
      </c>
      <c r="J2307" s="1">
        <v>0</v>
      </c>
      <c r="K2307" s="1">
        <v>2</v>
      </c>
      <c r="L2307" s="1">
        <v>1</v>
      </c>
      <c r="M2307" s="1">
        <v>0.7</v>
      </c>
    </row>
    <row r="2308" spans="4:13">
      <c r="D2308" s="1" t="s">
        <v>1014</v>
      </c>
      <c r="E2308" s="1" t="s">
        <v>1397</v>
      </c>
      <c r="H2308" s="1" t="s">
        <v>22</v>
      </c>
      <c r="I2308" s="1" t="s">
        <v>23</v>
      </c>
      <c r="J2308" s="1">
        <v>0.5</v>
      </c>
      <c r="K2308" s="1">
        <v>2</v>
      </c>
      <c r="L2308" s="1">
        <v>1</v>
      </c>
      <c r="M2308" s="1">
        <v>1</v>
      </c>
    </row>
    <row r="2309" spans="4:13">
      <c r="D2309" s="1" t="s">
        <v>1398</v>
      </c>
      <c r="H2309" s="1" t="s">
        <v>25</v>
      </c>
      <c r="I2309" s="1" t="s">
        <v>23</v>
      </c>
      <c r="M2309" s="1" t="b">
        <v>0</v>
      </c>
    </row>
    <row r="2310" spans="4:13">
      <c r="D2310" s="1" t="s">
        <v>1399</v>
      </c>
      <c r="H2310" s="1" t="s">
        <v>22</v>
      </c>
      <c r="I2310" s="1" t="s">
        <v>23</v>
      </c>
      <c r="L2310" s="1">
        <v>1</v>
      </c>
      <c r="M2310" s="1">
        <v>1</v>
      </c>
    </row>
    <row r="2311" spans="4:13">
      <c r="D2311" s="1" t="s">
        <v>1400</v>
      </c>
      <c r="E2311" s="1" t="s">
        <v>1401</v>
      </c>
      <c r="H2311" s="1" t="s">
        <v>181</v>
      </c>
      <c r="I2311" s="1" t="s">
        <v>23</v>
      </c>
      <c r="J2311" s="1">
        <v>1</v>
      </c>
      <c r="K2311" s="1">
        <v>2</v>
      </c>
      <c r="M2311" s="1" t="s">
        <v>1402</v>
      </c>
    </row>
    <row r="2312" spans="4:13">
      <c r="D2312" s="1" t="s">
        <v>1400</v>
      </c>
      <c r="E2312" s="1" t="s">
        <v>1017</v>
      </c>
      <c r="F2312" s="1" t="s">
        <v>41</v>
      </c>
      <c r="G2312" s="1" t="s">
        <v>42</v>
      </c>
      <c r="H2312" s="1" t="s">
        <v>22</v>
      </c>
      <c r="I2312" s="1" t="s">
        <v>23</v>
      </c>
      <c r="J2312" s="1">
        <v>1.8000000000000002E-2</v>
      </c>
      <c r="K2312" s="1">
        <v>27</v>
      </c>
      <c r="L2312" s="1">
        <v>1.8</v>
      </c>
      <c r="M2312" s="1">
        <v>0.9</v>
      </c>
    </row>
    <row r="2313" spans="4:13">
      <c r="D2313" s="1" t="s">
        <v>1400</v>
      </c>
      <c r="E2313" s="1" t="s">
        <v>1018</v>
      </c>
      <c r="H2313" s="1" t="s">
        <v>25</v>
      </c>
      <c r="I2313" s="1" t="s">
        <v>23</v>
      </c>
      <c r="M2313" s="1" t="b">
        <v>0</v>
      </c>
    </row>
    <row r="2314" spans="4:13">
      <c r="D2314" s="1" t="s">
        <v>1400</v>
      </c>
      <c r="E2314" s="1" t="s">
        <v>1019</v>
      </c>
      <c r="F2314" s="1" t="s">
        <v>41</v>
      </c>
      <c r="G2314" s="1" t="s">
        <v>42</v>
      </c>
      <c r="H2314" s="1" t="s">
        <v>22</v>
      </c>
      <c r="I2314" s="1" t="s">
        <v>23</v>
      </c>
      <c r="L2314" s="1">
        <v>1.8</v>
      </c>
      <c r="M2314" s="1">
        <v>0.9</v>
      </c>
    </row>
    <row r="2315" spans="4:13">
      <c r="D2315" s="1" t="s">
        <v>1400</v>
      </c>
      <c r="E2315" s="1" t="s">
        <v>1022</v>
      </c>
      <c r="F2315" s="1" t="s">
        <v>143</v>
      </c>
      <c r="G2315" s="1" t="s">
        <v>144</v>
      </c>
      <c r="H2315" s="1" t="s">
        <v>22</v>
      </c>
      <c r="I2315" s="1" t="s">
        <v>23</v>
      </c>
      <c r="J2315" s="1">
        <v>0</v>
      </c>
      <c r="K2315" s="1">
        <v>9.9937434836636016E-3</v>
      </c>
      <c r="L2315" s="1">
        <v>5.6782633429906824</v>
      </c>
      <c r="M2315" s="1">
        <v>9.993743483663602E-5</v>
      </c>
    </row>
    <row r="2316" spans="4:13">
      <c r="D2316" s="1" t="s">
        <v>1400</v>
      </c>
      <c r="E2316" s="1" t="s">
        <v>163</v>
      </c>
      <c r="H2316" s="1" t="s">
        <v>22</v>
      </c>
      <c r="I2316" s="1" t="s">
        <v>23</v>
      </c>
      <c r="J2316" s="1">
        <v>0</v>
      </c>
      <c r="K2316" s="1">
        <v>1</v>
      </c>
      <c r="L2316" s="1">
        <v>0.1</v>
      </c>
      <c r="M2316" s="1">
        <v>0.2</v>
      </c>
    </row>
    <row r="2317" spans="4:13">
      <c r="D2317" s="1" t="s">
        <v>1400</v>
      </c>
      <c r="E2317" s="1" t="s">
        <v>1403</v>
      </c>
      <c r="H2317" s="1" t="s">
        <v>22</v>
      </c>
      <c r="I2317" s="1" t="s">
        <v>23</v>
      </c>
      <c r="J2317" s="1">
        <v>0.5</v>
      </c>
      <c r="K2317" s="1">
        <v>2</v>
      </c>
      <c r="L2317" s="1">
        <v>1</v>
      </c>
      <c r="M2317" s="1">
        <v>1</v>
      </c>
    </row>
    <row r="2318" spans="4:13">
      <c r="D2318" s="1" t="s">
        <v>1400</v>
      </c>
      <c r="E2318" s="1" t="s">
        <v>1404</v>
      </c>
      <c r="H2318" s="1" t="s">
        <v>25</v>
      </c>
      <c r="I2318" s="1" t="s">
        <v>23</v>
      </c>
      <c r="M2318" s="1" t="b">
        <v>1</v>
      </c>
    </row>
    <row r="2319" spans="4:13">
      <c r="D2319" s="1" t="s">
        <v>1400</v>
      </c>
      <c r="E2319" s="1" t="s">
        <v>1405</v>
      </c>
      <c r="H2319" s="1" t="s">
        <v>22</v>
      </c>
      <c r="I2319" s="1" t="s">
        <v>23</v>
      </c>
      <c r="J2319" s="1">
        <v>0.5</v>
      </c>
      <c r="K2319" s="1">
        <v>2</v>
      </c>
      <c r="L2319" s="1">
        <v>1</v>
      </c>
      <c r="M2319" s="1">
        <v>1</v>
      </c>
    </row>
    <row r="2320" spans="4:13">
      <c r="D2320" s="1" t="s">
        <v>1400</v>
      </c>
      <c r="E2320" s="1" t="s">
        <v>1406</v>
      </c>
      <c r="H2320" s="1" t="s">
        <v>25</v>
      </c>
      <c r="I2320" s="1" t="s">
        <v>23</v>
      </c>
      <c r="M2320" s="1" t="b">
        <v>1</v>
      </c>
    </row>
    <row r="2321" spans="4:13">
      <c r="D2321" s="1" t="s">
        <v>1400</v>
      </c>
      <c r="E2321" s="1" t="s">
        <v>1030</v>
      </c>
      <c r="H2321" s="1" t="s">
        <v>22</v>
      </c>
      <c r="I2321" s="1" t="s">
        <v>23</v>
      </c>
      <c r="J2321" s="1">
        <v>0.5</v>
      </c>
      <c r="K2321" s="1">
        <v>2</v>
      </c>
      <c r="L2321" s="1">
        <v>1</v>
      </c>
      <c r="M2321" s="1">
        <v>1</v>
      </c>
    </row>
    <row r="2322" spans="4:13">
      <c r="D2322" s="1" t="s">
        <v>1400</v>
      </c>
      <c r="E2322" s="1" t="s">
        <v>1031</v>
      </c>
      <c r="H2322" s="1" t="s">
        <v>25</v>
      </c>
      <c r="I2322" s="1" t="s">
        <v>23</v>
      </c>
      <c r="M2322" s="1" t="b">
        <v>1</v>
      </c>
    </row>
    <row r="2323" spans="4:13">
      <c r="D2323" s="1" t="s">
        <v>1400</v>
      </c>
      <c r="E2323" s="1" t="s">
        <v>1407</v>
      </c>
      <c r="H2323" s="1" t="s">
        <v>22</v>
      </c>
      <c r="I2323" s="1" t="s">
        <v>23</v>
      </c>
      <c r="J2323" s="1">
        <v>0.5</v>
      </c>
      <c r="K2323" s="1">
        <v>2</v>
      </c>
      <c r="L2323" s="1">
        <v>1</v>
      </c>
      <c r="M2323" s="1">
        <v>1</v>
      </c>
    </row>
    <row r="2324" spans="4:13">
      <c r="D2324" s="1" t="s">
        <v>1400</v>
      </c>
      <c r="E2324" s="1" t="s">
        <v>1408</v>
      </c>
      <c r="H2324" s="1" t="s">
        <v>25</v>
      </c>
      <c r="I2324" s="1" t="s">
        <v>23</v>
      </c>
      <c r="M2324" s="1" t="b">
        <v>1</v>
      </c>
    </row>
    <row r="2325" spans="4:13">
      <c r="D2325" s="1" t="s">
        <v>1400</v>
      </c>
      <c r="E2325" s="1" t="s">
        <v>1036</v>
      </c>
      <c r="H2325" s="1" t="s">
        <v>22</v>
      </c>
      <c r="I2325" s="1" t="s">
        <v>23</v>
      </c>
      <c r="J2325" s="1">
        <v>0.5</v>
      </c>
      <c r="K2325" s="1">
        <v>2</v>
      </c>
      <c r="L2325" s="1">
        <v>1</v>
      </c>
      <c r="M2325" s="1">
        <v>1</v>
      </c>
    </row>
    <row r="2326" spans="4:13">
      <c r="D2326" s="1" t="s">
        <v>1400</v>
      </c>
      <c r="E2326" s="1" t="s">
        <v>1037</v>
      </c>
      <c r="H2326" s="1" t="s">
        <v>25</v>
      </c>
      <c r="I2326" s="1" t="s">
        <v>23</v>
      </c>
      <c r="M2326" s="1" t="b">
        <v>1</v>
      </c>
    </row>
    <row r="2327" spans="4:13">
      <c r="D2327" s="1" t="s">
        <v>1400</v>
      </c>
      <c r="E2327" s="1" t="s">
        <v>1409</v>
      </c>
      <c r="H2327" s="1" t="s">
        <v>22</v>
      </c>
      <c r="I2327" s="1" t="s">
        <v>23</v>
      </c>
      <c r="J2327" s="1">
        <v>0.5</v>
      </c>
      <c r="K2327" s="1">
        <v>2</v>
      </c>
      <c r="L2327" s="1">
        <v>1</v>
      </c>
      <c r="M2327" s="1">
        <v>1</v>
      </c>
    </row>
    <row r="2328" spans="4:13">
      <c r="D2328" s="1" t="s">
        <v>1400</v>
      </c>
      <c r="E2328" s="1" t="s">
        <v>1410</v>
      </c>
      <c r="H2328" s="1" t="s">
        <v>25</v>
      </c>
      <c r="I2328" s="1" t="s">
        <v>23</v>
      </c>
      <c r="M2328" s="1" t="b">
        <v>1</v>
      </c>
    </row>
    <row r="2329" spans="4:13">
      <c r="D2329" s="1" t="s">
        <v>1400</v>
      </c>
      <c r="E2329" s="1" t="s">
        <v>1038</v>
      </c>
      <c r="H2329" s="1" t="s">
        <v>22</v>
      </c>
      <c r="I2329" s="1" t="s">
        <v>23</v>
      </c>
      <c r="J2329" s="1">
        <v>0.5</v>
      </c>
      <c r="K2329" s="1">
        <v>2</v>
      </c>
      <c r="L2329" s="1">
        <v>1</v>
      </c>
      <c r="M2329" s="1">
        <v>1</v>
      </c>
    </row>
    <row r="2330" spans="4:13">
      <c r="D2330" s="1" t="s">
        <v>1400</v>
      </c>
      <c r="E2330" s="1" t="s">
        <v>1411</v>
      </c>
      <c r="H2330" s="1" t="s">
        <v>22</v>
      </c>
      <c r="I2330" s="1" t="s">
        <v>23</v>
      </c>
      <c r="J2330" s="1">
        <v>0.5</v>
      </c>
      <c r="K2330" s="1">
        <v>2</v>
      </c>
      <c r="L2330" s="1">
        <v>1</v>
      </c>
      <c r="M2330" s="1">
        <v>1</v>
      </c>
    </row>
    <row r="2331" spans="4:13">
      <c r="D2331" s="1" t="s">
        <v>1400</v>
      </c>
      <c r="E2331" s="1" t="s">
        <v>1412</v>
      </c>
      <c r="H2331" s="1" t="s">
        <v>25</v>
      </c>
      <c r="I2331" s="1" t="s">
        <v>23</v>
      </c>
      <c r="M2331" s="1" t="b">
        <v>1</v>
      </c>
    </row>
    <row r="2332" spans="4:13">
      <c r="D2332" s="1" t="s">
        <v>1400</v>
      </c>
      <c r="E2332" s="1" t="s">
        <v>1413</v>
      </c>
      <c r="H2332" s="1" t="s">
        <v>22</v>
      </c>
      <c r="I2332" s="1" t="s">
        <v>29</v>
      </c>
      <c r="J2332" s="1">
        <v>0.1</v>
      </c>
      <c r="K2332" s="1">
        <v>10</v>
      </c>
      <c r="L2332" s="1">
        <v>5.05</v>
      </c>
    </row>
    <row r="2333" spans="4:13">
      <c r="D2333" s="1" t="s">
        <v>1400</v>
      </c>
      <c r="E2333" s="1" t="s">
        <v>1414</v>
      </c>
      <c r="H2333" s="1" t="s">
        <v>22</v>
      </c>
      <c r="I2333" s="1" t="s">
        <v>29</v>
      </c>
      <c r="J2333" s="1">
        <v>0.1</v>
      </c>
      <c r="K2333" s="1">
        <v>10</v>
      </c>
      <c r="L2333" s="1">
        <v>5.05</v>
      </c>
    </row>
    <row r="2334" spans="4:13">
      <c r="D2334" s="1" t="s">
        <v>1400</v>
      </c>
      <c r="E2334" s="1" t="s">
        <v>1049</v>
      </c>
      <c r="H2334" s="1" t="s">
        <v>22</v>
      </c>
      <c r="I2334" s="1" t="s">
        <v>29</v>
      </c>
      <c r="J2334" s="1">
        <v>0.1</v>
      </c>
      <c r="K2334" s="1">
        <v>10</v>
      </c>
      <c r="L2334" s="1">
        <v>5.05</v>
      </c>
    </row>
    <row r="2335" spans="4:13">
      <c r="D2335" s="1" t="s">
        <v>1400</v>
      </c>
      <c r="E2335" s="1" t="s">
        <v>1050</v>
      </c>
      <c r="H2335" s="1" t="s">
        <v>22</v>
      </c>
      <c r="I2335" s="1" t="s">
        <v>29</v>
      </c>
      <c r="J2335" s="1">
        <v>0.1</v>
      </c>
      <c r="K2335" s="1">
        <v>10</v>
      </c>
      <c r="L2335" s="1">
        <v>5.05</v>
      </c>
    </row>
    <row r="2336" spans="4:13">
      <c r="D2336" s="1" t="s">
        <v>1400</v>
      </c>
      <c r="E2336" s="1" t="s">
        <v>1052</v>
      </c>
      <c r="H2336" s="1" t="s">
        <v>22</v>
      </c>
      <c r="I2336" s="1" t="s">
        <v>29</v>
      </c>
      <c r="J2336" s="1">
        <v>0.1</v>
      </c>
      <c r="K2336" s="1">
        <v>10</v>
      </c>
      <c r="L2336" s="1">
        <v>5.05</v>
      </c>
    </row>
    <row r="2337" spans="4:13">
      <c r="D2337" s="1" t="s">
        <v>1400</v>
      </c>
      <c r="E2337" s="1" t="s">
        <v>1415</v>
      </c>
      <c r="H2337" s="1" t="s">
        <v>22</v>
      </c>
      <c r="I2337" s="1" t="s">
        <v>29</v>
      </c>
      <c r="J2337" s="1">
        <v>0.1</v>
      </c>
      <c r="K2337" s="1">
        <v>10</v>
      </c>
      <c r="L2337" s="1">
        <v>5.05</v>
      </c>
    </row>
    <row r="2338" spans="4:13">
      <c r="D2338" s="1" t="s">
        <v>1400</v>
      </c>
      <c r="E2338" s="1" t="s">
        <v>1416</v>
      </c>
      <c r="H2338" s="1" t="s">
        <v>22</v>
      </c>
      <c r="I2338" s="1" t="s">
        <v>29</v>
      </c>
      <c r="J2338" s="1">
        <v>0.1</v>
      </c>
      <c r="K2338" s="1">
        <v>10</v>
      </c>
      <c r="L2338" s="1">
        <v>5.05</v>
      </c>
    </row>
    <row r="2339" spans="4:13">
      <c r="D2339" s="1" t="s">
        <v>1400</v>
      </c>
      <c r="E2339" s="1" t="s">
        <v>1054</v>
      </c>
      <c r="F2339" s="1" t="s">
        <v>147</v>
      </c>
      <c r="G2339" s="1" t="s">
        <v>148</v>
      </c>
      <c r="H2339" s="1" t="s">
        <v>22</v>
      </c>
      <c r="I2339" s="1" t="s">
        <v>23</v>
      </c>
      <c r="J2339" s="1">
        <v>0</v>
      </c>
      <c r="K2339" s="1">
        <v>51182124.526996501</v>
      </c>
      <c r="L2339" s="1">
        <v>3.4121416351331</v>
      </c>
      <c r="M2339" s="1">
        <v>12000000.003700001</v>
      </c>
    </row>
    <row r="2340" spans="4:13">
      <c r="D2340" s="1" t="s">
        <v>1400</v>
      </c>
      <c r="E2340" s="1" t="s">
        <v>1055</v>
      </c>
      <c r="H2340" s="1" t="s">
        <v>25</v>
      </c>
      <c r="I2340" s="1" t="s">
        <v>23</v>
      </c>
      <c r="M2340" s="1" t="b">
        <v>1</v>
      </c>
    </row>
    <row r="2341" spans="4:13">
      <c r="D2341" s="1" t="s">
        <v>1400</v>
      </c>
      <c r="E2341" s="1" t="s">
        <v>1417</v>
      </c>
      <c r="H2341" s="1" t="s">
        <v>22</v>
      </c>
      <c r="I2341" s="1" t="s">
        <v>29</v>
      </c>
      <c r="J2341" s="1">
        <v>0</v>
      </c>
      <c r="K2341" s="1">
        <v>1</v>
      </c>
      <c r="L2341" s="1">
        <v>0.1</v>
      </c>
    </row>
    <row r="2342" spans="4:13">
      <c r="D2342" s="1" t="s">
        <v>1400</v>
      </c>
      <c r="E2342" s="1" t="s">
        <v>1418</v>
      </c>
      <c r="F2342" s="1" t="s">
        <v>41</v>
      </c>
      <c r="G2342" s="1" t="s">
        <v>42</v>
      </c>
      <c r="H2342" s="1" t="s">
        <v>22</v>
      </c>
      <c r="I2342" s="1" t="s">
        <v>29</v>
      </c>
      <c r="J2342" s="1">
        <v>-180</v>
      </c>
      <c r="K2342" s="1">
        <v>180</v>
      </c>
      <c r="L2342" s="1">
        <v>1.8</v>
      </c>
    </row>
    <row r="2343" spans="4:13">
      <c r="D2343" s="1" t="s">
        <v>1400</v>
      </c>
      <c r="E2343" s="1" t="s">
        <v>1419</v>
      </c>
      <c r="F2343" s="1" t="s">
        <v>35</v>
      </c>
      <c r="G2343" s="1" t="s">
        <v>36</v>
      </c>
      <c r="H2343" s="1" t="s">
        <v>22</v>
      </c>
      <c r="I2343" s="1" t="s">
        <v>29</v>
      </c>
      <c r="J2343" s="1">
        <v>-31.018000000000029</v>
      </c>
      <c r="K2343" s="1">
        <v>256.99999999999994</v>
      </c>
      <c r="L2343" s="1">
        <v>80.329999999999984</v>
      </c>
    </row>
    <row r="2344" spans="4:13">
      <c r="D2344" s="1" t="s">
        <v>1400</v>
      </c>
      <c r="E2344" s="1" t="s">
        <v>1420</v>
      </c>
      <c r="F2344" s="1" t="s">
        <v>35</v>
      </c>
      <c r="G2344" s="1" t="s">
        <v>36</v>
      </c>
      <c r="H2344" s="1" t="s">
        <v>22</v>
      </c>
      <c r="I2344" s="1" t="s">
        <v>29</v>
      </c>
      <c r="J2344" s="1">
        <v>-31.018000000000029</v>
      </c>
      <c r="K2344" s="1">
        <v>256.99999999999994</v>
      </c>
      <c r="L2344" s="1">
        <v>80.329999999999984</v>
      </c>
    </row>
    <row r="2345" spans="4:13">
      <c r="D2345" s="1" t="s">
        <v>1400</v>
      </c>
      <c r="E2345" s="1" t="s">
        <v>1421</v>
      </c>
      <c r="H2345" s="1" t="s">
        <v>22</v>
      </c>
      <c r="I2345" s="1" t="s">
        <v>29</v>
      </c>
      <c r="J2345" s="1">
        <v>0</v>
      </c>
      <c r="K2345" s="1">
        <v>3.66</v>
      </c>
      <c r="L2345" s="1">
        <v>0.5</v>
      </c>
    </row>
    <row r="2346" spans="4:13">
      <c r="D2346" s="1" t="s">
        <v>1400</v>
      </c>
      <c r="E2346" s="1" t="s">
        <v>1422</v>
      </c>
      <c r="F2346" s="1" t="s">
        <v>41</v>
      </c>
      <c r="G2346" s="1" t="s">
        <v>42</v>
      </c>
      <c r="H2346" s="1" t="s">
        <v>22</v>
      </c>
      <c r="I2346" s="1" t="s">
        <v>29</v>
      </c>
      <c r="J2346" s="1">
        <v>-180</v>
      </c>
      <c r="K2346" s="1">
        <v>180</v>
      </c>
      <c r="L2346" s="1">
        <v>1.8</v>
      </c>
    </row>
    <row r="2347" spans="4:13">
      <c r="D2347" s="1" t="s">
        <v>1400</v>
      </c>
      <c r="E2347" s="1" t="s">
        <v>1423</v>
      </c>
      <c r="F2347" s="1" t="s">
        <v>35</v>
      </c>
      <c r="G2347" s="1" t="s">
        <v>36</v>
      </c>
      <c r="H2347" s="1" t="s">
        <v>22</v>
      </c>
      <c r="I2347" s="1" t="s">
        <v>29</v>
      </c>
      <c r="J2347" s="1">
        <v>-31.018000000000029</v>
      </c>
      <c r="K2347" s="1">
        <v>256.99999999999994</v>
      </c>
      <c r="L2347" s="1">
        <v>80.329999999999984</v>
      </c>
    </row>
    <row r="2348" spans="4:13">
      <c r="D2348" s="1" t="s">
        <v>1400</v>
      </c>
      <c r="E2348" s="1" t="s">
        <v>1424</v>
      </c>
      <c r="F2348" s="1" t="s">
        <v>35</v>
      </c>
      <c r="G2348" s="1" t="s">
        <v>36</v>
      </c>
      <c r="H2348" s="1" t="s">
        <v>22</v>
      </c>
      <c r="I2348" s="1" t="s">
        <v>29</v>
      </c>
      <c r="J2348" s="1">
        <v>-31.018000000000029</v>
      </c>
      <c r="K2348" s="1">
        <v>256.99999999999994</v>
      </c>
      <c r="L2348" s="1">
        <v>80.329999999999984</v>
      </c>
    </row>
    <row r="2349" spans="4:13">
      <c r="D2349" s="1" t="s">
        <v>1400</v>
      </c>
      <c r="E2349" s="1" t="s">
        <v>1425</v>
      </c>
      <c r="H2349" s="1" t="s">
        <v>22</v>
      </c>
      <c r="I2349" s="1" t="s">
        <v>29</v>
      </c>
      <c r="J2349" s="1">
        <v>0</v>
      </c>
      <c r="K2349" s="1">
        <v>3.66</v>
      </c>
      <c r="L2349" s="1">
        <v>0.5</v>
      </c>
    </row>
    <row r="2350" spans="4:13">
      <c r="D2350" s="1" t="s">
        <v>1400</v>
      </c>
      <c r="E2350" s="1" t="s">
        <v>1426</v>
      </c>
      <c r="F2350" s="1" t="s">
        <v>41</v>
      </c>
      <c r="G2350" s="1" t="s">
        <v>42</v>
      </c>
      <c r="H2350" s="1" t="s">
        <v>22</v>
      </c>
      <c r="I2350" s="1" t="s">
        <v>29</v>
      </c>
      <c r="J2350" s="1">
        <v>-180</v>
      </c>
      <c r="K2350" s="1">
        <v>180</v>
      </c>
      <c r="L2350" s="1">
        <v>1.8</v>
      </c>
    </row>
    <row r="2351" spans="4:13">
      <c r="D2351" s="1" t="s">
        <v>1400</v>
      </c>
      <c r="E2351" s="1" t="s">
        <v>1427</v>
      </c>
      <c r="F2351" s="1" t="s">
        <v>35</v>
      </c>
      <c r="G2351" s="1" t="s">
        <v>36</v>
      </c>
      <c r="H2351" s="1" t="s">
        <v>22</v>
      </c>
      <c r="I2351" s="1" t="s">
        <v>29</v>
      </c>
      <c r="J2351" s="1">
        <v>-31.018000000000029</v>
      </c>
      <c r="K2351" s="1">
        <v>256.99999999999994</v>
      </c>
      <c r="L2351" s="1">
        <v>80.329999999999984</v>
      </c>
    </row>
    <row r="2352" spans="4:13">
      <c r="D2352" s="1" t="s">
        <v>1400</v>
      </c>
      <c r="E2352" s="1" t="s">
        <v>1428</v>
      </c>
      <c r="F2352" s="1" t="s">
        <v>35</v>
      </c>
      <c r="G2352" s="1" t="s">
        <v>36</v>
      </c>
      <c r="H2352" s="1" t="s">
        <v>22</v>
      </c>
      <c r="I2352" s="1" t="s">
        <v>29</v>
      </c>
      <c r="J2352" s="1">
        <v>-31.018000000000029</v>
      </c>
      <c r="K2352" s="1">
        <v>256.99999999999994</v>
      </c>
      <c r="L2352" s="1">
        <v>80.329999999999984</v>
      </c>
    </row>
    <row r="2353" spans="4:13">
      <c r="D2353" s="1" t="s">
        <v>1400</v>
      </c>
      <c r="E2353" s="1" t="s">
        <v>1429</v>
      </c>
      <c r="H2353" s="1" t="s">
        <v>22</v>
      </c>
      <c r="I2353" s="1" t="s">
        <v>29</v>
      </c>
      <c r="J2353" s="1">
        <v>0</v>
      </c>
      <c r="K2353" s="1">
        <v>3.66</v>
      </c>
      <c r="L2353" s="1">
        <v>0.5</v>
      </c>
    </row>
    <row r="2354" spans="4:13">
      <c r="D2354" s="1" t="s">
        <v>1400</v>
      </c>
      <c r="E2354" s="1" t="s">
        <v>1430</v>
      </c>
      <c r="F2354" s="1" t="s">
        <v>41</v>
      </c>
      <c r="G2354" s="1" t="s">
        <v>42</v>
      </c>
      <c r="H2354" s="1" t="s">
        <v>22</v>
      </c>
      <c r="I2354" s="1" t="s">
        <v>29</v>
      </c>
      <c r="J2354" s="1">
        <v>-180</v>
      </c>
      <c r="K2354" s="1">
        <v>180</v>
      </c>
      <c r="L2354" s="1">
        <v>1.8</v>
      </c>
    </row>
    <row r="2355" spans="4:13">
      <c r="D2355" s="1" t="s">
        <v>1400</v>
      </c>
      <c r="E2355" s="1" t="s">
        <v>1431</v>
      </c>
      <c r="F2355" s="1" t="s">
        <v>35</v>
      </c>
      <c r="G2355" s="1" t="s">
        <v>36</v>
      </c>
      <c r="H2355" s="1" t="s">
        <v>22</v>
      </c>
      <c r="I2355" s="1" t="s">
        <v>29</v>
      </c>
      <c r="J2355" s="1">
        <v>-31.018000000000029</v>
      </c>
      <c r="K2355" s="1">
        <v>256.99999999999994</v>
      </c>
      <c r="L2355" s="1">
        <v>80.329999999999984</v>
      </c>
    </row>
    <row r="2356" spans="4:13">
      <c r="D2356" s="1" t="s">
        <v>1400</v>
      </c>
      <c r="E2356" s="1" t="s">
        <v>1432</v>
      </c>
      <c r="F2356" s="1" t="s">
        <v>35</v>
      </c>
      <c r="G2356" s="1" t="s">
        <v>36</v>
      </c>
      <c r="H2356" s="1" t="s">
        <v>22</v>
      </c>
      <c r="I2356" s="1" t="s">
        <v>29</v>
      </c>
      <c r="J2356" s="1">
        <v>-31.018000000000029</v>
      </c>
      <c r="K2356" s="1">
        <v>256.99999999999994</v>
      </c>
      <c r="L2356" s="1">
        <v>80.329999999999984</v>
      </c>
    </row>
    <row r="2357" spans="4:13">
      <c r="D2357" s="1" t="s">
        <v>1400</v>
      </c>
      <c r="E2357" s="1" t="s">
        <v>1433</v>
      </c>
      <c r="H2357" s="1" t="s">
        <v>22</v>
      </c>
      <c r="I2357" s="1" t="s">
        <v>29</v>
      </c>
      <c r="J2357" s="1">
        <v>0</v>
      </c>
      <c r="K2357" s="1">
        <v>3.66</v>
      </c>
      <c r="L2357" s="1">
        <v>0.5</v>
      </c>
    </row>
    <row r="2358" spans="4:13">
      <c r="D2358" s="1" t="s">
        <v>1400</v>
      </c>
      <c r="E2358" s="1" t="s">
        <v>1434</v>
      </c>
      <c r="H2358" s="1" t="s">
        <v>22</v>
      </c>
      <c r="I2358" s="1" t="s">
        <v>29</v>
      </c>
      <c r="J2358" s="1">
        <v>-5</v>
      </c>
      <c r="K2358" s="1">
        <v>5</v>
      </c>
      <c r="L2358" s="1">
        <v>1</v>
      </c>
    </row>
    <row r="2359" spans="4:13">
      <c r="D2359" s="1" t="s">
        <v>1400</v>
      </c>
      <c r="E2359" s="1" t="s">
        <v>1435</v>
      </c>
      <c r="H2359" s="1" t="s">
        <v>22</v>
      </c>
      <c r="I2359" s="1" t="s">
        <v>29</v>
      </c>
      <c r="L2359" s="1">
        <v>1</v>
      </c>
    </row>
    <row r="2360" spans="4:13">
      <c r="D2360" s="1" t="s">
        <v>1400</v>
      </c>
      <c r="E2360" s="1" t="s">
        <v>1436</v>
      </c>
      <c r="H2360" s="1" t="s">
        <v>63</v>
      </c>
      <c r="I2360" s="1" t="s">
        <v>23</v>
      </c>
      <c r="M2360" s="1">
        <v>2</v>
      </c>
    </row>
    <row r="2361" spans="4:13">
      <c r="D2361" s="1" t="s">
        <v>1400</v>
      </c>
      <c r="E2361" s="1" t="s">
        <v>1437</v>
      </c>
      <c r="H2361" s="1" t="s">
        <v>181</v>
      </c>
      <c r="I2361" s="1" t="s">
        <v>23</v>
      </c>
      <c r="J2361" s="1">
        <v>1</v>
      </c>
      <c r="K2361" s="1">
        <v>2</v>
      </c>
      <c r="M2361" s="1" t="s">
        <v>1438</v>
      </c>
    </row>
    <row r="2362" spans="4:13">
      <c r="D2362" s="1" t="s">
        <v>1400</v>
      </c>
      <c r="E2362" s="1" t="s">
        <v>1056</v>
      </c>
      <c r="F2362" s="1" t="s">
        <v>56</v>
      </c>
      <c r="G2362" s="1" t="s">
        <v>57</v>
      </c>
      <c r="H2362" s="1" t="s">
        <v>22</v>
      </c>
      <c r="I2362" s="1" t="s">
        <v>23</v>
      </c>
      <c r="L2362" s="1">
        <v>1.4503773773020921E-4</v>
      </c>
      <c r="M2362" s="1">
        <v>0.72518868865104602</v>
      </c>
    </row>
    <row r="2363" spans="4:13">
      <c r="D2363" s="1" t="s">
        <v>1400</v>
      </c>
      <c r="E2363" s="1" t="s">
        <v>1057</v>
      </c>
      <c r="H2363" s="1" t="s">
        <v>25</v>
      </c>
      <c r="I2363" s="1" t="s">
        <v>23</v>
      </c>
      <c r="M2363" s="1" t="b">
        <v>0</v>
      </c>
    </row>
    <row r="2364" spans="4:13">
      <c r="D2364" s="1" t="s">
        <v>1400</v>
      </c>
      <c r="E2364" s="1" t="s">
        <v>1439</v>
      </c>
      <c r="F2364" s="1" t="s">
        <v>56</v>
      </c>
      <c r="G2364" s="1" t="s">
        <v>57</v>
      </c>
      <c r="H2364" s="1" t="s">
        <v>22</v>
      </c>
      <c r="I2364" s="1" t="s">
        <v>23</v>
      </c>
      <c r="L2364" s="1">
        <v>1.4503773773020921E-4</v>
      </c>
      <c r="M2364" s="1">
        <v>14.503773773020921</v>
      </c>
    </row>
    <row r="2365" spans="4:13">
      <c r="D2365" s="1" t="s">
        <v>1400</v>
      </c>
      <c r="E2365" s="1" t="s">
        <v>1440</v>
      </c>
      <c r="H2365" s="1" t="s">
        <v>25</v>
      </c>
      <c r="I2365" s="1" t="s">
        <v>23</v>
      </c>
      <c r="M2365" s="1" t="b">
        <v>0</v>
      </c>
    </row>
    <row r="2366" spans="4:13">
      <c r="D2366" s="1" t="s">
        <v>1400</v>
      </c>
      <c r="E2366" s="1" t="s">
        <v>1064</v>
      </c>
      <c r="F2366" s="1" t="s">
        <v>176</v>
      </c>
      <c r="G2366" s="1" t="s">
        <v>177</v>
      </c>
      <c r="H2366" s="1" t="s">
        <v>22</v>
      </c>
      <c r="I2366" s="1" t="s">
        <v>23</v>
      </c>
      <c r="L2366" s="1">
        <v>39.370078740157467</v>
      </c>
      <c r="M2366" s="1">
        <v>0</v>
      </c>
    </row>
    <row r="2367" spans="4:13">
      <c r="D2367" s="1" t="s">
        <v>1400</v>
      </c>
      <c r="E2367" s="1" t="s">
        <v>47</v>
      </c>
      <c r="H2367" s="1" t="s">
        <v>25</v>
      </c>
      <c r="I2367" s="1" t="s">
        <v>23</v>
      </c>
      <c r="M2367" s="1" t="b">
        <v>0</v>
      </c>
    </row>
    <row r="2368" spans="4:13">
      <c r="D2368" s="1" t="s">
        <v>1400</v>
      </c>
      <c r="E2368" s="1" t="s">
        <v>1069</v>
      </c>
      <c r="H2368" s="1" t="s">
        <v>25</v>
      </c>
      <c r="I2368" s="1" t="s">
        <v>23</v>
      </c>
      <c r="M2368" s="1" t="b">
        <v>0</v>
      </c>
    </row>
    <row r="2369" spans="4:13">
      <c r="D2369" s="1" t="s">
        <v>1400</v>
      </c>
      <c r="E2369" s="1" t="s">
        <v>920</v>
      </c>
      <c r="H2369" s="1" t="s">
        <v>22</v>
      </c>
      <c r="I2369" s="1" t="s">
        <v>23</v>
      </c>
      <c r="J2369" s="1">
        <v>0</v>
      </c>
      <c r="K2369" s="1">
        <v>1</v>
      </c>
      <c r="L2369" s="1">
        <v>1</v>
      </c>
      <c r="M2369" s="1">
        <v>1</v>
      </c>
    </row>
    <row r="2370" spans="4:13">
      <c r="D2370" s="1" t="s">
        <v>1400</v>
      </c>
      <c r="E2370" s="1" t="s">
        <v>921</v>
      </c>
      <c r="H2370" s="1" t="s">
        <v>22</v>
      </c>
      <c r="I2370" s="1" t="s">
        <v>23</v>
      </c>
      <c r="J2370" s="1">
        <v>0</v>
      </c>
      <c r="K2370" s="1">
        <v>1</v>
      </c>
      <c r="L2370" s="1">
        <v>1</v>
      </c>
      <c r="M2370" s="1">
        <v>0</v>
      </c>
    </row>
    <row r="2371" spans="4:13">
      <c r="D2371" s="1" t="s">
        <v>1400</v>
      </c>
      <c r="E2371" s="1" t="s">
        <v>1070</v>
      </c>
      <c r="F2371" s="1" t="s">
        <v>1071</v>
      </c>
      <c r="G2371" s="1" t="s">
        <v>1072</v>
      </c>
      <c r="H2371" s="1" t="s">
        <v>22</v>
      </c>
      <c r="I2371" s="1" t="s">
        <v>23</v>
      </c>
      <c r="J2371" s="1">
        <v>5.7778931654299819E-4</v>
      </c>
      <c r="K2371" s="1">
        <v>0.57778931654299814</v>
      </c>
      <c r="L2371" s="1">
        <v>0.57778931654299814</v>
      </c>
      <c r="M2371" s="1">
        <v>2.1672877263527863E-2</v>
      </c>
    </row>
    <row r="2372" spans="4:13">
      <c r="D2372" s="1" t="s">
        <v>1400</v>
      </c>
      <c r="E2372" s="1" t="s">
        <v>1074</v>
      </c>
      <c r="H2372" s="1" t="s">
        <v>25</v>
      </c>
      <c r="I2372" s="1" t="s">
        <v>23</v>
      </c>
      <c r="M2372" s="1" t="b">
        <v>0</v>
      </c>
    </row>
    <row r="2373" spans="4:13">
      <c r="D2373" s="1" t="s">
        <v>1400</v>
      </c>
      <c r="E2373" s="1" t="s">
        <v>1441</v>
      </c>
      <c r="H2373" s="1" t="s">
        <v>25</v>
      </c>
      <c r="I2373" s="1" t="s">
        <v>23</v>
      </c>
      <c r="M2373" s="1" t="b">
        <v>1</v>
      </c>
    </row>
    <row r="2374" spans="4:13">
      <c r="D2374" s="1" t="s">
        <v>1400</v>
      </c>
      <c r="E2374" s="1" t="s">
        <v>1442</v>
      </c>
      <c r="F2374" s="1" t="s">
        <v>118</v>
      </c>
      <c r="G2374" s="1" t="s">
        <v>119</v>
      </c>
      <c r="H2374" s="1" t="s">
        <v>22</v>
      </c>
      <c r="I2374" s="1" t="s">
        <v>29</v>
      </c>
      <c r="J2374" s="1">
        <v>2.2046226218499999E-6</v>
      </c>
      <c r="K2374" s="1">
        <v>22046.2262185</v>
      </c>
      <c r="L2374" s="1">
        <v>220.46226218500001</v>
      </c>
    </row>
    <row r="2375" spans="4:13">
      <c r="D2375" s="1" t="s">
        <v>1400</v>
      </c>
      <c r="E2375" s="1" t="s">
        <v>1076</v>
      </c>
      <c r="F2375" s="1" t="s">
        <v>118</v>
      </c>
      <c r="G2375" s="1" t="s">
        <v>119</v>
      </c>
      <c r="H2375" s="1" t="s">
        <v>22</v>
      </c>
      <c r="I2375" s="1" t="s">
        <v>23</v>
      </c>
      <c r="J2375" s="1">
        <v>0</v>
      </c>
      <c r="K2375" s="1">
        <v>4409.2452437000002</v>
      </c>
      <c r="L2375" s="1">
        <v>2.20462262185</v>
      </c>
      <c r="M2375" s="1">
        <v>440.92452437000003</v>
      </c>
    </row>
    <row r="2376" spans="4:13">
      <c r="D2376" s="1" t="s">
        <v>1400</v>
      </c>
      <c r="E2376" s="1" t="s">
        <v>1077</v>
      </c>
      <c r="H2376" s="1" t="s">
        <v>25</v>
      </c>
      <c r="I2376" s="1" t="s">
        <v>23</v>
      </c>
      <c r="M2376" s="1" t="b">
        <v>0</v>
      </c>
    </row>
    <row r="2377" spans="4:13">
      <c r="D2377" s="1" t="s">
        <v>1400</v>
      </c>
      <c r="E2377" s="1" t="s">
        <v>1079</v>
      </c>
      <c r="H2377" s="1" t="s">
        <v>25</v>
      </c>
      <c r="I2377" s="1" t="s">
        <v>23</v>
      </c>
      <c r="M2377" s="1" t="b">
        <v>0</v>
      </c>
    </row>
    <row r="2378" spans="4:13">
      <c r="D2378" s="1" t="s">
        <v>1400</v>
      </c>
      <c r="E2378" s="1" t="s">
        <v>1080</v>
      </c>
      <c r="H2378" s="1" t="s">
        <v>22</v>
      </c>
      <c r="I2378" s="1" t="s">
        <v>23</v>
      </c>
      <c r="J2378" s="1">
        <v>0</v>
      </c>
      <c r="K2378" s="1">
        <v>1</v>
      </c>
      <c r="L2378" s="1">
        <v>1</v>
      </c>
      <c r="M2378" s="1">
        <v>0.5</v>
      </c>
    </row>
    <row r="2379" spans="4:13">
      <c r="D2379" s="1" t="s">
        <v>1400</v>
      </c>
      <c r="E2379" s="1" t="s">
        <v>1082</v>
      </c>
      <c r="H2379" s="1" t="s">
        <v>22</v>
      </c>
      <c r="I2379" s="1" t="s">
        <v>23</v>
      </c>
      <c r="J2379" s="1">
        <v>0</v>
      </c>
      <c r="K2379" s="1">
        <v>2</v>
      </c>
      <c r="L2379" s="1">
        <v>1</v>
      </c>
      <c r="M2379" s="1">
        <v>0.99</v>
      </c>
    </row>
    <row r="2380" spans="4:13">
      <c r="D2380" s="1" t="s">
        <v>1400</v>
      </c>
      <c r="E2380" s="1" t="s">
        <v>1083</v>
      </c>
      <c r="H2380" s="1" t="s">
        <v>181</v>
      </c>
      <c r="I2380" s="1" t="s">
        <v>23</v>
      </c>
      <c r="J2380" s="1">
        <v>1</v>
      </c>
      <c r="K2380" s="1">
        <v>314</v>
      </c>
      <c r="M2380" s="1" t="s">
        <v>952</v>
      </c>
    </row>
    <row r="2381" spans="4:13">
      <c r="D2381" s="1" t="s">
        <v>1400</v>
      </c>
      <c r="E2381" s="1" t="s">
        <v>1086</v>
      </c>
      <c r="H2381" s="1" t="s">
        <v>181</v>
      </c>
      <c r="I2381" s="1" t="s">
        <v>23</v>
      </c>
      <c r="J2381" s="1">
        <v>1</v>
      </c>
      <c r="K2381" s="1">
        <v>26</v>
      </c>
      <c r="M2381" s="1" t="s">
        <v>1443</v>
      </c>
    </row>
    <row r="2382" spans="4:13">
      <c r="D2382" s="1" t="s">
        <v>1400</v>
      </c>
      <c r="E2382" s="1" t="s">
        <v>1089</v>
      </c>
      <c r="F2382" s="1" t="s">
        <v>35</v>
      </c>
      <c r="G2382" s="1" t="s">
        <v>36</v>
      </c>
      <c r="H2382" s="1" t="s">
        <v>22</v>
      </c>
      <c r="I2382" s="1" t="s">
        <v>29</v>
      </c>
      <c r="J2382" s="1">
        <v>-31.018000000000029</v>
      </c>
      <c r="K2382" s="1">
        <v>256.99999999999994</v>
      </c>
      <c r="L2382" s="1">
        <v>80.329999999999984</v>
      </c>
    </row>
    <row r="2383" spans="4:13">
      <c r="D2383" s="1" t="s">
        <v>1400</v>
      </c>
      <c r="E2383" s="1" t="s">
        <v>1091</v>
      </c>
      <c r="F2383" s="1" t="s">
        <v>35</v>
      </c>
      <c r="G2383" s="1" t="s">
        <v>36</v>
      </c>
      <c r="H2383" s="1" t="s">
        <v>22</v>
      </c>
      <c r="I2383" s="1" t="s">
        <v>29</v>
      </c>
      <c r="J2383" s="1">
        <v>-31.018000000000029</v>
      </c>
      <c r="K2383" s="1">
        <v>256.99999999999994</v>
      </c>
      <c r="L2383" s="1">
        <v>80.329999999999984</v>
      </c>
    </row>
    <row r="2384" spans="4:13">
      <c r="D2384" s="1" t="s">
        <v>1400</v>
      </c>
      <c r="E2384" s="1" t="s">
        <v>1296</v>
      </c>
      <c r="F2384" s="1" t="s">
        <v>41</v>
      </c>
      <c r="G2384" s="1" t="s">
        <v>42</v>
      </c>
      <c r="H2384" s="1" t="s">
        <v>22</v>
      </c>
      <c r="I2384" s="1" t="s">
        <v>65</v>
      </c>
      <c r="L2384" s="1">
        <v>1.8</v>
      </c>
    </row>
    <row r="2385" spans="4:12">
      <c r="D2385" s="1" t="s">
        <v>1400</v>
      </c>
      <c r="E2385" s="1" t="s">
        <v>1300</v>
      </c>
      <c r="F2385" s="1" t="s">
        <v>147</v>
      </c>
      <c r="G2385" s="1" t="s">
        <v>148</v>
      </c>
      <c r="H2385" s="1" t="s">
        <v>22</v>
      </c>
      <c r="I2385" s="1" t="s">
        <v>120</v>
      </c>
      <c r="L2385" s="1">
        <v>3.4121416351331</v>
      </c>
    </row>
    <row r="2386" spans="4:12">
      <c r="D2386" s="1" t="s">
        <v>1400</v>
      </c>
      <c r="E2386" s="1" t="s">
        <v>1302</v>
      </c>
      <c r="H2386" s="1" t="s">
        <v>22</v>
      </c>
      <c r="I2386" s="1" t="s">
        <v>65</v>
      </c>
      <c r="L2386" s="1">
        <v>1</v>
      </c>
    </row>
    <row r="2387" spans="4:12">
      <c r="D2387" s="1" t="s">
        <v>1400</v>
      </c>
      <c r="E2387" s="1" t="s">
        <v>1444</v>
      </c>
      <c r="F2387" s="1" t="s">
        <v>35</v>
      </c>
      <c r="G2387" s="1" t="s">
        <v>36</v>
      </c>
      <c r="H2387" s="1" t="s">
        <v>22</v>
      </c>
      <c r="I2387" s="1" t="s">
        <v>120</v>
      </c>
      <c r="J2387" s="1">
        <v>-457.87</v>
      </c>
      <c r="K2387" s="1">
        <v>-447.07</v>
      </c>
      <c r="L2387" s="1">
        <v>80.329999999999984</v>
      </c>
    </row>
    <row r="2388" spans="4:12">
      <c r="D2388" s="1" t="s">
        <v>1400</v>
      </c>
      <c r="E2388" s="1" t="s">
        <v>1445</v>
      </c>
      <c r="H2388" s="1" t="s">
        <v>22</v>
      </c>
      <c r="I2388" s="1" t="s">
        <v>65</v>
      </c>
      <c r="L2388" s="1">
        <v>1</v>
      </c>
    </row>
    <row r="2389" spans="4:12">
      <c r="D2389" s="1" t="s">
        <v>1400</v>
      </c>
      <c r="E2389" s="1" t="s">
        <v>1306</v>
      </c>
      <c r="H2389" s="1" t="s">
        <v>22</v>
      </c>
      <c r="I2389" s="1" t="s">
        <v>65</v>
      </c>
      <c r="L2389" s="1">
        <v>1</v>
      </c>
    </row>
    <row r="2390" spans="4:12">
      <c r="D2390" s="1" t="s">
        <v>1400</v>
      </c>
      <c r="E2390" s="1" t="s">
        <v>1446</v>
      </c>
      <c r="H2390" s="1" t="s">
        <v>22</v>
      </c>
      <c r="I2390" s="1" t="s">
        <v>65</v>
      </c>
      <c r="L2390" s="1">
        <v>1</v>
      </c>
    </row>
    <row r="2391" spans="4:12">
      <c r="D2391" s="1" t="s">
        <v>1400</v>
      </c>
      <c r="E2391" s="1" t="s">
        <v>1309</v>
      </c>
      <c r="H2391" s="1" t="s">
        <v>22</v>
      </c>
      <c r="I2391" s="1" t="s">
        <v>65</v>
      </c>
      <c r="L2391" s="1">
        <v>1</v>
      </c>
    </row>
    <row r="2392" spans="4:12">
      <c r="D2392" s="1" t="s">
        <v>1400</v>
      </c>
      <c r="E2392" s="1" t="s">
        <v>1447</v>
      </c>
      <c r="H2392" s="1" t="s">
        <v>22</v>
      </c>
      <c r="I2392" s="1" t="s">
        <v>65</v>
      </c>
      <c r="L2392" s="1">
        <v>1</v>
      </c>
    </row>
    <row r="2393" spans="4:12">
      <c r="D2393" s="1" t="s">
        <v>1400</v>
      </c>
      <c r="E2393" s="1" t="s">
        <v>1448</v>
      </c>
      <c r="H2393" s="1" t="s">
        <v>22</v>
      </c>
      <c r="I2393" s="1" t="s">
        <v>65</v>
      </c>
      <c r="L2393" s="1">
        <v>1</v>
      </c>
    </row>
    <row r="2394" spans="4:12">
      <c r="D2394" s="1" t="s">
        <v>1400</v>
      </c>
      <c r="E2394" s="1" t="s">
        <v>1317</v>
      </c>
      <c r="F2394" s="1" t="s">
        <v>879</v>
      </c>
      <c r="G2394" s="1" t="s">
        <v>880</v>
      </c>
      <c r="H2394" s="1" t="s">
        <v>22</v>
      </c>
      <c r="I2394" s="1" t="s">
        <v>65</v>
      </c>
      <c r="L2394" s="1">
        <v>10.76391041670972</v>
      </c>
    </row>
    <row r="2395" spans="4:12">
      <c r="D2395" s="1" t="s">
        <v>1400</v>
      </c>
      <c r="E2395" s="1" t="s">
        <v>1449</v>
      </c>
      <c r="F2395" s="1" t="s">
        <v>147</v>
      </c>
      <c r="G2395" s="1" t="s">
        <v>148</v>
      </c>
      <c r="H2395" s="1" t="s">
        <v>22</v>
      </c>
      <c r="I2395" s="1" t="s">
        <v>65</v>
      </c>
      <c r="L2395" s="1">
        <v>3.4121416351331</v>
      </c>
    </row>
    <row r="2396" spans="4:12">
      <c r="D2396" s="1" t="s">
        <v>1400</v>
      </c>
      <c r="E2396" s="1" t="s">
        <v>1322</v>
      </c>
      <c r="F2396" s="1" t="s">
        <v>56</v>
      </c>
      <c r="G2396" s="1" t="s">
        <v>57</v>
      </c>
      <c r="H2396" s="1" t="s">
        <v>22</v>
      </c>
      <c r="I2396" s="1" t="s">
        <v>65</v>
      </c>
      <c r="L2396" s="1">
        <v>1.4503773773020921E-4</v>
      </c>
    </row>
    <row r="2397" spans="4:12">
      <c r="D2397" s="1" t="s">
        <v>1400</v>
      </c>
      <c r="E2397" s="1" t="s">
        <v>1323</v>
      </c>
      <c r="F2397" s="1" t="s">
        <v>56</v>
      </c>
      <c r="G2397" s="1" t="s">
        <v>57</v>
      </c>
      <c r="H2397" s="1" t="s">
        <v>22</v>
      </c>
      <c r="I2397" s="1" t="s">
        <v>65</v>
      </c>
      <c r="L2397" s="1">
        <v>1.4503773773020921E-4</v>
      </c>
    </row>
    <row r="2398" spans="4:12">
      <c r="D2398" s="1" t="s">
        <v>1400</v>
      </c>
      <c r="E2398" s="1" t="s">
        <v>1324</v>
      </c>
      <c r="F2398" s="1" t="s">
        <v>56</v>
      </c>
      <c r="G2398" s="1" t="s">
        <v>57</v>
      </c>
      <c r="H2398" s="1" t="s">
        <v>22</v>
      </c>
      <c r="I2398" s="1" t="s">
        <v>65</v>
      </c>
      <c r="L2398" s="1">
        <v>1.4503773773020921E-4</v>
      </c>
    </row>
    <row r="2399" spans="4:12">
      <c r="D2399" s="1" t="s">
        <v>1400</v>
      </c>
      <c r="E2399" s="1" t="s">
        <v>1325</v>
      </c>
      <c r="F2399" s="1" t="s">
        <v>56</v>
      </c>
      <c r="G2399" s="1" t="s">
        <v>57</v>
      </c>
      <c r="H2399" s="1" t="s">
        <v>22</v>
      </c>
      <c r="I2399" s="1" t="s">
        <v>65</v>
      </c>
      <c r="L2399" s="1">
        <v>1.4503773773020921E-4</v>
      </c>
    </row>
    <row r="2400" spans="4:12">
      <c r="D2400" s="1" t="s">
        <v>1400</v>
      </c>
      <c r="E2400" s="1" t="s">
        <v>1326</v>
      </c>
      <c r="F2400" s="1" t="s">
        <v>56</v>
      </c>
      <c r="G2400" s="1" t="s">
        <v>57</v>
      </c>
      <c r="H2400" s="1" t="s">
        <v>22</v>
      </c>
      <c r="I2400" s="1" t="s">
        <v>65</v>
      </c>
      <c r="L2400" s="1">
        <v>1.4503773773020921E-4</v>
      </c>
    </row>
    <row r="2401" spans="4:13">
      <c r="D2401" s="1" t="s">
        <v>1400</v>
      </c>
      <c r="E2401" s="1" t="s">
        <v>1331</v>
      </c>
      <c r="F2401" s="1" t="s">
        <v>176</v>
      </c>
      <c r="G2401" s="1" t="s">
        <v>177</v>
      </c>
      <c r="H2401" s="1" t="s">
        <v>22</v>
      </c>
      <c r="I2401" s="1" t="s">
        <v>70</v>
      </c>
      <c r="J2401" s="1">
        <v>0</v>
      </c>
      <c r="L2401" s="1">
        <v>39.370078740157467</v>
      </c>
    </row>
    <row r="2402" spans="4:13">
      <c r="D2402" s="1" t="s">
        <v>1400</v>
      </c>
      <c r="E2402" s="1" t="s">
        <v>69</v>
      </c>
      <c r="H2402" s="1" t="s">
        <v>25</v>
      </c>
      <c r="I2402" s="1" t="s">
        <v>70</v>
      </c>
    </row>
    <row r="2403" spans="4:13">
      <c r="D2403" s="1" t="s">
        <v>1400</v>
      </c>
      <c r="E2403" s="1" t="s">
        <v>1450</v>
      </c>
      <c r="F2403" s="1" t="s">
        <v>176</v>
      </c>
      <c r="G2403" s="1" t="s">
        <v>177</v>
      </c>
      <c r="H2403" s="1" t="s">
        <v>22</v>
      </c>
      <c r="I2403" s="1" t="s">
        <v>65</v>
      </c>
      <c r="L2403" s="1">
        <v>39.370078740157467</v>
      </c>
    </row>
    <row r="2404" spans="4:13">
      <c r="D2404" s="1" t="s">
        <v>1400</v>
      </c>
      <c r="E2404" s="1" t="s">
        <v>991</v>
      </c>
      <c r="F2404" s="1" t="s">
        <v>118</v>
      </c>
      <c r="G2404" s="1" t="s">
        <v>119</v>
      </c>
      <c r="H2404" s="1" t="s">
        <v>22</v>
      </c>
      <c r="I2404" s="1" t="s">
        <v>65</v>
      </c>
      <c r="J2404" s="1">
        <v>0</v>
      </c>
      <c r="L2404" s="1">
        <v>2.20462262185</v>
      </c>
    </row>
    <row r="2405" spans="4:13">
      <c r="D2405" s="1" t="s">
        <v>1400</v>
      </c>
      <c r="E2405" s="1" t="s">
        <v>1451</v>
      </c>
      <c r="H2405" s="1" t="s">
        <v>22</v>
      </c>
      <c r="I2405" s="1" t="s">
        <v>65</v>
      </c>
      <c r="L2405" s="1">
        <v>1</v>
      </c>
    </row>
    <row r="2406" spans="4:13">
      <c r="D2406" s="1" t="s">
        <v>1400</v>
      </c>
      <c r="E2406" s="1" t="s">
        <v>1452</v>
      </c>
      <c r="H2406" s="1" t="s">
        <v>22</v>
      </c>
      <c r="I2406" s="1" t="s">
        <v>65</v>
      </c>
      <c r="L2406" s="1">
        <v>1</v>
      </c>
    </row>
    <row r="2407" spans="4:13">
      <c r="D2407" s="1" t="s">
        <v>1400</v>
      </c>
      <c r="E2407" s="1" t="s">
        <v>1453</v>
      </c>
      <c r="H2407" s="1" t="s">
        <v>22</v>
      </c>
      <c r="I2407" s="1" t="s">
        <v>65</v>
      </c>
      <c r="L2407" s="1">
        <v>1</v>
      </c>
    </row>
    <row r="2408" spans="4:13">
      <c r="D2408" s="1" t="s">
        <v>1400</v>
      </c>
      <c r="E2408" s="1" t="s">
        <v>1343</v>
      </c>
      <c r="F2408" s="1" t="s">
        <v>1344</v>
      </c>
      <c r="G2408" s="1" t="s">
        <v>1345</v>
      </c>
      <c r="H2408" s="1" t="s">
        <v>22</v>
      </c>
      <c r="I2408" s="1" t="s">
        <v>65</v>
      </c>
      <c r="L2408" s="1">
        <v>2.2369362919199998</v>
      </c>
    </row>
    <row r="2409" spans="4:13">
      <c r="D2409" s="1" t="s">
        <v>1400</v>
      </c>
      <c r="E2409" s="1" t="s">
        <v>1002</v>
      </c>
      <c r="F2409" s="1" t="s">
        <v>124</v>
      </c>
      <c r="G2409" s="1" t="s">
        <v>125</v>
      </c>
      <c r="H2409" s="1" t="s">
        <v>22</v>
      </c>
      <c r="I2409" s="1" t="s">
        <v>70</v>
      </c>
      <c r="L2409" s="1">
        <v>35.314666699999997</v>
      </c>
    </row>
    <row r="2410" spans="4:13">
      <c r="D2410" s="1" t="s">
        <v>1400</v>
      </c>
      <c r="E2410" s="1" t="s">
        <v>1348</v>
      </c>
      <c r="F2410" s="1" t="s">
        <v>176</v>
      </c>
      <c r="G2410" s="1" t="s">
        <v>177</v>
      </c>
      <c r="H2410" s="1" t="s">
        <v>22</v>
      </c>
      <c r="I2410" s="1" t="s">
        <v>23</v>
      </c>
      <c r="J2410" s="1">
        <v>3.9370078740157466E-2</v>
      </c>
      <c r="K2410" s="1">
        <v>3.9370078740157468</v>
      </c>
      <c r="L2410" s="1">
        <v>39.370078740157467</v>
      </c>
      <c r="M2410" s="1">
        <v>0.49999999999999983</v>
      </c>
    </row>
    <row r="2411" spans="4:13">
      <c r="D2411" s="1" t="s">
        <v>1400</v>
      </c>
      <c r="E2411" s="1" t="s">
        <v>1454</v>
      </c>
      <c r="H2411" s="1" t="s">
        <v>25</v>
      </c>
      <c r="I2411" s="1" t="s">
        <v>23</v>
      </c>
      <c r="M2411" s="1" t="b">
        <v>1</v>
      </c>
    </row>
    <row r="2412" spans="4:13">
      <c r="D2412" s="1" t="s">
        <v>1400</v>
      </c>
      <c r="E2412" s="1" t="s">
        <v>1455</v>
      </c>
      <c r="H2412" s="1" t="s">
        <v>25</v>
      </c>
      <c r="I2412" s="1" t="s">
        <v>23</v>
      </c>
      <c r="M2412" s="1" t="b">
        <v>0</v>
      </c>
    </row>
    <row r="2413" spans="4:13">
      <c r="D2413" s="1" t="s">
        <v>1400</v>
      </c>
      <c r="E2413" s="1" t="s">
        <v>1456</v>
      </c>
      <c r="H2413" s="1" t="s">
        <v>25</v>
      </c>
      <c r="I2413" s="1" t="s">
        <v>23</v>
      </c>
      <c r="M2413" s="1" t="b">
        <v>1</v>
      </c>
    </row>
    <row r="2414" spans="4:13">
      <c r="D2414" s="1" t="s">
        <v>1400</v>
      </c>
      <c r="E2414" s="1" t="s">
        <v>1354</v>
      </c>
      <c r="H2414" s="1" t="s">
        <v>22</v>
      </c>
      <c r="I2414" s="1" t="s">
        <v>23</v>
      </c>
      <c r="J2414" s="1">
        <v>0.5</v>
      </c>
      <c r="K2414" s="1">
        <v>2</v>
      </c>
      <c r="L2414" s="1">
        <v>1</v>
      </c>
      <c r="M2414" s="1">
        <v>1</v>
      </c>
    </row>
    <row r="2415" spans="4:13">
      <c r="D2415" s="1" t="s">
        <v>1400</v>
      </c>
      <c r="E2415" s="1" t="s">
        <v>1457</v>
      </c>
      <c r="F2415" s="1" t="s">
        <v>147</v>
      </c>
      <c r="G2415" s="1" t="s">
        <v>148</v>
      </c>
      <c r="H2415" s="1" t="s">
        <v>22</v>
      </c>
      <c r="I2415" s="1" t="s">
        <v>23</v>
      </c>
      <c r="L2415" s="1">
        <v>3.4121416351331</v>
      </c>
      <c r="M2415" s="1">
        <v>7908000.0046472568</v>
      </c>
    </row>
    <row r="2416" spans="4:13">
      <c r="D2416" s="1" t="s">
        <v>1400</v>
      </c>
      <c r="E2416" s="1" t="s">
        <v>1458</v>
      </c>
      <c r="F2416" s="1" t="s">
        <v>147</v>
      </c>
      <c r="G2416" s="1" t="s">
        <v>148</v>
      </c>
      <c r="H2416" s="1" t="s">
        <v>22</v>
      </c>
      <c r="I2416" s="1" t="s">
        <v>23</v>
      </c>
      <c r="L2416" s="1">
        <v>3.4121416351331</v>
      </c>
      <c r="M2416" s="1">
        <v>6372000.0037445985</v>
      </c>
    </row>
    <row r="2417" spans="4:13">
      <c r="D2417" s="1" t="s">
        <v>1400</v>
      </c>
      <c r="E2417" s="1" t="s">
        <v>1356</v>
      </c>
      <c r="H2417" s="1" t="s">
        <v>150</v>
      </c>
      <c r="I2417" s="1" t="s">
        <v>23</v>
      </c>
      <c r="M2417" s="1" t="s">
        <v>1459</v>
      </c>
    </row>
    <row r="2418" spans="4:13">
      <c r="D2418" s="1" t="s">
        <v>1400</v>
      </c>
      <c r="E2418" s="1" t="s">
        <v>1358</v>
      </c>
      <c r="F2418" s="1" t="s">
        <v>176</v>
      </c>
      <c r="G2418" s="1" t="s">
        <v>177</v>
      </c>
      <c r="H2418" s="1" t="s">
        <v>22</v>
      </c>
      <c r="I2418" s="1" t="s">
        <v>23</v>
      </c>
      <c r="J2418" s="1">
        <v>0.39370078740157466</v>
      </c>
      <c r="K2418" s="1">
        <v>393.70078740157464</v>
      </c>
      <c r="L2418" s="1">
        <v>39.370078740157467</v>
      </c>
      <c r="M2418" s="1">
        <v>40.499999999999986</v>
      </c>
    </row>
    <row r="2419" spans="4:13">
      <c r="D2419" s="1" t="s">
        <v>1400</v>
      </c>
      <c r="E2419" s="1" t="s">
        <v>1359</v>
      </c>
      <c r="F2419" s="1" t="s">
        <v>176</v>
      </c>
      <c r="G2419" s="1" t="s">
        <v>177</v>
      </c>
      <c r="H2419" s="1" t="s">
        <v>22</v>
      </c>
      <c r="I2419" s="1" t="s">
        <v>23</v>
      </c>
      <c r="J2419" s="1">
        <v>0</v>
      </c>
      <c r="L2419" s="1">
        <v>39.370078740157467</v>
      </c>
      <c r="M2419" s="1">
        <v>9.9999999999999964</v>
      </c>
    </row>
    <row r="2420" spans="4:13">
      <c r="D2420" s="1" t="s">
        <v>1400</v>
      </c>
      <c r="E2420" s="1" t="s">
        <v>1360</v>
      </c>
      <c r="H2420" s="1" t="s">
        <v>150</v>
      </c>
      <c r="I2420" s="1" t="s">
        <v>23</v>
      </c>
      <c r="M2420" s="1" t="s">
        <v>1460</v>
      </c>
    </row>
    <row r="2421" spans="4:13">
      <c r="D2421" s="1" t="s">
        <v>1400</v>
      </c>
      <c r="E2421" s="1" t="s">
        <v>1362</v>
      </c>
      <c r="F2421" s="1" t="s">
        <v>176</v>
      </c>
      <c r="G2421" s="1" t="s">
        <v>177</v>
      </c>
      <c r="H2421" s="1" t="s">
        <v>22</v>
      </c>
      <c r="I2421" s="1" t="s">
        <v>23</v>
      </c>
      <c r="J2421" s="1">
        <v>3.9370078740157468</v>
      </c>
      <c r="K2421" s="1">
        <v>393.70078740157464</v>
      </c>
      <c r="L2421" s="1">
        <v>39.370078740157467</v>
      </c>
      <c r="M2421" s="1">
        <v>164.49999999999994</v>
      </c>
    </row>
    <row r="2422" spans="4:13">
      <c r="D2422" s="1" t="s">
        <v>1400</v>
      </c>
      <c r="E2422" s="1" t="s">
        <v>1363</v>
      </c>
      <c r="H2422" s="1" t="s">
        <v>63</v>
      </c>
      <c r="I2422" s="1" t="s">
        <v>23</v>
      </c>
      <c r="M2422" s="1">
        <v>3</v>
      </c>
    </row>
    <row r="2423" spans="4:13">
      <c r="D2423" s="1" t="s">
        <v>1400</v>
      </c>
      <c r="E2423" s="1" t="s">
        <v>1364</v>
      </c>
      <c r="H2423" s="1" t="s">
        <v>63</v>
      </c>
      <c r="I2423" s="1" t="s">
        <v>23</v>
      </c>
      <c r="M2423" s="1">
        <v>1</v>
      </c>
    </row>
    <row r="2424" spans="4:13">
      <c r="D2424" s="1" t="s">
        <v>1400</v>
      </c>
      <c r="E2424" s="1" t="s">
        <v>1365</v>
      </c>
      <c r="H2424" s="1" t="s">
        <v>63</v>
      </c>
      <c r="I2424" s="1" t="s">
        <v>70</v>
      </c>
    </row>
    <row r="2425" spans="4:13">
      <c r="D2425" s="1" t="s">
        <v>1400</v>
      </c>
      <c r="E2425" s="1" t="s">
        <v>1366</v>
      </c>
      <c r="H2425" s="1" t="s">
        <v>63</v>
      </c>
      <c r="I2425" s="1" t="s">
        <v>23</v>
      </c>
      <c r="M2425" s="1">
        <v>322</v>
      </c>
    </row>
    <row r="2426" spans="4:13">
      <c r="D2426" s="1" t="s">
        <v>1400</v>
      </c>
      <c r="E2426" s="1" t="s">
        <v>1367</v>
      </c>
      <c r="H2426" s="1" t="s">
        <v>63</v>
      </c>
      <c r="I2426" s="1" t="s">
        <v>23</v>
      </c>
      <c r="M2426" s="1">
        <v>322</v>
      </c>
    </row>
    <row r="2427" spans="4:13">
      <c r="D2427" s="1" t="s">
        <v>1400</v>
      </c>
      <c r="E2427" s="1" t="s">
        <v>1368</v>
      </c>
      <c r="H2427" s="1" t="s">
        <v>63</v>
      </c>
      <c r="I2427" s="1" t="s">
        <v>23</v>
      </c>
      <c r="M2427" s="1">
        <v>0</v>
      </c>
    </row>
    <row r="2428" spans="4:13">
      <c r="D2428" s="1" t="s">
        <v>1400</v>
      </c>
      <c r="E2428" s="1" t="s">
        <v>1369</v>
      </c>
      <c r="H2428" s="1" t="s">
        <v>63</v>
      </c>
      <c r="I2428" s="1" t="s">
        <v>23</v>
      </c>
      <c r="M2428" s="1">
        <v>0</v>
      </c>
    </row>
    <row r="2429" spans="4:13">
      <c r="D2429" s="1" t="s">
        <v>1400</v>
      </c>
      <c r="E2429" s="1" t="s">
        <v>1372</v>
      </c>
      <c r="F2429" s="1" t="s">
        <v>176</v>
      </c>
      <c r="G2429" s="1" t="s">
        <v>177</v>
      </c>
      <c r="H2429" s="1" t="s">
        <v>22</v>
      </c>
      <c r="I2429" s="1" t="s">
        <v>23</v>
      </c>
      <c r="J2429" s="1">
        <v>3.9370078740157471E-3</v>
      </c>
      <c r="K2429" s="1">
        <v>3.1496062992125973</v>
      </c>
      <c r="L2429" s="1">
        <v>39.370078740157467</v>
      </c>
      <c r="M2429" s="1">
        <v>0.31496062992125973</v>
      </c>
    </row>
    <row r="2430" spans="4:13">
      <c r="D2430" s="1" t="s">
        <v>1400</v>
      </c>
      <c r="E2430" s="1" t="s">
        <v>1461</v>
      </c>
      <c r="F2430" s="1" t="s">
        <v>124</v>
      </c>
      <c r="G2430" s="1" t="s">
        <v>125</v>
      </c>
      <c r="H2430" s="1" t="s">
        <v>22</v>
      </c>
      <c r="I2430" s="1" t="s">
        <v>23</v>
      </c>
      <c r="L2430" s="1">
        <v>35.314666699999997</v>
      </c>
      <c r="M2430" s="1">
        <v>0</v>
      </c>
    </row>
    <row r="2431" spans="4:13">
      <c r="D2431" s="1" t="s">
        <v>1400</v>
      </c>
      <c r="E2431" s="1" t="s">
        <v>1393</v>
      </c>
      <c r="H2431" s="1" t="s">
        <v>63</v>
      </c>
      <c r="I2431" s="1" t="s">
        <v>23</v>
      </c>
      <c r="M2431" s="1">
        <v>150</v>
      </c>
    </row>
    <row r="2432" spans="4:13">
      <c r="D2432" s="1" t="s">
        <v>1400</v>
      </c>
      <c r="E2432" s="1" t="s">
        <v>1394</v>
      </c>
      <c r="H2432" s="1" t="s">
        <v>181</v>
      </c>
      <c r="I2432" s="1" t="s">
        <v>23</v>
      </c>
      <c r="J2432" s="1">
        <v>1</v>
      </c>
      <c r="K2432" s="1">
        <v>2</v>
      </c>
      <c r="M2432" s="1" t="s">
        <v>1395</v>
      </c>
    </row>
    <row r="2433" spans="4:13">
      <c r="D2433" s="1" t="s">
        <v>1462</v>
      </c>
      <c r="H2433" s="1" t="s">
        <v>25</v>
      </c>
      <c r="I2433" s="1" t="s">
        <v>23</v>
      </c>
      <c r="M2433" s="1" t="b">
        <v>0</v>
      </c>
    </row>
    <row r="2434" spans="4:13">
      <c r="D2434" s="1" t="s">
        <v>1463</v>
      </c>
      <c r="H2434" s="1" t="s">
        <v>22</v>
      </c>
      <c r="I2434" s="1" t="s">
        <v>23</v>
      </c>
      <c r="L2434" s="1">
        <v>1</v>
      </c>
      <c r="M2434" s="1">
        <v>0.92</v>
      </c>
    </row>
    <row r="2435" spans="4:13">
      <c r="D2435" s="1" t="s">
        <v>1464</v>
      </c>
      <c r="F2435" s="1" t="s">
        <v>41</v>
      </c>
      <c r="G2435" s="1" t="s">
        <v>42</v>
      </c>
      <c r="H2435" s="1" t="s">
        <v>22</v>
      </c>
      <c r="I2435" s="1" t="s">
        <v>23</v>
      </c>
      <c r="L2435" s="1">
        <v>1.8</v>
      </c>
      <c r="M2435" s="1">
        <v>9</v>
      </c>
    </row>
    <row r="2436" spans="4:13">
      <c r="D2436" s="1" t="s">
        <v>1465</v>
      </c>
      <c r="E2436" s="1" t="s">
        <v>1466</v>
      </c>
      <c r="H2436" s="1" t="s">
        <v>22</v>
      </c>
      <c r="I2436" s="1" t="s">
        <v>23</v>
      </c>
      <c r="L2436" s="1">
        <v>1</v>
      </c>
      <c r="M2436" s="1">
        <v>1.0214000000000001E-5</v>
      </c>
    </row>
    <row r="2437" spans="4:13">
      <c r="D2437" s="1" t="s">
        <v>1465</v>
      </c>
      <c r="E2437" s="1" t="s">
        <v>108</v>
      </c>
      <c r="F2437" s="1" t="s">
        <v>35</v>
      </c>
      <c r="G2437" s="1" t="s">
        <v>36</v>
      </c>
      <c r="H2437" s="1" t="s">
        <v>22</v>
      </c>
      <c r="I2437" s="1" t="s">
        <v>23</v>
      </c>
      <c r="J2437" s="1">
        <v>-459.67</v>
      </c>
      <c r="L2437" s="1">
        <v>80.329999999999984</v>
      </c>
      <c r="M2437" s="1">
        <v>49.999999999999943</v>
      </c>
    </row>
    <row r="2438" spans="4:13">
      <c r="D2438" s="1" t="s">
        <v>1465</v>
      </c>
      <c r="E2438" s="1" t="s">
        <v>111</v>
      </c>
      <c r="F2438" s="1" t="s">
        <v>56</v>
      </c>
      <c r="G2438" s="1" t="s">
        <v>57</v>
      </c>
      <c r="H2438" s="1" t="s">
        <v>22</v>
      </c>
      <c r="I2438" s="1" t="s">
        <v>23</v>
      </c>
      <c r="L2438" s="1">
        <v>1.4503773773020921E-4</v>
      </c>
      <c r="M2438" s="1">
        <v>7.2518868865104604E-3</v>
      </c>
    </row>
    <row r="2439" spans="4:13">
      <c r="D2439" s="1" t="s">
        <v>1465</v>
      </c>
      <c r="E2439" s="1" t="s">
        <v>47</v>
      </c>
      <c r="H2439" s="1" t="s">
        <v>25</v>
      </c>
      <c r="I2439" s="1" t="s">
        <v>23</v>
      </c>
      <c r="M2439" s="1" t="b">
        <v>0</v>
      </c>
    </row>
    <row r="2440" spans="4:13">
      <c r="D2440" s="1" t="s">
        <v>1465</v>
      </c>
      <c r="E2440" s="1" t="s">
        <v>1467</v>
      </c>
      <c r="H2440" s="1" t="s">
        <v>22</v>
      </c>
      <c r="I2440" s="1" t="s">
        <v>23</v>
      </c>
      <c r="L2440" s="1">
        <v>1</v>
      </c>
      <c r="M2440" s="1">
        <v>1.9381999999999999</v>
      </c>
    </row>
    <row r="2441" spans="4:13">
      <c r="D2441" s="1" t="s">
        <v>1465</v>
      </c>
      <c r="E2441" s="1" t="s">
        <v>112</v>
      </c>
      <c r="F2441" s="1" t="s">
        <v>56</v>
      </c>
      <c r="G2441" s="1" t="s">
        <v>57</v>
      </c>
      <c r="H2441" s="1" t="s">
        <v>22</v>
      </c>
      <c r="I2441" s="1" t="s">
        <v>29</v>
      </c>
      <c r="J2441" s="1">
        <v>4.9312830828271128</v>
      </c>
      <c r="K2441" s="1">
        <v>623.66227223989961</v>
      </c>
      <c r="L2441" s="1">
        <v>50.713895374744951</v>
      </c>
    </row>
    <row r="2442" spans="4:13">
      <c r="D2442" s="1" t="s">
        <v>1465</v>
      </c>
      <c r="E2442" s="1" t="s">
        <v>62</v>
      </c>
      <c r="H2442" s="1" t="s">
        <v>63</v>
      </c>
      <c r="I2442" s="1" t="s">
        <v>23</v>
      </c>
      <c r="M2442" s="1">
        <v>1</v>
      </c>
    </row>
    <row r="2443" spans="4:13">
      <c r="D2443" s="1" t="s">
        <v>1468</v>
      </c>
      <c r="E2443" s="1" t="s">
        <v>1469</v>
      </c>
      <c r="F2443" s="1" t="s">
        <v>1041</v>
      </c>
      <c r="G2443" s="1" t="s">
        <v>1042</v>
      </c>
      <c r="H2443" s="1" t="s">
        <v>22</v>
      </c>
      <c r="I2443" s="1" t="s">
        <v>23</v>
      </c>
      <c r="L2443" s="1">
        <v>0.17611018362408509</v>
      </c>
      <c r="M2443" s="1">
        <v>0</v>
      </c>
    </row>
    <row r="2444" spans="4:13">
      <c r="D2444" s="1" t="s">
        <v>1468</v>
      </c>
      <c r="E2444" s="1" t="s">
        <v>1470</v>
      </c>
      <c r="H2444" s="1" t="s">
        <v>22</v>
      </c>
      <c r="I2444" s="1" t="s">
        <v>23</v>
      </c>
      <c r="J2444" s="1">
        <v>0.5</v>
      </c>
      <c r="K2444" s="1">
        <v>2</v>
      </c>
      <c r="L2444" s="1">
        <v>1</v>
      </c>
      <c r="M2444" s="1">
        <v>1</v>
      </c>
    </row>
    <row r="2445" spans="4:13">
      <c r="D2445" s="1" t="s">
        <v>1468</v>
      </c>
      <c r="E2445" s="1" t="s">
        <v>1471</v>
      </c>
      <c r="F2445" s="1" t="s">
        <v>176</v>
      </c>
      <c r="G2445" s="1" t="s">
        <v>177</v>
      </c>
      <c r="H2445" s="1" t="s">
        <v>22</v>
      </c>
      <c r="I2445" s="1" t="s">
        <v>23</v>
      </c>
      <c r="J2445" s="1">
        <v>3.9370078740157466E-2</v>
      </c>
      <c r="K2445" s="1">
        <v>78.740157480314934</v>
      </c>
      <c r="L2445" s="1">
        <v>39.370078740157467</v>
      </c>
      <c r="M2445" s="1">
        <v>19.685039370078734</v>
      </c>
    </row>
    <row r="2446" spans="4:13">
      <c r="D2446" s="1" t="s">
        <v>1468</v>
      </c>
      <c r="E2446" s="1" t="s">
        <v>1472</v>
      </c>
      <c r="H2446" s="1" t="s">
        <v>25</v>
      </c>
      <c r="I2446" s="1" t="s">
        <v>23</v>
      </c>
      <c r="M2446" s="1" t="b">
        <v>0</v>
      </c>
    </row>
    <row r="2447" spans="4:13">
      <c r="D2447" s="1" t="s">
        <v>1468</v>
      </c>
      <c r="E2447" s="1" t="s">
        <v>1473</v>
      </c>
      <c r="F2447" s="1" t="s">
        <v>176</v>
      </c>
      <c r="G2447" s="1" t="s">
        <v>177</v>
      </c>
      <c r="H2447" s="1" t="s">
        <v>22</v>
      </c>
      <c r="I2447" s="1" t="s">
        <v>23</v>
      </c>
      <c r="J2447" s="1">
        <v>3.9370078740157466E-2</v>
      </c>
      <c r="K2447" s="1">
        <v>78.740157480314934</v>
      </c>
      <c r="L2447" s="1">
        <v>39.370078740157467</v>
      </c>
      <c r="M2447" s="1">
        <v>7.8740157480314936</v>
      </c>
    </row>
    <row r="2448" spans="4:13">
      <c r="D2448" s="1" t="s">
        <v>1468</v>
      </c>
      <c r="E2448" s="1" t="s">
        <v>1474</v>
      </c>
      <c r="H2448" s="1" t="s">
        <v>25</v>
      </c>
      <c r="I2448" s="1" t="s">
        <v>23</v>
      </c>
      <c r="M2448" s="1" t="b">
        <v>0</v>
      </c>
    </row>
    <row r="2449" spans="4:13">
      <c r="D2449" s="1" t="s">
        <v>1468</v>
      </c>
      <c r="E2449" s="1" t="s">
        <v>47</v>
      </c>
      <c r="H2449" s="1" t="s">
        <v>25</v>
      </c>
      <c r="I2449" s="1" t="s">
        <v>23</v>
      </c>
      <c r="M2449" s="1" t="b">
        <v>0</v>
      </c>
    </row>
    <row r="2450" spans="4:13">
      <c r="D2450" s="1" t="s">
        <v>1468</v>
      </c>
      <c r="E2450" s="1" t="s">
        <v>1475</v>
      </c>
      <c r="H2450" s="1" t="s">
        <v>25</v>
      </c>
      <c r="I2450" s="1" t="s">
        <v>23</v>
      </c>
      <c r="M2450" s="1" t="b">
        <v>1</v>
      </c>
    </row>
    <row r="2451" spans="4:13">
      <c r="D2451" s="1" t="s">
        <v>1468</v>
      </c>
      <c r="E2451" s="1" t="s">
        <v>1476</v>
      </c>
      <c r="F2451" s="1" t="s">
        <v>176</v>
      </c>
      <c r="G2451" s="1" t="s">
        <v>177</v>
      </c>
      <c r="H2451" s="1" t="s">
        <v>22</v>
      </c>
      <c r="I2451" s="1" t="s">
        <v>23</v>
      </c>
      <c r="J2451" s="1">
        <v>3.9370078740157466E-2</v>
      </c>
      <c r="L2451" s="1">
        <v>39.370078740157467</v>
      </c>
      <c r="M2451" s="1">
        <v>3.9370078740157468</v>
      </c>
    </row>
    <row r="2452" spans="4:13">
      <c r="D2452" s="1" t="s">
        <v>1468</v>
      </c>
      <c r="E2452" s="1" t="s">
        <v>1477</v>
      </c>
      <c r="F2452" s="1" t="s">
        <v>45</v>
      </c>
      <c r="G2452" s="1" t="s">
        <v>46</v>
      </c>
      <c r="H2452" s="1" t="s">
        <v>22</v>
      </c>
      <c r="I2452" s="1" t="s">
        <v>29</v>
      </c>
      <c r="J2452" s="1">
        <v>-6.3932502128443591</v>
      </c>
      <c r="K2452" s="1">
        <v>358.61435929656</v>
      </c>
      <c r="L2452" s="1">
        <v>114.79148749423418</v>
      </c>
    </row>
    <row r="2453" spans="4:13">
      <c r="D2453" s="1" t="s">
        <v>1468</v>
      </c>
      <c r="E2453" s="1" t="s">
        <v>1478</v>
      </c>
      <c r="F2453" s="1" t="s">
        <v>56</v>
      </c>
      <c r="G2453" s="1" t="s">
        <v>57</v>
      </c>
      <c r="H2453" s="1" t="s">
        <v>22</v>
      </c>
      <c r="I2453" s="1" t="s">
        <v>29</v>
      </c>
      <c r="J2453" s="1">
        <v>4.9312830828271128</v>
      </c>
      <c r="K2453" s="1">
        <v>623.66227223989961</v>
      </c>
      <c r="L2453" s="1">
        <v>50.713895374744951</v>
      </c>
    </row>
    <row r="2454" spans="4:13">
      <c r="D2454" s="1" t="s">
        <v>1468</v>
      </c>
      <c r="E2454" s="1" t="s">
        <v>1479</v>
      </c>
      <c r="F2454" s="1" t="s">
        <v>52</v>
      </c>
      <c r="G2454" s="1" t="s">
        <v>53</v>
      </c>
      <c r="H2454" s="1" t="s">
        <v>22</v>
      </c>
      <c r="I2454" s="1" t="s">
        <v>29</v>
      </c>
      <c r="J2454" s="1">
        <v>-793664.14386555995</v>
      </c>
      <c r="K2454" s="1">
        <v>-7.9366414386555992E-3</v>
      </c>
      <c r="L2454" s="1">
        <v>7936.6414386555998</v>
      </c>
    </row>
    <row r="2455" spans="4:13">
      <c r="D2455" s="1" t="s">
        <v>1468</v>
      </c>
      <c r="E2455" s="1" t="s">
        <v>1480</v>
      </c>
      <c r="F2455" s="1" t="s">
        <v>52</v>
      </c>
      <c r="G2455" s="1" t="s">
        <v>53</v>
      </c>
      <c r="H2455" s="1" t="s">
        <v>22</v>
      </c>
      <c r="I2455" s="1" t="s">
        <v>29</v>
      </c>
      <c r="J2455" s="1">
        <v>-793664.14386555995</v>
      </c>
      <c r="K2455" s="1">
        <v>-7.9366414386555992E-3</v>
      </c>
      <c r="L2455" s="1">
        <v>7936.6414386555998</v>
      </c>
    </row>
    <row r="2456" spans="4:13">
      <c r="D2456" s="1" t="s">
        <v>1468</v>
      </c>
      <c r="E2456" s="1" t="s">
        <v>1481</v>
      </c>
      <c r="F2456" s="1" t="s">
        <v>118</v>
      </c>
      <c r="G2456" s="1" t="s">
        <v>119</v>
      </c>
      <c r="H2456" s="1" t="s">
        <v>22</v>
      </c>
      <c r="I2456" s="1" t="s">
        <v>23</v>
      </c>
      <c r="J2456" s="1">
        <v>0</v>
      </c>
      <c r="L2456" s="1">
        <v>2.20462262185</v>
      </c>
      <c r="M2456" s="1">
        <v>5.5115565546249998</v>
      </c>
    </row>
    <row r="2457" spans="4:13">
      <c r="D2457" s="1" t="s">
        <v>1468</v>
      </c>
      <c r="E2457" s="1" t="s">
        <v>1482</v>
      </c>
      <c r="H2457" s="1" t="s">
        <v>25</v>
      </c>
      <c r="I2457" s="1" t="s">
        <v>23</v>
      </c>
      <c r="M2457" s="1" t="b">
        <v>0</v>
      </c>
    </row>
    <row r="2458" spans="4:13">
      <c r="D2458" s="1" t="s">
        <v>1468</v>
      </c>
      <c r="E2458" s="1" t="s">
        <v>1081</v>
      </c>
      <c r="H2458" s="1" t="s">
        <v>22</v>
      </c>
      <c r="I2458" s="1" t="s">
        <v>23</v>
      </c>
      <c r="L2458" s="1">
        <v>1</v>
      </c>
      <c r="M2458" s="1">
        <v>0.5</v>
      </c>
    </row>
    <row r="2459" spans="4:13">
      <c r="D2459" s="1" t="s">
        <v>1468</v>
      </c>
      <c r="E2459" s="1" t="s">
        <v>1483</v>
      </c>
      <c r="H2459" s="1" t="s">
        <v>22</v>
      </c>
      <c r="I2459" s="1" t="s">
        <v>23</v>
      </c>
      <c r="L2459" s="1">
        <v>1</v>
      </c>
      <c r="M2459" s="1">
        <v>1E-10</v>
      </c>
    </row>
    <row r="2460" spans="4:13">
      <c r="D2460" s="1" t="s">
        <v>1468</v>
      </c>
      <c r="E2460" s="1" t="s">
        <v>1298</v>
      </c>
      <c r="F2460" s="1" t="s">
        <v>147</v>
      </c>
      <c r="G2460" s="1" t="s">
        <v>148</v>
      </c>
      <c r="H2460" s="1" t="s">
        <v>22</v>
      </c>
      <c r="I2460" s="1" t="s">
        <v>65</v>
      </c>
      <c r="L2460" s="1">
        <v>3.4121416351331</v>
      </c>
    </row>
    <row r="2461" spans="4:13">
      <c r="D2461" s="1" t="s">
        <v>1468</v>
      </c>
      <c r="E2461" s="1" t="s">
        <v>1484</v>
      </c>
      <c r="F2461" s="1" t="s">
        <v>35</v>
      </c>
      <c r="G2461" s="1" t="s">
        <v>36</v>
      </c>
      <c r="H2461" s="1" t="s">
        <v>22</v>
      </c>
      <c r="I2461" s="1" t="s">
        <v>65</v>
      </c>
      <c r="J2461" s="1">
        <v>-459.67</v>
      </c>
      <c r="L2461" s="1">
        <v>80.329999999999984</v>
      </c>
    </row>
    <row r="2462" spans="4:13">
      <c r="D2462" s="1" t="s">
        <v>1468</v>
      </c>
      <c r="E2462" s="1" t="s">
        <v>1485</v>
      </c>
      <c r="F2462" s="1" t="s">
        <v>35</v>
      </c>
      <c r="G2462" s="1" t="s">
        <v>36</v>
      </c>
      <c r="H2462" s="1" t="s">
        <v>22</v>
      </c>
      <c r="I2462" s="1" t="s">
        <v>65</v>
      </c>
      <c r="J2462" s="1">
        <v>-459.67</v>
      </c>
      <c r="L2462" s="1">
        <v>80.329999999999984</v>
      </c>
    </row>
    <row r="2463" spans="4:13">
      <c r="D2463" s="1" t="s">
        <v>1468</v>
      </c>
      <c r="E2463" s="1" t="s">
        <v>1486</v>
      </c>
      <c r="F2463" s="1" t="s">
        <v>124</v>
      </c>
      <c r="G2463" s="1" t="s">
        <v>125</v>
      </c>
      <c r="H2463" s="1" t="s">
        <v>22</v>
      </c>
      <c r="I2463" s="1" t="s">
        <v>65</v>
      </c>
      <c r="L2463" s="1">
        <v>35.314666699999997</v>
      </c>
    </row>
    <row r="2464" spans="4:13">
      <c r="D2464" s="1" t="s">
        <v>1468</v>
      </c>
      <c r="E2464" s="1" t="s">
        <v>1487</v>
      </c>
      <c r="F2464" s="1" t="s">
        <v>124</v>
      </c>
      <c r="G2464" s="1" t="s">
        <v>125</v>
      </c>
      <c r="H2464" s="1" t="s">
        <v>22</v>
      </c>
      <c r="I2464" s="1" t="s">
        <v>65</v>
      </c>
      <c r="L2464" s="1">
        <v>35.314666699999997</v>
      </c>
    </row>
    <row r="2465" spans="4:13">
      <c r="D2465" s="1" t="s">
        <v>1468</v>
      </c>
      <c r="E2465" s="1" t="s">
        <v>1448</v>
      </c>
      <c r="H2465" s="1" t="s">
        <v>22</v>
      </c>
      <c r="I2465" s="1" t="s">
        <v>120</v>
      </c>
      <c r="L2465" s="1">
        <v>1</v>
      </c>
    </row>
    <row r="2466" spans="4:13">
      <c r="D2466" s="1" t="s">
        <v>1468</v>
      </c>
      <c r="E2466" s="1" t="s">
        <v>68</v>
      </c>
      <c r="F2466" s="1" t="s">
        <v>45</v>
      </c>
      <c r="G2466" s="1" t="s">
        <v>46</v>
      </c>
      <c r="H2466" s="1" t="s">
        <v>22</v>
      </c>
      <c r="I2466" s="1" t="s">
        <v>65</v>
      </c>
      <c r="L2466" s="1">
        <v>4.2992261378713571E-4</v>
      </c>
    </row>
    <row r="2467" spans="4:13">
      <c r="D2467" s="1" t="s">
        <v>1468</v>
      </c>
      <c r="E2467" s="1" t="s">
        <v>69</v>
      </c>
      <c r="H2467" s="1" t="s">
        <v>25</v>
      </c>
      <c r="I2467" s="1" t="s">
        <v>70</v>
      </c>
    </row>
    <row r="2468" spans="4:13">
      <c r="D2468" s="1" t="s">
        <v>1468</v>
      </c>
      <c r="E2468" s="1" t="s">
        <v>1450</v>
      </c>
      <c r="F2468" s="1" t="s">
        <v>176</v>
      </c>
      <c r="G2468" s="1" t="s">
        <v>177</v>
      </c>
      <c r="H2468" s="1" t="s">
        <v>22</v>
      </c>
      <c r="I2468" s="1" t="s">
        <v>65</v>
      </c>
      <c r="J2468" s="1">
        <v>0</v>
      </c>
      <c r="L2468" s="1">
        <v>39.370078740157467</v>
      </c>
    </row>
    <row r="2469" spans="4:13">
      <c r="D2469" s="1" t="s">
        <v>1468</v>
      </c>
      <c r="E2469" s="1" t="s">
        <v>117</v>
      </c>
      <c r="F2469" s="1" t="s">
        <v>118</v>
      </c>
      <c r="G2469" s="1" t="s">
        <v>119</v>
      </c>
      <c r="H2469" s="1" t="s">
        <v>22</v>
      </c>
      <c r="I2469" s="1" t="s">
        <v>65</v>
      </c>
      <c r="J2469" s="1">
        <v>0</v>
      </c>
      <c r="L2469" s="1">
        <v>2.20462262185</v>
      </c>
    </row>
    <row r="2470" spans="4:13">
      <c r="D2470" s="1" t="s">
        <v>1468</v>
      </c>
      <c r="E2470" s="1" t="s">
        <v>1488</v>
      </c>
      <c r="H2470" s="1" t="s">
        <v>22</v>
      </c>
      <c r="I2470" s="1" t="s">
        <v>65</v>
      </c>
      <c r="L2470" s="1">
        <v>1</v>
      </c>
    </row>
    <row r="2471" spans="4:13">
      <c r="D2471" s="1" t="s">
        <v>1468</v>
      </c>
      <c r="E2471" s="1" t="s">
        <v>123</v>
      </c>
      <c r="F2471" s="1" t="s">
        <v>124</v>
      </c>
      <c r="G2471" s="1" t="s">
        <v>125</v>
      </c>
      <c r="H2471" s="1" t="s">
        <v>22</v>
      </c>
      <c r="I2471" s="1" t="s">
        <v>70</v>
      </c>
      <c r="L2471" s="1">
        <v>35.314666699999997</v>
      </c>
    </row>
    <row r="2472" spans="4:13">
      <c r="D2472" s="1" t="s">
        <v>1468</v>
      </c>
      <c r="E2472" s="1" t="s">
        <v>77</v>
      </c>
      <c r="H2472" s="1" t="s">
        <v>22</v>
      </c>
      <c r="I2472" s="1" t="s">
        <v>65</v>
      </c>
      <c r="L2472" s="1">
        <v>1</v>
      </c>
    </row>
    <row r="2473" spans="4:13">
      <c r="D2473" s="1" t="s">
        <v>1489</v>
      </c>
      <c r="E2473" s="1" t="s">
        <v>1490</v>
      </c>
      <c r="F2473" s="1" t="s">
        <v>35</v>
      </c>
      <c r="G2473" s="1" t="s">
        <v>36</v>
      </c>
      <c r="H2473" s="1" t="s">
        <v>22</v>
      </c>
      <c r="I2473" s="1" t="s">
        <v>23</v>
      </c>
      <c r="J2473" s="1">
        <v>-459.67</v>
      </c>
      <c r="L2473" s="1">
        <v>80.329999999999984</v>
      </c>
      <c r="M2473" s="1">
        <v>94.999999999999943</v>
      </c>
    </row>
    <row r="2474" spans="4:13">
      <c r="D2474" s="1" t="s">
        <v>1489</v>
      </c>
      <c r="E2474" s="1" t="s">
        <v>1491</v>
      </c>
      <c r="F2474" s="1" t="s">
        <v>147</v>
      </c>
      <c r="G2474" s="1" t="s">
        <v>148</v>
      </c>
      <c r="H2474" s="1" t="s">
        <v>22</v>
      </c>
      <c r="I2474" s="1" t="s">
        <v>23</v>
      </c>
      <c r="L2474" s="1">
        <v>3.4121416351331</v>
      </c>
      <c r="M2474" s="1">
        <v>5400225.9588434007</v>
      </c>
    </row>
    <row r="2475" spans="4:13">
      <c r="D2475" s="1" t="s">
        <v>1489</v>
      </c>
      <c r="E2475" s="1" t="s">
        <v>1492</v>
      </c>
      <c r="F2475" s="1" t="s">
        <v>1493</v>
      </c>
      <c r="G2475" s="1" t="s">
        <v>1494</v>
      </c>
      <c r="H2475" s="1" t="s">
        <v>22</v>
      </c>
      <c r="I2475" s="1" t="s">
        <v>23</v>
      </c>
      <c r="L2475" s="1">
        <v>3.280839895013123</v>
      </c>
      <c r="M2475" s="1">
        <v>32.174048556430442</v>
      </c>
    </row>
    <row r="2476" spans="4:13">
      <c r="D2476" s="1" t="s">
        <v>1489</v>
      </c>
      <c r="E2476" s="1" t="s">
        <v>1495</v>
      </c>
      <c r="F2476" s="1" t="s">
        <v>56</v>
      </c>
      <c r="G2476" s="1" t="s">
        <v>57</v>
      </c>
      <c r="H2476" s="1" t="s">
        <v>22</v>
      </c>
      <c r="I2476" s="1" t="s">
        <v>23</v>
      </c>
      <c r="J2476" s="1">
        <v>0</v>
      </c>
      <c r="L2476" s="1">
        <v>14.503773773020921</v>
      </c>
      <c r="M2476" s="1">
        <v>14.695948775513449</v>
      </c>
    </row>
    <row r="2477" spans="4:13">
      <c r="D2477" s="1" t="s">
        <v>1489</v>
      </c>
      <c r="E2477" s="1" t="s">
        <v>1496</v>
      </c>
      <c r="H2477" s="1" t="s">
        <v>181</v>
      </c>
      <c r="I2477" s="1" t="s">
        <v>23</v>
      </c>
      <c r="J2477" s="1">
        <v>1</v>
      </c>
      <c r="K2477" s="1">
        <v>2</v>
      </c>
      <c r="M2477" s="1" t="s">
        <v>1497</v>
      </c>
    </row>
    <row r="2478" spans="4:13">
      <c r="D2478" s="1" t="s">
        <v>1489</v>
      </c>
      <c r="E2478" s="1" t="s">
        <v>1498</v>
      </c>
      <c r="H2478" s="1" t="s">
        <v>181</v>
      </c>
      <c r="I2478" s="1" t="s">
        <v>23</v>
      </c>
      <c r="J2478" s="1">
        <v>1</v>
      </c>
      <c r="K2478" s="1">
        <v>2</v>
      </c>
      <c r="M2478" s="1" t="s">
        <v>1499</v>
      </c>
    </row>
    <row r="2479" spans="4:13">
      <c r="D2479" s="1" t="s">
        <v>1500</v>
      </c>
      <c r="H2479" s="1" t="s">
        <v>25</v>
      </c>
      <c r="I2479" s="1" t="s">
        <v>23</v>
      </c>
      <c r="M2479" s="1" t="b">
        <v>1</v>
      </c>
    </row>
    <row r="2480" spans="4:13">
      <c r="D2480" s="1" t="s">
        <v>1474</v>
      </c>
      <c r="H2480" s="1" t="s">
        <v>25</v>
      </c>
      <c r="I2480" s="1" t="s">
        <v>23</v>
      </c>
      <c r="M2480" s="1" t="b">
        <v>0</v>
      </c>
    </row>
    <row r="2481" spans="4:13">
      <c r="D2481" s="1" t="s">
        <v>1501</v>
      </c>
      <c r="H2481" s="1" t="s">
        <v>25</v>
      </c>
      <c r="I2481" s="1" t="s">
        <v>23</v>
      </c>
      <c r="M2481" s="1" t="b">
        <v>0</v>
      </c>
    </row>
    <row r="2482" spans="4:13">
      <c r="D2482" s="1" t="s">
        <v>1502</v>
      </c>
      <c r="H2482" s="1" t="s">
        <v>25</v>
      </c>
      <c r="I2482" s="1" t="s">
        <v>23</v>
      </c>
      <c r="M2482" s="1" t="b">
        <v>1</v>
      </c>
    </row>
    <row r="2483" spans="4:13">
      <c r="D2483" s="1" t="s">
        <v>1503</v>
      </c>
      <c r="H2483" s="1" t="s">
        <v>25</v>
      </c>
      <c r="I2483" s="1" t="s">
        <v>23</v>
      </c>
      <c r="M2483" s="1" t="b">
        <v>1</v>
      </c>
    </row>
    <row r="2484" spans="4:13">
      <c r="D2484" s="1" t="s">
        <v>1504</v>
      </c>
      <c r="H2484" s="1" t="s">
        <v>25</v>
      </c>
      <c r="I2484" s="1" t="s">
        <v>23</v>
      </c>
      <c r="M2484" s="1" t="b">
        <v>1</v>
      </c>
    </row>
    <row r="2485" spans="4:13">
      <c r="D2485" s="1" t="s">
        <v>1505</v>
      </c>
      <c r="H2485" s="1" t="s">
        <v>25</v>
      </c>
      <c r="I2485" s="1" t="s">
        <v>23</v>
      </c>
      <c r="M2485" s="1" t="b">
        <v>0</v>
      </c>
    </row>
    <row r="2486" spans="4:13">
      <c r="D2486" s="1" t="s">
        <v>1506</v>
      </c>
      <c r="E2486" s="1" t="s">
        <v>47</v>
      </c>
      <c r="H2486" s="1" t="s">
        <v>25</v>
      </c>
      <c r="I2486" s="1" t="s">
        <v>23</v>
      </c>
      <c r="M2486" s="1" t="b">
        <v>0</v>
      </c>
    </row>
    <row r="2487" spans="4:13">
      <c r="D2487" s="1" t="s">
        <v>1506</v>
      </c>
      <c r="E2487" s="1" t="s">
        <v>1507</v>
      </c>
      <c r="H2487" s="1" t="s">
        <v>25</v>
      </c>
      <c r="I2487" s="1" t="s">
        <v>23</v>
      </c>
      <c r="M2487" s="1" t="b">
        <v>0</v>
      </c>
    </row>
    <row r="2488" spans="4:13">
      <c r="D2488" s="1" t="s">
        <v>1506</v>
      </c>
      <c r="E2488" s="1" t="s">
        <v>1508</v>
      </c>
      <c r="H2488" s="1" t="s">
        <v>25</v>
      </c>
      <c r="I2488" s="1" t="s">
        <v>23</v>
      </c>
      <c r="M2488" s="1" t="b">
        <v>0</v>
      </c>
    </row>
    <row r="2489" spans="4:13">
      <c r="D2489" s="1" t="s">
        <v>1506</v>
      </c>
      <c r="E2489" s="1" t="s">
        <v>62</v>
      </c>
      <c r="H2489" s="1" t="s">
        <v>63</v>
      </c>
      <c r="I2489" s="1" t="s">
        <v>23</v>
      </c>
      <c r="M2489" s="1">
        <v>1</v>
      </c>
    </row>
    <row r="2490" spans="4:13">
      <c r="D2490" s="1" t="s">
        <v>1509</v>
      </c>
      <c r="E2490" s="1" t="s">
        <v>47</v>
      </c>
      <c r="H2490" s="1" t="s">
        <v>25</v>
      </c>
      <c r="I2490" s="1" t="s">
        <v>23</v>
      </c>
      <c r="M2490" s="1" t="b">
        <v>0</v>
      </c>
    </row>
    <row r="2491" spans="4:13">
      <c r="D2491" s="1" t="s">
        <v>1509</v>
      </c>
      <c r="E2491" s="1" t="s">
        <v>1507</v>
      </c>
      <c r="H2491" s="1" t="s">
        <v>25</v>
      </c>
      <c r="I2491" s="1" t="s">
        <v>23</v>
      </c>
      <c r="M2491" s="1" t="b">
        <v>0</v>
      </c>
    </row>
    <row r="2492" spans="4:13">
      <c r="D2492" s="1" t="s">
        <v>1509</v>
      </c>
      <c r="E2492" s="1" t="s">
        <v>1508</v>
      </c>
      <c r="H2492" s="1" t="s">
        <v>25</v>
      </c>
      <c r="I2492" s="1" t="s">
        <v>23</v>
      </c>
      <c r="M2492" s="1" t="b">
        <v>0</v>
      </c>
    </row>
    <row r="2493" spans="4:13">
      <c r="D2493" s="1" t="s">
        <v>1509</v>
      </c>
      <c r="E2493" s="1" t="s">
        <v>62</v>
      </c>
      <c r="H2493" s="1" t="s">
        <v>63</v>
      </c>
      <c r="I2493" s="1" t="s">
        <v>23</v>
      </c>
      <c r="M2493" s="1">
        <v>1</v>
      </c>
    </row>
    <row r="2494" spans="4:13">
      <c r="D2494" s="1" t="s">
        <v>1510</v>
      </c>
      <c r="E2494" s="1" t="s">
        <v>47</v>
      </c>
      <c r="H2494" s="1" t="s">
        <v>25</v>
      </c>
      <c r="I2494" s="1" t="s">
        <v>23</v>
      </c>
      <c r="M2494" s="1" t="b">
        <v>0</v>
      </c>
    </row>
    <row r="2495" spans="4:13">
      <c r="D2495" s="1" t="s">
        <v>1510</v>
      </c>
      <c r="E2495" s="1" t="s">
        <v>1507</v>
      </c>
      <c r="H2495" s="1" t="s">
        <v>25</v>
      </c>
      <c r="I2495" s="1" t="s">
        <v>23</v>
      </c>
      <c r="M2495" s="1" t="b">
        <v>0</v>
      </c>
    </row>
    <row r="2496" spans="4:13">
      <c r="D2496" s="1" t="s">
        <v>1510</v>
      </c>
      <c r="E2496" s="1" t="s">
        <v>1508</v>
      </c>
      <c r="H2496" s="1" t="s">
        <v>25</v>
      </c>
      <c r="I2496" s="1" t="s">
        <v>23</v>
      </c>
      <c r="M2496" s="1" t="b">
        <v>0</v>
      </c>
    </row>
    <row r="2497" spans="4:13">
      <c r="D2497" s="1" t="s">
        <v>1510</v>
      </c>
      <c r="E2497" s="1" t="s">
        <v>62</v>
      </c>
      <c r="H2497" s="1" t="s">
        <v>63</v>
      </c>
      <c r="I2497" s="1" t="s">
        <v>23</v>
      </c>
      <c r="M2497" s="1">
        <v>1</v>
      </c>
    </row>
    <row r="2498" spans="4:13">
      <c r="D2498" s="1" t="s">
        <v>1511</v>
      </c>
      <c r="E2498" s="1" t="s">
        <v>47</v>
      </c>
      <c r="H2498" s="1" t="s">
        <v>25</v>
      </c>
      <c r="I2498" s="1" t="s">
        <v>23</v>
      </c>
      <c r="M2498" s="1" t="b">
        <v>0</v>
      </c>
    </row>
    <row r="2499" spans="4:13">
      <c r="D2499" s="1" t="s">
        <v>1511</v>
      </c>
      <c r="E2499" s="1" t="s">
        <v>1507</v>
      </c>
      <c r="H2499" s="1" t="s">
        <v>25</v>
      </c>
      <c r="I2499" s="1" t="s">
        <v>23</v>
      </c>
      <c r="M2499" s="1" t="b">
        <v>0</v>
      </c>
    </row>
    <row r="2500" spans="4:13">
      <c r="D2500" s="1" t="s">
        <v>1511</v>
      </c>
      <c r="E2500" s="1" t="s">
        <v>1508</v>
      </c>
      <c r="H2500" s="1" t="s">
        <v>25</v>
      </c>
      <c r="I2500" s="1" t="s">
        <v>23</v>
      </c>
      <c r="M2500" s="1" t="b">
        <v>0</v>
      </c>
    </row>
    <row r="2501" spans="4:13">
      <c r="D2501" s="1" t="s">
        <v>1511</v>
      </c>
      <c r="E2501" s="1" t="s">
        <v>62</v>
      </c>
      <c r="H2501" s="1" t="s">
        <v>63</v>
      </c>
      <c r="I2501" s="1" t="s">
        <v>23</v>
      </c>
      <c r="M2501" s="1">
        <v>1</v>
      </c>
    </row>
    <row r="2502" spans="4:13">
      <c r="D2502" s="1" t="s">
        <v>1512</v>
      </c>
      <c r="E2502" s="1" t="s">
        <v>1513</v>
      </c>
      <c r="H2502" s="1" t="s">
        <v>25</v>
      </c>
      <c r="I2502" s="1" t="s">
        <v>23</v>
      </c>
      <c r="M2502" s="1" t="b">
        <v>1</v>
      </c>
    </row>
    <row r="2503" spans="4:13">
      <c r="D2503" s="1" t="s">
        <v>1512</v>
      </c>
      <c r="E2503" s="1" t="s">
        <v>871</v>
      </c>
      <c r="H2503" s="1" t="s">
        <v>25</v>
      </c>
      <c r="I2503" s="1" t="s">
        <v>23</v>
      </c>
      <c r="M2503" s="1" t="b">
        <v>0</v>
      </c>
    </row>
    <row r="2504" spans="4:13">
      <c r="D2504" s="1" t="s">
        <v>1512</v>
      </c>
      <c r="E2504" s="1" t="s">
        <v>872</v>
      </c>
      <c r="F2504" s="1" t="s">
        <v>147</v>
      </c>
      <c r="G2504" s="1" t="s">
        <v>148</v>
      </c>
      <c r="H2504" s="1" t="s">
        <v>22</v>
      </c>
      <c r="I2504" s="1" t="s">
        <v>23</v>
      </c>
      <c r="J2504" s="1">
        <v>0</v>
      </c>
      <c r="K2504" s="1">
        <v>34121416.351331003</v>
      </c>
      <c r="L2504" s="1">
        <v>3.4121416351331</v>
      </c>
      <c r="M2504" s="1">
        <v>1706.07081756655</v>
      </c>
    </row>
    <row r="2505" spans="4:13">
      <c r="D2505" s="1" t="s">
        <v>1512</v>
      </c>
      <c r="E2505" s="1" t="s">
        <v>1514</v>
      </c>
      <c r="H2505" s="1" t="s">
        <v>25</v>
      </c>
      <c r="I2505" s="1" t="s">
        <v>23</v>
      </c>
      <c r="M2505" s="1" t="b">
        <v>1</v>
      </c>
    </row>
    <row r="2506" spans="4:13">
      <c r="D2506" s="1" t="s">
        <v>1512</v>
      </c>
      <c r="E2506" s="1" t="s">
        <v>1515</v>
      </c>
      <c r="F2506" s="1" t="s">
        <v>147</v>
      </c>
      <c r="G2506" s="1" t="s">
        <v>148</v>
      </c>
      <c r="H2506" s="1" t="s">
        <v>22</v>
      </c>
      <c r="I2506" s="1" t="s">
        <v>23</v>
      </c>
      <c r="J2506" s="1">
        <v>0</v>
      </c>
      <c r="K2506" s="1">
        <v>34121416351.331001</v>
      </c>
      <c r="L2506" s="1">
        <v>3.4121416351331</v>
      </c>
      <c r="M2506" s="1">
        <v>0</v>
      </c>
    </row>
    <row r="2507" spans="4:13">
      <c r="D2507" s="1" t="s">
        <v>1512</v>
      </c>
      <c r="E2507" s="1" t="s">
        <v>1516</v>
      </c>
      <c r="F2507" s="1" t="s">
        <v>1517</v>
      </c>
      <c r="G2507" s="1" t="s">
        <v>1517</v>
      </c>
      <c r="H2507" s="1" t="s">
        <v>22</v>
      </c>
      <c r="I2507" s="1" t="s">
        <v>23</v>
      </c>
      <c r="J2507" s="1">
        <v>0</v>
      </c>
      <c r="K2507" s="1">
        <v>1000</v>
      </c>
      <c r="L2507" s="1">
        <v>1</v>
      </c>
      <c r="M2507" s="1">
        <v>460</v>
      </c>
    </row>
    <row r="2508" spans="4:13">
      <c r="D2508" s="1" t="s">
        <v>1512</v>
      </c>
      <c r="E2508" s="1" t="s">
        <v>906</v>
      </c>
      <c r="H2508" s="1" t="s">
        <v>22</v>
      </c>
      <c r="I2508" s="1" t="s">
        <v>23</v>
      </c>
      <c r="J2508" s="1">
        <v>0.5</v>
      </c>
      <c r="K2508" s="1">
        <v>2</v>
      </c>
      <c r="L2508" s="1">
        <v>1</v>
      </c>
      <c r="M2508" s="1">
        <v>1</v>
      </c>
    </row>
    <row r="2509" spans="4:13">
      <c r="D2509" s="1" t="s">
        <v>1512</v>
      </c>
      <c r="E2509" s="1" t="s">
        <v>907</v>
      </c>
      <c r="H2509" s="1" t="s">
        <v>25</v>
      </c>
      <c r="I2509" s="1" t="s">
        <v>23</v>
      </c>
      <c r="M2509" s="1" t="b">
        <v>1</v>
      </c>
    </row>
    <row r="2510" spans="4:13">
      <c r="D2510" s="1" t="s">
        <v>1512</v>
      </c>
      <c r="E2510" s="1" t="s">
        <v>914</v>
      </c>
      <c r="H2510" s="1" t="s">
        <v>22</v>
      </c>
      <c r="I2510" s="1" t="s">
        <v>29</v>
      </c>
      <c r="J2510" s="1">
        <v>0.1</v>
      </c>
      <c r="K2510" s="1">
        <v>10</v>
      </c>
      <c r="L2510" s="1">
        <v>5.05</v>
      </c>
    </row>
    <row r="2511" spans="4:13">
      <c r="D2511" s="1" t="s">
        <v>1512</v>
      </c>
      <c r="E2511" s="1" t="s">
        <v>1518</v>
      </c>
      <c r="H2511" s="1" t="s">
        <v>22</v>
      </c>
      <c r="I2511" s="1" t="s">
        <v>29</v>
      </c>
      <c r="J2511" s="1">
        <v>9.9999999999999995E-7</v>
      </c>
      <c r="K2511" s="1">
        <v>1000000</v>
      </c>
      <c r="L2511" s="1">
        <v>13500</v>
      </c>
    </row>
    <row r="2512" spans="4:13">
      <c r="D2512" s="1" t="s">
        <v>1512</v>
      </c>
      <c r="E2512" s="1" t="s">
        <v>1519</v>
      </c>
      <c r="H2512" s="1" t="s">
        <v>25</v>
      </c>
      <c r="I2512" s="1" t="s">
        <v>23</v>
      </c>
      <c r="M2512" s="1" t="b">
        <v>1</v>
      </c>
    </row>
    <row r="2513" spans="4:13">
      <c r="D2513" s="1" t="s">
        <v>1512</v>
      </c>
      <c r="E2513" s="1" t="s">
        <v>1520</v>
      </c>
      <c r="H2513" s="1" t="s">
        <v>22</v>
      </c>
      <c r="I2513" s="1" t="s">
        <v>23</v>
      </c>
      <c r="J2513" s="1">
        <v>0</v>
      </c>
      <c r="K2513" s="1">
        <v>1</v>
      </c>
      <c r="L2513" s="1">
        <v>1</v>
      </c>
      <c r="M2513" s="1">
        <v>0.95779999999999998</v>
      </c>
    </row>
    <row r="2514" spans="4:13">
      <c r="D2514" s="1" t="s">
        <v>1512</v>
      </c>
      <c r="E2514" s="1" t="s">
        <v>47</v>
      </c>
      <c r="H2514" s="1" t="s">
        <v>25</v>
      </c>
      <c r="I2514" s="1" t="s">
        <v>23</v>
      </c>
      <c r="M2514" s="1" t="b">
        <v>0</v>
      </c>
    </row>
    <row r="2515" spans="4:13">
      <c r="D2515" s="1" t="s">
        <v>1512</v>
      </c>
      <c r="E2515" s="1" t="s">
        <v>920</v>
      </c>
      <c r="H2515" s="1" t="s">
        <v>22</v>
      </c>
      <c r="I2515" s="1" t="s">
        <v>23</v>
      </c>
      <c r="J2515" s="1">
        <v>-1</v>
      </c>
      <c r="K2515" s="1">
        <v>1</v>
      </c>
      <c r="L2515" s="1">
        <v>1</v>
      </c>
      <c r="M2515" s="1">
        <v>0</v>
      </c>
    </row>
    <row r="2516" spans="4:13">
      <c r="D2516" s="1" t="s">
        <v>1512</v>
      </c>
      <c r="E2516" s="1" t="s">
        <v>921</v>
      </c>
      <c r="H2516" s="1" t="s">
        <v>22</v>
      </c>
      <c r="I2516" s="1" t="s">
        <v>23</v>
      </c>
      <c r="J2516" s="1">
        <v>0</v>
      </c>
      <c r="K2516" s="1">
        <v>1</v>
      </c>
      <c r="L2516" s="1">
        <v>1</v>
      </c>
      <c r="M2516" s="1">
        <v>0</v>
      </c>
    </row>
    <row r="2517" spans="4:13">
      <c r="D2517" s="1" t="s">
        <v>1512</v>
      </c>
      <c r="E2517" s="1" t="s">
        <v>1521</v>
      </c>
      <c r="H2517" s="1" t="s">
        <v>25</v>
      </c>
      <c r="I2517" s="1" t="s">
        <v>23</v>
      </c>
      <c r="M2517" s="1" t="b">
        <v>0</v>
      </c>
    </row>
    <row r="2518" spans="4:13">
      <c r="D2518" s="1" t="s">
        <v>1512</v>
      </c>
      <c r="E2518" s="1" t="s">
        <v>1522</v>
      </c>
      <c r="F2518" s="1" t="s">
        <v>147</v>
      </c>
      <c r="G2518" s="1" t="s">
        <v>148</v>
      </c>
      <c r="H2518" s="1" t="s">
        <v>22</v>
      </c>
      <c r="I2518" s="1" t="s">
        <v>23</v>
      </c>
      <c r="J2518" s="1">
        <v>0</v>
      </c>
      <c r="K2518" s="1">
        <v>34121416351.331001</v>
      </c>
      <c r="L2518" s="1">
        <v>3.4121416351331</v>
      </c>
      <c r="M2518" s="1">
        <v>1706070.8175665501</v>
      </c>
    </row>
    <row r="2519" spans="4:13">
      <c r="D2519" s="1" t="s">
        <v>1512</v>
      </c>
      <c r="E2519" s="1" t="s">
        <v>1523</v>
      </c>
      <c r="H2519" s="1" t="s">
        <v>22</v>
      </c>
      <c r="I2519" s="1" t="s">
        <v>29</v>
      </c>
      <c r="J2519" s="1">
        <v>0.01</v>
      </c>
      <c r="K2519" s="1">
        <v>100</v>
      </c>
      <c r="L2519" s="1">
        <v>50.005000000000003</v>
      </c>
    </row>
    <row r="2520" spans="4:13">
      <c r="D2520" s="1" t="s">
        <v>1512</v>
      </c>
      <c r="E2520" s="1" t="s">
        <v>1524</v>
      </c>
      <c r="H2520" s="1" t="s">
        <v>22</v>
      </c>
      <c r="I2520" s="1" t="s">
        <v>23</v>
      </c>
      <c r="J2520" s="1">
        <v>0</v>
      </c>
      <c r="K2520" s="1">
        <v>100</v>
      </c>
      <c r="L2520" s="1">
        <v>1</v>
      </c>
      <c r="M2520" s="1">
        <v>1</v>
      </c>
    </row>
    <row r="2521" spans="4:13">
      <c r="D2521" s="1" t="s">
        <v>1512</v>
      </c>
      <c r="E2521" s="1" t="s">
        <v>1525</v>
      </c>
      <c r="H2521" s="1" t="s">
        <v>25</v>
      </c>
      <c r="I2521" s="1" t="s">
        <v>23</v>
      </c>
      <c r="M2521" s="1" t="b">
        <v>1</v>
      </c>
    </row>
    <row r="2522" spans="4:13">
      <c r="D2522" s="1" t="s">
        <v>1512</v>
      </c>
      <c r="E2522" s="1" t="s">
        <v>949</v>
      </c>
      <c r="H2522" s="1" t="s">
        <v>181</v>
      </c>
      <c r="I2522" s="1" t="s">
        <v>23</v>
      </c>
      <c r="J2522" s="1">
        <v>1</v>
      </c>
      <c r="K2522" s="1">
        <v>26</v>
      </c>
      <c r="M2522" s="1" t="s">
        <v>1526</v>
      </c>
    </row>
    <row r="2523" spans="4:13">
      <c r="D2523" s="1" t="s">
        <v>1512</v>
      </c>
      <c r="E2523" s="1" t="s">
        <v>951</v>
      </c>
      <c r="H2523" s="1" t="s">
        <v>181</v>
      </c>
      <c r="I2523" s="1" t="s">
        <v>23</v>
      </c>
      <c r="J2523" s="1">
        <v>1</v>
      </c>
      <c r="K2523" s="1">
        <v>14</v>
      </c>
      <c r="M2523" s="1" t="s">
        <v>1527</v>
      </c>
    </row>
    <row r="2524" spans="4:13">
      <c r="D2524" s="1" t="s">
        <v>1512</v>
      </c>
      <c r="E2524" s="1" t="s">
        <v>1528</v>
      </c>
      <c r="H2524" s="1" t="s">
        <v>181</v>
      </c>
      <c r="I2524" s="1" t="s">
        <v>23</v>
      </c>
      <c r="J2524" s="1">
        <v>1</v>
      </c>
      <c r="K2524" s="1">
        <v>874</v>
      </c>
      <c r="M2524" s="1" t="s">
        <v>950</v>
      </c>
    </row>
    <row r="2525" spans="4:13">
      <c r="D2525" s="1" t="s">
        <v>1512</v>
      </c>
      <c r="E2525" s="1" t="s">
        <v>1529</v>
      </c>
      <c r="H2525" s="1" t="s">
        <v>25</v>
      </c>
      <c r="I2525" s="1" t="s">
        <v>23</v>
      </c>
      <c r="M2525" s="1" t="b">
        <v>0</v>
      </c>
    </row>
    <row r="2526" spans="4:13">
      <c r="D2526" s="1" t="s">
        <v>1512</v>
      </c>
      <c r="E2526" s="1" t="s">
        <v>1530</v>
      </c>
      <c r="F2526" s="1" t="s">
        <v>874</v>
      </c>
      <c r="G2526" s="1" t="s">
        <v>874</v>
      </c>
      <c r="H2526" s="1" t="s">
        <v>22</v>
      </c>
      <c r="I2526" s="1" t="s">
        <v>23</v>
      </c>
      <c r="J2526" s="1">
        <v>0</v>
      </c>
      <c r="K2526" s="1">
        <v>1000000</v>
      </c>
      <c r="L2526" s="1">
        <v>1</v>
      </c>
      <c r="M2526" s="1">
        <v>3000</v>
      </c>
    </row>
    <row r="2527" spans="4:13">
      <c r="D2527" s="1" t="s">
        <v>1512</v>
      </c>
      <c r="E2527" s="1" t="s">
        <v>1531</v>
      </c>
      <c r="F2527" s="1" t="s">
        <v>874</v>
      </c>
      <c r="G2527" s="1" t="s">
        <v>874</v>
      </c>
      <c r="H2527" s="1" t="s">
        <v>22</v>
      </c>
      <c r="I2527" s="1" t="s">
        <v>23</v>
      </c>
      <c r="J2527" s="1">
        <v>0</v>
      </c>
      <c r="K2527" s="1">
        <v>1000000</v>
      </c>
      <c r="L2527" s="1">
        <v>1</v>
      </c>
      <c r="M2527" s="1">
        <v>3000</v>
      </c>
    </row>
    <row r="2528" spans="4:13">
      <c r="D2528" s="1" t="s">
        <v>1512</v>
      </c>
      <c r="E2528" s="1" t="s">
        <v>1532</v>
      </c>
      <c r="F2528" s="1" t="s">
        <v>874</v>
      </c>
      <c r="G2528" s="1" t="s">
        <v>874</v>
      </c>
      <c r="H2528" s="1" t="s">
        <v>22</v>
      </c>
      <c r="I2528" s="1" t="s">
        <v>23</v>
      </c>
      <c r="J2528" s="1">
        <v>0</v>
      </c>
      <c r="K2528" s="1">
        <v>1000000</v>
      </c>
      <c r="L2528" s="1">
        <v>1</v>
      </c>
      <c r="M2528" s="1">
        <v>10000</v>
      </c>
    </row>
    <row r="2529" spans="4:12">
      <c r="D2529" s="1" t="s">
        <v>1512</v>
      </c>
      <c r="E2529" s="1" t="s">
        <v>1533</v>
      </c>
      <c r="F2529" s="1" t="s">
        <v>200</v>
      </c>
      <c r="G2529" s="1" t="s">
        <v>200</v>
      </c>
      <c r="H2529" s="1" t="s">
        <v>22</v>
      </c>
      <c r="I2529" s="1" t="s">
        <v>65</v>
      </c>
      <c r="L2529" s="1">
        <v>1</v>
      </c>
    </row>
    <row r="2530" spans="4:12">
      <c r="D2530" s="1" t="s">
        <v>1512</v>
      </c>
      <c r="E2530" s="1" t="s">
        <v>1534</v>
      </c>
      <c r="F2530" s="1" t="s">
        <v>1535</v>
      </c>
      <c r="G2530" s="1" t="s">
        <v>1535</v>
      </c>
      <c r="H2530" s="1" t="s">
        <v>22</v>
      </c>
      <c r="I2530" s="1" t="s">
        <v>65</v>
      </c>
      <c r="L2530" s="1">
        <v>1</v>
      </c>
    </row>
    <row r="2531" spans="4:12">
      <c r="D2531" s="1" t="s">
        <v>1512</v>
      </c>
      <c r="E2531" s="1" t="s">
        <v>1536</v>
      </c>
      <c r="F2531" s="1" t="s">
        <v>147</v>
      </c>
      <c r="G2531" s="1" t="s">
        <v>148</v>
      </c>
      <c r="H2531" s="1" t="s">
        <v>22</v>
      </c>
      <c r="I2531" s="1" t="s">
        <v>65</v>
      </c>
      <c r="L2531" s="1">
        <v>3.4121416351331</v>
      </c>
    </row>
    <row r="2532" spans="4:12">
      <c r="D2532" s="1" t="s">
        <v>1512</v>
      </c>
      <c r="E2532" s="1" t="s">
        <v>967</v>
      </c>
      <c r="F2532" s="1" t="s">
        <v>147</v>
      </c>
      <c r="G2532" s="1" t="s">
        <v>148</v>
      </c>
      <c r="H2532" s="1" t="s">
        <v>22</v>
      </c>
      <c r="I2532" s="1" t="s">
        <v>120</v>
      </c>
      <c r="L2532" s="1">
        <v>3.4121416351331</v>
      </c>
    </row>
    <row r="2533" spans="4:12">
      <c r="D2533" s="1" t="s">
        <v>1512</v>
      </c>
      <c r="E2533" s="1" t="s">
        <v>1537</v>
      </c>
      <c r="F2533" s="1">
        <v>1</v>
      </c>
      <c r="G2533" s="1">
        <v>1</v>
      </c>
      <c r="H2533" s="1" t="s">
        <v>22</v>
      </c>
      <c r="I2533" s="1" t="s">
        <v>65</v>
      </c>
      <c r="L2533" s="1">
        <v>1</v>
      </c>
    </row>
    <row r="2534" spans="4:12">
      <c r="D2534" s="1" t="s">
        <v>1512</v>
      </c>
      <c r="E2534" s="1" t="s">
        <v>1538</v>
      </c>
      <c r="F2534" s="1" t="s">
        <v>147</v>
      </c>
      <c r="G2534" s="1" t="s">
        <v>148</v>
      </c>
      <c r="H2534" s="1" t="s">
        <v>22</v>
      </c>
      <c r="I2534" s="1" t="s">
        <v>65</v>
      </c>
      <c r="L2534" s="1">
        <v>3.4121416351331</v>
      </c>
    </row>
    <row r="2535" spans="4:12">
      <c r="D2535" s="1" t="s">
        <v>1512</v>
      </c>
      <c r="E2535" s="1" t="s">
        <v>1539</v>
      </c>
      <c r="H2535" s="1" t="s">
        <v>22</v>
      </c>
      <c r="I2535" s="1" t="s">
        <v>65</v>
      </c>
      <c r="L2535" s="1">
        <v>1</v>
      </c>
    </row>
    <row r="2536" spans="4:12">
      <c r="D2536" s="1" t="s">
        <v>1512</v>
      </c>
      <c r="E2536" s="1" t="s">
        <v>1540</v>
      </c>
      <c r="F2536" s="1" t="s">
        <v>874</v>
      </c>
      <c r="G2536" s="1" t="s">
        <v>874</v>
      </c>
      <c r="H2536" s="1" t="s">
        <v>22</v>
      </c>
      <c r="I2536" s="1" t="s">
        <v>65</v>
      </c>
      <c r="L2536" s="1">
        <v>1</v>
      </c>
    </row>
    <row r="2537" spans="4:12">
      <c r="D2537" s="1" t="s">
        <v>1512</v>
      </c>
      <c r="E2537" s="1" t="s">
        <v>1541</v>
      </c>
      <c r="F2537" s="1" t="s">
        <v>1542</v>
      </c>
      <c r="G2537" s="1" t="s">
        <v>1543</v>
      </c>
      <c r="H2537" s="1" t="s">
        <v>22</v>
      </c>
      <c r="I2537" s="1" t="s">
        <v>65</v>
      </c>
      <c r="L2537" s="1">
        <v>0.73756103316999999</v>
      </c>
    </row>
    <row r="2538" spans="4:12">
      <c r="D2538" s="1" t="s">
        <v>1512</v>
      </c>
      <c r="E2538" s="1" t="s">
        <v>990</v>
      </c>
      <c r="H2538" s="1" t="s">
        <v>22</v>
      </c>
      <c r="I2538" s="1" t="s">
        <v>65</v>
      </c>
      <c r="L2538" s="1">
        <v>1</v>
      </c>
    </row>
    <row r="2539" spans="4:12">
      <c r="D2539" s="1" t="s">
        <v>1512</v>
      </c>
      <c r="E2539" s="1" t="s">
        <v>1544</v>
      </c>
      <c r="F2539" s="1">
        <v>1</v>
      </c>
      <c r="G2539" s="1">
        <v>1</v>
      </c>
      <c r="H2539" s="1" t="s">
        <v>22</v>
      </c>
      <c r="I2539" s="1" t="s">
        <v>65</v>
      </c>
      <c r="J2539" s="1">
        <v>0</v>
      </c>
      <c r="L2539" s="1">
        <v>1</v>
      </c>
    </row>
    <row r="2540" spans="4:12">
      <c r="D2540" s="1" t="s">
        <v>1512</v>
      </c>
      <c r="E2540" s="1" t="s">
        <v>1545</v>
      </c>
      <c r="H2540" s="1" t="s">
        <v>63</v>
      </c>
      <c r="I2540" s="1" t="s">
        <v>65</v>
      </c>
    </row>
    <row r="2541" spans="4:12">
      <c r="D2541" s="1" t="s">
        <v>1512</v>
      </c>
      <c r="E2541" s="1" t="s">
        <v>1546</v>
      </c>
      <c r="H2541" s="1" t="s">
        <v>22</v>
      </c>
      <c r="I2541" s="1" t="s">
        <v>65</v>
      </c>
      <c r="L2541" s="1">
        <v>1</v>
      </c>
    </row>
    <row r="2542" spans="4:12">
      <c r="D2542" s="1" t="s">
        <v>1512</v>
      </c>
      <c r="E2542" s="1" t="s">
        <v>69</v>
      </c>
      <c r="H2542" s="1" t="s">
        <v>25</v>
      </c>
      <c r="I2542" s="1" t="s">
        <v>70</v>
      </c>
    </row>
    <row r="2543" spans="4:12">
      <c r="D2543" s="1" t="s">
        <v>1512</v>
      </c>
      <c r="E2543" s="1" t="s">
        <v>1547</v>
      </c>
      <c r="F2543" s="1" t="s">
        <v>147</v>
      </c>
      <c r="G2543" s="1" t="s">
        <v>148</v>
      </c>
      <c r="H2543" s="1" t="s">
        <v>22</v>
      </c>
      <c r="I2543" s="1" t="s">
        <v>65</v>
      </c>
      <c r="L2543" s="1">
        <v>3.4121416351331</v>
      </c>
    </row>
    <row r="2544" spans="4:12">
      <c r="D2544" s="1" t="s">
        <v>1512</v>
      </c>
      <c r="E2544" s="1" t="s">
        <v>1548</v>
      </c>
      <c r="F2544" s="1" t="s">
        <v>147</v>
      </c>
      <c r="G2544" s="1" t="s">
        <v>148</v>
      </c>
      <c r="H2544" s="1" t="s">
        <v>22</v>
      </c>
      <c r="I2544" s="1" t="s">
        <v>65</v>
      </c>
      <c r="L2544" s="1">
        <v>3.4121416351331</v>
      </c>
    </row>
    <row r="2545" spans="4:13">
      <c r="D2545" s="1" t="s">
        <v>1549</v>
      </c>
      <c r="E2545" s="1" t="s">
        <v>105</v>
      </c>
      <c r="H2545" s="1" t="s">
        <v>22</v>
      </c>
      <c r="I2545" s="1" t="s">
        <v>29</v>
      </c>
      <c r="J2545" s="1">
        <v>0</v>
      </c>
      <c r="K2545" s="1">
        <v>10000</v>
      </c>
      <c r="L2545" s="1">
        <v>5000</v>
      </c>
    </row>
    <row r="2546" spans="4:13">
      <c r="D2546" s="1" t="s">
        <v>1549</v>
      </c>
      <c r="E2546" s="1" t="s">
        <v>106</v>
      </c>
      <c r="H2546" s="1" t="s">
        <v>25</v>
      </c>
      <c r="I2546" s="1" t="s">
        <v>23</v>
      </c>
      <c r="M2546" s="1" t="b">
        <v>0</v>
      </c>
    </row>
    <row r="2547" spans="4:13">
      <c r="D2547" s="1" t="s">
        <v>1549</v>
      </c>
      <c r="E2547" s="1" t="s">
        <v>107</v>
      </c>
      <c r="H2547" s="1" t="s">
        <v>22</v>
      </c>
      <c r="I2547" s="1" t="s">
        <v>23</v>
      </c>
      <c r="L2547" s="1">
        <v>1</v>
      </c>
      <c r="M2547" s="1">
        <v>20</v>
      </c>
    </row>
    <row r="2548" spans="4:13">
      <c r="D2548" s="1" t="s">
        <v>1549</v>
      </c>
      <c r="E2548" s="1" t="s">
        <v>109</v>
      </c>
      <c r="H2548" s="1" t="s">
        <v>22</v>
      </c>
      <c r="I2548" s="1" t="s">
        <v>23</v>
      </c>
      <c r="L2548" s="1">
        <v>1</v>
      </c>
      <c r="M2548" s="1">
        <v>1</v>
      </c>
    </row>
    <row r="2549" spans="4:13">
      <c r="D2549" s="1" t="s">
        <v>1549</v>
      </c>
      <c r="E2549" s="1" t="s">
        <v>110</v>
      </c>
      <c r="H2549" s="1" t="s">
        <v>25</v>
      </c>
      <c r="I2549" s="1" t="s">
        <v>23</v>
      </c>
      <c r="M2549" s="1" t="b">
        <v>1</v>
      </c>
    </row>
    <row r="2550" spans="4:13">
      <c r="D2550" s="1" t="s">
        <v>1549</v>
      </c>
      <c r="E2550" s="1" t="s">
        <v>111</v>
      </c>
      <c r="F2550" s="1" t="s">
        <v>56</v>
      </c>
      <c r="G2550" s="1" t="s">
        <v>57</v>
      </c>
      <c r="H2550" s="1" t="s">
        <v>22</v>
      </c>
      <c r="I2550" s="1" t="s">
        <v>23</v>
      </c>
      <c r="L2550" s="1">
        <v>1.4503773773020921E-4</v>
      </c>
      <c r="M2550" s="1">
        <v>7.2518868865104604E-3</v>
      </c>
    </row>
    <row r="2551" spans="4:13">
      <c r="D2551" s="1" t="s">
        <v>1549</v>
      </c>
      <c r="E2551" s="1" t="s">
        <v>47</v>
      </c>
      <c r="H2551" s="1" t="s">
        <v>25</v>
      </c>
      <c r="I2551" s="1" t="s">
        <v>23</v>
      </c>
      <c r="M2551" s="1" t="b">
        <v>0</v>
      </c>
    </row>
    <row r="2552" spans="4:13">
      <c r="D2552" s="1" t="s">
        <v>1549</v>
      </c>
      <c r="E2552" s="1" t="s">
        <v>112</v>
      </c>
      <c r="F2552" s="1" t="s">
        <v>56</v>
      </c>
      <c r="G2552" s="1" t="s">
        <v>57</v>
      </c>
      <c r="H2552" s="1" t="s">
        <v>22</v>
      </c>
      <c r="I2552" s="1" t="s">
        <v>29</v>
      </c>
      <c r="J2552" s="1">
        <v>4.9312830828271128</v>
      </c>
      <c r="K2552" s="1">
        <v>623.66227223989961</v>
      </c>
      <c r="L2552" s="1">
        <v>50.713895374744951</v>
      </c>
    </row>
    <row r="2553" spans="4:13">
      <c r="D2553" s="1" t="s">
        <v>1549</v>
      </c>
      <c r="E2553" s="1" t="s">
        <v>62</v>
      </c>
      <c r="H2553" s="1" t="s">
        <v>63</v>
      </c>
      <c r="I2553" s="1" t="s">
        <v>23</v>
      </c>
      <c r="M2553" s="1">
        <v>1</v>
      </c>
    </row>
    <row r="2554" spans="4:13">
      <c r="D2554" s="1" t="s">
        <v>1549</v>
      </c>
      <c r="E2554" s="1" t="s">
        <v>113</v>
      </c>
      <c r="H2554" s="1" t="s">
        <v>22</v>
      </c>
      <c r="I2554" s="1" t="s">
        <v>65</v>
      </c>
      <c r="L2554" s="1">
        <v>1</v>
      </c>
    </row>
    <row r="2555" spans="4:13">
      <c r="D2555" s="1" t="s">
        <v>1549</v>
      </c>
      <c r="E2555" s="1" t="s">
        <v>114</v>
      </c>
      <c r="H2555" s="1" t="s">
        <v>22</v>
      </c>
      <c r="I2555" s="1" t="s">
        <v>70</v>
      </c>
      <c r="L2555" s="1">
        <v>1</v>
      </c>
    </row>
    <row r="2556" spans="4:13">
      <c r="D2556" s="1" t="s">
        <v>1549</v>
      </c>
      <c r="E2556" s="1" t="s">
        <v>115</v>
      </c>
      <c r="F2556" s="1" t="s">
        <v>56</v>
      </c>
      <c r="G2556" s="1" t="s">
        <v>57</v>
      </c>
      <c r="H2556" s="1" t="s">
        <v>22</v>
      </c>
      <c r="I2556" s="1" t="s">
        <v>65</v>
      </c>
      <c r="L2556" s="1">
        <v>1.4503773773020921E-4</v>
      </c>
    </row>
    <row r="2557" spans="4:13">
      <c r="D2557" s="1" t="s">
        <v>1549</v>
      </c>
      <c r="E2557" s="1" t="s">
        <v>116</v>
      </c>
      <c r="H2557" s="1" t="s">
        <v>25</v>
      </c>
      <c r="I2557" s="1" t="s">
        <v>65</v>
      </c>
    </row>
    <row r="2558" spans="4:13">
      <c r="D2558" s="1" t="s">
        <v>1549</v>
      </c>
      <c r="E2558" s="1" t="s">
        <v>69</v>
      </c>
      <c r="H2558" s="1" t="s">
        <v>25</v>
      </c>
      <c r="I2558" s="1" t="s">
        <v>70</v>
      </c>
    </row>
    <row r="2559" spans="4:13">
      <c r="D2559" s="1" t="s">
        <v>1549</v>
      </c>
      <c r="E2559" s="1" t="s">
        <v>71</v>
      </c>
      <c r="F2559" s="1" t="s">
        <v>52</v>
      </c>
      <c r="G2559" s="1" t="s">
        <v>53</v>
      </c>
      <c r="H2559" s="1" t="s">
        <v>22</v>
      </c>
      <c r="I2559" s="1" t="s">
        <v>65</v>
      </c>
      <c r="L2559" s="1">
        <v>7936.6414386555998</v>
      </c>
    </row>
    <row r="2560" spans="4:13">
      <c r="D2560" s="1" t="s">
        <v>1549</v>
      </c>
      <c r="E2560" s="1" t="s">
        <v>117</v>
      </c>
      <c r="F2560" s="1" t="s">
        <v>118</v>
      </c>
      <c r="G2560" s="1" t="s">
        <v>119</v>
      </c>
      <c r="H2560" s="1" t="s">
        <v>22</v>
      </c>
      <c r="I2560" s="1" t="s">
        <v>120</v>
      </c>
      <c r="J2560" s="1">
        <v>0</v>
      </c>
      <c r="L2560" s="1">
        <v>2.20462262185</v>
      </c>
    </row>
    <row r="2561" spans="4:13">
      <c r="D2561" s="1" t="s">
        <v>1549</v>
      </c>
      <c r="E2561" s="1" t="s">
        <v>121</v>
      </c>
      <c r="H2561" s="1" t="s">
        <v>22</v>
      </c>
      <c r="I2561" s="1" t="s">
        <v>120</v>
      </c>
      <c r="L2561" s="1">
        <v>1</v>
      </c>
    </row>
    <row r="2562" spans="4:13">
      <c r="D2562" s="1" t="s">
        <v>1549</v>
      </c>
      <c r="E2562" s="1" t="s">
        <v>122</v>
      </c>
      <c r="F2562" s="1" t="s">
        <v>56</v>
      </c>
      <c r="G2562" s="1" t="s">
        <v>57</v>
      </c>
      <c r="H2562" s="1" t="s">
        <v>22</v>
      </c>
      <c r="I2562" s="1" t="s">
        <v>65</v>
      </c>
      <c r="L2562" s="1">
        <v>1.4503773773020921E-4</v>
      </c>
    </row>
    <row r="2563" spans="4:13">
      <c r="D2563" s="1" t="s">
        <v>1549</v>
      </c>
      <c r="E2563" s="1" t="s">
        <v>123</v>
      </c>
      <c r="F2563" s="1" t="s">
        <v>124</v>
      </c>
      <c r="G2563" s="1" t="s">
        <v>125</v>
      </c>
      <c r="H2563" s="1" t="s">
        <v>22</v>
      </c>
      <c r="I2563" s="1" t="s">
        <v>120</v>
      </c>
      <c r="L2563" s="1">
        <v>35.314666699999997</v>
      </c>
    </row>
    <row r="2564" spans="4:13">
      <c r="D2564" s="1" t="s">
        <v>1549</v>
      </c>
      <c r="E2564" s="1" t="s">
        <v>126</v>
      </c>
      <c r="H2564" s="1" t="s">
        <v>22</v>
      </c>
      <c r="I2564" s="1" t="s">
        <v>65</v>
      </c>
      <c r="L2564" s="1">
        <v>1</v>
      </c>
    </row>
    <row r="2565" spans="4:13">
      <c r="D2565" s="1" t="s">
        <v>1549</v>
      </c>
      <c r="E2565" s="1" t="s">
        <v>127</v>
      </c>
      <c r="H2565" s="1" t="s">
        <v>25</v>
      </c>
      <c r="I2565" s="1" t="s">
        <v>23</v>
      </c>
      <c r="M2565" s="1" t="b">
        <v>1</v>
      </c>
    </row>
    <row r="2566" spans="4:13">
      <c r="D2566" s="1" t="s">
        <v>1549</v>
      </c>
      <c r="E2566" s="1" t="s">
        <v>128</v>
      </c>
      <c r="H2566" s="1" t="s">
        <v>25</v>
      </c>
      <c r="I2566" s="1" t="s">
        <v>23</v>
      </c>
      <c r="M2566" s="1" t="b">
        <v>0</v>
      </c>
    </row>
    <row r="2567" spans="4:13">
      <c r="D2567" s="1" t="s">
        <v>1550</v>
      </c>
      <c r="E2567" s="1" t="s">
        <v>28</v>
      </c>
      <c r="H2567" s="1" t="s">
        <v>22</v>
      </c>
      <c r="I2567" s="1" t="s">
        <v>29</v>
      </c>
      <c r="J2567" s="1">
        <v>34000</v>
      </c>
      <c r="K2567" s="1">
        <v>4300000</v>
      </c>
      <c r="L2567" s="1">
        <v>349660</v>
      </c>
    </row>
    <row r="2568" spans="4:13">
      <c r="D2568" s="1" t="s">
        <v>1550</v>
      </c>
      <c r="E2568" s="1" t="s">
        <v>30</v>
      </c>
      <c r="H2568" s="1" t="s">
        <v>22</v>
      </c>
      <c r="I2568" s="1" t="s">
        <v>29</v>
      </c>
      <c r="J2568" s="1">
        <v>-3.94</v>
      </c>
      <c r="K2568" s="1">
        <v>3.66</v>
      </c>
      <c r="L2568" s="1">
        <v>1</v>
      </c>
    </row>
    <row r="2569" spans="4:13">
      <c r="D2569" s="1" t="s">
        <v>1550</v>
      </c>
      <c r="E2569" s="1" t="s">
        <v>31</v>
      </c>
      <c r="H2569" s="1" t="s">
        <v>22</v>
      </c>
      <c r="I2569" s="1" t="s">
        <v>29</v>
      </c>
      <c r="J2569" s="1">
        <v>0</v>
      </c>
      <c r="K2569" s="1">
        <v>100</v>
      </c>
      <c r="L2569" s="1">
        <v>1</v>
      </c>
    </row>
    <row r="2570" spans="4:13">
      <c r="D2570" s="1" t="s">
        <v>1550</v>
      </c>
      <c r="E2570" s="1" t="s">
        <v>32</v>
      </c>
      <c r="H2570" s="1" t="s">
        <v>22</v>
      </c>
      <c r="I2570" s="1" t="s">
        <v>29</v>
      </c>
      <c r="J2570" s="1">
        <v>-3.94</v>
      </c>
      <c r="K2570" s="1">
        <v>3.66</v>
      </c>
      <c r="L2570" s="1">
        <v>1</v>
      </c>
    </row>
    <row r="2571" spans="4:13">
      <c r="D2571" s="1" t="s">
        <v>1550</v>
      </c>
      <c r="E2571" s="1" t="s">
        <v>33</v>
      </c>
      <c r="H2571" s="1" t="s">
        <v>25</v>
      </c>
      <c r="I2571" s="1" t="s">
        <v>23</v>
      </c>
      <c r="M2571" s="1" t="b">
        <v>0</v>
      </c>
    </row>
    <row r="2572" spans="4:13">
      <c r="D2572" s="1" t="s">
        <v>1550</v>
      </c>
      <c r="E2572" s="1" t="s">
        <v>34</v>
      </c>
      <c r="F2572" s="1" t="s">
        <v>35</v>
      </c>
      <c r="G2572" s="1" t="s">
        <v>36</v>
      </c>
      <c r="H2572" s="1" t="s">
        <v>22</v>
      </c>
      <c r="I2572" s="1" t="s">
        <v>23</v>
      </c>
      <c r="J2572" s="1">
        <v>-459.67</v>
      </c>
      <c r="K2572" s="1">
        <v>980.32999999999993</v>
      </c>
      <c r="L2572" s="1">
        <v>80.329999999999984</v>
      </c>
      <c r="M2572" s="1">
        <v>67.999999999999943</v>
      </c>
    </row>
    <row r="2573" spans="4:13">
      <c r="D2573" s="1" t="s">
        <v>1550</v>
      </c>
      <c r="E2573" s="1" t="s">
        <v>37</v>
      </c>
      <c r="H2573" s="1" t="s">
        <v>25</v>
      </c>
      <c r="I2573" s="1" t="s">
        <v>23</v>
      </c>
      <c r="M2573" s="1" t="b">
        <v>0</v>
      </c>
    </row>
    <row r="2574" spans="4:13">
      <c r="D2574" s="1" t="s">
        <v>1550</v>
      </c>
      <c r="E2574" s="1" t="s">
        <v>38</v>
      </c>
      <c r="F2574" s="1" t="s">
        <v>35</v>
      </c>
      <c r="G2574" s="1" t="s">
        <v>36</v>
      </c>
      <c r="H2574" s="1" t="s">
        <v>22</v>
      </c>
      <c r="I2574" s="1" t="s">
        <v>23</v>
      </c>
      <c r="J2574" s="1">
        <v>-99.670000000000016</v>
      </c>
      <c r="K2574" s="1">
        <v>980.32999999999993</v>
      </c>
      <c r="L2574" s="1">
        <v>80.329999999999984</v>
      </c>
      <c r="M2574" s="1">
        <v>13.999999999999943</v>
      </c>
    </row>
    <row r="2575" spans="4:13">
      <c r="D2575" s="1" t="s">
        <v>1550</v>
      </c>
      <c r="E2575" s="1" t="s">
        <v>39</v>
      </c>
      <c r="H2575" s="1" t="s">
        <v>25</v>
      </c>
      <c r="I2575" s="1" t="s">
        <v>23</v>
      </c>
      <c r="M2575" s="1" t="b">
        <v>0</v>
      </c>
    </row>
    <row r="2576" spans="4:13">
      <c r="D2576" s="1" t="s">
        <v>1550</v>
      </c>
      <c r="E2576" s="1" t="s">
        <v>40</v>
      </c>
      <c r="F2576" s="1" t="s">
        <v>41</v>
      </c>
      <c r="G2576" s="1" t="s">
        <v>42</v>
      </c>
      <c r="H2576" s="1" t="s">
        <v>22</v>
      </c>
      <c r="I2576" s="1" t="s">
        <v>23</v>
      </c>
      <c r="J2576" s="1">
        <v>-900</v>
      </c>
      <c r="K2576" s="1">
        <v>900</v>
      </c>
      <c r="L2576" s="1">
        <v>1.8</v>
      </c>
      <c r="M2576" s="1">
        <v>9</v>
      </c>
    </row>
    <row r="2577" spans="4:13">
      <c r="D2577" s="1" t="s">
        <v>1550</v>
      </c>
      <c r="E2577" s="1" t="s">
        <v>43</v>
      </c>
      <c r="H2577" s="1" t="s">
        <v>25</v>
      </c>
      <c r="I2577" s="1" t="s">
        <v>23</v>
      </c>
      <c r="M2577" s="1" t="b">
        <v>0</v>
      </c>
    </row>
    <row r="2578" spans="4:13">
      <c r="D2578" s="1" t="s">
        <v>1550</v>
      </c>
      <c r="E2578" s="1" t="s">
        <v>44</v>
      </c>
      <c r="F2578" s="1" t="s">
        <v>45</v>
      </c>
      <c r="G2578" s="1" t="s">
        <v>46</v>
      </c>
      <c r="H2578" s="1" t="s">
        <v>22</v>
      </c>
      <c r="I2578" s="1" t="s">
        <v>23</v>
      </c>
      <c r="J2578" s="1">
        <v>-85.984522757427143</v>
      </c>
      <c r="K2578" s="1">
        <v>8598.4522757427148</v>
      </c>
      <c r="L2578" s="1">
        <v>114.79148749423418</v>
      </c>
      <c r="M2578" s="1">
        <v>128.97678413614071</v>
      </c>
    </row>
    <row r="2579" spans="4:13">
      <c r="D2579" s="1" t="s">
        <v>1550</v>
      </c>
      <c r="E2579" s="1" t="s">
        <v>47</v>
      </c>
      <c r="H2579" s="1" t="s">
        <v>25</v>
      </c>
      <c r="I2579" s="1" t="s">
        <v>23</v>
      </c>
      <c r="M2579" s="1" t="b">
        <v>0</v>
      </c>
    </row>
    <row r="2580" spans="4:13">
      <c r="D2580" s="1" t="s">
        <v>1550</v>
      </c>
      <c r="E2580" s="1" t="s">
        <v>48</v>
      </c>
      <c r="H2580" s="1" t="s">
        <v>25</v>
      </c>
      <c r="I2580" s="1" t="s">
        <v>23</v>
      </c>
      <c r="M2580" s="1" t="b">
        <v>0</v>
      </c>
    </row>
    <row r="2581" spans="4:13">
      <c r="D2581" s="1" t="s">
        <v>1550</v>
      </c>
      <c r="E2581" s="1" t="s">
        <v>49</v>
      </c>
      <c r="H2581" s="1" t="s">
        <v>25</v>
      </c>
      <c r="I2581" s="1" t="s">
        <v>23</v>
      </c>
      <c r="M2581" s="1" t="b">
        <v>0</v>
      </c>
    </row>
    <row r="2582" spans="4:13">
      <c r="D2582" s="1" t="s">
        <v>1550</v>
      </c>
      <c r="E2582" s="1" t="s">
        <v>50</v>
      </c>
      <c r="H2582" s="1" t="s">
        <v>25</v>
      </c>
      <c r="I2582" s="1" t="s">
        <v>23</v>
      </c>
      <c r="M2582" s="1" t="b">
        <v>0</v>
      </c>
    </row>
    <row r="2583" spans="4:13">
      <c r="D2583" s="1" t="s">
        <v>1550</v>
      </c>
      <c r="E2583" s="1" t="s">
        <v>51</v>
      </c>
      <c r="F2583" s="1" t="s">
        <v>52</v>
      </c>
      <c r="G2583" s="1" t="s">
        <v>53</v>
      </c>
      <c r="H2583" s="1" t="s">
        <v>22</v>
      </c>
      <c r="I2583" s="1" t="s">
        <v>23</v>
      </c>
      <c r="J2583" s="1">
        <v>0</v>
      </c>
      <c r="K2583" s="1">
        <v>7936641438.6555996</v>
      </c>
      <c r="L2583" s="1">
        <v>7936.6414386555998</v>
      </c>
      <c r="M2583" s="1">
        <v>7936.6414386555998</v>
      </c>
    </row>
    <row r="2584" spans="4:13">
      <c r="D2584" s="1" t="s">
        <v>1550</v>
      </c>
      <c r="E2584" s="1" t="s">
        <v>54</v>
      </c>
      <c r="H2584" s="1" t="s">
        <v>25</v>
      </c>
      <c r="I2584" s="1" t="s">
        <v>23</v>
      </c>
      <c r="M2584" s="1" t="b">
        <v>0</v>
      </c>
    </row>
    <row r="2585" spans="4:13">
      <c r="D2585" s="1" t="s">
        <v>1550</v>
      </c>
      <c r="E2585" s="1" t="s">
        <v>55</v>
      </c>
      <c r="F2585" s="1" t="s">
        <v>56</v>
      </c>
      <c r="G2585" s="1" t="s">
        <v>57</v>
      </c>
      <c r="H2585" s="1" t="s">
        <v>22</v>
      </c>
      <c r="I2585" s="1" t="s">
        <v>23</v>
      </c>
      <c r="J2585" s="1">
        <v>0</v>
      </c>
      <c r="K2585" s="1">
        <v>9427.4529524635982</v>
      </c>
      <c r="L2585" s="1">
        <v>50.713895374744951</v>
      </c>
      <c r="M2585" s="1">
        <v>50.763208205573221</v>
      </c>
    </row>
    <row r="2586" spans="4:13">
      <c r="D2586" s="1" t="s">
        <v>1550</v>
      </c>
      <c r="E2586" s="1" t="s">
        <v>58</v>
      </c>
      <c r="H2586" s="1" t="s">
        <v>25</v>
      </c>
      <c r="I2586" s="1" t="s">
        <v>23</v>
      </c>
      <c r="M2586" s="1" t="b">
        <v>0</v>
      </c>
    </row>
    <row r="2587" spans="4:13">
      <c r="D2587" s="1" t="s">
        <v>1550</v>
      </c>
      <c r="E2587" s="1" t="s">
        <v>59</v>
      </c>
      <c r="F2587" s="1" t="s">
        <v>60</v>
      </c>
      <c r="G2587" s="1" t="s">
        <v>61</v>
      </c>
      <c r="H2587" s="1" t="s">
        <v>22</v>
      </c>
      <c r="I2587" s="1" t="s">
        <v>23</v>
      </c>
      <c r="J2587" s="1">
        <v>-9.5538358650799999</v>
      </c>
      <c r="K2587" s="1">
        <v>9.5538358650799999</v>
      </c>
      <c r="L2587" s="1">
        <v>0.23884589662700001</v>
      </c>
      <c r="M2587" s="1">
        <v>0.23884589662700001</v>
      </c>
    </row>
    <row r="2588" spans="4:13">
      <c r="D2588" s="1" t="s">
        <v>1550</v>
      </c>
      <c r="E2588" s="1" t="s">
        <v>62</v>
      </c>
      <c r="H2588" s="1" t="s">
        <v>63</v>
      </c>
      <c r="I2588" s="1" t="s">
        <v>23</v>
      </c>
      <c r="M2588" s="1">
        <v>1</v>
      </c>
    </row>
    <row r="2589" spans="4:13">
      <c r="D2589" s="1" t="s">
        <v>1550</v>
      </c>
      <c r="E2589" s="1" t="s">
        <v>64</v>
      </c>
      <c r="F2589" s="1" t="s">
        <v>35</v>
      </c>
      <c r="G2589" s="1" t="s">
        <v>36</v>
      </c>
      <c r="H2589" s="1" t="s">
        <v>22</v>
      </c>
      <c r="I2589" s="1" t="s">
        <v>65</v>
      </c>
      <c r="J2589" s="1">
        <v>-459.67</v>
      </c>
      <c r="L2589" s="1">
        <v>80.329999999999984</v>
      </c>
    </row>
    <row r="2590" spans="4:13">
      <c r="D2590" s="1" t="s">
        <v>1550</v>
      </c>
      <c r="E2590" s="1" t="s">
        <v>66</v>
      </c>
      <c r="F2590" s="1" t="s">
        <v>35</v>
      </c>
      <c r="G2590" s="1" t="s">
        <v>36</v>
      </c>
      <c r="H2590" s="1" t="s">
        <v>22</v>
      </c>
      <c r="I2590" s="1" t="s">
        <v>65</v>
      </c>
      <c r="J2590" s="1">
        <v>-459.67</v>
      </c>
      <c r="L2590" s="1">
        <v>80.329999999999984</v>
      </c>
    </row>
    <row r="2591" spans="4:13">
      <c r="D2591" s="1" t="s">
        <v>1550</v>
      </c>
      <c r="E2591" s="1" t="s">
        <v>67</v>
      </c>
      <c r="F2591" s="1" t="s">
        <v>41</v>
      </c>
      <c r="G2591" s="1" t="s">
        <v>42</v>
      </c>
      <c r="H2591" s="1" t="s">
        <v>22</v>
      </c>
      <c r="I2591" s="1" t="s">
        <v>65</v>
      </c>
      <c r="L2591" s="1">
        <v>1.8</v>
      </c>
    </row>
    <row r="2592" spans="4:13">
      <c r="D2592" s="1" t="s">
        <v>1550</v>
      </c>
      <c r="E2592" s="1" t="s">
        <v>68</v>
      </c>
      <c r="F2592" s="1" t="s">
        <v>45</v>
      </c>
      <c r="G2592" s="1" t="s">
        <v>46</v>
      </c>
      <c r="H2592" s="1" t="s">
        <v>22</v>
      </c>
      <c r="I2592" s="1" t="s">
        <v>65</v>
      </c>
      <c r="L2592" s="1">
        <v>4.2992261378713571E-4</v>
      </c>
    </row>
    <row r="2593" spans="4:13">
      <c r="D2593" s="1" t="s">
        <v>1550</v>
      </c>
      <c r="E2593" s="1" t="s">
        <v>69</v>
      </c>
      <c r="H2593" s="1" t="s">
        <v>25</v>
      </c>
      <c r="I2593" s="1" t="s">
        <v>70</v>
      </c>
    </row>
    <row r="2594" spans="4:13">
      <c r="D2594" s="1" t="s">
        <v>1550</v>
      </c>
      <c r="E2594" s="1" t="s">
        <v>71</v>
      </c>
      <c r="F2594" s="1" t="s">
        <v>52</v>
      </c>
      <c r="G2594" s="1" t="s">
        <v>53</v>
      </c>
      <c r="H2594" s="1" t="s">
        <v>22</v>
      </c>
      <c r="I2594" s="1" t="s">
        <v>65</v>
      </c>
      <c r="L2594" s="1">
        <v>7936.6414386555998</v>
      </c>
    </row>
    <row r="2595" spans="4:13">
      <c r="D2595" s="1" t="s">
        <v>1550</v>
      </c>
      <c r="E2595" s="1" t="s">
        <v>72</v>
      </c>
      <c r="F2595" s="1" t="s">
        <v>56</v>
      </c>
      <c r="G2595" s="1" t="s">
        <v>57</v>
      </c>
      <c r="H2595" s="1" t="s">
        <v>22</v>
      </c>
      <c r="I2595" s="1" t="s">
        <v>65</v>
      </c>
      <c r="J2595" s="1">
        <v>0</v>
      </c>
      <c r="L2595" s="1">
        <v>14.503773773020921</v>
      </c>
    </row>
    <row r="2596" spans="4:13">
      <c r="D2596" s="1" t="s">
        <v>1550</v>
      </c>
      <c r="E2596" s="1" t="s">
        <v>73</v>
      </c>
      <c r="F2596" s="1" t="s">
        <v>60</v>
      </c>
      <c r="G2596" s="1" t="s">
        <v>61</v>
      </c>
      <c r="H2596" s="1" t="s">
        <v>22</v>
      </c>
      <c r="I2596" s="1" t="s">
        <v>65</v>
      </c>
      <c r="L2596" s="1">
        <v>2.38845896627E-4</v>
      </c>
    </row>
    <row r="2597" spans="4:13">
      <c r="D2597" s="1" t="s">
        <v>1550</v>
      </c>
      <c r="E2597" s="1" t="s">
        <v>74</v>
      </c>
      <c r="F2597" s="1" t="s">
        <v>75</v>
      </c>
      <c r="G2597" s="1" t="s">
        <v>76</v>
      </c>
      <c r="H2597" s="1" t="s">
        <v>22</v>
      </c>
      <c r="I2597" s="1" t="s">
        <v>65</v>
      </c>
      <c r="J2597" s="1">
        <v>0</v>
      </c>
      <c r="L2597" s="1">
        <v>16.018463521800001</v>
      </c>
    </row>
    <row r="2598" spans="4:13">
      <c r="D2598" s="1" t="s">
        <v>1550</v>
      </c>
      <c r="E2598" s="1" t="s">
        <v>77</v>
      </c>
      <c r="H2598" s="1" t="s">
        <v>22</v>
      </c>
      <c r="I2598" s="1" t="s">
        <v>65</v>
      </c>
      <c r="L2598" s="1">
        <v>1</v>
      </c>
    </row>
    <row r="2599" spans="4:13">
      <c r="D2599" s="1" t="s">
        <v>1550</v>
      </c>
      <c r="E2599" s="1" t="s">
        <v>78</v>
      </c>
      <c r="H2599" s="1" t="s">
        <v>25</v>
      </c>
      <c r="I2599" s="1" t="s">
        <v>23</v>
      </c>
      <c r="M2599" s="1" t="b">
        <v>0</v>
      </c>
    </row>
    <row r="2600" spans="4:13">
      <c r="D2600" s="1" t="s">
        <v>1550</v>
      </c>
      <c r="E2600" s="1" t="s">
        <v>79</v>
      </c>
      <c r="F2600" s="1" t="s">
        <v>75</v>
      </c>
      <c r="G2600" s="1" t="s">
        <v>76</v>
      </c>
      <c r="H2600" s="1" t="s">
        <v>22</v>
      </c>
      <c r="I2600" s="1" t="s">
        <v>23</v>
      </c>
      <c r="J2600" s="1">
        <v>0</v>
      </c>
      <c r="K2600" s="1">
        <v>96.110781130800007</v>
      </c>
      <c r="L2600" s="1">
        <v>16.018463521800001</v>
      </c>
      <c r="M2600" s="1">
        <v>1.6018463521800002</v>
      </c>
    </row>
    <row r="2601" spans="4:13">
      <c r="D2601" s="1" t="s">
        <v>1550</v>
      </c>
      <c r="E2601" s="1" t="s">
        <v>80</v>
      </c>
      <c r="H2601" s="1" t="s">
        <v>25</v>
      </c>
      <c r="I2601" s="1" t="s">
        <v>23</v>
      </c>
      <c r="M2601" s="1" t="b">
        <v>0</v>
      </c>
    </row>
    <row r="2602" spans="4:13">
      <c r="D2602" s="1" t="s">
        <v>1550</v>
      </c>
      <c r="E2602" s="1" t="s">
        <v>81</v>
      </c>
      <c r="H2602" s="1" t="s">
        <v>25</v>
      </c>
      <c r="I2602" s="1" t="s">
        <v>23</v>
      </c>
      <c r="M2602" s="1" t="b">
        <v>0</v>
      </c>
    </row>
    <row r="2603" spans="4:13">
      <c r="D2603" s="1" t="s">
        <v>1550</v>
      </c>
      <c r="E2603" s="1" t="s">
        <v>82</v>
      </c>
      <c r="H2603" s="1" t="s">
        <v>22</v>
      </c>
      <c r="I2603" s="1" t="s">
        <v>23</v>
      </c>
      <c r="J2603" s="1">
        <v>-1</v>
      </c>
      <c r="K2603" s="1">
        <v>3</v>
      </c>
      <c r="L2603" s="1">
        <v>1</v>
      </c>
      <c r="M2603" s="1">
        <v>1.01</v>
      </c>
    </row>
    <row r="2604" spans="4:13">
      <c r="D2604" s="1" t="s">
        <v>1551</v>
      </c>
      <c r="E2604" s="1" t="s">
        <v>99</v>
      </c>
      <c r="H2604" s="1" t="s">
        <v>25</v>
      </c>
      <c r="I2604" s="1" t="s">
        <v>23</v>
      </c>
      <c r="M2604" s="1" t="b">
        <v>0</v>
      </c>
    </row>
    <row r="2605" spans="4:13">
      <c r="D2605" s="1" t="s">
        <v>1551</v>
      </c>
      <c r="E2605" s="1" t="s">
        <v>47</v>
      </c>
      <c r="H2605" s="1" t="s">
        <v>25</v>
      </c>
      <c r="I2605" s="1" t="s">
        <v>23</v>
      </c>
      <c r="M2605" s="1" t="b">
        <v>0</v>
      </c>
    </row>
    <row r="2606" spans="4:13">
      <c r="D2606" s="1" t="s">
        <v>1551</v>
      </c>
      <c r="E2606" s="1" t="s">
        <v>100</v>
      </c>
      <c r="H2606" s="1" t="s">
        <v>22</v>
      </c>
      <c r="I2606" s="1" t="s">
        <v>23</v>
      </c>
      <c r="L2606" s="1">
        <v>1</v>
      </c>
      <c r="M2606" s="1">
        <v>10</v>
      </c>
    </row>
    <row r="2607" spans="4:13">
      <c r="D2607" s="1" t="s">
        <v>1551</v>
      </c>
      <c r="E2607" s="1" t="s">
        <v>101</v>
      </c>
      <c r="H2607" s="1" t="s">
        <v>22</v>
      </c>
      <c r="I2607" s="1" t="s">
        <v>23</v>
      </c>
      <c r="L2607" s="1">
        <v>1</v>
      </c>
      <c r="M2607" s="1">
        <v>0</v>
      </c>
    </row>
    <row r="2608" spans="4:13">
      <c r="D2608" s="1" t="s">
        <v>1551</v>
      </c>
      <c r="E2608" s="1" t="s">
        <v>102</v>
      </c>
      <c r="H2608" s="1" t="s">
        <v>22</v>
      </c>
      <c r="I2608" s="1" t="s">
        <v>23</v>
      </c>
      <c r="L2608" s="1">
        <v>1</v>
      </c>
      <c r="M2608" s="1">
        <v>0.1</v>
      </c>
    </row>
    <row r="2609" spans="4:13">
      <c r="D2609" s="1" t="s">
        <v>1551</v>
      </c>
      <c r="E2609" s="1" t="s">
        <v>103</v>
      </c>
      <c r="H2609" s="1" t="s">
        <v>22</v>
      </c>
      <c r="I2609" s="1" t="s">
        <v>29</v>
      </c>
      <c r="J2609" s="1">
        <v>0</v>
      </c>
      <c r="K2609" s="1">
        <v>10</v>
      </c>
      <c r="L2609" s="1">
        <v>5</v>
      </c>
    </row>
    <row r="2610" spans="4:13">
      <c r="D2610" s="1" t="s">
        <v>1552</v>
      </c>
      <c r="H2610" s="1" t="s">
        <v>25</v>
      </c>
      <c r="I2610" s="1" t="s">
        <v>23</v>
      </c>
      <c r="M2610" s="1" t="b">
        <v>1</v>
      </c>
    </row>
    <row r="2611" spans="4:13">
      <c r="D2611" s="1" t="s">
        <v>1553</v>
      </c>
      <c r="E2611" s="1" t="s">
        <v>99</v>
      </c>
      <c r="H2611" s="1" t="s">
        <v>25</v>
      </c>
      <c r="I2611" s="1" t="s">
        <v>23</v>
      </c>
      <c r="M2611" s="1" t="b">
        <v>1</v>
      </c>
    </row>
    <row r="2612" spans="4:13">
      <c r="D2612" s="1" t="s">
        <v>1553</v>
      </c>
      <c r="E2612" s="1" t="s">
        <v>47</v>
      </c>
      <c r="H2612" s="1" t="s">
        <v>25</v>
      </c>
      <c r="I2612" s="1" t="s">
        <v>23</v>
      </c>
      <c r="M2612" s="1" t="b">
        <v>0</v>
      </c>
    </row>
    <row r="2613" spans="4:13">
      <c r="D2613" s="1" t="s">
        <v>1553</v>
      </c>
      <c r="E2613" s="1" t="s">
        <v>102</v>
      </c>
      <c r="H2613" s="1" t="s">
        <v>22</v>
      </c>
      <c r="I2613" s="1" t="s">
        <v>23</v>
      </c>
      <c r="L2613" s="1">
        <v>1</v>
      </c>
      <c r="M2613" s="1">
        <v>0</v>
      </c>
    </row>
    <row r="2614" spans="4:13">
      <c r="D2614" s="1" t="s">
        <v>1554</v>
      </c>
      <c r="E2614" s="1" t="s">
        <v>1555</v>
      </c>
      <c r="F2614" s="1" t="s">
        <v>147</v>
      </c>
      <c r="G2614" s="1" t="s">
        <v>148</v>
      </c>
      <c r="H2614" s="1" t="s">
        <v>22</v>
      </c>
      <c r="I2614" s="1" t="s">
        <v>23</v>
      </c>
      <c r="L2614" s="1">
        <v>3.4121416351331</v>
      </c>
      <c r="M2614" s="1">
        <v>3412.1416351331</v>
      </c>
    </row>
    <row r="2615" spans="4:13">
      <c r="D2615" s="1" t="s">
        <v>1554</v>
      </c>
      <c r="E2615" s="1" t="s">
        <v>1556</v>
      </c>
      <c r="H2615" s="1" t="s">
        <v>25</v>
      </c>
      <c r="I2615" s="1" t="s">
        <v>23</v>
      </c>
      <c r="M2615" s="1" t="b">
        <v>0</v>
      </c>
    </row>
    <row r="2616" spans="4:13">
      <c r="D2616" s="1" t="s">
        <v>1554</v>
      </c>
      <c r="E2616" s="1" t="s">
        <v>1557</v>
      </c>
      <c r="H2616" s="1" t="s">
        <v>22</v>
      </c>
      <c r="I2616" s="1" t="s">
        <v>29</v>
      </c>
      <c r="J2616" s="1">
        <v>-1000000</v>
      </c>
      <c r="K2616" s="1">
        <v>1000000</v>
      </c>
      <c r="L2616" s="1">
        <v>1000</v>
      </c>
    </row>
    <row r="2617" spans="4:13">
      <c r="D2617" s="1" t="s">
        <v>1554</v>
      </c>
      <c r="E2617" s="1" t="s">
        <v>1558</v>
      </c>
      <c r="F2617" s="1" t="s">
        <v>35</v>
      </c>
      <c r="G2617" s="1" t="s">
        <v>36</v>
      </c>
      <c r="H2617" s="1" t="s">
        <v>22</v>
      </c>
      <c r="I2617" s="1" t="s">
        <v>23</v>
      </c>
      <c r="J2617" s="1">
        <v>-459.67</v>
      </c>
      <c r="L2617" s="1">
        <v>80.329999999999984</v>
      </c>
      <c r="M2617" s="1">
        <v>40.999999999999943</v>
      </c>
    </row>
    <row r="2618" spans="4:13">
      <c r="D2618" s="1" t="s">
        <v>1554</v>
      </c>
      <c r="E2618" s="1" t="s">
        <v>33</v>
      </c>
      <c r="H2618" s="1" t="s">
        <v>25</v>
      </c>
      <c r="I2618" s="1" t="s">
        <v>23</v>
      </c>
      <c r="M2618" s="1" t="b">
        <v>0</v>
      </c>
    </row>
    <row r="2619" spans="4:13">
      <c r="D2619" s="1" t="s">
        <v>1559</v>
      </c>
      <c r="E2619" s="1" t="s">
        <v>1555</v>
      </c>
      <c r="F2619" s="1" t="s">
        <v>147</v>
      </c>
      <c r="G2619" s="1" t="s">
        <v>148</v>
      </c>
      <c r="H2619" s="1" t="s">
        <v>22</v>
      </c>
      <c r="I2619" s="1" t="s">
        <v>23</v>
      </c>
      <c r="L2619" s="1">
        <v>3.4121416351331</v>
      </c>
      <c r="M2619" s="1">
        <v>3412.1416351331</v>
      </c>
    </row>
    <row r="2620" spans="4:13">
      <c r="D2620" s="1" t="s">
        <v>1559</v>
      </c>
      <c r="E2620" s="1" t="s">
        <v>1556</v>
      </c>
      <c r="H2620" s="1" t="s">
        <v>25</v>
      </c>
      <c r="I2620" s="1" t="s">
        <v>23</v>
      </c>
      <c r="M2620" s="1" t="b">
        <v>1</v>
      </c>
    </row>
    <row r="2621" spans="4:13">
      <c r="D2621" s="1" t="s">
        <v>1559</v>
      </c>
      <c r="E2621" s="1" t="s">
        <v>1558</v>
      </c>
      <c r="F2621" s="1" t="s">
        <v>35</v>
      </c>
      <c r="G2621" s="1" t="s">
        <v>36</v>
      </c>
      <c r="H2621" s="1" t="s">
        <v>22</v>
      </c>
      <c r="I2621" s="1" t="s">
        <v>23</v>
      </c>
      <c r="J2621" s="1">
        <v>-459.67</v>
      </c>
      <c r="L2621" s="1">
        <v>80.329999999999984</v>
      </c>
      <c r="M2621" s="1">
        <v>40.999999999999943</v>
      </c>
    </row>
    <row r="2622" spans="4:13">
      <c r="D2622" s="1" t="s">
        <v>1559</v>
      </c>
      <c r="E2622" s="1" t="s">
        <v>33</v>
      </c>
      <c r="H2622" s="1" t="s">
        <v>25</v>
      </c>
      <c r="I2622" s="1" t="s">
        <v>23</v>
      </c>
      <c r="M2622" s="1" t="b">
        <v>0</v>
      </c>
    </row>
    <row r="2623" spans="4:13">
      <c r="D2623" s="1" t="s">
        <v>1559</v>
      </c>
      <c r="E2623" s="1" t="s">
        <v>47</v>
      </c>
      <c r="H2623" s="1" t="s">
        <v>25</v>
      </c>
      <c r="I2623" s="1" t="s">
        <v>23</v>
      </c>
      <c r="M2623" s="1" t="b">
        <v>0</v>
      </c>
    </row>
    <row r="2624" spans="4:13">
      <c r="D2624" s="1" t="s">
        <v>1560</v>
      </c>
      <c r="E2624" s="1" t="s">
        <v>1555</v>
      </c>
      <c r="F2624" s="1" t="s">
        <v>147</v>
      </c>
      <c r="G2624" s="1" t="s">
        <v>148</v>
      </c>
      <c r="H2624" s="1" t="s">
        <v>22</v>
      </c>
      <c r="I2624" s="1" t="s">
        <v>23</v>
      </c>
      <c r="L2624" s="1">
        <v>3.4121416351331</v>
      </c>
      <c r="M2624" s="1">
        <v>3412.1416351331</v>
      </c>
    </row>
    <row r="2625" spans="4:13">
      <c r="D2625" s="1" t="s">
        <v>1560</v>
      </c>
      <c r="E2625" s="1" t="s">
        <v>1556</v>
      </c>
      <c r="H2625" s="1" t="s">
        <v>25</v>
      </c>
      <c r="I2625" s="1" t="s">
        <v>23</v>
      </c>
      <c r="M2625" s="1" t="b">
        <v>1</v>
      </c>
    </row>
    <row r="2626" spans="4:13">
      <c r="D2626" s="1" t="s">
        <v>1560</v>
      </c>
      <c r="E2626" s="1" t="s">
        <v>1558</v>
      </c>
      <c r="F2626" s="1" t="s">
        <v>35</v>
      </c>
      <c r="G2626" s="1" t="s">
        <v>36</v>
      </c>
      <c r="H2626" s="1" t="s">
        <v>22</v>
      </c>
      <c r="I2626" s="1" t="s">
        <v>23</v>
      </c>
      <c r="J2626" s="1">
        <v>-459.67</v>
      </c>
      <c r="L2626" s="1">
        <v>80.329999999999984</v>
      </c>
      <c r="M2626" s="1">
        <v>40.999999999999943</v>
      </c>
    </row>
    <row r="2627" spans="4:13">
      <c r="D2627" s="1" t="s">
        <v>1560</v>
      </c>
      <c r="E2627" s="1" t="s">
        <v>33</v>
      </c>
      <c r="H2627" s="1" t="s">
        <v>25</v>
      </c>
      <c r="I2627" s="1" t="s">
        <v>23</v>
      </c>
      <c r="M2627" s="1" t="b">
        <v>0</v>
      </c>
    </row>
    <row r="2628" spans="4:13">
      <c r="D2628" s="1" t="s">
        <v>1560</v>
      </c>
      <c r="E2628" s="1" t="s">
        <v>47</v>
      </c>
      <c r="H2628" s="1" t="s">
        <v>25</v>
      </c>
      <c r="I2628" s="1" t="s">
        <v>23</v>
      </c>
      <c r="M2628" s="1" t="b">
        <v>0</v>
      </c>
    </row>
    <row r="2629" spans="4:13">
      <c r="D2629" s="1" t="s">
        <v>1561</v>
      </c>
      <c r="E2629" s="1" t="s">
        <v>1562</v>
      </c>
      <c r="H2629" s="1" t="s">
        <v>22</v>
      </c>
      <c r="I2629" s="1" t="s">
        <v>23</v>
      </c>
      <c r="J2629" s="1">
        <v>0</v>
      </c>
      <c r="K2629" s="1">
        <v>1</v>
      </c>
      <c r="L2629" s="1">
        <v>1</v>
      </c>
      <c r="M2629" s="1">
        <v>0.5</v>
      </c>
    </row>
    <row r="2630" spans="4:13">
      <c r="D2630" s="1" t="s">
        <v>1561</v>
      </c>
      <c r="E2630" s="1" t="s">
        <v>47</v>
      </c>
      <c r="H2630" s="1" t="s">
        <v>25</v>
      </c>
      <c r="I2630" s="1" t="s">
        <v>23</v>
      </c>
      <c r="M2630" s="1" t="b">
        <v>0</v>
      </c>
    </row>
    <row r="2631" spans="4:13">
      <c r="D2631" s="1" t="s">
        <v>1561</v>
      </c>
      <c r="E2631" s="1" t="s">
        <v>1508</v>
      </c>
      <c r="H2631" s="1" t="s">
        <v>25</v>
      </c>
      <c r="I2631" s="1" t="s">
        <v>23</v>
      </c>
      <c r="M2631" s="1" t="b">
        <v>0</v>
      </c>
    </row>
    <row r="2632" spans="4:13">
      <c r="D2632" s="1" t="s">
        <v>1561</v>
      </c>
      <c r="E2632" s="1" t="s">
        <v>1563</v>
      </c>
      <c r="H2632" s="1" t="s">
        <v>25</v>
      </c>
      <c r="I2632" s="1" t="s">
        <v>23</v>
      </c>
      <c r="M2632" s="1" t="b">
        <v>0</v>
      </c>
    </row>
    <row r="2633" spans="4:13">
      <c r="D2633" s="1" t="s">
        <v>1561</v>
      </c>
      <c r="E2633" s="1" t="s">
        <v>1564</v>
      </c>
      <c r="F2633" s="1" t="s">
        <v>52</v>
      </c>
      <c r="G2633" s="1" t="s">
        <v>53</v>
      </c>
      <c r="H2633" s="1" t="s">
        <v>22</v>
      </c>
      <c r="I2633" s="1" t="s">
        <v>23</v>
      </c>
      <c r="L2633" s="1">
        <v>7936.6414386555998</v>
      </c>
      <c r="M2633" s="1">
        <v>0</v>
      </c>
    </row>
    <row r="2634" spans="4:13">
      <c r="D2634" s="1" t="s">
        <v>1561</v>
      </c>
      <c r="E2634" s="1" t="s">
        <v>1565</v>
      </c>
      <c r="F2634" s="1" t="s">
        <v>52</v>
      </c>
      <c r="G2634" s="1" t="s">
        <v>53</v>
      </c>
      <c r="H2634" s="1" t="s">
        <v>22</v>
      </c>
      <c r="I2634" s="1" t="s">
        <v>23</v>
      </c>
      <c r="L2634" s="1">
        <v>7936.6414386555998</v>
      </c>
      <c r="M2634" s="1">
        <v>0</v>
      </c>
    </row>
    <row r="2635" spans="4:13">
      <c r="D2635" s="1" t="s">
        <v>1561</v>
      </c>
      <c r="E2635" s="1" t="s">
        <v>1566</v>
      </c>
      <c r="F2635" s="1" t="s">
        <v>56</v>
      </c>
      <c r="G2635" s="1" t="s">
        <v>57</v>
      </c>
      <c r="H2635" s="1" t="s">
        <v>22</v>
      </c>
      <c r="I2635" s="1" t="s">
        <v>29</v>
      </c>
      <c r="J2635" s="1">
        <v>4.9312830828271128</v>
      </c>
      <c r="K2635" s="1">
        <v>623.66227223989961</v>
      </c>
      <c r="L2635" s="1">
        <v>50.713895374744951</v>
      </c>
    </row>
    <row r="2636" spans="4:13">
      <c r="D2636" s="1" t="s">
        <v>1561</v>
      </c>
      <c r="E2636" s="1" t="s">
        <v>1567</v>
      </c>
      <c r="F2636" s="1" t="s">
        <v>52</v>
      </c>
      <c r="G2636" s="1" t="s">
        <v>53</v>
      </c>
      <c r="H2636" s="1" t="s">
        <v>22</v>
      </c>
      <c r="I2636" s="1" t="s">
        <v>29</v>
      </c>
      <c r="J2636" s="1">
        <v>-793664.14386555995</v>
      </c>
      <c r="K2636" s="1">
        <v>0</v>
      </c>
      <c r="L2636" s="1">
        <v>7936.6414386555998</v>
      </c>
    </row>
    <row r="2637" spans="4:13">
      <c r="D2637" s="1" t="s">
        <v>1561</v>
      </c>
      <c r="E2637" s="1" t="s">
        <v>1568</v>
      </c>
      <c r="F2637" s="1" t="s">
        <v>52</v>
      </c>
      <c r="G2637" s="1" t="s">
        <v>53</v>
      </c>
      <c r="H2637" s="1" t="s">
        <v>22</v>
      </c>
      <c r="I2637" s="1" t="s">
        <v>29</v>
      </c>
      <c r="J2637" s="1">
        <v>-793664.14386555995</v>
      </c>
      <c r="K2637" s="1">
        <v>0</v>
      </c>
      <c r="L2637" s="1">
        <v>7936.6414386555998</v>
      </c>
    </row>
    <row r="2638" spans="4:13">
      <c r="D2638" s="1" t="s">
        <v>1561</v>
      </c>
      <c r="E2638" s="1" t="s">
        <v>62</v>
      </c>
      <c r="H2638" s="1" t="s">
        <v>63</v>
      </c>
      <c r="I2638" s="1" t="s">
        <v>23</v>
      </c>
      <c r="M2638" s="1">
        <v>1</v>
      </c>
    </row>
    <row r="2639" spans="4:13">
      <c r="D2639" s="1" t="s">
        <v>1569</v>
      </c>
      <c r="E2639" s="1" t="s">
        <v>1562</v>
      </c>
      <c r="H2639" s="1" t="s">
        <v>22</v>
      </c>
      <c r="I2639" s="1" t="s">
        <v>23</v>
      </c>
      <c r="J2639" s="1">
        <v>0</v>
      </c>
      <c r="K2639" s="1">
        <v>1</v>
      </c>
      <c r="L2639" s="1">
        <v>1</v>
      </c>
      <c r="M2639" s="1">
        <v>0.01</v>
      </c>
    </row>
    <row r="2640" spans="4:13">
      <c r="D2640" s="1" t="s">
        <v>1569</v>
      </c>
      <c r="E2640" s="1" t="s">
        <v>47</v>
      </c>
      <c r="H2640" s="1" t="s">
        <v>25</v>
      </c>
      <c r="I2640" s="1" t="s">
        <v>23</v>
      </c>
      <c r="M2640" s="1" t="b">
        <v>0</v>
      </c>
    </row>
    <row r="2641" spans="4:13">
      <c r="D2641" s="1" t="s">
        <v>1569</v>
      </c>
      <c r="E2641" s="1" t="s">
        <v>1508</v>
      </c>
      <c r="H2641" s="1" t="s">
        <v>25</v>
      </c>
      <c r="I2641" s="1" t="s">
        <v>23</v>
      </c>
      <c r="M2641" s="1" t="b">
        <v>1</v>
      </c>
    </row>
    <row r="2642" spans="4:13">
      <c r="D2642" s="1" t="s">
        <v>1569</v>
      </c>
      <c r="E2642" s="1" t="s">
        <v>1563</v>
      </c>
      <c r="H2642" s="1" t="s">
        <v>25</v>
      </c>
      <c r="I2642" s="1" t="s">
        <v>23</v>
      </c>
      <c r="M2642" s="1" t="b">
        <v>0</v>
      </c>
    </row>
    <row r="2643" spans="4:13">
      <c r="D2643" s="1" t="s">
        <v>1569</v>
      </c>
      <c r="E2643" s="1" t="s">
        <v>1564</v>
      </c>
      <c r="F2643" s="1" t="s">
        <v>52</v>
      </c>
      <c r="G2643" s="1" t="s">
        <v>53</v>
      </c>
      <c r="H2643" s="1" t="s">
        <v>22</v>
      </c>
      <c r="I2643" s="1" t="s">
        <v>23</v>
      </c>
      <c r="L2643" s="1">
        <v>7936.6414386555998</v>
      </c>
      <c r="M2643" s="1">
        <v>0</v>
      </c>
    </row>
    <row r="2644" spans="4:13">
      <c r="D2644" s="1" t="s">
        <v>1569</v>
      </c>
      <c r="E2644" s="1" t="s">
        <v>1565</v>
      </c>
      <c r="F2644" s="1" t="s">
        <v>52</v>
      </c>
      <c r="G2644" s="1" t="s">
        <v>53</v>
      </c>
      <c r="H2644" s="1" t="s">
        <v>22</v>
      </c>
      <c r="I2644" s="1" t="s">
        <v>23</v>
      </c>
      <c r="L2644" s="1">
        <v>7936.6414386555998</v>
      </c>
      <c r="M2644" s="1">
        <v>0</v>
      </c>
    </row>
    <row r="2645" spans="4:13">
      <c r="D2645" s="1" t="s">
        <v>1569</v>
      </c>
      <c r="E2645" s="1" t="s">
        <v>1566</v>
      </c>
      <c r="F2645" s="1" t="s">
        <v>56</v>
      </c>
      <c r="G2645" s="1" t="s">
        <v>57</v>
      </c>
      <c r="H2645" s="1" t="s">
        <v>22</v>
      </c>
      <c r="I2645" s="1" t="s">
        <v>29</v>
      </c>
      <c r="J2645" s="1">
        <v>4.9312830828271128</v>
      </c>
      <c r="K2645" s="1">
        <v>623.66227223989961</v>
      </c>
      <c r="L2645" s="1">
        <v>50.713895374744951</v>
      </c>
    </row>
    <row r="2646" spans="4:13">
      <c r="D2646" s="1" t="s">
        <v>1569</v>
      </c>
      <c r="E2646" s="1" t="s">
        <v>1567</v>
      </c>
      <c r="F2646" s="1" t="s">
        <v>52</v>
      </c>
      <c r="G2646" s="1" t="s">
        <v>53</v>
      </c>
      <c r="H2646" s="1" t="s">
        <v>22</v>
      </c>
      <c r="I2646" s="1" t="s">
        <v>29</v>
      </c>
      <c r="J2646" s="1">
        <v>-793664.14386555995</v>
      </c>
      <c r="K2646" s="1">
        <v>0</v>
      </c>
      <c r="L2646" s="1">
        <v>7936.6414386555998</v>
      </c>
    </row>
    <row r="2647" spans="4:13">
      <c r="D2647" s="1" t="s">
        <v>1569</v>
      </c>
      <c r="E2647" s="1" t="s">
        <v>1568</v>
      </c>
      <c r="F2647" s="1" t="s">
        <v>52</v>
      </c>
      <c r="G2647" s="1" t="s">
        <v>53</v>
      </c>
      <c r="H2647" s="1" t="s">
        <v>22</v>
      </c>
      <c r="I2647" s="1" t="s">
        <v>29</v>
      </c>
      <c r="J2647" s="1">
        <v>-793664.14386555995</v>
      </c>
      <c r="K2647" s="1">
        <v>0</v>
      </c>
      <c r="L2647" s="1">
        <v>7936.6414386555998</v>
      </c>
    </row>
    <row r="2648" spans="4:13">
      <c r="D2648" s="1" t="s">
        <v>1569</v>
      </c>
      <c r="E2648" s="1" t="s">
        <v>62</v>
      </c>
      <c r="H2648" s="1" t="s">
        <v>63</v>
      </c>
      <c r="I2648" s="1" t="s">
        <v>23</v>
      </c>
      <c r="M2648" s="1">
        <v>1</v>
      </c>
    </row>
    <row r="2649" spans="4:13">
      <c r="D2649" s="1" t="s">
        <v>1570</v>
      </c>
      <c r="E2649" s="1" t="s">
        <v>1562</v>
      </c>
      <c r="H2649" s="1" t="s">
        <v>22</v>
      </c>
      <c r="I2649" s="1" t="s">
        <v>23</v>
      </c>
      <c r="J2649" s="1">
        <v>0</v>
      </c>
      <c r="K2649" s="1">
        <v>1</v>
      </c>
      <c r="L2649" s="1">
        <v>1</v>
      </c>
      <c r="M2649" s="1">
        <v>0.01</v>
      </c>
    </row>
    <row r="2650" spans="4:13">
      <c r="D2650" s="1" t="s">
        <v>1570</v>
      </c>
      <c r="E2650" s="1" t="s">
        <v>47</v>
      </c>
      <c r="H2650" s="1" t="s">
        <v>25</v>
      </c>
      <c r="I2650" s="1" t="s">
        <v>23</v>
      </c>
      <c r="M2650" s="1" t="b">
        <v>0</v>
      </c>
    </row>
    <row r="2651" spans="4:13">
      <c r="D2651" s="1" t="s">
        <v>1570</v>
      </c>
      <c r="E2651" s="1" t="s">
        <v>1508</v>
      </c>
      <c r="H2651" s="1" t="s">
        <v>25</v>
      </c>
      <c r="I2651" s="1" t="s">
        <v>23</v>
      </c>
      <c r="M2651" s="1" t="b">
        <v>0</v>
      </c>
    </row>
    <row r="2652" spans="4:13">
      <c r="D2652" s="1" t="s">
        <v>1570</v>
      </c>
      <c r="E2652" s="1" t="s">
        <v>1563</v>
      </c>
      <c r="H2652" s="1" t="s">
        <v>25</v>
      </c>
      <c r="I2652" s="1" t="s">
        <v>23</v>
      </c>
      <c r="M2652" s="1" t="b">
        <v>0</v>
      </c>
    </row>
    <row r="2653" spans="4:13">
      <c r="D2653" s="1" t="s">
        <v>1570</v>
      </c>
      <c r="E2653" s="1" t="s">
        <v>1564</v>
      </c>
      <c r="F2653" s="1" t="s">
        <v>52</v>
      </c>
      <c r="G2653" s="1" t="s">
        <v>53</v>
      </c>
      <c r="H2653" s="1" t="s">
        <v>22</v>
      </c>
      <c r="I2653" s="1" t="s">
        <v>23</v>
      </c>
      <c r="L2653" s="1">
        <v>7936.6414386555998</v>
      </c>
      <c r="M2653" s="1">
        <v>0</v>
      </c>
    </row>
    <row r="2654" spans="4:13">
      <c r="D2654" s="1" t="s">
        <v>1570</v>
      </c>
      <c r="E2654" s="1" t="s">
        <v>1565</v>
      </c>
      <c r="F2654" s="1" t="s">
        <v>52</v>
      </c>
      <c r="G2654" s="1" t="s">
        <v>53</v>
      </c>
      <c r="H2654" s="1" t="s">
        <v>22</v>
      </c>
      <c r="I2654" s="1" t="s">
        <v>23</v>
      </c>
      <c r="L2654" s="1">
        <v>7936.6414386555998</v>
      </c>
      <c r="M2654" s="1">
        <v>0</v>
      </c>
    </row>
    <row r="2655" spans="4:13">
      <c r="D2655" s="1" t="s">
        <v>1570</v>
      </c>
      <c r="E2655" s="1" t="s">
        <v>1566</v>
      </c>
      <c r="F2655" s="1" t="s">
        <v>56</v>
      </c>
      <c r="G2655" s="1" t="s">
        <v>57</v>
      </c>
      <c r="H2655" s="1" t="s">
        <v>22</v>
      </c>
      <c r="I2655" s="1" t="s">
        <v>29</v>
      </c>
      <c r="J2655" s="1">
        <v>4.9312830828271128</v>
      </c>
      <c r="K2655" s="1">
        <v>623.66227223989961</v>
      </c>
      <c r="L2655" s="1">
        <v>50.713895374744951</v>
      </c>
    </row>
    <row r="2656" spans="4:13">
      <c r="D2656" s="1" t="s">
        <v>1570</v>
      </c>
      <c r="E2656" s="1" t="s">
        <v>1567</v>
      </c>
      <c r="F2656" s="1" t="s">
        <v>52</v>
      </c>
      <c r="G2656" s="1" t="s">
        <v>53</v>
      </c>
      <c r="H2656" s="1" t="s">
        <v>22</v>
      </c>
      <c r="I2656" s="1" t="s">
        <v>29</v>
      </c>
      <c r="J2656" s="1">
        <v>-793664.14386555995</v>
      </c>
      <c r="K2656" s="1">
        <v>0</v>
      </c>
      <c r="L2656" s="1">
        <v>7936.6414386555998</v>
      </c>
    </row>
    <row r="2657" spans="4:13">
      <c r="D2657" s="1" t="s">
        <v>1570</v>
      </c>
      <c r="E2657" s="1" t="s">
        <v>1568</v>
      </c>
      <c r="F2657" s="1" t="s">
        <v>52</v>
      </c>
      <c r="G2657" s="1" t="s">
        <v>53</v>
      </c>
      <c r="H2657" s="1" t="s">
        <v>22</v>
      </c>
      <c r="I2657" s="1" t="s">
        <v>29</v>
      </c>
      <c r="J2657" s="1">
        <v>-793664.14386555995</v>
      </c>
      <c r="K2657" s="1">
        <v>0</v>
      </c>
      <c r="L2657" s="1">
        <v>7936.6414386555998</v>
      </c>
    </row>
    <row r="2658" spans="4:13">
      <c r="D2658" s="1" t="s">
        <v>1570</v>
      </c>
      <c r="E2658" s="1" t="s">
        <v>62</v>
      </c>
      <c r="H2658" s="1" t="s">
        <v>63</v>
      </c>
      <c r="I2658" s="1" t="s">
        <v>23</v>
      </c>
      <c r="M2658" s="1">
        <v>1</v>
      </c>
    </row>
    <row r="2659" spans="4:13">
      <c r="D2659" s="1" t="s">
        <v>1571</v>
      </c>
      <c r="E2659" s="1" t="s">
        <v>1572</v>
      </c>
      <c r="H2659" s="1" t="s">
        <v>25</v>
      </c>
      <c r="I2659" s="1" t="s">
        <v>23</v>
      </c>
      <c r="M2659" s="1" t="b">
        <v>0</v>
      </c>
    </row>
    <row r="2660" spans="4:13">
      <c r="D2660" s="1" t="s">
        <v>1571</v>
      </c>
      <c r="E2660" s="1" t="s">
        <v>1573</v>
      </c>
      <c r="F2660" s="1" t="s">
        <v>147</v>
      </c>
      <c r="G2660" s="1" t="s">
        <v>148</v>
      </c>
      <c r="H2660" s="1" t="s">
        <v>22</v>
      </c>
      <c r="I2660" s="1" t="s">
        <v>23</v>
      </c>
      <c r="L2660" s="1">
        <v>3.4121416351331</v>
      </c>
      <c r="M2660" s="1">
        <v>12000000.007063219</v>
      </c>
    </row>
    <row r="2661" spans="4:13">
      <c r="D2661" s="1" t="s">
        <v>1571</v>
      </c>
      <c r="E2661" s="1" t="s">
        <v>1574</v>
      </c>
      <c r="H2661" s="1" t="s">
        <v>25</v>
      </c>
      <c r="I2661" s="1" t="s">
        <v>23</v>
      </c>
      <c r="M2661" s="1" t="b">
        <v>0</v>
      </c>
    </row>
    <row r="2662" spans="4:13">
      <c r="D2662" s="1" t="s">
        <v>1571</v>
      </c>
      <c r="E2662" s="1" t="s">
        <v>1575</v>
      </c>
      <c r="F2662" s="1" t="s">
        <v>147</v>
      </c>
      <c r="G2662" s="1" t="s">
        <v>148</v>
      </c>
      <c r="H2662" s="1" t="s">
        <v>22</v>
      </c>
      <c r="I2662" s="1" t="s">
        <v>23</v>
      </c>
      <c r="L2662" s="1">
        <v>3.4121416351331</v>
      </c>
      <c r="M2662" s="1">
        <v>0</v>
      </c>
    </row>
    <row r="2663" spans="4:13">
      <c r="D2663" s="1" t="s">
        <v>1571</v>
      </c>
      <c r="E2663" s="1" t="s">
        <v>1576</v>
      </c>
      <c r="H2663" s="1" t="s">
        <v>25</v>
      </c>
      <c r="I2663" s="1" t="s">
        <v>23</v>
      </c>
      <c r="M2663" s="1" t="b">
        <v>0</v>
      </c>
    </row>
    <row r="2664" spans="4:13">
      <c r="D2664" s="1" t="s">
        <v>1571</v>
      </c>
      <c r="E2664" s="1" t="s">
        <v>1577</v>
      </c>
      <c r="H2664" s="1" t="s">
        <v>25</v>
      </c>
      <c r="I2664" s="1" t="s">
        <v>23</v>
      </c>
      <c r="M2664" s="1" t="b">
        <v>0</v>
      </c>
    </row>
    <row r="2665" spans="4:13">
      <c r="D2665" s="1" t="s">
        <v>1571</v>
      </c>
      <c r="E2665" s="1" t="s">
        <v>1578</v>
      </c>
      <c r="H2665" s="1" t="s">
        <v>22</v>
      </c>
      <c r="I2665" s="1" t="s">
        <v>23</v>
      </c>
      <c r="L2665" s="1">
        <v>1</v>
      </c>
      <c r="M2665" s="1">
        <v>0.88</v>
      </c>
    </row>
    <row r="2666" spans="4:13">
      <c r="D2666" s="1" t="s">
        <v>1571</v>
      </c>
      <c r="E2666" s="1" t="s">
        <v>1579</v>
      </c>
      <c r="H2666" s="1" t="s">
        <v>25</v>
      </c>
      <c r="I2666" s="1" t="s">
        <v>23</v>
      </c>
      <c r="M2666" s="1" t="b">
        <v>1</v>
      </c>
    </row>
    <row r="2667" spans="4:13">
      <c r="D2667" s="1" t="s">
        <v>1571</v>
      </c>
      <c r="E2667" s="1" t="s">
        <v>1580</v>
      </c>
      <c r="H2667" s="1" t="s">
        <v>25</v>
      </c>
      <c r="I2667" s="1" t="s">
        <v>23</v>
      </c>
      <c r="M2667" s="1" t="b">
        <v>0</v>
      </c>
    </row>
    <row r="2668" spans="4:13">
      <c r="D2668" s="1" t="s">
        <v>1571</v>
      </c>
      <c r="E2668" s="1" t="s">
        <v>1581</v>
      </c>
      <c r="H2668" s="1" t="s">
        <v>25</v>
      </c>
      <c r="I2668" s="1" t="s">
        <v>23</v>
      </c>
      <c r="M2668" s="1" t="b">
        <v>0</v>
      </c>
    </row>
    <row r="2669" spans="4:13">
      <c r="D2669" s="1" t="s">
        <v>1571</v>
      </c>
      <c r="E2669" s="1" t="s">
        <v>1582</v>
      </c>
      <c r="F2669" s="1" t="s">
        <v>147</v>
      </c>
      <c r="G2669" s="1" t="s">
        <v>148</v>
      </c>
      <c r="H2669" s="1" t="s">
        <v>22</v>
      </c>
      <c r="I2669" s="1" t="s">
        <v>23</v>
      </c>
      <c r="L2669" s="1">
        <v>3.4121416351331</v>
      </c>
      <c r="M2669" s="1">
        <v>0</v>
      </c>
    </row>
    <row r="2670" spans="4:13">
      <c r="D2670" s="1" t="s">
        <v>1571</v>
      </c>
      <c r="E2670" s="1" t="s">
        <v>1583</v>
      </c>
      <c r="H2670" s="1" t="s">
        <v>25</v>
      </c>
      <c r="I2670" s="1" t="s">
        <v>23</v>
      </c>
      <c r="M2670" s="1" t="b">
        <v>0</v>
      </c>
    </row>
    <row r="2671" spans="4:13">
      <c r="D2671" s="1" t="s">
        <v>1571</v>
      </c>
      <c r="E2671" s="1" t="s">
        <v>1584</v>
      </c>
      <c r="F2671" s="1" t="s">
        <v>147</v>
      </c>
      <c r="G2671" s="1" t="s">
        <v>148</v>
      </c>
      <c r="H2671" s="1" t="s">
        <v>22</v>
      </c>
      <c r="I2671" s="1" t="s">
        <v>23</v>
      </c>
      <c r="L2671" s="1">
        <v>3.4121416351331</v>
      </c>
      <c r="M2671" s="1">
        <v>0</v>
      </c>
    </row>
    <row r="2672" spans="4:13">
      <c r="D2672" s="1" t="s">
        <v>1571</v>
      </c>
      <c r="E2672" s="1" t="s">
        <v>1585</v>
      </c>
      <c r="H2672" s="1" t="s">
        <v>25</v>
      </c>
      <c r="I2672" s="1" t="s">
        <v>23</v>
      </c>
      <c r="M2672" s="1" t="b">
        <v>0</v>
      </c>
    </row>
    <row r="2673" spans="4:13">
      <c r="D2673" s="1" t="s">
        <v>1571</v>
      </c>
      <c r="E2673" s="1" t="s">
        <v>1586</v>
      </c>
      <c r="F2673" s="1" t="s">
        <v>147</v>
      </c>
      <c r="G2673" s="1" t="s">
        <v>148</v>
      </c>
      <c r="H2673" s="1" t="s">
        <v>22</v>
      </c>
      <c r="I2673" s="1" t="s">
        <v>23</v>
      </c>
      <c r="L2673" s="1">
        <v>3.4121416351331</v>
      </c>
      <c r="M2673" s="1">
        <v>0</v>
      </c>
    </row>
    <row r="2674" spans="4:13">
      <c r="D2674" s="1" t="s">
        <v>1571</v>
      </c>
      <c r="E2674" s="1" t="s">
        <v>1587</v>
      </c>
      <c r="H2674" s="1" t="s">
        <v>25</v>
      </c>
      <c r="I2674" s="1" t="s">
        <v>23</v>
      </c>
      <c r="M2674" s="1" t="b">
        <v>0</v>
      </c>
    </row>
    <row r="2675" spans="4:13">
      <c r="D2675" s="1" t="s">
        <v>1571</v>
      </c>
      <c r="E2675" s="1" t="s">
        <v>1588</v>
      </c>
      <c r="F2675" s="1" t="s">
        <v>147</v>
      </c>
      <c r="G2675" s="1" t="s">
        <v>148</v>
      </c>
      <c r="H2675" s="1" t="s">
        <v>22</v>
      </c>
      <c r="I2675" s="1" t="s">
        <v>23</v>
      </c>
      <c r="L2675" s="1">
        <v>3.4121416351331</v>
      </c>
      <c r="M2675" s="1">
        <v>0</v>
      </c>
    </row>
    <row r="2676" spans="4:13">
      <c r="D2676" s="1" t="s">
        <v>1571</v>
      </c>
      <c r="E2676" s="1" t="s">
        <v>1589</v>
      </c>
      <c r="H2676" s="1" t="s">
        <v>22</v>
      </c>
      <c r="I2676" s="1" t="s">
        <v>65</v>
      </c>
      <c r="L2676" s="1">
        <v>1</v>
      </c>
    </row>
    <row r="2677" spans="4:13">
      <c r="D2677" s="1" t="s">
        <v>1571</v>
      </c>
      <c r="E2677" s="1" t="s">
        <v>1590</v>
      </c>
      <c r="H2677" s="1" t="s">
        <v>22</v>
      </c>
      <c r="I2677" s="1" t="s">
        <v>65</v>
      </c>
      <c r="L2677" s="1">
        <v>1</v>
      </c>
    </row>
    <row r="2678" spans="4:13">
      <c r="D2678" s="1" t="s">
        <v>1571</v>
      </c>
      <c r="E2678" s="1" t="s">
        <v>1591</v>
      </c>
      <c r="F2678" s="1" t="s">
        <v>147</v>
      </c>
      <c r="G2678" s="1" t="s">
        <v>148</v>
      </c>
      <c r="H2678" s="1" t="s">
        <v>22</v>
      </c>
      <c r="I2678" s="1" t="s">
        <v>65</v>
      </c>
      <c r="L2678" s="1">
        <v>3.4121416351331</v>
      </c>
    </row>
    <row r="2679" spans="4:13">
      <c r="D2679" s="1" t="s">
        <v>1571</v>
      </c>
      <c r="E2679" s="1" t="s">
        <v>1592</v>
      </c>
      <c r="F2679" s="1" t="s">
        <v>147</v>
      </c>
      <c r="G2679" s="1" t="s">
        <v>148</v>
      </c>
      <c r="H2679" s="1" t="s">
        <v>22</v>
      </c>
      <c r="I2679" s="1" t="s">
        <v>120</v>
      </c>
      <c r="L2679" s="1">
        <v>3.4121416351331</v>
      </c>
    </row>
    <row r="2680" spans="4:13">
      <c r="D2680" s="1" t="s">
        <v>1571</v>
      </c>
      <c r="E2680" s="1" t="s">
        <v>1593</v>
      </c>
      <c r="F2680" s="1" t="s">
        <v>147</v>
      </c>
      <c r="G2680" s="1" t="s">
        <v>148</v>
      </c>
      <c r="H2680" s="1" t="s">
        <v>22</v>
      </c>
      <c r="I2680" s="1" t="s">
        <v>65</v>
      </c>
      <c r="L2680" s="1">
        <v>3.4121416351331</v>
      </c>
    </row>
    <row r="2681" spans="4:13">
      <c r="D2681" s="1" t="s">
        <v>1571</v>
      </c>
      <c r="E2681" s="1" t="s">
        <v>1594</v>
      </c>
      <c r="H2681" s="1" t="s">
        <v>22</v>
      </c>
      <c r="I2681" s="1" t="s">
        <v>65</v>
      </c>
      <c r="L2681" s="1">
        <v>1</v>
      </c>
    </row>
    <row r="2682" spans="4:13">
      <c r="D2682" s="1" t="s">
        <v>1571</v>
      </c>
      <c r="E2682" s="1" t="s">
        <v>1595</v>
      </c>
      <c r="H2682" s="1" t="s">
        <v>22</v>
      </c>
      <c r="I2682" s="1" t="s">
        <v>65</v>
      </c>
      <c r="L2682" s="1">
        <v>1</v>
      </c>
    </row>
    <row r="2683" spans="4:13">
      <c r="D2683" s="1" t="s">
        <v>1571</v>
      </c>
      <c r="E2683" s="1" t="s">
        <v>1596</v>
      </c>
      <c r="F2683" s="1" t="s">
        <v>147</v>
      </c>
      <c r="G2683" s="1" t="s">
        <v>148</v>
      </c>
      <c r="H2683" s="1" t="s">
        <v>22</v>
      </c>
      <c r="I2683" s="1" t="s">
        <v>65</v>
      </c>
      <c r="L2683" s="1">
        <v>3.4121416351331</v>
      </c>
    </row>
    <row r="2684" spans="4:13">
      <c r="D2684" s="1" t="s">
        <v>1571</v>
      </c>
      <c r="E2684" s="1" t="s">
        <v>1597</v>
      </c>
      <c r="F2684" s="1" t="s">
        <v>147</v>
      </c>
      <c r="G2684" s="1" t="s">
        <v>148</v>
      </c>
      <c r="H2684" s="1" t="s">
        <v>22</v>
      </c>
      <c r="I2684" s="1" t="s">
        <v>120</v>
      </c>
      <c r="L2684" s="1">
        <v>3.4121416351331</v>
      </c>
    </row>
    <row r="2685" spans="4:13">
      <c r="D2685" s="1" t="s">
        <v>1571</v>
      </c>
      <c r="E2685" s="1" t="s">
        <v>1598</v>
      </c>
      <c r="F2685" s="1" t="s">
        <v>147</v>
      </c>
      <c r="G2685" s="1" t="s">
        <v>148</v>
      </c>
      <c r="H2685" s="1" t="s">
        <v>22</v>
      </c>
      <c r="I2685" s="1" t="s">
        <v>65</v>
      </c>
      <c r="L2685" s="1">
        <v>3.4121416351331</v>
      </c>
    </row>
    <row r="2686" spans="4:13">
      <c r="D2686" s="1" t="s">
        <v>1571</v>
      </c>
      <c r="E2686" s="1" t="s">
        <v>1599</v>
      </c>
      <c r="H2686" s="1" t="s">
        <v>25</v>
      </c>
      <c r="I2686" s="1" t="s">
        <v>120</v>
      </c>
    </row>
    <row r="2687" spans="4:13">
      <c r="D2687" s="1" t="s">
        <v>1571</v>
      </c>
      <c r="E2687" s="1" t="s">
        <v>1600</v>
      </c>
      <c r="H2687" s="1" t="s">
        <v>25</v>
      </c>
      <c r="I2687" s="1" t="s">
        <v>120</v>
      </c>
    </row>
    <row r="2688" spans="4:13">
      <c r="D2688" s="1" t="s">
        <v>1571</v>
      </c>
      <c r="E2688" s="1" t="s">
        <v>1601</v>
      </c>
      <c r="H2688" s="1" t="s">
        <v>22</v>
      </c>
      <c r="I2688" s="1" t="s">
        <v>65</v>
      </c>
      <c r="L2688" s="1">
        <v>1</v>
      </c>
    </row>
    <row r="2689" spans="4:13">
      <c r="D2689" s="1" t="s">
        <v>1571</v>
      </c>
      <c r="E2689" s="1" t="s">
        <v>1602</v>
      </c>
      <c r="F2689" s="1" t="s">
        <v>118</v>
      </c>
      <c r="G2689" s="1" t="s">
        <v>119</v>
      </c>
      <c r="H2689" s="1" t="s">
        <v>22</v>
      </c>
      <c r="I2689" s="1" t="s">
        <v>65</v>
      </c>
      <c r="J2689" s="1">
        <v>0</v>
      </c>
      <c r="L2689" s="1">
        <v>2.20462262185</v>
      </c>
    </row>
    <row r="2690" spans="4:13">
      <c r="D2690" s="1" t="s">
        <v>1571</v>
      </c>
      <c r="E2690" s="1" t="s">
        <v>1603</v>
      </c>
      <c r="F2690" s="1" t="s">
        <v>118</v>
      </c>
      <c r="G2690" s="1" t="s">
        <v>119</v>
      </c>
      <c r="H2690" s="1" t="s">
        <v>22</v>
      </c>
      <c r="I2690" s="1" t="s">
        <v>120</v>
      </c>
      <c r="J2690" s="1">
        <v>0</v>
      </c>
      <c r="L2690" s="1">
        <v>2.20462262185</v>
      </c>
    </row>
    <row r="2691" spans="4:13">
      <c r="D2691" s="1" t="s">
        <v>1571</v>
      </c>
      <c r="E2691" s="1" t="s">
        <v>1604</v>
      </c>
      <c r="H2691" s="1" t="s">
        <v>150</v>
      </c>
      <c r="I2691" s="1" t="s">
        <v>120</v>
      </c>
    </row>
    <row r="2692" spans="4:13">
      <c r="D2692" s="1" t="s">
        <v>1571</v>
      </c>
      <c r="E2692" s="1" t="s">
        <v>1605</v>
      </c>
      <c r="H2692" s="1" t="s">
        <v>63</v>
      </c>
      <c r="I2692" s="1" t="s">
        <v>120</v>
      </c>
    </row>
    <row r="2693" spans="4:13">
      <c r="D2693" s="1" t="s">
        <v>1571</v>
      </c>
      <c r="E2693" s="1" t="s">
        <v>1606</v>
      </c>
      <c r="H2693" s="1" t="s">
        <v>22</v>
      </c>
      <c r="I2693" s="1" t="s">
        <v>120</v>
      </c>
      <c r="L2693" s="1">
        <v>1</v>
      </c>
    </row>
    <row r="2694" spans="4:13">
      <c r="D2694" s="1" t="s">
        <v>1571</v>
      </c>
      <c r="E2694" s="1" t="s">
        <v>1607</v>
      </c>
      <c r="H2694" s="1" t="s">
        <v>22</v>
      </c>
      <c r="I2694" s="1" t="s">
        <v>120</v>
      </c>
      <c r="L2694" s="1">
        <v>1</v>
      </c>
    </row>
    <row r="2695" spans="4:13">
      <c r="D2695" s="1" t="s">
        <v>1571</v>
      </c>
      <c r="E2695" s="1" t="s">
        <v>1608</v>
      </c>
      <c r="F2695" s="1" t="s">
        <v>147</v>
      </c>
      <c r="G2695" s="1" t="s">
        <v>148</v>
      </c>
      <c r="H2695" s="1" t="s">
        <v>22</v>
      </c>
      <c r="I2695" s="1" t="s">
        <v>120</v>
      </c>
      <c r="L2695" s="1">
        <v>3.4121416351331</v>
      </c>
    </row>
    <row r="2696" spans="4:13">
      <c r="D2696" s="1" t="s">
        <v>1571</v>
      </c>
      <c r="E2696" s="1" t="s">
        <v>1609</v>
      </c>
      <c r="F2696" s="1" t="s">
        <v>147</v>
      </c>
      <c r="G2696" s="1" t="s">
        <v>148</v>
      </c>
      <c r="H2696" s="1" t="s">
        <v>22</v>
      </c>
      <c r="I2696" s="1" t="s">
        <v>120</v>
      </c>
      <c r="L2696" s="1">
        <v>3.4121416351331</v>
      </c>
    </row>
    <row r="2697" spans="4:13">
      <c r="D2697" s="1" t="s">
        <v>1571</v>
      </c>
      <c r="E2697" s="1" t="s">
        <v>1610</v>
      </c>
      <c r="F2697" s="1" t="s">
        <v>147</v>
      </c>
      <c r="G2697" s="1" t="s">
        <v>148</v>
      </c>
      <c r="H2697" s="1" t="s">
        <v>22</v>
      </c>
      <c r="I2697" s="1" t="s">
        <v>120</v>
      </c>
      <c r="L2697" s="1">
        <v>3.4121416351331</v>
      </c>
    </row>
    <row r="2698" spans="4:13">
      <c r="D2698" s="1" t="s">
        <v>1571</v>
      </c>
      <c r="E2698" s="1" t="s">
        <v>1611</v>
      </c>
      <c r="F2698" s="1" t="s">
        <v>147</v>
      </c>
      <c r="G2698" s="1" t="s">
        <v>148</v>
      </c>
      <c r="H2698" s="1" t="s">
        <v>22</v>
      </c>
      <c r="I2698" s="1" t="s">
        <v>65</v>
      </c>
      <c r="L2698" s="1">
        <v>3.4121416351331</v>
      </c>
    </row>
    <row r="2699" spans="4:13">
      <c r="D2699" s="1" t="s">
        <v>1571</v>
      </c>
      <c r="E2699" s="1" t="s">
        <v>1612</v>
      </c>
      <c r="F2699" s="1" t="s">
        <v>147</v>
      </c>
      <c r="G2699" s="1" t="s">
        <v>148</v>
      </c>
      <c r="H2699" s="1" t="s">
        <v>22</v>
      </c>
      <c r="I2699" s="1" t="s">
        <v>120</v>
      </c>
      <c r="L2699" s="1">
        <v>3.4121416351331</v>
      </c>
    </row>
    <row r="2700" spans="4:13">
      <c r="D2700" s="1" t="s">
        <v>1571</v>
      </c>
      <c r="E2700" s="1" t="s">
        <v>1613</v>
      </c>
      <c r="F2700" s="1" t="s">
        <v>147</v>
      </c>
      <c r="G2700" s="1" t="s">
        <v>148</v>
      </c>
      <c r="H2700" s="1" t="s">
        <v>22</v>
      </c>
      <c r="I2700" s="1" t="s">
        <v>65</v>
      </c>
      <c r="L2700" s="1">
        <v>3.4121416351331</v>
      </c>
    </row>
    <row r="2701" spans="4:13">
      <c r="D2701" s="1" t="s">
        <v>1614</v>
      </c>
      <c r="H2701" s="1" t="s">
        <v>25</v>
      </c>
      <c r="I2701" s="1" t="s">
        <v>23</v>
      </c>
      <c r="M2701" s="1" t="b">
        <v>0</v>
      </c>
    </row>
    <row r="2702" spans="4:13">
      <c r="D2702" s="1" t="s">
        <v>1615</v>
      </c>
      <c r="H2702" s="1" t="s">
        <v>25</v>
      </c>
      <c r="I2702" s="1" t="s">
        <v>23</v>
      </c>
      <c r="M2702" s="1" t="b">
        <v>1</v>
      </c>
    </row>
    <row r="2703" spans="4:13">
      <c r="D2703" s="1" t="s">
        <v>1616</v>
      </c>
      <c r="E2703" s="1" t="s">
        <v>1617</v>
      </c>
      <c r="H2703" s="1" t="s">
        <v>22</v>
      </c>
      <c r="I2703" s="1" t="s">
        <v>23</v>
      </c>
      <c r="L2703" s="1">
        <v>1</v>
      </c>
      <c r="M2703" s="1">
        <v>1</v>
      </c>
    </row>
    <row r="2704" spans="4:13">
      <c r="D2704" s="1" t="s">
        <v>1616</v>
      </c>
      <c r="E2704" s="1" t="s">
        <v>1618</v>
      </c>
      <c r="H2704" s="1" t="s">
        <v>181</v>
      </c>
      <c r="I2704" s="1" t="s">
        <v>23</v>
      </c>
      <c r="J2704" s="1">
        <v>1</v>
      </c>
      <c r="K2704" s="1">
        <v>11</v>
      </c>
      <c r="M2704" s="1" t="s">
        <v>950</v>
      </c>
    </row>
    <row r="2705" spans="4:13">
      <c r="D2705" s="1" t="s">
        <v>1616</v>
      </c>
      <c r="E2705" s="1" t="s">
        <v>1619</v>
      </c>
      <c r="F2705" s="1" t="s">
        <v>1535</v>
      </c>
      <c r="G2705" s="1" t="s">
        <v>1535</v>
      </c>
      <c r="H2705" s="1" t="s">
        <v>22</v>
      </c>
      <c r="I2705" s="1" t="s">
        <v>23</v>
      </c>
      <c r="J2705" s="1">
        <v>0</v>
      </c>
      <c r="K2705" s="1">
        <v>1000</v>
      </c>
      <c r="L2705" s="1">
        <v>1</v>
      </c>
      <c r="M2705" s="1">
        <v>50</v>
      </c>
    </row>
    <row r="2706" spans="4:13">
      <c r="D2706" s="1" t="s">
        <v>1616</v>
      </c>
      <c r="E2706" s="1" t="s">
        <v>1620</v>
      </c>
      <c r="H2706" s="1" t="s">
        <v>22</v>
      </c>
      <c r="I2706" s="1" t="s">
        <v>23</v>
      </c>
      <c r="J2706" s="1">
        <v>0</v>
      </c>
      <c r="K2706" s="1">
        <v>1</v>
      </c>
      <c r="L2706" s="1">
        <v>1</v>
      </c>
      <c r="M2706" s="1">
        <v>0.95</v>
      </c>
    </row>
    <row r="2707" spans="4:13">
      <c r="D2707" s="1" t="s">
        <v>1616</v>
      </c>
      <c r="E2707" s="1" t="s">
        <v>1621</v>
      </c>
      <c r="F2707" s="1">
        <v>1</v>
      </c>
      <c r="G2707" s="1">
        <v>1</v>
      </c>
      <c r="H2707" s="1" t="s">
        <v>22</v>
      </c>
      <c r="I2707" s="1" t="s">
        <v>29</v>
      </c>
      <c r="J2707" s="1">
        <v>0.01</v>
      </c>
      <c r="K2707" s="1">
        <v>1</v>
      </c>
      <c r="L2707" s="1">
        <v>0.95</v>
      </c>
    </row>
    <row r="2708" spans="4:13">
      <c r="D2708" s="1" t="s">
        <v>1616</v>
      </c>
      <c r="E2708" s="1" t="s">
        <v>1622</v>
      </c>
      <c r="F2708" s="1" t="s">
        <v>147</v>
      </c>
      <c r="G2708" s="1" t="s">
        <v>148</v>
      </c>
      <c r="H2708" s="1" t="s">
        <v>22</v>
      </c>
      <c r="I2708" s="1" t="s">
        <v>23</v>
      </c>
      <c r="J2708" s="1">
        <v>0</v>
      </c>
      <c r="K2708" s="1">
        <v>34121416351.331001</v>
      </c>
      <c r="L2708" s="1">
        <v>3.4121416351331</v>
      </c>
      <c r="M2708" s="1">
        <v>750671.15972928202</v>
      </c>
    </row>
    <row r="2709" spans="4:13">
      <c r="D2709" s="1" t="s">
        <v>1616</v>
      </c>
      <c r="E2709" s="1" t="s">
        <v>1623</v>
      </c>
      <c r="H2709" s="1" t="s">
        <v>181</v>
      </c>
      <c r="I2709" s="1" t="s">
        <v>23</v>
      </c>
      <c r="J2709" s="1">
        <v>1</v>
      </c>
      <c r="K2709" s="1">
        <v>24</v>
      </c>
      <c r="M2709" s="1" t="s">
        <v>1624</v>
      </c>
    </row>
    <row r="2710" spans="4:13">
      <c r="D2710" s="1" t="s">
        <v>1616</v>
      </c>
      <c r="E2710" s="1" t="s">
        <v>1625</v>
      </c>
      <c r="H2710" s="1" t="s">
        <v>181</v>
      </c>
      <c r="I2710" s="1" t="s">
        <v>23</v>
      </c>
      <c r="J2710" s="1">
        <v>1</v>
      </c>
      <c r="K2710" s="1">
        <v>4</v>
      </c>
      <c r="M2710" s="1" t="s">
        <v>950</v>
      </c>
    </row>
    <row r="2711" spans="4:13">
      <c r="D2711" s="1" t="s">
        <v>1616</v>
      </c>
      <c r="E2711" s="1" t="s">
        <v>1626</v>
      </c>
      <c r="H2711" s="1" t="s">
        <v>181</v>
      </c>
      <c r="I2711" s="1" t="s">
        <v>23</v>
      </c>
      <c r="J2711" s="1">
        <v>1</v>
      </c>
      <c r="K2711" s="1">
        <v>4</v>
      </c>
      <c r="M2711" s="1" t="s">
        <v>1627</v>
      </c>
    </row>
    <row r="2712" spans="4:13">
      <c r="D2712" s="1" t="s">
        <v>1616</v>
      </c>
      <c r="E2712" s="1" t="s">
        <v>1628</v>
      </c>
      <c r="H2712" s="1" t="s">
        <v>181</v>
      </c>
      <c r="I2712" s="1" t="s">
        <v>23</v>
      </c>
      <c r="J2712" s="1">
        <v>1</v>
      </c>
      <c r="K2712" s="1">
        <v>25</v>
      </c>
      <c r="M2712" s="1" t="s">
        <v>1629</v>
      </c>
    </row>
    <row r="2713" spans="4:13">
      <c r="D2713" s="1" t="s">
        <v>1616</v>
      </c>
      <c r="E2713" s="1" t="s">
        <v>1630</v>
      </c>
      <c r="H2713" s="1" t="s">
        <v>181</v>
      </c>
      <c r="I2713" s="1" t="s">
        <v>23</v>
      </c>
      <c r="J2713" s="1">
        <v>1</v>
      </c>
      <c r="K2713" s="1">
        <v>2</v>
      </c>
      <c r="M2713" s="1" t="s">
        <v>1631</v>
      </c>
    </row>
    <row r="2714" spans="4:13">
      <c r="D2714" s="1" t="s">
        <v>1616</v>
      </c>
      <c r="E2714" s="1" t="s">
        <v>1632</v>
      </c>
      <c r="H2714" s="1" t="s">
        <v>181</v>
      </c>
      <c r="I2714" s="1" t="s">
        <v>23</v>
      </c>
      <c r="J2714" s="1">
        <v>1</v>
      </c>
      <c r="K2714" s="1">
        <v>3</v>
      </c>
      <c r="M2714" s="1" t="s">
        <v>1633</v>
      </c>
    </row>
    <row r="2715" spans="4:13">
      <c r="D2715" s="1" t="s">
        <v>1616</v>
      </c>
      <c r="E2715" s="1" t="s">
        <v>1634</v>
      </c>
      <c r="H2715" s="1" t="s">
        <v>181</v>
      </c>
      <c r="I2715" s="1" t="s">
        <v>23</v>
      </c>
      <c r="J2715" s="1">
        <v>1</v>
      </c>
      <c r="K2715" s="1">
        <v>11</v>
      </c>
      <c r="M2715" s="1" t="s">
        <v>1635</v>
      </c>
    </row>
    <row r="2716" spans="4:13">
      <c r="D2716" s="1" t="s">
        <v>1616</v>
      </c>
      <c r="E2716" s="1" t="s">
        <v>906</v>
      </c>
      <c r="H2716" s="1" t="s">
        <v>22</v>
      </c>
      <c r="I2716" s="1" t="s">
        <v>23</v>
      </c>
      <c r="J2716" s="1">
        <v>0.5</v>
      </c>
      <c r="K2716" s="1">
        <v>2</v>
      </c>
      <c r="L2716" s="1">
        <v>1</v>
      </c>
      <c r="M2716" s="1">
        <v>1</v>
      </c>
    </row>
    <row r="2717" spans="4:13">
      <c r="D2717" s="1" t="s">
        <v>1616</v>
      </c>
      <c r="E2717" s="1" t="s">
        <v>907</v>
      </c>
      <c r="H2717" s="1" t="s">
        <v>25</v>
      </c>
      <c r="I2717" s="1" t="s">
        <v>23</v>
      </c>
      <c r="M2717" s="1" t="b">
        <v>1</v>
      </c>
    </row>
    <row r="2718" spans="4:13">
      <c r="D2718" s="1" t="s">
        <v>1616</v>
      </c>
      <c r="E2718" s="1" t="s">
        <v>1636</v>
      </c>
      <c r="F2718" s="1" t="s">
        <v>176</v>
      </c>
      <c r="G2718" s="1" t="s">
        <v>177</v>
      </c>
      <c r="H2718" s="1" t="s">
        <v>22</v>
      </c>
      <c r="I2718" s="1" t="s">
        <v>23</v>
      </c>
      <c r="J2718" s="1">
        <v>0</v>
      </c>
      <c r="K2718" s="1">
        <v>393700.78740157466</v>
      </c>
      <c r="L2718" s="1">
        <v>39.370078740157467</v>
      </c>
      <c r="M2718" s="1">
        <v>39370.078740157471</v>
      </c>
    </row>
    <row r="2719" spans="4:13">
      <c r="D2719" s="1" t="s">
        <v>1616</v>
      </c>
      <c r="E2719" s="1" t="s">
        <v>914</v>
      </c>
      <c r="H2719" s="1" t="s">
        <v>22</v>
      </c>
      <c r="I2719" s="1" t="s">
        <v>29</v>
      </c>
      <c r="J2719" s="1">
        <v>0.1</v>
      </c>
      <c r="K2719" s="1">
        <v>10</v>
      </c>
      <c r="L2719" s="1">
        <v>5.05</v>
      </c>
    </row>
    <row r="2720" spans="4:13">
      <c r="D2720" s="1" t="s">
        <v>1616</v>
      </c>
      <c r="E2720" s="1" t="s">
        <v>1519</v>
      </c>
      <c r="H2720" s="1" t="s">
        <v>25</v>
      </c>
      <c r="I2720" s="1" t="s">
        <v>23</v>
      </c>
      <c r="M2720" s="1" t="b">
        <v>1</v>
      </c>
    </row>
    <row r="2721" spans="4:13">
      <c r="D2721" s="1" t="s">
        <v>1616</v>
      </c>
      <c r="E2721" s="1" t="s">
        <v>1637</v>
      </c>
      <c r="F2721" s="1" t="s">
        <v>200</v>
      </c>
      <c r="G2721" s="1" t="s">
        <v>200</v>
      </c>
      <c r="H2721" s="1" t="s">
        <v>22</v>
      </c>
      <c r="I2721" s="1" t="s">
        <v>29</v>
      </c>
      <c r="J2721" s="1">
        <v>0.01</v>
      </c>
      <c r="K2721" s="1">
        <v>250000</v>
      </c>
      <c r="L2721" s="1">
        <v>500</v>
      </c>
    </row>
    <row r="2722" spans="4:13">
      <c r="D2722" s="1" t="s">
        <v>1616</v>
      </c>
      <c r="E2722" s="1" t="s">
        <v>1638</v>
      </c>
      <c r="F2722" s="1" t="s">
        <v>200</v>
      </c>
      <c r="G2722" s="1" t="s">
        <v>200</v>
      </c>
      <c r="H2722" s="1" t="s">
        <v>22</v>
      </c>
      <c r="I2722" s="1" t="s">
        <v>23</v>
      </c>
      <c r="J2722" s="1">
        <v>0</v>
      </c>
      <c r="K2722" s="1">
        <v>1000000</v>
      </c>
      <c r="L2722" s="1">
        <v>1</v>
      </c>
      <c r="M2722" s="1">
        <v>500</v>
      </c>
    </row>
    <row r="2723" spans="4:13">
      <c r="D2723" s="1" t="s">
        <v>1616</v>
      </c>
      <c r="E2723" s="1" t="s">
        <v>1520</v>
      </c>
      <c r="H2723" s="1" t="s">
        <v>22</v>
      </c>
      <c r="I2723" s="1" t="s">
        <v>23</v>
      </c>
      <c r="J2723" s="1">
        <v>0</v>
      </c>
      <c r="K2723" s="1">
        <v>1</v>
      </c>
      <c r="L2723" s="1">
        <v>1</v>
      </c>
      <c r="M2723" s="1">
        <v>0.97750000000000004</v>
      </c>
    </row>
    <row r="2724" spans="4:13">
      <c r="D2724" s="1" t="s">
        <v>1616</v>
      </c>
      <c r="E2724" s="1" t="s">
        <v>1639</v>
      </c>
      <c r="H2724" s="1" t="s">
        <v>22</v>
      </c>
      <c r="I2724" s="1" t="s">
        <v>29</v>
      </c>
      <c r="J2724" s="1">
        <v>0.01</v>
      </c>
      <c r="K2724" s="1">
        <v>1</v>
      </c>
      <c r="L2724" s="1">
        <v>0.95</v>
      </c>
    </row>
    <row r="2725" spans="4:13">
      <c r="D2725" s="1" t="s">
        <v>1616</v>
      </c>
      <c r="E2725" s="1" t="s">
        <v>1640</v>
      </c>
      <c r="H2725" s="1" t="s">
        <v>22</v>
      </c>
      <c r="I2725" s="1" t="s">
        <v>23</v>
      </c>
      <c r="J2725" s="1">
        <v>0</v>
      </c>
      <c r="K2725" s="1">
        <v>1</v>
      </c>
      <c r="L2725" s="1">
        <v>1</v>
      </c>
      <c r="M2725" s="1">
        <v>0.95</v>
      </c>
    </row>
    <row r="2726" spans="4:13">
      <c r="D2726" s="1" t="s">
        <v>1616</v>
      </c>
      <c r="E2726" s="1" t="s">
        <v>47</v>
      </c>
      <c r="H2726" s="1" t="s">
        <v>25</v>
      </c>
      <c r="I2726" s="1" t="s">
        <v>23</v>
      </c>
      <c r="M2726" s="1" t="b">
        <v>0</v>
      </c>
    </row>
    <row r="2727" spans="4:13">
      <c r="D2727" s="1" t="s">
        <v>1616</v>
      </c>
      <c r="E2727" s="1" t="s">
        <v>920</v>
      </c>
      <c r="H2727" s="1" t="s">
        <v>22</v>
      </c>
      <c r="I2727" s="1" t="s">
        <v>23</v>
      </c>
      <c r="J2727" s="1">
        <v>-1</v>
      </c>
      <c r="K2727" s="1">
        <v>1</v>
      </c>
      <c r="L2727" s="1">
        <v>1</v>
      </c>
      <c r="M2727" s="1">
        <v>0</v>
      </c>
    </row>
    <row r="2728" spans="4:13">
      <c r="D2728" s="1" t="s">
        <v>1616</v>
      </c>
      <c r="E2728" s="1" t="s">
        <v>921</v>
      </c>
      <c r="H2728" s="1" t="s">
        <v>22</v>
      </c>
      <c r="I2728" s="1" t="s">
        <v>23</v>
      </c>
      <c r="J2728" s="1">
        <v>0</v>
      </c>
      <c r="K2728" s="1">
        <v>1</v>
      </c>
      <c r="L2728" s="1">
        <v>1</v>
      </c>
      <c r="M2728" s="1">
        <v>0</v>
      </c>
    </row>
    <row r="2729" spans="4:13">
      <c r="D2729" s="1" t="s">
        <v>1616</v>
      </c>
      <c r="E2729" s="1" t="s">
        <v>1641</v>
      </c>
      <c r="H2729" s="1" t="s">
        <v>22</v>
      </c>
      <c r="I2729" s="1" t="s">
        <v>23</v>
      </c>
      <c r="J2729" s="1">
        <v>0</v>
      </c>
      <c r="K2729" s="1">
        <v>1</v>
      </c>
      <c r="L2729" s="1">
        <v>1</v>
      </c>
      <c r="M2729" s="1">
        <v>1</v>
      </c>
    </row>
    <row r="2730" spans="4:13">
      <c r="D2730" s="1" t="s">
        <v>1616</v>
      </c>
      <c r="E2730" s="1" t="s">
        <v>1642</v>
      </c>
      <c r="H2730" s="1" t="s">
        <v>25</v>
      </c>
      <c r="I2730" s="1" t="s">
        <v>23</v>
      </c>
      <c r="M2730" s="1" t="b">
        <v>0</v>
      </c>
    </row>
    <row r="2731" spans="4:13">
      <c r="D2731" s="1" t="s">
        <v>1616</v>
      </c>
      <c r="E2731" s="1" t="s">
        <v>1643</v>
      </c>
      <c r="F2731" s="1" t="s">
        <v>147</v>
      </c>
      <c r="G2731" s="1" t="s">
        <v>148</v>
      </c>
      <c r="H2731" s="1" t="s">
        <v>22</v>
      </c>
      <c r="I2731" s="1" t="s">
        <v>23</v>
      </c>
      <c r="J2731" s="1">
        <v>0</v>
      </c>
      <c r="K2731" s="1">
        <v>34121416351.331001</v>
      </c>
      <c r="L2731" s="1">
        <v>3.4121416351331</v>
      </c>
      <c r="M2731" s="1">
        <v>6824.2832702661999</v>
      </c>
    </row>
    <row r="2732" spans="4:13">
      <c r="D2732" s="1" t="s">
        <v>1616</v>
      </c>
      <c r="E2732" s="1" t="s">
        <v>1644</v>
      </c>
      <c r="F2732" s="1" t="s">
        <v>1535</v>
      </c>
      <c r="G2732" s="1" t="s">
        <v>1535</v>
      </c>
      <c r="H2732" s="1" t="s">
        <v>22</v>
      </c>
      <c r="I2732" s="1" t="s">
        <v>65</v>
      </c>
      <c r="L2732" s="1">
        <v>1</v>
      </c>
    </row>
    <row r="2733" spans="4:13">
      <c r="D2733" s="1" t="s">
        <v>1616</v>
      </c>
      <c r="E2733" s="1" t="s">
        <v>1645</v>
      </c>
      <c r="F2733" s="1" t="s">
        <v>147</v>
      </c>
      <c r="G2733" s="1" t="s">
        <v>148</v>
      </c>
      <c r="H2733" s="1" t="s">
        <v>22</v>
      </c>
      <c r="I2733" s="1" t="s">
        <v>65</v>
      </c>
      <c r="L2733" s="1">
        <v>3.4121416351331</v>
      </c>
    </row>
    <row r="2734" spans="4:13">
      <c r="D2734" s="1" t="s">
        <v>1616</v>
      </c>
      <c r="E2734" s="1" t="s">
        <v>1646</v>
      </c>
      <c r="F2734" s="1" t="s">
        <v>1517</v>
      </c>
      <c r="G2734" s="1" t="s">
        <v>1517</v>
      </c>
      <c r="H2734" s="1" t="s">
        <v>22</v>
      </c>
      <c r="I2734" s="1" t="s">
        <v>70</v>
      </c>
      <c r="L2734" s="1">
        <v>1</v>
      </c>
    </row>
    <row r="2735" spans="4:13">
      <c r="D2735" s="1" t="s">
        <v>1616</v>
      </c>
      <c r="E2735" s="1" t="s">
        <v>990</v>
      </c>
      <c r="H2735" s="1" t="s">
        <v>22</v>
      </c>
      <c r="I2735" s="1" t="s">
        <v>65</v>
      </c>
      <c r="L2735" s="1">
        <v>1</v>
      </c>
    </row>
    <row r="2736" spans="4:13">
      <c r="D2736" s="1" t="s">
        <v>1616</v>
      </c>
      <c r="E2736" s="1" t="s">
        <v>1647</v>
      </c>
      <c r="F2736" s="1" t="s">
        <v>200</v>
      </c>
      <c r="G2736" s="1" t="s">
        <v>200</v>
      </c>
      <c r="H2736" s="1" t="s">
        <v>22</v>
      </c>
      <c r="I2736" s="1" t="s">
        <v>65</v>
      </c>
      <c r="L2736" s="1">
        <v>1</v>
      </c>
    </row>
    <row r="2737" spans="4:13">
      <c r="D2737" s="1" t="s">
        <v>1616</v>
      </c>
      <c r="E2737" s="1" t="s">
        <v>1648</v>
      </c>
      <c r="F2737" s="1" t="s">
        <v>200</v>
      </c>
      <c r="G2737" s="1" t="s">
        <v>200</v>
      </c>
      <c r="H2737" s="1" t="s">
        <v>22</v>
      </c>
      <c r="I2737" s="1" t="s">
        <v>65</v>
      </c>
      <c r="L2737" s="1">
        <v>1</v>
      </c>
    </row>
    <row r="2738" spans="4:13">
      <c r="D2738" s="1" t="s">
        <v>1616</v>
      </c>
      <c r="E2738" s="1" t="s">
        <v>1649</v>
      </c>
      <c r="F2738" s="1">
        <v>1</v>
      </c>
      <c r="G2738" s="1">
        <v>1</v>
      </c>
      <c r="H2738" s="1" t="s">
        <v>22</v>
      </c>
      <c r="I2738" s="1" t="s">
        <v>65</v>
      </c>
      <c r="J2738" s="1">
        <v>0</v>
      </c>
      <c r="L2738" s="1">
        <v>1</v>
      </c>
    </row>
    <row r="2739" spans="4:13">
      <c r="D2739" s="1" t="s">
        <v>1616</v>
      </c>
      <c r="E2739" s="1" t="s">
        <v>69</v>
      </c>
      <c r="H2739" s="1" t="s">
        <v>25</v>
      </c>
      <c r="I2739" s="1" t="s">
        <v>70</v>
      </c>
    </row>
    <row r="2740" spans="4:13">
      <c r="D2740" s="1" t="s">
        <v>1616</v>
      </c>
      <c r="E2740" s="1" t="s">
        <v>1650</v>
      </c>
      <c r="F2740" s="1" t="s">
        <v>147</v>
      </c>
      <c r="G2740" s="1" t="s">
        <v>148</v>
      </c>
      <c r="H2740" s="1" t="s">
        <v>22</v>
      </c>
      <c r="I2740" s="1" t="s">
        <v>65</v>
      </c>
      <c r="L2740" s="1">
        <v>3.4121416351331</v>
      </c>
    </row>
    <row r="2741" spans="4:13">
      <c r="D2741" s="1" t="s">
        <v>1616</v>
      </c>
      <c r="E2741" s="1" t="s">
        <v>1651</v>
      </c>
      <c r="F2741" s="1" t="s">
        <v>147</v>
      </c>
      <c r="G2741" s="1" t="s">
        <v>148</v>
      </c>
      <c r="H2741" s="1" t="s">
        <v>22</v>
      </c>
      <c r="I2741" s="1" t="s">
        <v>65</v>
      </c>
      <c r="L2741" s="1">
        <v>3.4121416351331</v>
      </c>
    </row>
    <row r="2742" spans="4:13">
      <c r="D2742" s="1" t="s">
        <v>1616</v>
      </c>
      <c r="E2742" s="1" t="s">
        <v>1652</v>
      </c>
      <c r="F2742" s="1">
        <v>1</v>
      </c>
      <c r="G2742" s="1">
        <v>1</v>
      </c>
      <c r="H2742" s="1" t="s">
        <v>22</v>
      </c>
      <c r="I2742" s="1" t="s">
        <v>65</v>
      </c>
      <c r="L2742" s="1">
        <v>1</v>
      </c>
    </row>
    <row r="2743" spans="4:13">
      <c r="D2743" s="1" t="s">
        <v>1653</v>
      </c>
      <c r="E2743" s="1" t="s">
        <v>1470</v>
      </c>
      <c r="H2743" s="1" t="s">
        <v>22</v>
      </c>
      <c r="I2743" s="1" t="s">
        <v>23</v>
      </c>
      <c r="J2743" s="1">
        <v>0.5</v>
      </c>
      <c r="K2743" s="1">
        <v>2</v>
      </c>
      <c r="L2743" s="1">
        <v>1</v>
      </c>
      <c r="M2743" s="1">
        <v>1</v>
      </c>
    </row>
    <row r="2744" spans="4:13">
      <c r="D2744" s="1" t="s">
        <v>1653</v>
      </c>
      <c r="E2744" s="1" t="s">
        <v>47</v>
      </c>
      <c r="H2744" s="1" t="s">
        <v>25</v>
      </c>
      <c r="I2744" s="1" t="s">
        <v>23</v>
      </c>
      <c r="M2744" s="1" t="b">
        <v>0</v>
      </c>
    </row>
    <row r="2745" spans="4:13">
      <c r="D2745" s="1" t="s">
        <v>1653</v>
      </c>
      <c r="E2745" s="1" t="s">
        <v>920</v>
      </c>
      <c r="H2745" s="1" t="s">
        <v>22</v>
      </c>
      <c r="I2745" s="1" t="s">
        <v>23</v>
      </c>
      <c r="L2745" s="1">
        <v>1</v>
      </c>
      <c r="M2745" s="1">
        <v>0</v>
      </c>
    </row>
    <row r="2746" spans="4:13">
      <c r="D2746" s="1" t="s">
        <v>1653</v>
      </c>
      <c r="E2746" s="1" t="s">
        <v>921</v>
      </c>
      <c r="H2746" s="1" t="s">
        <v>22</v>
      </c>
      <c r="I2746" s="1" t="s">
        <v>23</v>
      </c>
      <c r="J2746" s="1">
        <v>0</v>
      </c>
      <c r="K2746" s="1">
        <v>1</v>
      </c>
      <c r="L2746" s="1">
        <v>1</v>
      </c>
      <c r="M2746" s="1">
        <v>0</v>
      </c>
    </row>
    <row r="2747" spans="4:13">
      <c r="D2747" s="1" t="s">
        <v>1653</v>
      </c>
      <c r="E2747" s="1" t="s">
        <v>1654</v>
      </c>
      <c r="H2747" s="1" t="s">
        <v>22</v>
      </c>
      <c r="I2747" s="1" t="s">
        <v>23</v>
      </c>
      <c r="J2747" s="1">
        <v>0</v>
      </c>
      <c r="K2747" s="1">
        <v>1</v>
      </c>
      <c r="L2747" s="1">
        <v>1</v>
      </c>
      <c r="M2747" s="1">
        <v>1</v>
      </c>
    </row>
    <row r="2748" spans="4:13">
      <c r="D2748" s="1" t="s">
        <v>1653</v>
      </c>
      <c r="E2748" s="1" t="s">
        <v>1655</v>
      </c>
      <c r="F2748" s="1" t="s">
        <v>45</v>
      </c>
      <c r="G2748" s="1" t="s">
        <v>46</v>
      </c>
      <c r="H2748" s="1" t="s">
        <v>22</v>
      </c>
      <c r="I2748" s="1" t="s">
        <v>29</v>
      </c>
      <c r="J2748" s="1">
        <v>-6.3932502128443591</v>
      </c>
      <c r="K2748" s="1">
        <v>358.61435929656</v>
      </c>
      <c r="L2748" s="1">
        <v>114.79148749423418</v>
      </c>
    </row>
    <row r="2749" spans="4:13">
      <c r="D2749" s="1" t="s">
        <v>1653</v>
      </c>
      <c r="E2749" s="1" t="s">
        <v>1298</v>
      </c>
      <c r="F2749" s="1" t="s">
        <v>147</v>
      </c>
      <c r="G2749" s="1" t="s">
        <v>148</v>
      </c>
      <c r="H2749" s="1" t="s">
        <v>22</v>
      </c>
      <c r="I2749" s="1" t="s">
        <v>65</v>
      </c>
      <c r="L2749" s="1">
        <v>3.4121416351331</v>
      </c>
    </row>
    <row r="2750" spans="4:13">
      <c r="D2750" s="1" t="s">
        <v>1653</v>
      </c>
      <c r="E2750" s="1" t="s">
        <v>69</v>
      </c>
      <c r="H2750" s="1" t="s">
        <v>25</v>
      </c>
      <c r="I2750" s="1" t="s">
        <v>70</v>
      </c>
    </row>
    <row r="2751" spans="4:13">
      <c r="D2751" s="1" t="s">
        <v>1653</v>
      </c>
      <c r="E2751" s="1" t="s">
        <v>117</v>
      </c>
      <c r="F2751" s="1" t="s">
        <v>118</v>
      </c>
      <c r="G2751" s="1" t="s">
        <v>119</v>
      </c>
      <c r="H2751" s="1" t="s">
        <v>22</v>
      </c>
      <c r="I2751" s="1" t="s">
        <v>65</v>
      </c>
      <c r="J2751" s="1">
        <v>0</v>
      </c>
      <c r="L2751" s="1">
        <v>2.20462262185</v>
      </c>
    </row>
    <row r="2752" spans="4:13">
      <c r="D2752" s="1" t="s">
        <v>1653</v>
      </c>
      <c r="E2752" s="1" t="s">
        <v>1656</v>
      </c>
      <c r="H2752" s="1" t="s">
        <v>63</v>
      </c>
      <c r="I2752" s="1" t="s">
        <v>120</v>
      </c>
    </row>
    <row r="2753" spans="4:12">
      <c r="D2753" s="1" t="s">
        <v>1653</v>
      </c>
      <c r="E2753" s="1" t="s">
        <v>1657</v>
      </c>
      <c r="F2753" s="1" t="s">
        <v>35</v>
      </c>
      <c r="G2753" s="1" t="s">
        <v>36</v>
      </c>
      <c r="H2753" s="1" t="s">
        <v>22</v>
      </c>
      <c r="I2753" s="1" t="s">
        <v>65</v>
      </c>
      <c r="J2753" s="1">
        <v>-457.87</v>
      </c>
      <c r="K2753" s="1">
        <v>17540.330000000002</v>
      </c>
      <c r="L2753" s="1">
        <v>80.329999999999984</v>
      </c>
    </row>
    <row r="2754" spans="4:12">
      <c r="D2754" s="1" t="s">
        <v>1653</v>
      </c>
      <c r="E2754" s="1" t="s">
        <v>1658</v>
      </c>
      <c r="F2754" s="1" t="s">
        <v>35</v>
      </c>
      <c r="G2754" s="1" t="s">
        <v>36</v>
      </c>
      <c r="H2754" s="1" t="s">
        <v>22</v>
      </c>
      <c r="I2754" s="1" t="s">
        <v>65</v>
      </c>
      <c r="J2754" s="1">
        <v>-457.87</v>
      </c>
      <c r="K2754" s="1">
        <v>17540.330000000002</v>
      </c>
      <c r="L2754" s="1">
        <v>80.329999999999984</v>
      </c>
    </row>
    <row r="2755" spans="4:12">
      <c r="D2755" s="1" t="s">
        <v>1653</v>
      </c>
      <c r="E2755" s="1" t="s">
        <v>1659</v>
      </c>
      <c r="F2755" s="1" t="s">
        <v>1660</v>
      </c>
      <c r="G2755" s="1" t="s">
        <v>1661</v>
      </c>
      <c r="H2755" s="1" t="s">
        <v>22</v>
      </c>
      <c r="I2755" s="1" t="s">
        <v>65</v>
      </c>
      <c r="J2755" s="1">
        <v>0</v>
      </c>
      <c r="K2755" s="1">
        <v>194.03202999999999</v>
      </c>
      <c r="L2755" s="1">
        <v>1.9403203E-3</v>
      </c>
    </row>
    <row r="2756" spans="4:12">
      <c r="D2756" s="1" t="s">
        <v>1653</v>
      </c>
      <c r="E2756" s="1" t="s">
        <v>1662</v>
      </c>
      <c r="F2756" s="1" t="s">
        <v>41</v>
      </c>
      <c r="G2756" s="1" t="s">
        <v>42</v>
      </c>
      <c r="H2756" s="1" t="s">
        <v>22</v>
      </c>
      <c r="I2756" s="1" t="s">
        <v>65</v>
      </c>
      <c r="L2756" s="1">
        <v>1.8</v>
      </c>
    </row>
    <row r="2757" spans="4:12">
      <c r="D2757" s="1" t="s">
        <v>1653</v>
      </c>
      <c r="E2757" s="1" t="s">
        <v>1663</v>
      </c>
      <c r="F2757" s="1" t="s">
        <v>45</v>
      </c>
      <c r="G2757" s="1" t="s">
        <v>46</v>
      </c>
      <c r="H2757" s="1" t="s">
        <v>22</v>
      </c>
      <c r="I2757" s="1" t="s">
        <v>65</v>
      </c>
      <c r="J2757" s="1">
        <v>-4299226.1378713567</v>
      </c>
      <c r="K2757" s="1">
        <v>4299226.1378713567</v>
      </c>
      <c r="L2757" s="1">
        <v>429.92261378713573</v>
      </c>
    </row>
    <row r="2758" spans="4:12">
      <c r="D2758" s="1" t="s">
        <v>1653</v>
      </c>
      <c r="E2758" s="1" t="s">
        <v>1664</v>
      </c>
      <c r="F2758" s="1" t="s">
        <v>56</v>
      </c>
      <c r="G2758" s="1" t="s">
        <v>57</v>
      </c>
      <c r="H2758" s="1" t="s">
        <v>22</v>
      </c>
      <c r="I2758" s="1" t="s">
        <v>65</v>
      </c>
      <c r="J2758" s="1">
        <v>0</v>
      </c>
      <c r="K2758" s="1">
        <v>14503.773773020921</v>
      </c>
      <c r="L2758" s="1">
        <v>14.503773773020921</v>
      </c>
    </row>
    <row r="2759" spans="4:12">
      <c r="D2759" s="1" t="s">
        <v>1653</v>
      </c>
      <c r="E2759" s="1" t="s">
        <v>1665</v>
      </c>
      <c r="H2759" s="1" t="s">
        <v>63</v>
      </c>
      <c r="I2759" s="1" t="s">
        <v>120</v>
      </c>
    </row>
    <row r="2760" spans="4:12">
      <c r="D2760" s="1" t="s">
        <v>1653</v>
      </c>
      <c r="E2760" s="1" t="s">
        <v>1666</v>
      </c>
      <c r="H2760" s="1" t="s">
        <v>22</v>
      </c>
      <c r="I2760" s="1" t="s">
        <v>65</v>
      </c>
      <c r="L2760" s="1">
        <v>1</v>
      </c>
    </row>
    <row r="2761" spans="4:12">
      <c r="D2761" s="1" t="s">
        <v>1653</v>
      </c>
      <c r="E2761" s="1" t="s">
        <v>1667</v>
      </c>
      <c r="F2761" s="1" t="s">
        <v>35</v>
      </c>
      <c r="G2761" s="1" t="s">
        <v>36</v>
      </c>
      <c r="H2761" s="1" t="s">
        <v>22</v>
      </c>
      <c r="I2761" s="1" t="s">
        <v>65</v>
      </c>
      <c r="J2761" s="1">
        <v>-457.87</v>
      </c>
      <c r="K2761" s="1">
        <v>17540.330000000002</v>
      </c>
      <c r="L2761" s="1">
        <v>80.329999999999984</v>
      </c>
    </row>
    <row r="2762" spans="4:12">
      <c r="D2762" s="1" t="s">
        <v>1653</v>
      </c>
      <c r="E2762" s="1" t="s">
        <v>1668</v>
      </c>
      <c r="F2762" s="1" t="s">
        <v>35</v>
      </c>
      <c r="G2762" s="1" t="s">
        <v>36</v>
      </c>
      <c r="H2762" s="1" t="s">
        <v>22</v>
      </c>
      <c r="I2762" s="1" t="s">
        <v>65</v>
      </c>
      <c r="J2762" s="1">
        <v>-457.87</v>
      </c>
      <c r="K2762" s="1">
        <v>17540.330000000002</v>
      </c>
      <c r="L2762" s="1">
        <v>80.329999999999984</v>
      </c>
    </row>
    <row r="2763" spans="4:12">
      <c r="D2763" s="1" t="s">
        <v>1653</v>
      </c>
      <c r="E2763" s="1" t="s">
        <v>1669</v>
      </c>
      <c r="F2763" s="1" t="s">
        <v>1660</v>
      </c>
      <c r="G2763" s="1" t="s">
        <v>1661</v>
      </c>
      <c r="H2763" s="1" t="s">
        <v>22</v>
      </c>
      <c r="I2763" s="1" t="s">
        <v>65</v>
      </c>
      <c r="J2763" s="1">
        <v>0</v>
      </c>
      <c r="K2763" s="1">
        <v>194.03202999999999</v>
      </c>
      <c r="L2763" s="1">
        <v>1.9403203E-3</v>
      </c>
    </row>
    <row r="2764" spans="4:12">
      <c r="D2764" s="1" t="s">
        <v>1653</v>
      </c>
      <c r="E2764" s="1" t="s">
        <v>1670</v>
      </c>
      <c r="F2764" s="1" t="s">
        <v>41</v>
      </c>
      <c r="G2764" s="1" t="s">
        <v>42</v>
      </c>
      <c r="H2764" s="1" t="s">
        <v>22</v>
      </c>
      <c r="I2764" s="1" t="s">
        <v>65</v>
      </c>
      <c r="L2764" s="1">
        <v>1.8</v>
      </c>
    </row>
    <row r="2765" spans="4:12">
      <c r="D2765" s="1" t="s">
        <v>1653</v>
      </c>
      <c r="E2765" s="1" t="s">
        <v>1671</v>
      </c>
      <c r="F2765" s="1" t="s">
        <v>45</v>
      </c>
      <c r="G2765" s="1" t="s">
        <v>46</v>
      </c>
      <c r="H2765" s="1" t="s">
        <v>22</v>
      </c>
      <c r="I2765" s="1" t="s">
        <v>65</v>
      </c>
      <c r="J2765" s="1">
        <v>-4299226.1378713567</v>
      </c>
      <c r="K2765" s="1">
        <v>4299226.1378713567</v>
      </c>
      <c r="L2765" s="1">
        <v>429.92261378713573</v>
      </c>
    </row>
    <row r="2766" spans="4:12">
      <c r="D2766" s="1" t="s">
        <v>1653</v>
      </c>
      <c r="E2766" s="1" t="s">
        <v>1672</v>
      </c>
      <c r="F2766" s="1" t="s">
        <v>56</v>
      </c>
      <c r="G2766" s="1" t="s">
        <v>57</v>
      </c>
      <c r="H2766" s="1" t="s">
        <v>22</v>
      </c>
      <c r="I2766" s="1" t="s">
        <v>65</v>
      </c>
      <c r="J2766" s="1">
        <v>0</v>
      </c>
      <c r="K2766" s="1">
        <v>14503.773773020921</v>
      </c>
      <c r="L2766" s="1">
        <v>14.503773773020921</v>
      </c>
    </row>
    <row r="2767" spans="4:12">
      <c r="D2767" s="1" t="s">
        <v>1653</v>
      </c>
      <c r="E2767" s="1" t="s">
        <v>1673</v>
      </c>
      <c r="H2767" s="1" t="s">
        <v>63</v>
      </c>
      <c r="I2767" s="1" t="s">
        <v>120</v>
      </c>
    </row>
    <row r="2768" spans="4:12">
      <c r="D2768" s="1" t="s">
        <v>1653</v>
      </c>
      <c r="E2768" s="1" t="s">
        <v>1674</v>
      </c>
      <c r="H2768" s="1" t="s">
        <v>22</v>
      </c>
      <c r="I2768" s="1" t="s">
        <v>65</v>
      </c>
      <c r="L2768" s="1">
        <v>1</v>
      </c>
    </row>
    <row r="2769" spans="4:13">
      <c r="D2769" s="1" t="s">
        <v>1653</v>
      </c>
      <c r="E2769" s="1" t="s">
        <v>123</v>
      </c>
      <c r="F2769" s="1" t="s">
        <v>124</v>
      </c>
      <c r="G2769" s="1" t="s">
        <v>125</v>
      </c>
      <c r="H2769" s="1" t="s">
        <v>22</v>
      </c>
      <c r="I2769" s="1" t="s">
        <v>70</v>
      </c>
      <c r="L2769" s="1">
        <v>35.314666699999997</v>
      </c>
    </row>
    <row r="2770" spans="4:13">
      <c r="D2770" s="1" t="s">
        <v>1653</v>
      </c>
      <c r="E2770" s="1" t="s">
        <v>1675</v>
      </c>
      <c r="F2770" s="1" t="s">
        <v>124</v>
      </c>
      <c r="G2770" s="1" t="s">
        <v>125</v>
      </c>
      <c r="H2770" s="1" t="s">
        <v>22</v>
      </c>
      <c r="I2770" s="1" t="s">
        <v>23</v>
      </c>
      <c r="L2770" s="1">
        <v>35.314666699999997</v>
      </c>
      <c r="M2770" s="1">
        <v>3.5314666699999997E-2</v>
      </c>
    </row>
    <row r="2771" spans="4:13">
      <c r="D2771" s="1" t="s">
        <v>1653</v>
      </c>
      <c r="E2771" s="1" t="s">
        <v>1676</v>
      </c>
      <c r="H2771" s="1" t="s">
        <v>22</v>
      </c>
      <c r="I2771" s="1" t="s">
        <v>23</v>
      </c>
      <c r="L2771" s="1">
        <v>1</v>
      </c>
      <c r="M2771" s="1">
        <v>0.95</v>
      </c>
    </row>
    <row r="2772" spans="4:13">
      <c r="D2772" s="1" t="s">
        <v>1677</v>
      </c>
      <c r="E2772" s="1" t="s">
        <v>1470</v>
      </c>
      <c r="H2772" s="1" t="s">
        <v>22</v>
      </c>
      <c r="I2772" s="1" t="s">
        <v>23</v>
      </c>
      <c r="J2772" s="1">
        <v>0.5</v>
      </c>
      <c r="K2772" s="1">
        <v>2</v>
      </c>
      <c r="L2772" s="1">
        <v>1</v>
      </c>
      <c r="M2772" s="1">
        <v>1</v>
      </c>
    </row>
    <row r="2773" spans="4:13">
      <c r="D2773" s="1" t="s">
        <v>1677</v>
      </c>
      <c r="E2773" s="1" t="s">
        <v>47</v>
      </c>
      <c r="H2773" s="1" t="s">
        <v>25</v>
      </c>
      <c r="I2773" s="1" t="s">
        <v>23</v>
      </c>
      <c r="M2773" s="1" t="b">
        <v>0</v>
      </c>
    </row>
    <row r="2774" spans="4:13">
      <c r="D2774" s="1" t="s">
        <v>1677</v>
      </c>
      <c r="E2774" s="1" t="s">
        <v>920</v>
      </c>
      <c r="H2774" s="1" t="s">
        <v>22</v>
      </c>
      <c r="I2774" s="1" t="s">
        <v>23</v>
      </c>
      <c r="L2774" s="1">
        <v>1</v>
      </c>
      <c r="M2774" s="1">
        <v>0</v>
      </c>
    </row>
    <row r="2775" spans="4:13">
      <c r="D2775" s="1" t="s">
        <v>1677</v>
      </c>
      <c r="E2775" s="1" t="s">
        <v>921</v>
      </c>
      <c r="H2775" s="1" t="s">
        <v>22</v>
      </c>
      <c r="I2775" s="1" t="s">
        <v>23</v>
      </c>
      <c r="J2775" s="1">
        <v>0</v>
      </c>
      <c r="K2775" s="1">
        <v>1</v>
      </c>
      <c r="L2775" s="1">
        <v>1</v>
      </c>
      <c r="M2775" s="1">
        <v>0</v>
      </c>
    </row>
    <row r="2776" spans="4:13">
      <c r="D2776" s="1" t="s">
        <v>1677</v>
      </c>
      <c r="E2776" s="1" t="s">
        <v>1654</v>
      </c>
      <c r="H2776" s="1" t="s">
        <v>22</v>
      </c>
      <c r="I2776" s="1" t="s">
        <v>23</v>
      </c>
      <c r="J2776" s="1">
        <v>0</v>
      </c>
      <c r="K2776" s="1">
        <v>1</v>
      </c>
      <c r="L2776" s="1">
        <v>1</v>
      </c>
      <c r="M2776" s="1">
        <v>1</v>
      </c>
    </row>
    <row r="2777" spans="4:13">
      <c r="D2777" s="1" t="s">
        <v>1677</v>
      </c>
      <c r="E2777" s="1" t="s">
        <v>1655</v>
      </c>
      <c r="F2777" s="1" t="s">
        <v>45</v>
      </c>
      <c r="G2777" s="1" t="s">
        <v>46</v>
      </c>
      <c r="H2777" s="1" t="s">
        <v>22</v>
      </c>
      <c r="I2777" s="1" t="s">
        <v>29</v>
      </c>
      <c r="J2777" s="1">
        <v>-6.3932502128443591</v>
      </c>
      <c r="K2777" s="1">
        <v>358.61435929656</v>
      </c>
      <c r="L2777" s="1">
        <v>114.79148749423418</v>
      </c>
    </row>
    <row r="2778" spans="4:13">
      <c r="D2778" s="1" t="s">
        <v>1677</v>
      </c>
      <c r="E2778" s="1" t="s">
        <v>1298</v>
      </c>
      <c r="F2778" s="1" t="s">
        <v>147</v>
      </c>
      <c r="G2778" s="1" t="s">
        <v>148</v>
      </c>
      <c r="H2778" s="1" t="s">
        <v>22</v>
      </c>
      <c r="I2778" s="1" t="s">
        <v>65</v>
      </c>
      <c r="L2778" s="1">
        <v>3.4121416351331</v>
      </c>
    </row>
    <row r="2779" spans="4:13">
      <c r="D2779" s="1" t="s">
        <v>1677</v>
      </c>
      <c r="E2779" s="1" t="s">
        <v>69</v>
      </c>
      <c r="H2779" s="1" t="s">
        <v>25</v>
      </c>
      <c r="I2779" s="1" t="s">
        <v>70</v>
      </c>
    </row>
    <row r="2780" spans="4:13">
      <c r="D2780" s="1" t="s">
        <v>1677</v>
      </c>
      <c r="E2780" s="1" t="s">
        <v>117</v>
      </c>
      <c r="F2780" s="1" t="s">
        <v>118</v>
      </c>
      <c r="G2780" s="1" t="s">
        <v>119</v>
      </c>
      <c r="H2780" s="1" t="s">
        <v>22</v>
      </c>
      <c r="I2780" s="1" t="s">
        <v>65</v>
      </c>
      <c r="J2780" s="1">
        <v>0</v>
      </c>
      <c r="L2780" s="1">
        <v>2.20462262185</v>
      </c>
    </row>
    <row r="2781" spans="4:13">
      <c r="D2781" s="1" t="s">
        <v>1677</v>
      </c>
      <c r="E2781" s="1" t="s">
        <v>1656</v>
      </c>
      <c r="H2781" s="1" t="s">
        <v>63</v>
      </c>
      <c r="I2781" s="1" t="s">
        <v>120</v>
      </c>
    </row>
    <row r="2782" spans="4:13">
      <c r="D2782" s="1" t="s">
        <v>1677</v>
      </c>
      <c r="E2782" s="1" t="s">
        <v>1657</v>
      </c>
      <c r="F2782" s="1" t="s">
        <v>35</v>
      </c>
      <c r="G2782" s="1" t="s">
        <v>36</v>
      </c>
      <c r="H2782" s="1" t="s">
        <v>22</v>
      </c>
      <c r="I2782" s="1" t="s">
        <v>65</v>
      </c>
      <c r="J2782" s="1">
        <v>-457.87</v>
      </c>
      <c r="K2782" s="1">
        <v>17540.330000000002</v>
      </c>
      <c r="L2782" s="1">
        <v>80.329999999999984</v>
      </c>
    </row>
    <row r="2783" spans="4:13">
      <c r="D2783" s="1" t="s">
        <v>1677</v>
      </c>
      <c r="E2783" s="1" t="s">
        <v>1658</v>
      </c>
      <c r="F2783" s="1" t="s">
        <v>35</v>
      </c>
      <c r="G2783" s="1" t="s">
        <v>36</v>
      </c>
      <c r="H2783" s="1" t="s">
        <v>22</v>
      </c>
      <c r="I2783" s="1" t="s">
        <v>65</v>
      </c>
      <c r="J2783" s="1">
        <v>-457.87</v>
      </c>
      <c r="K2783" s="1">
        <v>17540.330000000002</v>
      </c>
      <c r="L2783" s="1">
        <v>80.329999999999984</v>
      </c>
    </row>
    <row r="2784" spans="4:13">
      <c r="D2784" s="1" t="s">
        <v>1677</v>
      </c>
      <c r="E2784" s="1" t="s">
        <v>1659</v>
      </c>
      <c r="F2784" s="1" t="s">
        <v>1660</v>
      </c>
      <c r="G2784" s="1" t="s">
        <v>1661</v>
      </c>
      <c r="H2784" s="1" t="s">
        <v>22</v>
      </c>
      <c r="I2784" s="1" t="s">
        <v>65</v>
      </c>
      <c r="J2784" s="1">
        <v>0</v>
      </c>
      <c r="K2784" s="1">
        <v>194.03202999999999</v>
      </c>
      <c r="L2784" s="1">
        <v>1.9403203E-3</v>
      </c>
    </row>
    <row r="2785" spans="4:13">
      <c r="D2785" s="1" t="s">
        <v>1677</v>
      </c>
      <c r="E2785" s="1" t="s">
        <v>1662</v>
      </c>
      <c r="F2785" s="1" t="s">
        <v>41</v>
      </c>
      <c r="G2785" s="1" t="s">
        <v>42</v>
      </c>
      <c r="H2785" s="1" t="s">
        <v>22</v>
      </c>
      <c r="I2785" s="1" t="s">
        <v>65</v>
      </c>
      <c r="L2785" s="1">
        <v>1.8</v>
      </c>
    </row>
    <row r="2786" spans="4:13">
      <c r="D2786" s="1" t="s">
        <v>1677</v>
      </c>
      <c r="E2786" s="1" t="s">
        <v>1663</v>
      </c>
      <c r="F2786" s="1" t="s">
        <v>45</v>
      </c>
      <c r="G2786" s="1" t="s">
        <v>46</v>
      </c>
      <c r="H2786" s="1" t="s">
        <v>22</v>
      </c>
      <c r="I2786" s="1" t="s">
        <v>65</v>
      </c>
      <c r="J2786" s="1">
        <v>-4299226.1378713567</v>
      </c>
      <c r="K2786" s="1">
        <v>4299226.1378713567</v>
      </c>
      <c r="L2786" s="1">
        <v>429.92261378713573</v>
      </c>
    </row>
    <row r="2787" spans="4:13">
      <c r="D2787" s="1" t="s">
        <v>1677</v>
      </c>
      <c r="E2787" s="1" t="s">
        <v>1664</v>
      </c>
      <c r="F2787" s="1" t="s">
        <v>56</v>
      </c>
      <c r="G2787" s="1" t="s">
        <v>57</v>
      </c>
      <c r="H2787" s="1" t="s">
        <v>22</v>
      </c>
      <c r="I2787" s="1" t="s">
        <v>65</v>
      </c>
      <c r="J2787" s="1">
        <v>0</v>
      </c>
      <c r="K2787" s="1">
        <v>14503.773773020921</v>
      </c>
      <c r="L2787" s="1">
        <v>14.503773773020921</v>
      </c>
    </row>
    <row r="2788" spans="4:13">
      <c r="D2788" s="1" t="s">
        <v>1677</v>
      </c>
      <c r="E2788" s="1" t="s">
        <v>1665</v>
      </c>
      <c r="H2788" s="1" t="s">
        <v>63</v>
      </c>
      <c r="I2788" s="1" t="s">
        <v>120</v>
      </c>
    </row>
    <row r="2789" spans="4:13">
      <c r="D2789" s="1" t="s">
        <v>1677</v>
      </c>
      <c r="E2789" s="1" t="s">
        <v>1666</v>
      </c>
      <c r="H2789" s="1" t="s">
        <v>22</v>
      </c>
      <c r="I2789" s="1" t="s">
        <v>65</v>
      </c>
      <c r="L2789" s="1">
        <v>1</v>
      </c>
    </row>
    <row r="2790" spans="4:13">
      <c r="D2790" s="1" t="s">
        <v>1677</v>
      </c>
      <c r="E2790" s="1" t="s">
        <v>1667</v>
      </c>
      <c r="F2790" s="1" t="s">
        <v>35</v>
      </c>
      <c r="G2790" s="1" t="s">
        <v>36</v>
      </c>
      <c r="H2790" s="1" t="s">
        <v>22</v>
      </c>
      <c r="I2790" s="1" t="s">
        <v>65</v>
      </c>
      <c r="J2790" s="1">
        <v>-457.87</v>
      </c>
      <c r="K2790" s="1">
        <v>17540.330000000002</v>
      </c>
      <c r="L2790" s="1">
        <v>80.329999999999984</v>
      </c>
    </row>
    <row r="2791" spans="4:13">
      <c r="D2791" s="1" t="s">
        <v>1677</v>
      </c>
      <c r="E2791" s="1" t="s">
        <v>1668</v>
      </c>
      <c r="F2791" s="1" t="s">
        <v>35</v>
      </c>
      <c r="G2791" s="1" t="s">
        <v>36</v>
      </c>
      <c r="H2791" s="1" t="s">
        <v>22</v>
      </c>
      <c r="I2791" s="1" t="s">
        <v>65</v>
      </c>
      <c r="J2791" s="1">
        <v>-457.87</v>
      </c>
      <c r="K2791" s="1">
        <v>17540.330000000002</v>
      </c>
      <c r="L2791" s="1">
        <v>80.329999999999984</v>
      </c>
    </row>
    <row r="2792" spans="4:13">
      <c r="D2792" s="1" t="s">
        <v>1677</v>
      </c>
      <c r="E2792" s="1" t="s">
        <v>1669</v>
      </c>
      <c r="F2792" s="1" t="s">
        <v>1660</v>
      </c>
      <c r="G2792" s="1" t="s">
        <v>1661</v>
      </c>
      <c r="H2792" s="1" t="s">
        <v>22</v>
      </c>
      <c r="I2792" s="1" t="s">
        <v>65</v>
      </c>
      <c r="J2792" s="1">
        <v>0</v>
      </c>
      <c r="K2792" s="1">
        <v>194.03202999999999</v>
      </c>
      <c r="L2792" s="1">
        <v>1.9403203E-3</v>
      </c>
    </row>
    <row r="2793" spans="4:13">
      <c r="D2793" s="1" t="s">
        <v>1677</v>
      </c>
      <c r="E2793" s="1" t="s">
        <v>1670</v>
      </c>
      <c r="F2793" s="1" t="s">
        <v>41</v>
      </c>
      <c r="G2793" s="1" t="s">
        <v>42</v>
      </c>
      <c r="H2793" s="1" t="s">
        <v>22</v>
      </c>
      <c r="I2793" s="1" t="s">
        <v>65</v>
      </c>
      <c r="L2793" s="1">
        <v>1.8</v>
      </c>
    </row>
    <row r="2794" spans="4:13">
      <c r="D2794" s="1" t="s">
        <v>1677</v>
      </c>
      <c r="E2794" s="1" t="s">
        <v>1671</v>
      </c>
      <c r="F2794" s="1" t="s">
        <v>45</v>
      </c>
      <c r="G2794" s="1" t="s">
        <v>46</v>
      </c>
      <c r="H2794" s="1" t="s">
        <v>22</v>
      </c>
      <c r="I2794" s="1" t="s">
        <v>65</v>
      </c>
      <c r="J2794" s="1">
        <v>-4299226.1378713567</v>
      </c>
      <c r="K2794" s="1">
        <v>4299226.1378713567</v>
      </c>
      <c r="L2794" s="1">
        <v>429.92261378713573</v>
      </c>
    </row>
    <row r="2795" spans="4:13">
      <c r="D2795" s="1" t="s">
        <v>1677</v>
      </c>
      <c r="E2795" s="1" t="s">
        <v>1672</v>
      </c>
      <c r="F2795" s="1" t="s">
        <v>56</v>
      </c>
      <c r="G2795" s="1" t="s">
        <v>57</v>
      </c>
      <c r="H2795" s="1" t="s">
        <v>22</v>
      </c>
      <c r="I2795" s="1" t="s">
        <v>65</v>
      </c>
      <c r="J2795" s="1">
        <v>0</v>
      </c>
      <c r="K2795" s="1">
        <v>14503.773773020921</v>
      </c>
      <c r="L2795" s="1">
        <v>14.503773773020921</v>
      </c>
    </row>
    <row r="2796" spans="4:13">
      <c r="D2796" s="1" t="s">
        <v>1677</v>
      </c>
      <c r="E2796" s="1" t="s">
        <v>1673</v>
      </c>
      <c r="H2796" s="1" t="s">
        <v>63</v>
      </c>
      <c r="I2796" s="1" t="s">
        <v>120</v>
      </c>
    </row>
    <row r="2797" spans="4:13">
      <c r="D2797" s="1" t="s">
        <v>1677</v>
      </c>
      <c r="E2797" s="1" t="s">
        <v>1674</v>
      </c>
      <c r="H2797" s="1" t="s">
        <v>22</v>
      </c>
      <c r="I2797" s="1" t="s">
        <v>65</v>
      </c>
      <c r="L2797" s="1">
        <v>1</v>
      </c>
    </row>
    <row r="2798" spans="4:13">
      <c r="D2798" s="1" t="s">
        <v>1677</v>
      </c>
      <c r="E2798" s="1" t="s">
        <v>123</v>
      </c>
      <c r="F2798" s="1" t="s">
        <v>124</v>
      </c>
      <c r="G2798" s="1" t="s">
        <v>125</v>
      </c>
      <c r="H2798" s="1" t="s">
        <v>22</v>
      </c>
      <c r="I2798" s="1" t="s">
        <v>70</v>
      </c>
      <c r="L2798" s="1">
        <v>35.314666699999997</v>
      </c>
    </row>
    <row r="2799" spans="4:13">
      <c r="D2799" s="1" t="s">
        <v>1677</v>
      </c>
      <c r="E2799" s="1" t="s">
        <v>1675</v>
      </c>
      <c r="F2799" s="1" t="s">
        <v>124</v>
      </c>
      <c r="G2799" s="1" t="s">
        <v>125</v>
      </c>
      <c r="H2799" s="1" t="s">
        <v>22</v>
      </c>
      <c r="I2799" s="1" t="s">
        <v>23</v>
      </c>
      <c r="L2799" s="1">
        <v>35.314666699999997</v>
      </c>
      <c r="M2799" s="1">
        <v>3.5314666699999997E-2</v>
      </c>
    </row>
    <row r="2800" spans="4:13">
      <c r="D2800" s="1" t="s">
        <v>1677</v>
      </c>
      <c r="E2800" s="1" t="s">
        <v>1676</v>
      </c>
      <c r="H2800" s="1" t="s">
        <v>22</v>
      </c>
      <c r="I2800" s="1" t="s">
        <v>23</v>
      </c>
      <c r="L2800" s="1">
        <v>1</v>
      </c>
      <c r="M2800" s="1">
        <v>0.95</v>
      </c>
    </row>
    <row r="2801" spans="4:13">
      <c r="D2801" s="1" t="s">
        <v>1678</v>
      </c>
      <c r="E2801" s="1" t="s">
        <v>1470</v>
      </c>
      <c r="H2801" s="1" t="s">
        <v>22</v>
      </c>
      <c r="I2801" s="1" t="s">
        <v>23</v>
      </c>
      <c r="J2801" s="1">
        <v>0.5</v>
      </c>
      <c r="K2801" s="1">
        <v>2</v>
      </c>
      <c r="L2801" s="1">
        <v>1</v>
      </c>
      <c r="M2801" s="1">
        <v>1</v>
      </c>
    </row>
    <row r="2802" spans="4:13">
      <c r="D2802" s="1" t="s">
        <v>1678</v>
      </c>
      <c r="E2802" s="1" t="s">
        <v>47</v>
      </c>
      <c r="H2802" s="1" t="s">
        <v>25</v>
      </c>
      <c r="I2802" s="1" t="s">
        <v>23</v>
      </c>
      <c r="M2802" s="1" t="b">
        <v>0</v>
      </c>
    </row>
    <row r="2803" spans="4:13">
      <c r="D2803" s="1" t="s">
        <v>1678</v>
      </c>
      <c r="E2803" s="1" t="s">
        <v>920</v>
      </c>
      <c r="H2803" s="1" t="s">
        <v>22</v>
      </c>
      <c r="I2803" s="1" t="s">
        <v>23</v>
      </c>
      <c r="L2803" s="1">
        <v>1</v>
      </c>
      <c r="M2803" s="1">
        <v>0</v>
      </c>
    </row>
    <row r="2804" spans="4:13">
      <c r="D2804" s="1" t="s">
        <v>1678</v>
      </c>
      <c r="E2804" s="1" t="s">
        <v>921</v>
      </c>
      <c r="H2804" s="1" t="s">
        <v>22</v>
      </c>
      <c r="I2804" s="1" t="s">
        <v>23</v>
      </c>
      <c r="J2804" s="1">
        <v>0</v>
      </c>
      <c r="K2804" s="1">
        <v>1</v>
      </c>
      <c r="L2804" s="1">
        <v>1</v>
      </c>
      <c r="M2804" s="1">
        <v>0</v>
      </c>
    </row>
    <row r="2805" spans="4:13">
      <c r="D2805" s="1" t="s">
        <v>1678</v>
      </c>
      <c r="E2805" s="1" t="s">
        <v>1654</v>
      </c>
      <c r="H2805" s="1" t="s">
        <v>22</v>
      </c>
      <c r="I2805" s="1" t="s">
        <v>23</v>
      </c>
      <c r="J2805" s="1">
        <v>0</v>
      </c>
      <c r="K2805" s="1">
        <v>1</v>
      </c>
      <c r="L2805" s="1">
        <v>1</v>
      </c>
      <c r="M2805" s="1">
        <v>1</v>
      </c>
    </row>
    <row r="2806" spans="4:13">
      <c r="D2806" s="1" t="s">
        <v>1678</v>
      </c>
      <c r="E2806" s="1" t="s">
        <v>1655</v>
      </c>
      <c r="F2806" s="1" t="s">
        <v>45</v>
      </c>
      <c r="G2806" s="1" t="s">
        <v>46</v>
      </c>
      <c r="H2806" s="1" t="s">
        <v>22</v>
      </c>
      <c r="I2806" s="1" t="s">
        <v>29</v>
      </c>
      <c r="J2806" s="1">
        <v>-6.3932502128443591</v>
      </c>
      <c r="K2806" s="1">
        <v>358.61435929656</v>
      </c>
      <c r="L2806" s="1">
        <v>114.79148749423418</v>
      </c>
    </row>
    <row r="2807" spans="4:13">
      <c r="D2807" s="1" t="s">
        <v>1678</v>
      </c>
      <c r="E2807" s="1" t="s">
        <v>1298</v>
      </c>
      <c r="F2807" s="1" t="s">
        <v>147</v>
      </c>
      <c r="G2807" s="1" t="s">
        <v>148</v>
      </c>
      <c r="H2807" s="1" t="s">
        <v>22</v>
      </c>
      <c r="I2807" s="1" t="s">
        <v>65</v>
      </c>
      <c r="L2807" s="1">
        <v>3.4121416351331</v>
      </c>
    </row>
    <row r="2808" spans="4:13">
      <c r="D2808" s="1" t="s">
        <v>1678</v>
      </c>
      <c r="E2808" s="1" t="s">
        <v>69</v>
      </c>
      <c r="H2808" s="1" t="s">
        <v>25</v>
      </c>
      <c r="I2808" s="1" t="s">
        <v>70</v>
      </c>
    </row>
    <row r="2809" spans="4:13">
      <c r="D2809" s="1" t="s">
        <v>1678</v>
      </c>
      <c r="E2809" s="1" t="s">
        <v>117</v>
      </c>
      <c r="F2809" s="1" t="s">
        <v>118</v>
      </c>
      <c r="G2809" s="1" t="s">
        <v>119</v>
      </c>
      <c r="H2809" s="1" t="s">
        <v>22</v>
      </c>
      <c r="I2809" s="1" t="s">
        <v>65</v>
      </c>
      <c r="J2809" s="1">
        <v>0</v>
      </c>
      <c r="L2809" s="1">
        <v>2.20462262185</v>
      </c>
    </row>
    <row r="2810" spans="4:13">
      <c r="D2810" s="1" t="s">
        <v>1678</v>
      </c>
      <c r="E2810" s="1" t="s">
        <v>1656</v>
      </c>
      <c r="H2810" s="1" t="s">
        <v>63</v>
      </c>
      <c r="I2810" s="1" t="s">
        <v>120</v>
      </c>
    </row>
    <row r="2811" spans="4:13">
      <c r="D2811" s="1" t="s">
        <v>1678</v>
      </c>
      <c r="E2811" s="1" t="s">
        <v>1657</v>
      </c>
      <c r="F2811" s="1" t="s">
        <v>35</v>
      </c>
      <c r="G2811" s="1" t="s">
        <v>36</v>
      </c>
      <c r="H2811" s="1" t="s">
        <v>22</v>
      </c>
      <c r="I2811" s="1" t="s">
        <v>65</v>
      </c>
      <c r="J2811" s="1">
        <v>-457.87</v>
      </c>
      <c r="K2811" s="1">
        <v>17540.330000000002</v>
      </c>
      <c r="L2811" s="1">
        <v>80.329999999999984</v>
      </c>
    </row>
    <row r="2812" spans="4:13">
      <c r="D2812" s="1" t="s">
        <v>1678</v>
      </c>
      <c r="E2812" s="1" t="s">
        <v>1658</v>
      </c>
      <c r="F2812" s="1" t="s">
        <v>35</v>
      </c>
      <c r="G2812" s="1" t="s">
        <v>36</v>
      </c>
      <c r="H2812" s="1" t="s">
        <v>22</v>
      </c>
      <c r="I2812" s="1" t="s">
        <v>65</v>
      </c>
      <c r="J2812" s="1">
        <v>-457.87</v>
      </c>
      <c r="K2812" s="1">
        <v>17540.330000000002</v>
      </c>
      <c r="L2812" s="1">
        <v>80.329999999999984</v>
      </c>
    </row>
    <row r="2813" spans="4:13">
      <c r="D2813" s="1" t="s">
        <v>1678</v>
      </c>
      <c r="E2813" s="1" t="s">
        <v>1659</v>
      </c>
      <c r="F2813" s="1" t="s">
        <v>1660</v>
      </c>
      <c r="G2813" s="1" t="s">
        <v>1661</v>
      </c>
      <c r="H2813" s="1" t="s">
        <v>22</v>
      </c>
      <c r="I2813" s="1" t="s">
        <v>65</v>
      </c>
      <c r="J2813" s="1">
        <v>0</v>
      </c>
      <c r="K2813" s="1">
        <v>194.03202999999999</v>
      </c>
      <c r="L2813" s="1">
        <v>1.9403203E-3</v>
      </c>
    </row>
    <row r="2814" spans="4:13">
      <c r="D2814" s="1" t="s">
        <v>1678</v>
      </c>
      <c r="E2814" s="1" t="s">
        <v>1662</v>
      </c>
      <c r="F2814" s="1" t="s">
        <v>41</v>
      </c>
      <c r="G2814" s="1" t="s">
        <v>42</v>
      </c>
      <c r="H2814" s="1" t="s">
        <v>22</v>
      </c>
      <c r="I2814" s="1" t="s">
        <v>65</v>
      </c>
      <c r="L2814" s="1">
        <v>1.8</v>
      </c>
    </row>
    <row r="2815" spans="4:13">
      <c r="D2815" s="1" t="s">
        <v>1678</v>
      </c>
      <c r="E2815" s="1" t="s">
        <v>1663</v>
      </c>
      <c r="F2815" s="1" t="s">
        <v>45</v>
      </c>
      <c r="G2815" s="1" t="s">
        <v>46</v>
      </c>
      <c r="H2815" s="1" t="s">
        <v>22</v>
      </c>
      <c r="I2815" s="1" t="s">
        <v>65</v>
      </c>
      <c r="J2815" s="1">
        <v>-4299226.1378713567</v>
      </c>
      <c r="K2815" s="1">
        <v>4299226.1378713567</v>
      </c>
      <c r="L2815" s="1">
        <v>429.92261378713573</v>
      </c>
    </row>
    <row r="2816" spans="4:13">
      <c r="D2816" s="1" t="s">
        <v>1678</v>
      </c>
      <c r="E2816" s="1" t="s">
        <v>1664</v>
      </c>
      <c r="F2816" s="1" t="s">
        <v>56</v>
      </c>
      <c r="G2816" s="1" t="s">
        <v>57</v>
      </c>
      <c r="H2816" s="1" t="s">
        <v>22</v>
      </c>
      <c r="I2816" s="1" t="s">
        <v>65</v>
      </c>
      <c r="J2816" s="1">
        <v>0</v>
      </c>
      <c r="K2816" s="1">
        <v>14503.773773020921</v>
      </c>
      <c r="L2816" s="1">
        <v>14.503773773020921</v>
      </c>
    </row>
    <row r="2817" spans="4:13">
      <c r="D2817" s="1" t="s">
        <v>1678</v>
      </c>
      <c r="E2817" s="1" t="s">
        <v>1665</v>
      </c>
      <c r="H2817" s="1" t="s">
        <v>63</v>
      </c>
      <c r="I2817" s="1" t="s">
        <v>120</v>
      </c>
    </row>
    <row r="2818" spans="4:13">
      <c r="D2818" s="1" t="s">
        <v>1678</v>
      </c>
      <c r="E2818" s="1" t="s">
        <v>1666</v>
      </c>
      <c r="H2818" s="1" t="s">
        <v>22</v>
      </c>
      <c r="I2818" s="1" t="s">
        <v>65</v>
      </c>
      <c r="L2818" s="1">
        <v>1</v>
      </c>
    </row>
    <row r="2819" spans="4:13">
      <c r="D2819" s="1" t="s">
        <v>1678</v>
      </c>
      <c r="E2819" s="1" t="s">
        <v>1667</v>
      </c>
      <c r="F2819" s="1" t="s">
        <v>35</v>
      </c>
      <c r="G2819" s="1" t="s">
        <v>36</v>
      </c>
      <c r="H2819" s="1" t="s">
        <v>22</v>
      </c>
      <c r="I2819" s="1" t="s">
        <v>65</v>
      </c>
      <c r="J2819" s="1">
        <v>-457.87</v>
      </c>
      <c r="K2819" s="1">
        <v>17540.330000000002</v>
      </c>
      <c r="L2819" s="1">
        <v>80.329999999999984</v>
      </c>
    </row>
    <row r="2820" spans="4:13">
      <c r="D2820" s="1" t="s">
        <v>1678</v>
      </c>
      <c r="E2820" s="1" t="s">
        <v>1668</v>
      </c>
      <c r="F2820" s="1" t="s">
        <v>35</v>
      </c>
      <c r="G2820" s="1" t="s">
        <v>36</v>
      </c>
      <c r="H2820" s="1" t="s">
        <v>22</v>
      </c>
      <c r="I2820" s="1" t="s">
        <v>65</v>
      </c>
      <c r="J2820" s="1">
        <v>-457.87</v>
      </c>
      <c r="K2820" s="1">
        <v>17540.330000000002</v>
      </c>
      <c r="L2820" s="1">
        <v>80.329999999999984</v>
      </c>
    </row>
    <row r="2821" spans="4:13">
      <c r="D2821" s="1" t="s">
        <v>1678</v>
      </c>
      <c r="E2821" s="1" t="s">
        <v>1669</v>
      </c>
      <c r="F2821" s="1" t="s">
        <v>1660</v>
      </c>
      <c r="G2821" s="1" t="s">
        <v>1661</v>
      </c>
      <c r="H2821" s="1" t="s">
        <v>22</v>
      </c>
      <c r="I2821" s="1" t="s">
        <v>65</v>
      </c>
      <c r="J2821" s="1">
        <v>0</v>
      </c>
      <c r="K2821" s="1">
        <v>194.03202999999999</v>
      </c>
      <c r="L2821" s="1">
        <v>1.9403203E-3</v>
      </c>
    </row>
    <row r="2822" spans="4:13">
      <c r="D2822" s="1" t="s">
        <v>1678</v>
      </c>
      <c r="E2822" s="1" t="s">
        <v>1670</v>
      </c>
      <c r="F2822" s="1" t="s">
        <v>41</v>
      </c>
      <c r="G2822" s="1" t="s">
        <v>42</v>
      </c>
      <c r="H2822" s="1" t="s">
        <v>22</v>
      </c>
      <c r="I2822" s="1" t="s">
        <v>65</v>
      </c>
      <c r="L2822" s="1">
        <v>1.8</v>
      </c>
    </row>
    <row r="2823" spans="4:13">
      <c r="D2823" s="1" t="s">
        <v>1678</v>
      </c>
      <c r="E2823" s="1" t="s">
        <v>1671</v>
      </c>
      <c r="F2823" s="1" t="s">
        <v>45</v>
      </c>
      <c r="G2823" s="1" t="s">
        <v>46</v>
      </c>
      <c r="H2823" s="1" t="s">
        <v>22</v>
      </c>
      <c r="I2823" s="1" t="s">
        <v>65</v>
      </c>
      <c r="J2823" s="1">
        <v>-4299226.1378713567</v>
      </c>
      <c r="K2823" s="1">
        <v>4299226.1378713567</v>
      </c>
      <c r="L2823" s="1">
        <v>429.92261378713573</v>
      </c>
    </row>
    <row r="2824" spans="4:13">
      <c r="D2824" s="1" t="s">
        <v>1678</v>
      </c>
      <c r="E2824" s="1" t="s">
        <v>1672</v>
      </c>
      <c r="F2824" s="1" t="s">
        <v>56</v>
      </c>
      <c r="G2824" s="1" t="s">
        <v>57</v>
      </c>
      <c r="H2824" s="1" t="s">
        <v>22</v>
      </c>
      <c r="I2824" s="1" t="s">
        <v>65</v>
      </c>
      <c r="J2824" s="1">
        <v>0</v>
      </c>
      <c r="K2824" s="1">
        <v>14503.773773020921</v>
      </c>
      <c r="L2824" s="1">
        <v>14.503773773020921</v>
      </c>
    </row>
    <row r="2825" spans="4:13">
      <c r="D2825" s="1" t="s">
        <v>1678</v>
      </c>
      <c r="E2825" s="1" t="s">
        <v>1673</v>
      </c>
      <c r="H2825" s="1" t="s">
        <v>63</v>
      </c>
      <c r="I2825" s="1" t="s">
        <v>120</v>
      </c>
    </row>
    <row r="2826" spans="4:13">
      <c r="D2826" s="1" t="s">
        <v>1678</v>
      </c>
      <c r="E2826" s="1" t="s">
        <v>1674</v>
      </c>
      <c r="H2826" s="1" t="s">
        <v>22</v>
      </c>
      <c r="I2826" s="1" t="s">
        <v>65</v>
      </c>
      <c r="L2826" s="1">
        <v>1</v>
      </c>
    </row>
    <row r="2827" spans="4:13">
      <c r="D2827" s="1" t="s">
        <v>1678</v>
      </c>
      <c r="E2827" s="1" t="s">
        <v>123</v>
      </c>
      <c r="F2827" s="1" t="s">
        <v>124</v>
      </c>
      <c r="G2827" s="1" t="s">
        <v>125</v>
      </c>
      <c r="H2827" s="1" t="s">
        <v>22</v>
      </c>
      <c r="I2827" s="1" t="s">
        <v>70</v>
      </c>
      <c r="L2827" s="1">
        <v>35.314666699999997</v>
      </c>
    </row>
    <row r="2828" spans="4:13">
      <c r="D2828" s="1" t="s">
        <v>1678</v>
      </c>
      <c r="E2828" s="1" t="s">
        <v>1675</v>
      </c>
      <c r="F2828" s="1" t="s">
        <v>124</v>
      </c>
      <c r="G2828" s="1" t="s">
        <v>125</v>
      </c>
      <c r="H2828" s="1" t="s">
        <v>22</v>
      </c>
      <c r="I2828" s="1" t="s">
        <v>23</v>
      </c>
      <c r="L2828" s="1">
        <v>35.314666699999997</v>
      </c>
      <c r="M2828" s="1">
        <v>3.5314666699999997E-2</v>
      </c>
    </row>
    <row r="2829" spans="4:13">
      <c r="D2829" s="1" t="s">
        <v>1678</v>
      </c>
      <c r="E2829" s="1" t="s">
        <v>1676</v>
      </c>
      <c r="H2829" s="1" t="s">
        <v>22</v>
      </c>
      <c r="I2829" s="1" t="s">
        <v>23</v>
      </c>
      <c r="L2829" s="1">
        <v>1</v>
      </c>
      <c r="M2829" s="1">
        <v>0.95</v>
      </c>
    </row>
    <row r="2830" spans="4:13">
      <c r="D2830" s="1" t="s">
        <v>1679</v>
      </c>
      <c r="E2830" s="1" t="s">
        <v>28</v>
      </c>
      <c r="H2830" s="1" t="s">
        <v>22</v>
      </c>
      <c r="I2830" s="1" t="s">
        <v>29</v>
      </c>
      <c r="J2830" s="1">
        <v>34000</v>
      </c>
      <c r="K2830" s="1">
        <v>4300000</v>
      </c>
      <c r="L2830" s="1">
        <v>349660</v>
      </c>
    </row>
    <row r="2831" spans="4:13">
      <c r="D2831" s="1" t="s">
        <v>1679</v>
      </c>
      <c r="E2831" s="1" t="s">
        <v>30</v>
      </c>
      <c r="H2831" s="1" t="s">
        <v>22</v>
      </c>
      <c r="I2831" s="1" t="s">
        <v>29</v>
      </c>
      <c r="J2831" s="1">
        <v>-3.94</v>
      </c>
      <c r="K2831" s="1">
        <v>3.66</v>
      </c>
      <c r="L2831" s="1">
        <v>1</v>
      </c>
    </row>
    <row r="2832" spans="4:13">
      <c r="D2832" s="1" t="s">
        <v>1679</v>
      </c>
      <c r="E2832" s="1" t="s">
        <v>31</v>
      </c>
      <c r="H2832" s="1" t="s">
        <v>22</v>
      </c>
      <c r="I2832" s="1" t="s">
        <v>29</v>
      </c>
      <c r="J2832" s="1">
        <v>0</v>
      </c>
      <c r="K2832" s="1">
        <v>100</v>
      </c>
      <c r="L2832" s="1">
        <v>1</v>
      </c>
    </row>
    <row r="2833" spans="4:13">
      <c r="D2833" s="1" t="s">
        <v>1679</v>
      </c>
      <c r="E2833" s="1" t="s">
        <v>32</v>
      </c>
      <c r="H2833" s="1" t="s">
        <v>22</v>
      </c>
      <c r="I2833" s="1" t="s">
        <v>29</v>
      </c>
      <c r="J2833" s="1">
        <v>-3.94</v>
      </c>
      <c r="K2833" s="1">
        <v>3.66</v>
      </c>
      <c r="L2833" s="1">
        <v>1</v>
      </c>
    </row>
    <row r="2834" spans="4:13">
      <c r="D2834" s="1" t="s">
        <v>1679</v>
      </c>
      <c r="E2834" s="1" t="s">
        <v>33</v>
      </c>
      <c r="H2834" s="1" t="s">
        <v>25</v>
      </c>
      <c r="I2834" s="1" t="s">
        <v>23</v>
      </c>
      <c r="M2834" s="1" t="b">
        <v>0</v>
      </c>
    </row>
    <row r="2835" spans="4:13">
      <c r="D2835" s="1" t="s">
        <v>1679</v>
      </c>
      <c r="E2835" s="1" t="s">
        <v>34</v>
      </c>
      <c r="F2835" s="1" t="s">
        <v>35</v>
      </c>
      <c r="G2835" s="1" t="s">
        <v>36</v>
      </c>
      <c r="H2835" s="1" t="s">
        <v>22</v>
      </c>
      <c r="I2835" s="1" t="s">
        <v>23</v>
      </c>
      <c r="J2835" s="1">
        <v>-459.67</v>
      </c>
      <c r="K2835" s="1">
        <v>980.32999999999993</v>
      </c>
      <c r="L2835" s="1">
        <v>80.329999999999984</v>
      </c>
      <c r="M2835" s="1">
        <v>67.999999999999943</v>
      </c>
    </row>
    <row r="2836" spans="4:13">
      <c r="D2836" s="1" t="s">
        <v>1679</v>
      </c>
      <c r="E2836" s="1" t="s">
        <v>37</v>
      </c>
      <c r="H2836" s="1" t="s">
        <v>25</v>
      </c>
      <c r="I2836" s="1" t="s">
        <v>23</v>
      </c>
      <c r="M2836" s="1" t="b">
        <v>0</v>
      </c>
    </row>
    <row r="2837" spans="4:13">
      <c r="D2837" s="1" t="s">
        <v>1679</v>
      </c>
      <c r="E2837" s="1" t="s">
        <v>38</v>
      </c>
      <c r="F2837" s="1" t="s">
        <v>35</v>
      </c>
      <c r="G2837" s="1" t="s">
        <v>36</v>
      </c>
      <c r="H2837" s="1" t="s">
        <v>22</v>
      </c>
      <c r="I2837" s="1" t="s">
        <v>23</v>
      </c>
      <c r="J2837" s="1">
        <v>-99.670000000000016</v>
      </c>
      <c r="K2837" s="1">
        <v>980.32999999999993</v>
      </c>
      <c r="L2837" s="1">
        <v>80.329999999999984</v>
      </c>
      <c r="M2837" s="1">
        <v>13.999999999999943</v>
      </c>
    </row>
    <row r="2838" spans="4:13">
      <c r="D2838" s="1" t="s">
        <v>1679</v>
      </c>
      <c r="E2838" s="1" t="s">
        <v>39</v>
      </c>
      <c r="H2838" s="1" t="s">
        <v>25</v>
      </c>
      <c r="I2838" s="1" t="s">
        <v>23</v>
      </c>
      <c r="M2838" s="1" t="b">
        <v>0</v>
      </c>
    </row>
    <row r="2839" spans="4:13">
      <c r="D2839" s="1" t="s">
        <v>1679</v>
      </c>
      <c r="E2839" s="1" t="s">
        <v>40</v>
      </c>
      <c r="F2839" s="1" t="s">
        <v>41</v>
      </c>
      <c r="G2839" s="1" t="s">
        <v>42</v>
      </c>
      <c r="H2839" s="1" t="s">
        <v>22</v>
      </c>
      <c r="I2839" s="1" t="s">
        <v>23</v>
      </c>
      <c r="J2839" s="1">
        <v>-900</v>
      </c>
      <c r="K2839" s="1">
        <v>900</v>
      </c>
      <c r="L2839" s="1">
        <v>1.8</v>
      </c>
      <c r="M2839" s="1">
        <v>9</v>
      </c>
    </row>
    <row r="2840" spans="4:13">
      <c r="D2840" s="1" t="s">
        <v>1679</v>
      </c>
      <c r="E2840" s="1" t="s">
        <v>43</v>
      </c>
      <c r="H2840" s="1" t="s">
        <v>25</v>
      </c>
      <c r="I2840" s="1" t="s">
        <v>23</v>
      </c>
      <c r="M2840" s="1" t="b">
        <v>0</v>
      </c>
    </row>
    <row r="2841" spans="4:13">
      <c r="D2841" s="1" t="s">
        <v>1679</v>
      </c>
      <c r="E2841" s="1" t="s">
        <v>44</v>
      </c>
      <c r="F2841" s="1" t="s">
        <v>45</v>
      </c>
      <c r="G2841" s="1" t="s">
        <v>46</v>
      </c>
      <c r="H2841" s="1" t="s">
        <v>22</v>
      </c>
      <c r="I2841" s="1" t="s">
        <v>23</v>
      </c>
      <c r="J2841" s="1">
        <v>-85.984522757427143</v>
      </c>
      <c r="K2841" s="1">
        <v>8598.4522757427148</v>
      </c>
      <c r="L2841" s="1">
        <v>114.79148749423418</v>
      </c>
      <c r="M2841" s="1">
        <v>128.97678413614071</v>
      </c>
    </row>
    <row r="2842" spans="4:13">
      <c r="D2842" s="1" t="s">
        <v>1679</v>
      </c>
      <c r="E2842" s="1" t="s">
        <v>47</v>
      </c>
      <c r="H2842" s="1" t="s">
        <v>25</v>
      </c>
      <c r="I2842" s="1" t="s">
        <v>23</v>
      </c>
      <c r="M2842" s="1" t="b">
        <v>0</v>
      </c>
    </row>
    <row r="2843" spans="4:13">
      <c r="D2843" s="1" t="s">
        <v>1679</v>
      </c>
      <c r="E2843" s="1" t="s">
        <v>48</v>
      </c>
      <c r="H2843" s="1" t="s">
        <v>25</v>
      </c>
      <c r="I2843" s="1" t="s">
        <v>23</v>
      </c>
      <c r="M2843" s="1" t="b">
        <v>0</v>
      </c>
    </row>
    <row r="2844" spans="4:13">
      <c r="D2844" s="1" t="s">
        <v>1679</v>
      </c>
      <c r="E2844" s="1" t="s">
        <v>49</v>
      </c>
      <c r="H2844" s="1" t="s">
        <v>25</v>
      </c>
      <c r="I2844" s="1" t="s">
        <v>23</v>
      </c>
      <c r="M2844" s="1" t="b">
        <v>0</v>
      </c>
    </row>
    <row r="2845" spans="4:13">
      <c r="D2845" s="1" t="s">
        <v>1679</v>
      </c>
      <c r="E2845" s="1" t="s">
        <v>50</v>
      </c>
      <c r="H2845" s="1" t="s">
        <v>25</v>
      </c>
      <c r="I2845" s="1" t="s">
        <v>23</v>
      </c>
      <c r="M2845" s="1" t="b">
        <v>0</v>
      </c>
    </row>
    <row r="2846" spans="4:13">
      <c r="D2846" s="1" t="s">
        <v>1679</v>
      </c>
      <c r="E2846" s="1" t="s">
        <v>51</v>
      </c>
      <c r="F2846" s="1" t="s">
        <v>52</v>
      </c>
      <c r="G2846" s="1" t="s">
        <v>53</v>
      </c>
      <c r="H2846" s="1" t="s">
        <v>22</v>
      </c>
      <c r="I2846" s="1" t="s">
        <v>23</v>
      </c>
      <c r="J2846" s="1">
        <v>0</v>
      </c>
      <c r="K2846" s="1">
        <v>7936641438.6555996</v>
      </c>
      <c r="L2846" s="1">
        <v>7936.6414386555998</v>
      </c>
      <c r="M2846" s="1">
        <v>7936.6414386555998</v>
      </c>
    </row>
    <row r="2847" spans="4:13">
      <c r="D2847" s="1" t="s">
        <v>1679</v>
      </c>
      <c r="E2847" s="1" t="s">
        <v>54</v>
      </c>
      <c r="H2847" s="1" t="s">
        <v>25</v>
      </c>
      <c r="I2847" s="1" t="s">
        <v>23</v>
      </c>
      <c r="M2847" s="1" t="b">
        <v>0</v>
      </c>
    </row>
    <row r="2848" spans="4:13">
      <c r="D2848" s="1" t="s">
        <v>1679</v>
      </c>
      <c r="E2848" s="1" t="s">
        <v>55</v>
      </c>
      <c r="F2848" s="1" t="s">
        <v>56</v>
      </c>
      <c r="G2848" s="1" t="s">
        <v>57</v>
      </c>
      <c r="H2848" s="1" t="s">
        <v>22</v>
      </c>
      <c r="I2848" s="1" t="s">
        <v>23</v>
      </c>
      <c r="J2848" s="1">
        <v>0</v>
      </c>
      <c r="K2848" s="1">
        <v>9427.4529524635982</v>
      </c>
      <c r="L2848" s="1">
        <v>50.713895374744951</v>
      </c>
      <c r="M2848" s="1">
        <v>50.763208205573221</v>
      </c>
    </row>
    <row r="2849" spans="4:13">
      <c r="D2849" s="1" t="s">
        <v>1679</v>
      </c>
      <c r="E2849" s="1" t="s">
        <v>58</v>
      </c>
      <c r="H2849" s="1" t="s">
        <v>25</v>
      </c>
      <c r="I2849" s="1" t="s">
        <v>23</v>
      </c>
      <c r="M2849" s="1" t="b">
        <v>0</v>
      </c>
    </row>
    <row r="2850" spans="4:13">
      <c r="D2850" s="1" t="s">
        <v>1679</v>
      </c>
      <c r="E2850" s="1" t="s">
        <v>59</v>
      </c>
      <c r="F2850" s="1" t="s">
        <v>60</v>
      </c>
      <c r="G2850" s="1" t="s">
        <v>61</v>
      </c>
      <c r="H2850" s="1" t="s">
        <v>22</v>
      </c>
      <c r="I2850" s="1" t="s">
        <v>23</v>
      </c>
      <c r="J2850" s="1">
        <v>-9.5538358650799999</v>
      </c>
      <c r="K2850" s="1">
        <v>9.5538358650799999</v>
      </c>
      <c r="L2850" s="1">
        <v>0.23884589662700001</v>
      </c>
      <c r="M2850" s="1">
        <v>0.23884589662700001</v>
      </c>
    </row>
    <row r="2851" spans="4:13">
      <c r="D2851" s="1" t="s">
        <v>1679</v>
      </c>
      <c r="E2851" s="1" t="s">
        <v>62</v>
      </c>
      <c r="H2851" s="1" t="s">
        <v>63</v>
      </c>
      <c r="I2851" s="1" t="s">
        <v>23</v>
      </c>
      <c r="M2851" s="1">
        <v>1</v>
      </c>
    </row>
    <row r="2852" spans="4:13">
      <c r="D2852" s="1" t="s">
        <v>1679</v>
      </c>
      <c r="E2852" s="1" t="s">
        <v>64</v>
      </c>
      <c r="F2852" s="1" t="s">
        <v>35</v>
      </c>
      <c r="G2852" s="1" t="s">
        <v>36</v>
      </c>
      <c r="H2852" s="1" t="s">
        <v>22</v>
      </c>
      <c r="I2852" s="1" t="s">
        <v>65</v>
      </c>
      <c r="J2852" s="1">
        <v>-459.67</v>
      </c>
      <c r="L2852" s="1">
        <v>80.329999999999984</v>
      </c>
    </row>
    <row r="2853" spans="4:13">
      <c r="D2853" s="1" t="s">
        <v>1679</v>
      </c>
      <c r="E2853" s="1" t="s">
        <v>66</v>
      </c>
      <c r="F2853" s="1" t="s">
        <v>35</v>
      </c>
      <c r="G2853" s="1" t="s">
        <v>36</v>
      </c>
      <c r="H2853" s="1" t="s">
        <v>22</v>
      </c>
      <c r="I2853" s="1" t="s">
        <v>65</v>
      </c>
      <c r="J2853" s="1">
        <v>-459.67</v>
      </c>
      <c r="L2853" s="1">
        <v>80.329999999999984</v>
      </c>
    </row>
    <row r="2854" spans="4:13">
      <c r="D2854" s="1" t="s">
        <v>1679</v>
      </c>
      <c r="E2854" s="1" t="s">
        <v>67</v>
      </c>
      <c r="F2854" s="1" t="s">
        <v>41</v>
      </c>
      <c r="G2854" s="1" t="s">
        <v>42</v>
      </c>
      <c r="H2854" s="1" t="s">
        <v>22</v>
      </c>
      <c r="I2854" s="1" t="s">
        <v>65</v>
      </c>
      <c r="L2854" s="1">
        <v>1.8</v>
      </c>
    </row>
    <row r="2855" spans="4:13">
      <c r="D2855" s="1" t="s">
        <v>1679</v>
      </c>
      <c r="E2855" s="1" t="s">
        <v>68</v>
      </c>
      <c r="F2855" s="1" t="s">
        <v>45</v>
      </c>
      <c r="G2855" s="1" t="s">
        <v>46</v>
      </c>
      <c r="H2855" s="1" t="s">
        <v>22</v>
      </c>
      <c r="I2855" s="1" t="s">
        <v>65</v>
      </c>
      <c r="L2855" s="1">
        <v>4.2992261378713571E-4</v>
      </c>
    </row>
    <row r="2856" spans="4:13">
      <c r="D2856" s="1" t="s">
        <v>1679</v>
      </c>
      <c r="E2856" s="1" t="s">
        <v>69</v>
      </c>
      <c r="H2856" s="1" t="s">
        <v>25</v>
      </c>
      <c r="I2856" s="1" t="s">
        <v>70</v>
      </c>
    </row>
    <row r="2857" spans="4:13">
      <c r="D2857" s="1" t="s">
        <v>1679</v>
      </c>
      <c r="E2857" s="1" t="s">
        <v>71</v>
      </c>
      <c r="F2857" s="1" t="s">
        <v>52</v>
      </c>
      <c r="G2857" s="1" t="s">
        <v>53</v>
      </c>
      <c r="H2857" s="1" t="s">
        <v>22</v>
      </c>
      <c r="I2857" s="1" t="s">
        <v>65</v>
      </c>
      <c r="L2857" s="1">
        <v>7936.6414386555998</v>
      </c>
    </row>
    <row r="2858" spans="4:13">
      <c r="D2858" s="1" t="s">
        <v>1679</v>
      </c>
      <c r="E2858" s="1" t="s">
        <v>72</v>
      </c>
      <c r="F2858" s="1" t="s">
        <v>56</v>
      </c>
      <c r="G2858" s="1" t="s">
        <v>57</v>
      </c>
      <c r="H2858" s="1" t="s">
        <v>22</v>
      </c>
      <c r="I2858" s="1" t="s">
        <v>65</v>
      </c>
      <c r="J2858" s="1">
        <v>0</v>
      </c>
      <c r="L2858" s="1">
        <v>14.503773773020921</v>
      </c>
    </row>
    <row r="2859" spans="4:13">
      <c r="D2859" s="1" t="s">
        <v>1679</v>
      </c>
      <c r="E2859" s="1" t="s">
        <v>73</v>
      </c>
      <c r="F2859" s="1" t="s">
        <v>60</v>
      </c>
      <c r="G2859" s="1" t="s">
        <v>61</v>
      </c>
      <c r="H2859" s="1" t="s">
        <v>22</v>
      </c>
      <c r="I2859" s="1" t="s">
        <v>65</v>
      </c>
      <c r="L2859" s="1">
        <v>2.38845896627E-4</v>
      </c>
    </row>
    <row r="2860" spans="4:13">
      <c r="D2860" s="1" t="s">
        <v>1679</v>
      </c>
      <c r="E2860" s="1" t="s">
        <v>74</v>
      </c>
      <c r="F2860" s="1" t="s">
        <v>75</v>
      </c>
      <c r="G2860" s="1" t="s">
        <v>76</v>
      </c>
      <c r="H2860" s="1" t="s">
        <v>22</v>
      </c>
      <c r="I2860" s="1" t="s">
        <v>65</v>
      </c>
      <c r="J2860" s="1">
        <v>0</v>
      </c>
      <c r="L2860" s="1">
        <v>16.018463521800001</v>
      </c>
    </row>
    <row r="2861" spans="4:13">
      <c r="D2861" s="1" t="s">
        <v>1679</v>
      </c>
      <c r="E2861" s="1" t="s">
        <v>77</v>
      </c>
      <c r="H2861" s="1" t="s">
        <v>22</v>
      </c>
      <c r="I2861" s="1" t="s">
        <v>65</v>
      </c>
      <c r="L2861" s="1">
        <v>1</v>
      </c>
    </row>
    <row r="2862" spans="4:13">
      <c r="D2862" s="1" t="s">
        <v>1679</v>
      </c>
      <c r="E2862" s="1" t="s">
        <v>78</v>
      </c>
      <c r="H2862" s="1" t="s">
        <v>25</v>
      </c>
      <c r="I2862" s="1" t="s">
        <v>23</v>
      </c>
      <c r="M2862" s="1" t="b">
        <v>0</v>
      </c>
    </row>
    <row r="2863" spans="4:13">
      <c r="D2863" s="1" t="s">
        <v>1679</v>
      </c>
      <c r="E2863" s="1" t="s">
        <v>79</v>
      </c>
      <c r="F2863" s="1" t="s">
        <v>75</v>
      </c>
      <c r="G2863" s="1" t="s">
        <v>76</v>
      </c>
      <c r="H2863" s="1" t="s">
        <v>22</v>
      </c>
      <c r="I2863" s="1" t="s">
        <v>23</v>
      </c>
      <c r="J2863" s="1">
        <v>0</v>
      </c>
      <c r="K2863" s="1">
        <v>96.110781130800007</v>
      </c>
      <c r="L2863" s="1">
        <v>16.018463521800001</v>
      </c>
      <c r="M2863" s="1">
        <v>1.6018463521800002</v>
      </c>
    </row>
    <row r="2864" spans="4:13">
      <c r="D2864" s="1" t="s">
        <v>1679</v>
      </c>
      <c r="E2864" s="1" t="s">
        <v>80</v>
      </c>
      <c r="H2864" s="1" t="s">
        <v>25</v>
      </c>
      <c r="I2864" s="1" t="s">
        <v>23</v>
      </c>
      <c r="M2864" s="1" t="b">
        <v>0</v>
      </c>
    </row>
    <row r="2865" spans="4:13">
      <c r="D2865" s="1" t="s">
        <v>1679</v>
      </c>
      <c r="E2865" s="1" t="s">
        <v>81</v>
      </c>
      <c r="H2865" s="1" t="s">
        <v>25</v>
      </c>
      <c r="I2865" s="1" t="s">
        <v>23</v>
      </c>
      <c r="M2865" s="1" t="b">
        <v>1</v>
      </c>
    </row>
    <row r="2866" spans="4:13">
      <c r="D2866" s="1" t="s">
        <v>1679</v>
      </c>
      <c r="E2866" s="1" t="s">
        <v>82</v>
      </c>
      <c r="H2866" s="1" t="s">
        <v>22</v>
      </c>
      <c r="I2866" s="1" t="s">
        <v>23</v>
      </c>
      <c r="J2866" s="1">
        <v>-1</v>
      </c>
      <c r="K2866" s="1">
        <v>3</v>
      </c>
      <c r="L2866" s="1">
        <v>1</v>
      </c>
      <c r="M2866" s="1">
        <v>1.0000100000000001</v>
      </c>
    </row>
    <row r="2870" spans="4:13">
      <c r="D2870" s="1" t="s">
        <v>1680</v>
      </c>
    </row>
    <row r="2871" spans="4:13">
      <c r="D2871" s="1" t="s">
        <v>1681</v>
      </c>
    </row>
    <row r="2872" spans="4:13">
      <c r="D2872" s="1" t="s">
        <v>1682</v>
      </c>
    </row>
    <row r="2873" spans="4:13">
      <c r="D2873" s="1" t="s">
        <v>1683</v>
      </c>
    </row>
    <row r="2874" spans="4:13">
      <c r="D2874" s="1" t="s">
        <v>1684</v>
      </c>
    </row>
    <row r="2875" spans="4:13">
      <c r="D2875" s="1" t="s">
        <v>1685</v>
      </c>
    </row>
    <row r="2877" spans="4:13">
      <c r="D2877" s="1" t="s">
        <v>1686</v>
      </c>
    </row>
    <row r="2878" spans="4:13">
      <c r="D2878" s="1" t="s">
        <v>1687</v>
      </c>
    </row>
    <row r="2879" spans="4:13">
      <c r="D2879" s="1" t="s">
        <v>1688</v>
      </c>
    </row>
    <row r="2881" spans="4:4">
      <c r="D2881" s="1" t="s">
        <v>1689</v>
      </c>
    </row>
    <row r="2882" spans="4:4">
      <c r="D2882" s="1" t="s">
        <v>1690</v>
      </c>
    </row>
    <row r="2883" spans="4:4">
      <c r="D2883" s="1" t="s">
        <v>1691</v>
      </c>
    </row>
    <row r="2885" spans="4:4">
      <c r="D2885" s="1" t="s">
        <v>1692</v>
      </c>
    </row>
    <row r="2886" spans="4:4">
      <c r="D2886" s="1" t="s">
        <v>1693</v>
      </c>
    </row>
    <row r="2887" spans="4:4">
      <c r="D2887" s="1" t="s">
        <v>1694</v>
      </c>
    </row>
    <row r="2891" spans="4:4">
      <c r="D2891" s="1" t="s">
        <v>1695</v>
      </c>
    </row>
  </sheetData>
  <autoFilter ref="A4:M2866" xr:uid="{00000000-0001-0000-0000-000000000000}"/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4" r:id="rId4" name="CB_BoltUIToolbox">
              <controlPr defaultSize="0" autoFill="0" autoLine="0" autoPict="0">
                <anchor moveWithCells="1">
                  <from>
                    <xdr:col>3</xdr:col>
                    <xdr:colOff>184150</xdr:colOff>
                    <xdr:row>1</xdr:row>
                    <xdr:rowOff>209550</xdr:rowOff>
                  </from>
                  <to>
                    <xdr:col>4</xdr:col>
                    <xdr:colOff>298450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5" name="DD_BoltUIToolbox">
              <controlPr defaultSize="0" autoLine="0" autoPict="0">
                <anchor moveWithCells="1">
                  <from>
                    <xdr:col>4</xdr:col>
                    <xdr:colOff>69850</xdr:colOff>
                    <xdr:row>2</xdr:row>
                    <xdr:rowOff>12700</xdr:rowOff>
                  </from>
                  <to>
                    <xdr:col>4</xdr:col>
                    <xdr:colOff>1231900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6" name="BT_BoltUIToolbox">
              <controlPr defaultSize="0" print="0" disabled="1" autoFill="0" autoPict="0" macro="[0]!Basic_Click">
                <anchor moveWithCells="1" sizeWithCells="1">
                  <from>
                    <xdr:col>4</xdr:col>
                    <xdr:colOff>1498600</xdr:colOff>
                    <xdr:row>2</xdr:row>
                    <xdr:rowOff>19050</xdr:rowOff>
                  </from>
                  <to>
                    <xdr:col>4</xdr:col>
                    <xdr:colOff>2171700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6006A75E6C2440A674DF561A391634" ma:contentTypeVersion="3" ma:contentTypeDescription="Create a new document." ma:contentTypeScope="" ma:versionID="d9a932958ab5ce653152daa629ef0696">
  <xsd:schema xmlns:xsd="http://www.w3.org/2001/XMLSchema" xmlns:xs="http://www.w3.org/2001/XMLSchema" xmlns:p="http://schemas.microsoft.com/office/2006/metadata/properties" xmlns:ns1="http://schemas.microsoft.com/sharepoint/v3" xmlns:ns2="3b391e4d-cf75-425f-876e-d14986739bb6" targetNamespace="http://schemas.microsoft.com/office/2006/metadata/properties" ma:root="true" ma:fieldsID="d0faef36ab3ce1f3371e46e240d6bbf9" ns1:_="" ns2:_="">
    <xsd:import namespace="http://schemas.microsoft.com/sharepoint/v3"/>
    <xsd:import namespace="3b391e4d-cf75-425f-876e-d14986739bb6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391e4d-cf75-425f-876e-d14986739b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6CB3768-99F2-4777-B222-74A79BF0645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172EF2-431D-47C6-AF24-87F764F197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b391e4d-cf75-425f-876e-d14986739b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8AA504-3889-48F5-BD1A-CF52AA79107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DOE (2)</vt:lpstr>
      <vt:lpstr>IPLV_sheet (2)</vt:lpstr>
      <vt:lpstr>IPLV_sheet_2 (2)</vt:lpstr>
      <vt:lpstr>IPLV_sheet</vt:lpstr>
      <vt:lpstr>DOE</vt:lpstr>
      <vt:lpstr>DOE!version</vt:lpstr>
      <vt:lpstr>'DOE (2)'!version</vt:lpstr>
      <vt:lpstr>IPLV_sheet!version</vt:lpstr>
      <vt:lpstr>'IPLV_sheet (2)'!version</vt:lpstr>
      <vt:lpstr>'IPLV_sheet_2 (2)'!version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Magdalena</dc:creator>
  <cp:lastModifiedBy>Wang, Mingyu</cp:lastModifiedBy>
  <dcterms:created xsi:type="dcterms:W3CDTF">2016-11-02T07:07:48Z</dcterms:created>
  <dcterms:modified xsi:type="dcterms:W3CDTF">2023-04-11T05:57:21Z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0x010100E36006A75E6C2440A674DF561A391634</vt:lpwstr>
  </property>
</Properties>
</file>